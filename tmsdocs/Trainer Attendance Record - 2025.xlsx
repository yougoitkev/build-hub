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filterPrivacy="1" codeName="ThisWorkbook"/>
  <xr:revisionPtr revIDLastSave="421" documentId="8_{9BB7693B-9711-4CF9-BE9B-996CB2391DBE}" xr6:coauthVersionLast="47" xr6:coauthVersionMax="47" xr10:uidLastSave="{73AE2569-E505-4689-A6F8-B04155D84C5F}"/>
  <bookViews>
    <workbookView xWindow="28680" yWindow="-120" windowWidth="29040" windowHeight="15720" firstSheet="1" xr2:uid="{00000000-000D-0000-FFFF-FFFF00000000}"/>
  </bookViews>
  <sheets>
    <sheet name="Calendar View" sheetId="3" r:id="rId1"/>
    <sheet name="Employee Leave Tracker" sheetId="1" r:id="rId2"/>
    <sheet name="List of Employees" sheetId="2" r:id="rId3"/>
    <sheet name="Leave Types" sheetId="4" r:id="rId4"/>
    <sheet name="Company Holidays" sheetId="5" r:id="rId5"/>
  </sheets>
  <definedNames>
    <definedName name="_xlnm._FilterDatabase" localSheetId="0" hidden="1">'Calendar View'!$H$19:$K$22</definedName>
    <definedName name="Calendar_Year">'Calendar View'!$C$3</definedName>
    <definedName name="ColumnTitle3">Employees[[#Headers],[Employee names]]</definedName>
    <definedName name="ColumnTitle4">LeaveTypes[[#Headers],[List of leave types]]</definedName>
    <definedName name="ColumnTitle5">CompanyHolidays[[#Headers],[Company holidays]]</definedName>
    <definedName name="ColumnTitleRegion..AC22.1">'Calendar View'!$C$19:$E$19</definedName>
    <definedName name="lstEDates">LeaveTracker[End date]</definedName>
    <definedName name="lstEmployees">Employees[Employee names]</definedName>
    <definedName name="lstEmpNames">LeaveTracker[Employee name]</definedName>
    <definedName name="lstHolidays">CompanyHolidays[Company holidays]</definedName>
    <definedName name="lstHolidayTypes">LeaveTypes[List of leave types]</definedName>
    <definedName name="lstHTypes">LeaveTracker[Type of leave]</definedName>
    <definedName name="lstSdates">LeaveTracker[Start date]</definedName>
    <definedName name="Title1">AttendanceRecord[[#Headers],[Weekday/Month]]</definedName>
    <definedName name="Title2">LeaveTracker[[#Headers],[Employee name]]</definedName>
    <definedName name="valSelEmployee">'Calendar View'!$C$2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D45" i="1"/>
  <c r="C45" i="1"/>
  <c r="D44" i="1"/>
  <c r="C44" i="1"/>
  <c r="D43" i="1"/>
  <c r="C43" i="1"/>
  <c r="D42" i="1"/>
  <c r="C42" i="1"/>
  <c r="D41" i="1"/>
  <c r="C41" i="1"/>
  <c r="D40" i="1"/>
  <c r="C40" i="1"/>
  <c r="D39" i="1"/>
  <c r="C39" i="1"/>
  <c r="D38" i="1"/>
  <c r="C38" i="1"/>
  <c r="D37" i="1"/>
  <c r="C37" i="1"/>
  <c r="D35" i="1"/>
  <c r="C35" i="1"/>
  <c r="D34" i="1"/>
  <c r="C34" i="1"/>
  <c r="D28" i="1"/>
  <c r="C28" i="1"/>
  <c r="D27" i="1"/>
  <c r="C27" i="1"/>
  <c r="D25" i="1"/>
  <c r="C25" i="1"/>
  <c r="D14" i="1"/>
  <c r="D36" i="1"/>
  <c r="C36" i="1"/>
  <c r="D33" i="1"/>
  <c r="C33" i="1"/>
  <c r="D32" i="1" l="1"/>
  <c r="C32" i="1"/>
  <c r="D31" i="1"/>
  <c r="C31" i="1"/>
  <c r="D30" i="1"/>
  <c r="C30" i="1"/>
  <c r="D29" i="1"/>
  <c r="C29" i="1"/>
  <c r="D26" i="1"/>
  <c r="C26" i="1"/>
  <c r="D24" i="1"/>
  <c r="C24" i="1"/>
  <c r="D23" i="1"/>
  <c r="C23" i="1"/>
  <c r="D22" i="1" l="1"/>
  <c r="C22" i="1"/>
  <c r="B13" i="5"/>
  <c r="B9" i="5"/>
  <c r="B8" i="5"/>
  <c r="B16" i="5"/>
  <c r="B15" i="5"/>
  <c r="B12" i="5"/>
  <c r="B11" i="5"/>
  <c r="B10" i="5"/>
  <c r="B7" i="5"/>
  <c r="B6" i="5"/>
  <c r="B5" i="5"/>
  <c r="D21" i="1"/>
  <c r="C21" i="1"/>
  <c r="D20" i="1"/>
  <c r="C20" i="1"/>
  <c r="D19" i="1"/>
  <c r="C19" i="1"/>
  <c r="D18" i="1"/>
  <c r="C18" i="1"/>
  <c r="D7" i="1"/>
  <c r="C7" i="1"/>
  <c r="D6" i="1"/>
  <c r="D17" i="1"/>
  <c r="C17" i="1"/>
  <c r="D16" i="1"/>
  <c r="C16" i="1"/>
  <c r="D15" i="1"/>
  <c r="C15" i="1"/>
  <c r="D13" i="1"/>
  <c r="C13" i="1"/>
  <c r="D12" i="1" l="1"/>
  <c r="C12" i="1"/>
  <c r="D11" i="1"/>
  <c r="C11" i="1"/>
  <c r="D10" i="1"/>
  <c r="C10" i="1"/>
  <c r="D9" i="1"/>
  <c r="C9" i="1"/>
  <c r="D8" i="1"/>
  <c r="C8" i="1"/>
  <c r="C6" i="1"/>
  <c r="D5" i="1"/>
  <c r="C5" i="1"/>
  <c r="D4" i="1"/>
  <c r="C4" i="1"/>
  <c r="B14" i="5"/>
  <c r="B4" i="5"/>
  <c r="C14" i="1"/>
  <c r="F44" i="1" l="1"/>
  <c r="F45" i="1"/>
  <c r="F42" i="1"/>
  <c r="F43" i="1"/>
  <c r="F40" i="1"/>
  <c r="F41" i="1"/>
  <c r="F38" i="1"/>
  <c r="F39" i="1"/>
  <c r="F35" i="1"/>
  <c r="F37" i="1"/>
  <c r="F28" i="1"/>
  <c r="F34" i="1"/>
  <c r="F25" i="1"/>
  <c r="F27" i="1"/>
  <c r="F57" i="1"/>
  <c r="F58" i="1"/>
  <c r="F55" i="1"/>
  <c r="F56" i="1"/>
  <c r="F54" i="1"/>
  <c r="F52" i="1"/>
  <c r="F53" i="1"/>
  <c r="F50" i="1"/>
  <c r="F51" i="1"/>
  <c r="F48" i="1"/>
  <c r="F49" i="1"/>
  <c r="F46" i="1"/>
  <c r="F47" i="1"/>
  <c r="F36" i="1"/>
  <c r="F32" i="1"/>
  <c r="F33" i="1"/>
  <c r="F7" i="1"/>
  <c r="F31" i="1"/>
  <c r="F30" i="1"/>
  <c r="F17" i="1"/>
  <c r="F11" i="1"/>
  <c r="F4" i="1"/>
  <c r="F20" i="1"/>
  <c r="F29" i="1"/>
  <c r="F16" i="1"/>
  <c r="F6" i="1"/>
  <c r="F12" i="1"/>
  <c r="F21" i="1"/>
  <c r="F23" i="1"/>
  <c r="F24" i="1"/>
  <c r="F15" i="1"/>
  <c r="F5" i="1"/>
  <c r="F8" i="1"/>
  <c r="F13" i="1"/>
  <c r="F22" i="1"/>
  <c r="F10" i="1"/>
  <c r="F18" i="1"/>
  <c r="F14" i="1"/>
  <c r="F9" i="1"/>
  <c r="F19" i="1"/>
  <c r="F26" i="1"/>
  <c r="X21" i="3"/>
  <c r="X22" i="3" s="1"/>
  <c r="AC21" i="3"/>
  <c r="AC22" i="3" s="1"/>
  <c r="S21" i="3"/>
  <c r="S22" i="3" s="1"/>
  <c r="H21" i="3"/>
  <c r="AM20" i="3"/>
  <c r="C15" i="3"/>
  <c r="D15" i="3" s="1"/>
  <c r="E15" i="3" s="1"/>
  <c r="X27" i="3"/>
  <c r="C17" i="3"/>
  <c r="D17" i="3" s="1"/>
  <c r="E17" i="3" s="1"/>
  <c r="F17" i="3" s="1"/>
  <c r="G17" i="3" s="1"/>
  <c r="H17" i="3" s="1"/>
  <c r="I17" i="3" s="1"/>
  <c r="J17" i="3" s="1"/>
  <c r="K17" i="3" s="1"/>
  <c r="L17" i="3" s="1"/>
  <c r="M17" i="3" s="1"/>
  <c r="N17" i="3" s="1"/>
  <c r="O17" i="3" s="1"/>
  <c r="P17" i="3" s="1"/>
  <c r="Q17" i="3" s="1"/>
  <c r="R17" i="3" s="1"/>
  <c r="S17" i="3" s="1"/>
  <c r="T17" i="3" s="1"/>
  <c r="U17" i="3" s="1"/>
  <c r="V17" i="3" s="1"/>
  <c r="W17" i="3" s="1"/>
  <c r="X17" i="3" s="1"/>
  <c r="Y17" i="3" s="1"/>
  <c r="Z17" i="3" s="1"/>
  <c r="AA17" i="3" s="1"/>
  <c r="AB17" i="3" s="1"/>
  <c r="AC17" i="3" s="1"/>
  <c r="AD17" i="3" s="1"/>
  <c r="AE17" i="3" s="1"/>
  <c r="AF17" i="3" s="1"/>
  <c r="AG17" i="3" s="1"/>
  <c r="AH17" i="3" s="1"/>
  <c r="AI17" i="3" s="1"/>
  <c r="AJ17" i="3" s="1"/>
  <c r="AK17" i="3" s="1"/>
  <c r="AL17" i="3" s="1"/>
  <c r="AM17" i="3" s="1"/>
  <c r="AN17" i="3" s="1"/>
  <c r="AO17" i="3" s="1"/>
  <c r="AP17" i="3" s="1"/>
  <c r="AQ17" i="3" s="1"/>
  <c r="AR17" i="3" s="1"/>
  <c r="N28" i="3"/>
  <c r="N29" i="3" s="1"/>
  <c r="N27" i="3"/>
  <c r="C10" i="3"/>
  <c r="D10" i="3" s="1"/>
  <c r="E10" i="3" s="1"/>
  <c r="F10" i="3" s="1"/>
  <c r="G10" i="3" s="1"/>
  <c r="H10" i="3" s="1"/>
  <c r="I10" i="3" s="1"/>
  <c r="J10" i="3" s="1"/>
  <c r="K10" i="3" s="1"/>
  <c r="L10" i="3" s="1"/>
  <c r="M10" i="3" s="1"/>
  <c r="N10" i="3" s="1"/>
  <c r="O10" i="3" s="1"/>
  <c r="P10" i="3" s="1"/>
  <c r="Q10" i="3" s="1"/>
  <c r="R10" i="3" s="1"/>
  <c r="S10" i="3" s="1"/>
  <c r="T10" i="3" s="1"/>
  <c r="U10" i="3" s="1"/>
  <c r="V10" i="3" s="1"/>
  <c r="W10" i="3" s="1"/>
  <c r="X10" i="3" s="1"/>
  <c r="Y10" i="3" s="1"/>
  <c r="Z10" i="3" s="1"/>
  <c r="AA10" i="3" s="1"/>
  <c r="AB10" i="3" s="1"/>
  <c r="AC10" i="3" s="1"/>
  <c r="AD10" i="3" s="1"/>
  <c r="AE10" i="3" s="1"/>
  <c r="AF10" i="3" s="1"/>
  <c r="AG10" i="3" s="1"/>
  <c r="AH10" i="3" s="1"/>
  <c r="AI10" i="3" s="1"/>
  <c r="AJ10" i="3" s="1"/>
  <c r="AK10" i="3" s="1"/>
  <c r="AL10" i="3" s="1"/>
  <c r="AM10" i="3" s="1"/>
  <c r="AN10" i="3" s="1"/>
  <c r="AO10" i="3" s="1"/>
  <c r="AP10" i="3" s="1"/>
  <c r="AQ10" i="3" s="1"/>
  <c r="AR10" i="3" s="1"/>
  <c r="X28" i="3"/>
  <c r="X29" i="3" s="1"/>
  <c r="C12" i="3"/>
  <c r="D12" i="3" s="1"/>
  <c r="E12" i="3" s="1"/>
  <c r="F12" i="3" s="1"/>
  <c r="G12" i="3" s="1"/>
  <c r="H12" i="3" s="1"/>
  <c r="I12" i="3" s="1"/>
  <c r="J12" i="3" s="1"/>
  <c r="K12" i="3" s="1"/>
  <c r="L12" i="3" s="1"/>
  <c r="M12" i="3" s="1"/>
  <c r="N12" i="3" s="1"/>
  <c r="O12" i="3" s="1"/>
  <c r="P12" i="3" s="1"/>
  <c r="Q12" i="3" s="1"/>
  <c r="R12" i="3" s="1"/>
  <c r="S12" i="3" s="1"/>
  <c r="T12" i="3" s="1"/>
  <c r="U12" i="3" s="1"/>
  <c r="V12" i="3" s="1"/>
  <c r="W12" i="3" s="1"/>
  <c r="X12" i="3" s="1"/>
  <c r="Y12" i="3" s="1"/>
  <c r="Z12" i="3" s="1"/>
  <c r="AA12" i="3" s="1"/>
  <c r="AB12" i="3" s="1"/>
  <c r="AC12" i="3" s="1"/>
  <c r="AD12" i="3" s="1"/>
  <c r="AE12" i="3" s="1"/>
  <c r="AF12" i="3" s="1"/>
  <c r="AG12" i="3" s="1"/>
  <c r="AH12" i="3" s="1"/>
  <c r="AI12" i="3" s="1"/>
  <c r="AJ12" i="3" s="1"/>
  <c r="AK12" i="3" s="1"/>
  <c r="AL12" i="3" s="1"/>
  <c r="AM12" i="3" s="1"/>
  <c r="AN12" i="3" s="1"/>
  <c r="AO12" i="3" s="1"/>
  <c r="AP12" i="3" s="1"/>
  <c r="AQ12" i="3" s="1"/>
  <c r="AR12" i="3" s="1"/>
  <c r="AC28" i="3"/>
  <c r="AC29" i="3" s="1"/>
  <c r="C16" i="3"/>
  <c r="D16" i="3" s="1"/>
  <c r="E16" i="3" s="1"/>
  <c r="F16" i="3" s="1"/>
  <c r="G16" i="3" s="1"/>
  <c r="H16" i="3" s="1"/>
  <c r="I16" i="3" s="1"/>
  <c r="J16" i="3" s="1"/>
  <c r="K16" i="3" s="1"/>
  <c r="L16" i="3" s="1"/>
  <c r="M16" i="3" s="1"/>
  <c r="N16" i="3" s="1"/>
  <c r="O16" i="3" s="1"/>
  <c r="P16" i="3" s="1"/>
  <c r="Q16" i="3" s="1"/>
  <c r="R16" i="3" s="1"/>
  <c r="S16" i="3" s="1"/>
  <c r="T16" i="3" s="1"/>
  <c r="U16" i="3" s="1"/>
  <c r="V16" i="3" s="1"/>
  <c r="W16" i="3" s="1"/>
  <c r="X16" i="3" s="1"/>
  <c r="Y16" i="3" s="1"/>
  <c r="Z16" i="3" s="1"/>
  <c r="AA16" i="3" s="1"/>
  <c r="AB16" i="3" s="1"/>
  <c r="AC16" i="3" s="1"/>
  <c r="AD16" i="3" s="1"/>
  <c r="AE16" i="3" s="1"/>
  <c r="AF16" i="3" s="1"/>
  <c r="AG16" i="3" s="1"/>
  <c r="AH16" i="3" s="1"/>
  <c r="AI16" i="3" s="1"/>
  <c r="AJ16" i="3" s="1"/>
  <c r="AK16" i="3" s="1"/>
  <c r="AL16" i="3" s="1"/>
  <c r="AM16" i="3" s="1"/>
  <c r="AN16" i="3" s="1"/>
  <c r="AO16" i="3" s="1"/>
  <c r="AP16" i="3" s="1"/>
  <c r="AQ16" i="3" s="1"/>
  <c r="AR16" i="3" s="1"/>
  <c r="C9" i="3"/>
  <c r="D9" i="3" s="1"/>
  <c r="E9" i="3" s="1"/>
  <c r="F9" i="3" s="1"/>
  <c r="G9" i="3" s="1"/>
  <c r="H9" i="3" s="1"/>
  <c r="I9" i="3" s="1"/>
  <c r="J9" i="3" s="1"/>
  <c r="K9" i="3" s="1"/>
  <c r="L9" i="3" s="1"/>
  <c r="M9" i="3" s="1"/>
  <c r="N9" i="3" s="1"/>
  <c r="O9" i="3" s="1"/>
  <c r="P9" i="3" s="1"/>
  <c r="Q9" i="3" s="1"/>
  <c r="R9" i="3" s="1"/>
  <c r="S9" i="3" s="1"/>
  <c r="T9" i="3" s="1"/>
  <c r="U9" i="3" s="1"/>
  <c r="V9" i="3" s="1"/>
  <c r="W9" i="3" s="1"/>
  <c r="X9" i="3" s="1"/>
  <c r="Y9" i="3" s="1"/>
  <c r="Z9" i="3" s="1"/>
  <c r="AA9" i="3" s="1"/>
  <c r="AB9" i="3" s="1"/>
  <c r="AC9" i="3" s="1"/>
  <c r="AD9" i="3" s="1"/>
  <c r="AE9" i="3" s="1"/>
  <c r="AF9" i="3" s="1"/>
  <c r="AG9" i="3" s="1"/>
  <c r="AH9" i="3" s="1"/>
  <c r="AI9" i="3" s="1"/>
  <c r="AJ9" i="3" s="1"/>
  <c r="AK9" i="3" s="1"/>
  <c r="AL9" i="3" s="1"/>
  <c r="AM9" i="3" s="1"/>
  <c r="AN9" i="3" s="1"/>
  <c r="AO9" i="3" s="1"/>
  <c r="AP9" i="3" s="1"/>
  <c r="AQ9" i="3" s="1"/>
  <c r="AR9" i="3" s="1"/>
  <c r="X20" i="3"/>
  <c r="C6" i="3"/>
  <c r="D6" i="3" s="1"/>
  <c r="E6" i="3" s="1"/>
  <c r="C14" i="3"/>
  <c r="D14" i="3" s="1"/>
  <c r="E14" i="3" s="1"/>
  <c r="F14" i="3" s="1"/>
  <c r="G14" i="3" s="1"/>
  <c r="H14" i="3" s="1"/>
  <c r="I14" i="3" s="1"/>
  <c r="J14" i="3" s="1"/>
  <c r="K14" i="3" s="1"/>
  <c r="L14" i="3" s="1"/>
  <c r="M14" i="3" s="1"/>
  <c r="N14" i="3" s="1"/>
  <c r="O14" i="3" s="1"/>
  <c r="P14" i="3" s="1"/>
  <c r="Q14" i="3" s="1"/>
  <c r="R14" i="3" s="1"/>
  <c r="S14" i="3" s="1"/>
  <c r="T14" i="3" s="1"/>
  <c r="U14" i="3" s="1"/>
  <c r="V14" i="3" s="1"/>
  <c r="W14" i="3" s="1"/>
  <c r="X14" i="3" s="1"/>
  <c r="Y14" i="3" s="1"/>
  <c r="Z14" i="3" s="1"/>
  <c r="AA14" i="3" s="1"/>
  <c r="AB14" i="3" s="1"/>
  <c r="AC14" i="3" s="1"/>
  <c r="AD14" i="3" s="1"/>
  <c r="AE14" i="3" s="1"/>
  <c r="AF14" i="3" s="1"/>
  <c r="AG14" i="3" s="1"/>
  <c r="AH14" i="3" s="1"/>
  <c r="AI14" i="3" s="1"/>
  <c r="AJ14" i="3" s="1"/>
  <c r="AK14" i="3" s="1"/>
  <c r="AL14" i="3" s="1"/>
  <c r="AM14" i="3" s="1"/>
  <c r="AN14" i="3" s="1"/>
  <c r="AO14" i="3" s="1"/>
  <c r="AP14" i="3" s="1"/>
  <c r="AQ14" i="3" s="1"/>
  <c r="AR14" i="3" s="1"/>
  <c r="H20" i="3"/>
  <c r="C7" i="3"/>
  <c r="D7" i="3" s="1"/>
  <c r="E7" i="3" s="1"/>
  <c r="F7" i="3" s="1"/>
  <c r="G7" i="3" s="1"/>
  <c r="H7" i="3" s="1"/>
  <c r="I7" i="3" s="1"/>
  <c r="J7" i="3" s="1"/>
  <c r="K7" i="3" s="1"/>
  <c r="L7" i="3" s="1"/>
  <c r="M7" i="3" s="1"/>
  <c r="N7" i="3" s="1"/>
  <c r="O7" i="3" s="1"/>
  <c r="P7" i="3" s="1"/>
  <c r="Q7" i="3" s="1"/>
  <c r="R7" i="3" s="1"/>
  <c r="S7" i="3" s="1"/>
  <c r="T7" i="3" s="1"/>
  <c r="U7" i="3" s="1"/>
  <c r="V7" i="3" s="1"/>
  <c r="W7" i="3" s="1"/>
  <c r="X7" i="3" s="1"/>
  <c r="Y7" i="3" s="1"/>
  <c r="Z7" i="3" s="1"/>
  <c r="AA7" i="3" s="1"/>
  <c r="AB7" i="3" s="1"/>
  <c r="AC7" i="3" s="1"/>
  <c r="AD7" i="3" s="1"/>
  <c r="AE7" i="3" s="1"/>
  <c r="AF7" i="3" s="1"/>
  <c r="AG7" i="3" s="1"/>
  <c r="AH7" i="3" s="1"/>
  <c r="AI7" i="3" s="1"/>
  <c r="AJ7" i="3" s="1"/>
  <c r="AK7" i="3" s="1"/>
  <c r="AL7" i="3" s="1"/>
  <c r="AM7" i="3" s="1"/>
  <c r="AN7" i="3" s="1"/>
  <c r="AO7" i="3" s="1"/>
  <c r="AP7" i="3" s="1"/>
  <c r="AQ7" i="3" s="1"/>
  <c r="AR7" i="3" s="1"/>
  <c r="C11" i="3"/>
  <c r="D11" i="3" s="1"/>
  <c r="E11" i="3" s="1"/>
  <c r="F11" i="3" s="1"/>
  <c r="G11" i="3" s="1"/>
  <c r="H11" i="3" s="1"/>
  <c r="I11" i="3" s="1"/>
  <c r="J11" i="3" s="1"/>
  <c r="K11" i="3" s="1"/>
  <c r="L11" i="3" s="1"/>
  <c r="M11" i="3" s="1"/>
  <c r="N11" i="3" s="1"/>
  <c r="O11" i="3" s="1"/>
  <c r="P11" i="3" s="1"/>
  <c r="Q11" i="3" s="1"/>
  <c r="R11" i="3" s="1"/>
  <c r="S11" i="3" s="1"/>
  <c r="T11" i="3" s="1"/>
  <c r="U11" i="3" s="1"/>
  <c r="V11" i="3" s="1"/>
  <c r="W11" i="3" s="1"/>
  <c r="X11" i="3" s="1"/>
  <c r="Y11" i="3" s="1"/>
  <c r="Z11" i="3" s="1"/>
  <c r="AA11" i="3" s="1"/>
  <c r="AB11" i="3" s="1"/>
  <c r="AC11" i="3" s="1"/>
  <c r="AD11" i="3" s="1"/>
  <c r="AE11" i="3" s="1"/>
  <c r="AF11" i="3" s="1"/>
  <c r="AG11" i="3" s="1"/>
  <c r="AH11" i="3" s="1"/>
  <c r="AI11" i="3" s="1"/>
  <c r="AJ11" i="3" s="1"/>
  <c r="AK11" i="3" s="1"/>
  <c r="AL11" i="3" s="1"/>
  <c r="AM11" i="3" s="1"/>
  <c r="AN11" i="3" s="1"/>
  <c r="AO11" i="3" s="1"/>
  <c r="AP11" i="3" s="1"/>
  <c r="AQ11" i="3" s="1"/>
  <c r="AR11" i="3" s="1"/>
  <c r="AC20" i="3"/>
  <c r="S28" i="3"/>
  <c r="S29" i="3" s="1"/>
  <c r="C8" i="3"/>
  <c r="D8" i="3" s="1"/>
  <c r="E8" i="3" s="1"/>
  <c r="F8" i="3" s="1"/>
  <c r="G8" i="3" s="1"/>
  <c r="H8" i="3" s="1"/>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AL8" i="3" s="1"/>
  <c r="AM8" i="3" s="1"/>
  <c r="AN8" i="3" s="1"/>
  <c r="AO8" i="3" s="1"/>
  <c r="AP8" i="3" s="1"/>
  <c r="AQ8" i="3" s="1"/>
  <c r="AR8" i="3" s="1"/>
  <c r="AH21" i="3"/>
  <c r="AH22" i="3" s="1"/>
  <c r="AM21" i="3"/>
  <c r="AM22" i="3" s="1"/>
  <c r="C13" i="3"/>
  <c r="D13" i="3" s="1"/>
  <c r="E13" i="3" s="1"/>
  <c r="F13" i="3" s="1"/>
  <c r="G13" i="3" s="1"/>
  <c r="H13" i="3" s="1"/>
  <c r="I13" i="3" s="1"/>
  <c r="J13" i="3" s="1"/>
  <c r="K13" i="3" s="1"/>
  <c r="L13" i="3" s="1"/>
  <c r="M13" i="3" s="1"/>
  <c r="N13" i="3" s="1"/>
  <c r="O13" i="3" s="1"/>
  <c r="P13" i="3" s="1"/>
  <c r="Q13" i="3" s="1"/>
  <c r="R13" i="3" s="1"/>
  <c r="S13" i="3" s="1"/>
  <c r="T13" i="3" s="1"/>
  <c r="U13" i="3" s="1"/>
  <c r="V13" i="3" s="1"/>
  <c r="W13" i="3" s="1"/>
  <c r="X13" i="3" s="1"/>
  <c r="Y13" i="3" s="1"/>
  <c r="Z13" i="3" s="1"/>
  <c r="AA13" i="3" s="1"/>
  <c r="AB13" i="3" s="1"/>
  <c r="AC13" i="3" s="1"/>
  <c r="AD13" i="3" s="1"/>
  <c r="AE13" i="3" s="1"/>
  <c r="AF13" i="3" s="1"/>
  <c r="AG13" i="3" s="1"/>
  <c r="AH13" i="3" s="1"/>
  <c r="AI13" i="3" s="1"/>
  <c r="AJ13" i="3" s="1"/>
  <c r="AK13" i="3" s="1"/>
  <c r="AL13" i="3" s="1"/>
  <c r="AM13" i="3" s="1"/>
  <c r="AN13" i="3" s="1"/>
  <c r="AO13" i="3" s="1"/>
  <c r="AP13" i="3" s="1"/>
  <c r="AQ13" i="3" s="1"/>
  <c r="AR13" i="3" s="1"/>
  <c r="AC27" i="3"/>
  <c r="F15" i="3"/>
  <c r="G15" i="3" s="1"/>
  <c r="H15" i="3" s="1"/>
  <c r="I15" i="3" s="1"/>
  <c r="J15" i="3" s="1"/>
  <c r="K15" i="3" s="1"/>
  <c r="L15" i="3" s="1"/>
  <c r="M15" i="3" s="1"/>
  <c r="N15" i="3" s="1"/>
  <c r="O15" i="3" s="1"/>
  <c r="P15" i="3" s="1"/>
  <c r="Q15" i="3" s="1"/>
  <c r="R15" i="3" s="1"/>
  <c r="S15" i="3" s="1"/>
  <c r="T15" i="3" s="1"/>
  <c r="U15" i="3" s="1"/>
  <c r="V15" i="3" s="1"/>
  <c r="W15" i="3" s="1"/>
  <c r="X15" i="3" s="1"/>
  <c r="Y15" i="3" s="1"/>
  <c r="Z15" i="3" s="1"/>
  <c r="AA15" i="3" s="1"/>
  <c r="AB15" i="3" s="1"/>
  <c r="AC15" i="3" s="1"/>
  <c r="AD15" i="3" s="1"/>
  <c r="AE15" i="3" s="1"/>
  <c r="AF15" i="3" s="1"/>
  <c r="AG15" i="3" s="1"/>
  <c r="AH15" i="3" s="1"/>
  <c r="AI15" i="3" s="1"/>
  <c r="AJ15" i="3" s="1"/>
  <c r="AK15" i="3" s="1"/>
  <c r="AL15" i="3" s="1"/>
  <c r="AM15" i="3" s="1"/>
  <c r="AN15" i="3" s="1"/>
  <c r="AO15" i="3" s="1"/>
  <c r="AP15" i="3" s="1"/>
  <c r="AQ15" i="3" s="1"/>
  <c r="AR15" i="3" s="1"/>
  <c r="F6" i="3"/>
  <c r="G6" i="3" s="1"/>
  <c r="H6" i="3" s="1"/>
  <c r="I6" i="3" s="1"/>
  <c r="J6" i="3" s="1"/>
  <c r="K6" i="3" s="1"/>
  <c r="L6" i="3" s="1"/>
  <c r="M6" i="3" s="1"/>
  <c r="N6" i="3" s="1"/>
  <c r="O6" i="3" s="1"/>
  <c r="P6" i="3" s="1"/>
  <c r="Q6" i="3" s="1"/>
  <c r="R6" i="3" s="1"/>
  <c r="S6" i="3" s="1"/>
  <c r="T6" i="3" s="1"/>
  <c r="U6" i="3" s="1"/>
  <c r="V6" i="3" s="1"/>
  <c r="W6" i="3" s="1"/>
  <c r="X6" i="3" s="1"/>
  <c r="Y6" i="3" s="1"/>
  <c r="Z6" i="3" s="1"/>
  <c r="AA6" i="3" s="1"/>
  <c r="AB6" i="3" s="1"/>
  <c r="AC6" i="3" s="1"/>
  <c r="AD6" i="3" s="1"/>
  <c r="AE6" i="3" s="1"/>
  <c r="AF6" i="3" s="1"/>
  <c r="AG6" i="3" s="1"/>
  <c r="AH6" i="3" s="1"/>
  <c r="AI6" i="3" s="1"/>
  <c r="AJ6" i="3" s="1"/>
  <c r="AK6" i="3" s="1"/>
  <c r="AL6" i="3" s="1"/>
  <c r="AM6" i="3" s="1"/>
  <c r="AN6" i="3" s="1"/>
  <c r="AO6" i="3" s="1"/>
  <c r="AP6" i="3" s="1"/>
  <c r="AQ6" i="3" s="1"/>
  <c r="AR6" i="3" s="1"/>
  <c r="S27" i="3" l="1"/>
  <c r="H22" i="3"/>
  <c r="F59" i="1"/>
  <c r="F60" i="1" l="1"/>
  <c r="F61" i="1" l="1"/>
  <c r="F62" i="1" l="1"/>
  <c r="F63" i="1"/>
  <c r="F64" i="1"/>
  <c r="F65" i="1"/>
  <c r="F66" i="1"/>
  <c r="F67" i="1"/>
  <c r="F68" i="1"/>
  <c r="F69" i="1"/>
  <c r="F70" i="1"/>
  <c r="F71" i="1"/>
  <c r="F72" i="1"/>
  <c r="F73" i="1"/>
  <c r="F74" i="1"/>
  <c r="F75" i="1"/>
  <c r="F76" i="1"/>
  <c r="N21" i="3" s="1"/>
  <c r="F77" i="1"/>
  <c r="F78" i="1"/>
  <c r="F79" i="1"/>
  <c r="C21" i="3" s="1"/>
  <c r="F80" i="1"/>
  <c r="F81" i="1"/>
  <c r="S20" i="3" l="1"/>
  <c r="AH20" i="3"/>
  <c r="N20" i="3"/>
  <c r="N22" i="3" s="1"/>
  <c r="C20" i="3"/>
  <c r="C22" i="3" s="1"/>
  <c r="F82" i="1"/>
  <c r="F83" i="1"/>
  <c r="F84" i="1"/>
  <c r="F85" i="1"/>
  <c r="F8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tc={59FEE7A9-C81E-475E-8C1E-4090A67D76AF}</author>
    <author>Author</author>
  </authors>
  <commentList>
    <comment ref="E22" authorId="0" shapeId="0" xr:uid="{59FEE7A9-C81E-475E-8C1E-4090A67D76AF}">
      <text>
        <t>[Threaded comment]
Your version of Excel allows you to read this threaded comment; however, any edits to it will get removed if the file is opened in a newer version of Excel. Learn more: https://go.microsoft.com/fwlink/?linkid=870924
Comment:
    ½ day - cramps</t>
      </text>
    </comment>
    <comment ref="E59" authorId="1" shapeId="0" xr:uid="{4F77DB48-F61E-4165-8FF7-51E04A6FA975}">
      <text>
        <r>
          <rPr>
            <b/>
            <sz val="11"/>
            <color theme="1"/>
            <rFont val="Trebuchet MS"/>
            <family val="2"/>
            <scheme val="minor"/>
          </rPr>
          <t>Author:</t>
        </r>
        <r>
          <rPr>
            <sz val="11"/>
            <color theme="1"/>
            <rFont val="Trebuchet MS"/>
            <family val="2"/>
            <scheme val="minor"/>
          </rPr>
          <t xml:space="preserve">
Emergency Day</t>
        </r>
      </text>
    </comment>
    <comment ref="E62" authorId="1" shapeId="0" xr:uid="{E8D45EA5-D257-4C49-98F0-7712B0BCA889}">
      <text>
        <r>
          <rPr>
            <b/>
            <sz val="11"/>
            <color theme="1"/>
            <rFont val="Trebuchet MS"/>
            <family val="2"/>
            <scheme val="minor"/>
          </rPr>
          <t>Author:</t>
        </r>
        <r>
          <rPr>
            <sz val="11"/>
            <color theme="1"/>
            <rFont val="Trebuchet MS"/>
            <family val="2"/>
            <scheme val="minor"/>
          </rPr>
          <t xml:space="preserve">
Had to take care of mom due to care giver not being available</t>
        </r>
      </text>
    </comment>
  </commentList>
</comments>
</file>

<file path=xl/sharedStrings.xml><?xml version="1.0" encoding="utf-8"?>
<sst xmlns="http://schemas.openxmlformats.org/spreadsheetml/2006/main" count="327" uniqueCount="160">
  <si>
    <t>EMPLOYEE ATTENDANCE RECORD</t>
  </si>
  <si>
    <t>Select an employee:</t>
  </si>
  <si>
    <t xml:space="preserve">Sneha Menda </t>
  </si>
  <si>
    <t>Enter year:</t>
  </si>
  <si>
    <t>Weekday/Month</t>
  </si>
  <si>
    <t>SUN</t>
  </si>
  <si>
    <t>MON</t>
  </si>
  <si>
    <t>TUE</t>
  </si>
  <si>
    <t>WED</t>
  </si>
  <si>
    <t>THU</t>
  </si>
  <si>
    <t>FRI</t>
  </si>
  <si>
    <t>SAT</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</si>
  <si>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</si>
  <si>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</si>
  <si>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</si>
  <si>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</si>
  <si>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</si>
  <si>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</si>
  <si>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</si>
  <si>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</si>
  <si>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</si>
  <si>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</si>
  <si>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</si>
  <si>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</si>
  <si>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</si>
  <si>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</si>
  <si>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</si>
  <si>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</si>
  <si>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</si>
  <si>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</si>
  <si>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</si>
  <si>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</si>
  <si>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</si>
  <si>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</si>
  <si>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</si>
  <si>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</si>
  <si>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</si>
  <si>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</si>
  <si>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</si>
  <si>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</si>
  <si>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</si>
  <si>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</si>
  <si>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</si>
  <si>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</si>
  <si>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THU  2</t>
  </si>
  <si>
    <t xml:space="preserve">FRI  </t>
  </si>
  <si>
    <t xml:space="preserve">SAT  </t>
  </si>
  <si>
    <t>January</t>
  </si>
  <si>
    <t>February</t>
  </si>
  <si>
    <t>March</t>
  </si>
  <si>
    <t>April</t>
  </si>
  <si>
    <t>May</t>
  </si>
  <si>
    <t>June</t>
  </si>
  <si>
    <t>July</t>
  </si>
  <si>
    <t>August</t>
  </si>
  <si>
    <t>September</t>
  </si>
  <si>
    <t>October</t>
  </si>
  <si>
    <t>November</t>
  </si>
  <si>
    <t>December</t>
  </si>
  <si>
    <t>KEY STATISTICS</t>
  </si>
  <si>
    <t>Days on leave</t>
  </si>
  <si>
    <t>Working days</t>
  </si>
  <si>
    <t># Sick days</t>
  </si>
  <si>
    <t>Vacation</t>
  </si>
  <si>
    <t>Carry over Vaction</t>
  </si>
  <si>
    <t>Breavement</t>
  </si>
  <si>
    <t>Solo Parent Leave</t>
  </si>
  <si>
    <t>Lieu</t>
  </si>
  <si>
    <t>WFH</t>
  </si>
  <si>
    <t>Late</t>
  </si>
  <si>
    <t>Leave Early</t>
  </si>
  <si>
    <t>Flex</t>
  </si>
  <si>
    <t>Employee leave tracker</t>
  </si>
  <si>
    <t>Employee name</t>
  </si>
  <si>
    <t>Start date</t>
  </si>
  <si>
    <t>End date</t>
  </si>
  <si>
    <t>Type of leave</t>
  </si>
  <si>
    <t>Days</t>
  </si>
  <si>
    <t>Maida Musse</t>
  </si>
  <si>
    <t>Carryover Vacation</t>
  </si>
  <si>
    <t>Anita Bliss-Dias</t>
  </si>
  <si>
    <t>Gilisa Williams</t>
  </si>
  <si>
    <t>Kristi  Stead</t>
  </si>
  <si>
    <t>Viena Lacena</t>
  </si>
  <si>
    <t xml:space="preserve">Kate Saigo </t>
  </si>
  <si>
    <t>Donna Calilong</t>
  </si>
  <si>
    <t>Hazel Vhea De Fiesta                 </t>
  </si>
  <si>
    <t>Charisse (Chase) Argamosa</t>
  </si>
  <si>
    <t>Sick leave</t>
  </si>
  <si>
    <t>Stephany Chavez</t>
  </si>
  <si>
    <t>Anabelle (Belle) Pizon</t>
  </si>
  <si>
    <t>Kenneth Vera Hibaya</t>
  </si>
  <si>
    <t>Mary Jean Pauline Luzada</t>
  </si>
  <si>
    <t>Unpaid</t>
  </si>
  <si>
    <t>Solo Parent</t>
  </si>
  <si>
    <t>Bereavement</t>
  </si>
  <si>
    <t>Fia Esguerra</t>
  </si>
  <si>
    <t>Irish Ferreras</t>
  </si>
  <si>
    <t>Kate (Toni) Postres</t>
  </si>
  <si>
    <t>Mary Jude Jacutina</t>
  </si>
  <si>
    <t>Roberto Villamin Jr</t>
  </si>
  <si>
    <t>Jonas (Nash) Catacutan</t>
  </si>
  <si>
    <t>Maynard Soriano</t>
  </si>
  <si>
    <t>Eliceo Immaculata</t>
  </si>
  <si>
    <t xml:space="preserve">Angelica Jessa (AJ) Regalado </t>
  </si>
  <si>
    <t xml:space="preserve">Catherine (Kate) Saigo </t>
  </si>
  <si>
    <t>Jecelle Bista</t>
  </si>
  <si>
    <t>Robin (Bina) Yasona</t>
  </si>
  <si>
    <t>Maria Lourdes Tendenilla</t>
  </si>
  <si>
    <t>LOA</t>
  </si>
  <si>
    <t>Nancy Price</t>
  </si>
  <si>
    <t>Amit Kushwaha</t>
  </si>
  <si>
    <t>Aakansha Panchal</t>
  </si>
  <si>
    <t>Anshuman Srivastava</t>
  </si>
  <si>
    <t>Mansi Malhotra</t>
  </si>
  <si>
    <t>Gautam</t>
  </si>
  <si>
    <t>Ithi Rawat</t>
  </si>
  <si>
    <t>List of employees</t>
  </si>
  <si>
    <t>Employee names</t>
  </si>
  <si>
    <t>Alka Kumari</t>
  </si>
  <si>
    <t>Anjali Sharma</t>
  </si>
  <si>
    <t>Anthony (Maleka) Legodi</t>
  </si>
  <si>
    <t>Catherine Cacheco</t>
  </si>
  <si>
    <t xml:space="preserve">Chantelle Thomas </t>
  </si>
  <si>
    <r>
      <t xml:space="preserve">Hazel </t>
    </r>
    <r>
      <rPr>
        <b/>
        <sz val="11"/>
        <color rgb="FF000000"/>
        <rFont val="Aptos Narrow"/>
        <family val="2"/>
      </rPr>
      <t xml:space="preserve">Vhea </t>
    </r>
    <r>
      <rPr>
        <sz val="11"/>
        <color rgb="FF000000"/>
        <rFont val="Aptos Narrow"/>
        <family val="2"/>
      </rPr>
      <t>De Fiesta                 </t>
    </r>
  </si>
  <si>
    <t>Jarry Calilung</t>
  </si>
  <si>
    <t>Jeffrey Janda</t>
  </si>
  <si>
    <t>Jennifer Ramirez</t>
  </si>
  <si>
    <t>Kaylum  Jonkers</t>
  </si>
  <si>
    <r>
      <t xml:space="preserve">Kenneth </t>
    </r>
    <r>
      <rPr>
        <b/>
        <sz val="11"/>
        <color rgb="FF000000"/>
        <rFont val="Aptos Narrow"/>
        <family val="2"/>
      </rPr>
      <t>Vera</t>
    </r>
    <r>
      <rPr>
        <sz val="11"/>
        <color rgb="FF000000"/>
        <rFont val="Aptos Narrow"/>
        <family val="2"/>
      </rPr>
      <t xml:space="preserve"> Hibaya</t>
    </r>
  </si>
  <si>
    <t>Lelo Dlamini</t>
  </si>
  <si>
    <t>Mary Anne Cruz</t>
  </si>
  <si>
    <r>
      <t xml:space="preserve">Mary </t>
    </r>
    <r>
      <rPr>
        <b/>
        <sz val="11"/>
        <color rgb="FF000000"/>
        <rFont val="Aptos Narrow"/>
        <family val="2"/>
      </rPr>
      <t>Jean</t>
    </r>
    <r>
      <rPr>
        <sz val="11"/>
        <color rgb="FF000000"/>
        <rFont val="Aptos Narrow"/>
        <family val="2"/>
      </rPr>
      <t xml:space="preserve"> Pauline Luzada</t>
    </r>
  </si>
  <si>
    <t>Melneus Cajucom</t>
  </si>
  <si>
    <t xml:space="preserve">Mthandazi (Mzie) Sibanda </t>
  </si>
  <si>
    <t>Patrick James Reosia</t>
  </si>
  <si>
    <t>Petrus Ditlhage</t>
  </si>
  <si>
    <t>Reneilwe (Rene) Koloi</t>
  </si>
  <si>
    <t>Sangita Roy</t>
  </si>
  <si>
    <t>Siyabulela (Siya) Mvimbi</t>
  </si>
  <si>
    <t xml:space="preserve">Surprise Mosehla </t>
  </si>
  <si>
    <t>Tsakane (Jack) Malumbelumbe</t>
  </si>
  <si>
    <t>Tshepo (Tee) Nkumelini</t>
  </si>
  <si>
    <t>Leave types</t>
  </si>
  <si>
    <t>List of leave types</t>
  </si>
  <si>
    <t>Company holidays</t>
  </si>
  <si>
    <t>Description</t>
  </si>
  <si>
    <t>New Year's Day</t>
  </si>
  <si>
    <t>Family Day (Canada Only)</t>
  </si>
  <si>
    <t>Maundy Thursday (Philippines Only)</t>
  </si>
  <si>
    <t>Good Friday</t>
  </si>
  <si>
    <t>Labor Day (Philippeans Only)</t>
  </si>
  <si>
    <t>Independence Day (Philippines Only)</t>
  </si>
  <si>
    <t>Canada Day (Canada Only)</t>
  </si>
  <si>
    <t>Labour Day (Canada Only</t>
  </si>
  <si>
    <t>Thanksgiving (Canada Only)</t>
  </si>
  <si>
    <t>All Saint's Day (Philippines Only)</t>
  </si>
  <si>
    <t>Christmas Eve (Philippines Only)</t>
  </si>
  <si>
    <t>Christmas</t>
  </si>
  <si>
    <t>Last Day of the Year (Pilippeans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</si>
</sst>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
    <numFmt numFmtId="165" formatCode="&quot;LAST YEAR &quot;\ General"/>
  </numFmts>
  <fonts count="20">
    <font>
      <sz val="11"/>
      <color theme="1"/>
      <name val="Trebuchet MS"/>
      <family val="2"/>
      <scheme val="minor"/>
    </font>
    <font>
      <sz val="11"/>
      <color theme="1"/>
      <name val="Trebuchet MS"/>
      <family val="2"/>
      <scheme val="minor"/>
    </font>
    <font>
      <sz val="11"/>
      <color theme="0"/>
      <name val="Trebuchet MS"/>
      <family val="2"/>
      <scheme val="minor"/>
    </font>
    <font>
      <sz val="12"/>
      <color theme="0"/>
      <name val="Trebuchet MS"/>
      <family val="2"/>
      <scheme val="minor"/>
    </font>
    <font>
      <sz val="11"/>
      <color theme="3"/>
      <name val="Bookman Old Style"/>
      <family val="1"/>
      <scheme val="major"/>
    </font>
    <font>
      <b/>
      <sz val="23"/>
      <color theme="3"/>
      <name val="Bookman Old Style"/>
      <family val="1"/>
      <scheme val="major"/>
    </font>
    <font>
      <sz val="9"/>
      <color theme="3"/>
      <name val="Bookman Old Style"/>
      <family val="1"/>
      <scheme val="major"/>
    </font>
    <font>
      <b/>
      <sz val="30"/>
      <color theme="0"/>
      <name val="Bookman Old Style"/>
      <family val="1"/>
      <scheme val="major"/>
    </font>
    <font>
      <b/>
      <sz val="30"/>
      <color theme="3"/>
      <name val="Bookman Old Style"/>
      <family val="1"/>
      <scheme val="major"/>
    </font>
    <font>
      <b/>
      <sz val="26"/>
      <color theme="3"/>
      <name val="Bookman Old Style"/>
      <family val="2"/>
      <scheme val="major"/>
    </font>
    <font>
      <sz val="9"/>
      <color theme="1"/>
      <name val="Trebuchet MS"/>
      <family val="2"/>
      <scheme val="minor"/>
    </font>
    <font>
      <sz val="11"/>
      <color theme="3" tint="-0.499984740745262"/>
      <name val="Trebuchet MS"/>
      <family val="2"/>
      <scheme val="minor"/>
    </font>
    <font>
      <b/>
      <sz val="11"/>
      <color theme="9" tint="-0.499984740745262"/>
      <name val="Trebuchet MS"/>
      <family val="2"/>
      <scheme val="minor"/>
    </font>
    <font>
      <sz val="11"/>
      <color theme="1"/>
      <name val="Bookman Old Style"/>
      <family val="1"/>
      <scheme val="major"/>
    </font>
    <font>
      <sz val="11"/>
      <name val="Aptos Narrow"/>
      <family val="2"/>
    </font>
    <font>
      <sz val="11"/>
      <color rgb="FF000000"/>
      <name val="Aptos Narrow"/>
      <family val="2"/>
    </font>
    <font>
      <b/>
      <sz val="11"/>
      <color rgb="FF000000"/>
      <name val="Aptos Narrow"/>
      <family val="2"/>
    </font>
    <font>
      <sz val="11"/>
      <color theme="1"/>
      <name val="Aptos Narrow"/>
      <family val="2"/>
    </font>
    <font>
      <b/>
      <sz val="30"/>
      <name val="Bookman Old Style"/>
      <family val="1"/>
      <scheme val="major"/>
    </font>
    <font>
      <b/>
      <sz val="11"/>
      <color theme="1"/>
      <name val="Trebuchet MS"/>
      <family val="2"/>
      <scheme val="minor"/>
    </font>
  </fonts>
  <fills count="13">
    <fill>
      <patternFill patternType="none"/>
    </fill>
    <fill>
      <patternFill patternType="gray125"/>
    </fill>
    <fill>
      <patternFill patternType="solid">
        <fgColor theme="3"/>
        <bgColor indexed="64"/>
      </patternFill>
    </fill>
    <fill>
      <patternFill patternType="solid">
        <fgColor theme="4"/>
      </patternFill>
    </fill>
    <fill>
      <patternFill patternType="solid">
        <fgColor theme="6"/>
      </patternFill>
    </fill>
    <fill>
      <patternFill patternType="solid">
        <fgColor theme="7"/>
      </patternFill>
    </fill>
    <fill>
      <patternFill patternType="solid">
        <fgColor theme="8"/>
      </patternFill>
    </fill>
    <fill>
      <patternFill patternType="solid">
        <fgColor theme="8" tint="-0.24994659260841701"/>
        <bgColor indexed="64"/>
      </patternFill>
    </fill>
    <fill>
      <patternFill patternType="solid">
        <fgColor theme="5"/>
      </patternFill>
    </fill>
    <fill>
      <patternFill patternType="solid">
        <fgColor theme="9"/>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0.14999847407452621"/>
        <bgColor indexed="64"/>
      </patternFill>
    </fill>
  </fills>
  <borders count="5">
    <border>
      <left/>
      <right/>
      <top/>
      <bottom/>
      <diagonal/>
    </border>
    <border>
      <left/>
      <right style="thin">
        <color theme="3" tint="0.39994506668294322"/>
      </right>
      <top/>
      <bottom/>
      <diagonal/>
    </border>
    <border>
      <left style="thin">
        <color theme="0"/>
      </left>
      <right style="thin">
        <color theme="0"/>
      </right>
      <top/>
      <bottom/>
      <diagonal/>
    </border>
    <border>
      <left style="thick">
        <color theme="0"/>
      </left>
      <right style="thick">
        <color theme="0"/>
      </right>
      <top style="thick">
        <color theme="0"/>
      </top>
      <bottom style="thick">
        <color theme="0"/>
      </bottom>
      <diagonal/>
    </border>
    <border>
      <left style="thin">
        <color indexed="64"/>
      </left>
      <right style="thin">
        <color indexed="64"/>
      </right>
      <top style="thin">
        <color indexed="64"/>
      </top>
      <bottom style="thin">
        <color indexed="64"/>
      </bottom>
      <diagonal/>
    </border>
  </borders>
  <cellStyleXfs count="25">
    <xf numFmtId="0" fontId="0" fillId="0" borderId="0">
      <alignment vertical="center"/>
    </xf>
    <xf numFmtId="0" fontId="9" fillId="0" borderId="0" applyNumberFormat="0" applyFill="0" applyBorder="0" applyProtection="0">
      <alignment horizontal="left" vertical="center"/>
    </xf>
    <xf numFmtId="0" fontId="2" fillId="2" borderId="2">
      <alignment horizontal="center"/>
    </xf>
    <xf numFmtId="0" fontId="2" fillId="3" borderId="0" applyNumberFormat="0" applyFont="0" applyBorder="0" applyAlignment="0" applyProtection="0"/>
    <xf numFmtId="0" fontId="2" fillId="4" borderId="0" applyNumberFormat="0" applyFont="0" applyBorder="0" applyAlignment="0" applyProtection="0"/>
    <xf numFmtId="0" fontId="2" fillId="5" borderId="0" applyNumberFormat="0" applyFont="0" applyBorder="0" applyAlignment="0" applyProtection="0"/>
    <xf numFmtId="0" fontId="2" fillId="6" borderId="0" applyNumberFormat="0" applyFont="0" applyBorder="0" applyAlignment="0" applyProtection="0"/>
    <xf numFmtId="0" fontId="3" fillId="2" borderId="3">
      <alignment horizontal="left" vertical="center" wrapText="1" indent="1"/>
    </xf>
    <xf numFmtId="0" fontId="4" fillId="0" borderId="0">
      <alignment horizontal="left" vertical="center" indent="2"/>
    </xf>
    <xf numFmtId="0" fontId="7" fillId="2" borderId="0">
      <alignment horizontal="center" vertical="center"/>
    </xf>
    <xf numFmtId="0" fontId="4" fillId="0" borderId="1" applyNumberFormat="0" applyFont="0" applyFill="0" applyAlignment="0">
      <alignment horizontal="center" vertical="center"/>
    </xf>
    <xf numFmtId="0" fontId="1" fillId="0" borderId="0">
      <alignment horizontal="left" vertical="center" wrapText="1" indent="1"/>
    </xf>
    <xf numFmtId="0" fontId="13" fillId="0" borderId="0">
      <alignment horizontal="left" vertical="center" indent="1"/>
    </xf>
    <xf numFmtId="1" fontId="1" fillId="0" borderId="0">
      <alignment horizontal="center" vertical="center"/>
    </xf>
    <xf numFmtId="14" fontId="1" fillId="0" borderId="0">
      <alignment horizontal="left" vertical="center" indent="1"/>
    </xf>
    <xf numFmtId="0" fontId="2" fillId="7" borderId="0" applyProtection="0">
      <alignment horizontal="center" vertical="center"/>
    </xf>
    <xf numFmtId="0" fontId="4" fillId="0" borderId="0" applyFill="0" applyProtection="0">
      <alignment horizontal="right" indent="1"/>
    </xf>
    <xf numFmtId="0" fontId="4" fillId="0" borderId="0" applyFill="0" applyProtection="0">
      <alignment horizontal="center" vertical="center"/>
    </xf>
    <xf numFmtId="165" fontId="11" fillId="0" borderId="0" applyFill="0" applyProtection="0">
      <alignment horizontal="center" vertical="center"/>
    </xf>
    <xf numFmtId="0" fontId="12" fillId="0" borderId="0" applyFill="0" applyProtection="0">
      <alignment horizontal="center" vertical="center"/>
    </xf>
    <xf numFmtId="164" fontId="1" fillId="0" borderId="0" applyFont="0" applyFill="0" applyBorder="0">
      <alignment horizontal="center" vertical="center"/>
    </xf>
    <xf numFmtId="0" fontId="2" fillId="7" borderId="0" applyNumberFormat="0" applyBorder="0" applyProtection="0">
      <alignment horizontal="center" vertical="center"/>
    </xf>
    <xf numFmtId="0" fontId="3" fillId="2" borderId="3">
      <alignment horizontal="left" vertical="center" indent="1"/>
    </xf>
    <xf numFmtId="0" fontId="2" fillId="8" borderId="0" applyNumberFormat="0" applyBorder="0" applyAlignment="0" applyProtection="0"/>
    <xf numFmtId="0" fontId="2" fillId="9" borderId="0" applyNumberFormat="0" applyBorder="0" applyAlignment="0" applyProtection="0"/>
  </cellStyleXfs>
  <cellXfs count="47">
    <xf numFmtId="0" fontId="0" fillId="0" borderId="0" xfId="0">
      <alignment vertical="center"/>
    </xf>
    <xf numFmtId="0" fontId="5" fillId="0" borderId="0" xfId="0" applyFont="1">
      <alignment vertical="center"/>
    </xf>
    <xf numFmtId="0" fontId="2" fillId="0" borderId="0" xfId="0" applyFont="1">
      <alignment vertical="center"/>
    </xf>
    <xf numFmtId="0" fontId="10" fillId="0" borderId="0" xfId="0" applyFont="1">
      <alignment vertical="center"/>
    </xf>
    <xf numFmtId="0" fontId="9" fillId="0" borderId="0" xfId="1" applyBorder="1" applyAlignment="1">
      <alignment horizontal="left" vertical="center" wrapText="1" indent="1"/>
    </xf>
    <xf numFmtId="0" fontId="9" fillId="0" borderId="0" xfId="1" applyBorder="1">
      <alignment horizontal="left" vertical="center"/>
    </xf>
    <xf numFmtId="0" fontId="9" fillId="0" borderId="0" xfId="1" applyFill="1" applyBorder="1">
      <alignment horizontal="left" vertical="center"/>
    </xf>
    <xf numFmtId="0" fontId="4" fillId="0" borderId="1" xfId="10">
      <alignment horizontal="center" vertical="center"/>
    </xf>
    <xf numFmtId="0" fontId="1" fillId="0" borderId="0" xfId="11">
      <alignment horizontal="left" vertical="center" wrapText="1" indent="1"/>
    </xf>
    <xf numFmtId="0" fontId="13" fillId="0" borderId="0" xfId="12">
      <alignment horizontal="left" vertical="center" indent="1"/>
    </xf>
    <xf numFmtId="1" fontId="1" fillId="0" borderId="0" xfId="13">
      <alignment horizontal="center" vertical="center"/>
    </xf>
    <xf numFmtId="14" fontId="1" fillId="0" borderId="0" xfId="14">
      <alignment horizontal="left" vertical="center" indent="1"/>
    </xf>
    <xf numFmtId="0" fontId="4" fillId="0" borderId="0" xfId="0" applyFont="1" applyAlignment="1">
      <alignment horizontal="right" vertical="center" indent="1"/>
    </xf>
    <xf numFmtId="0" fontId="4" fillId="0" borderId="0" xfId="8">
      <alignment horizontal="left" vertical="center" indent="2"/>
    </xf>
    <xf numFmtId="0" fontId="4" fillId="0" borderId="0" xfId="16">
      <alignment horizontal="right" indent="1"/>
    </xf>
    <xf numFmtId="0" fontId="0" fillId="0" borderId="0" xfId="0" quotePrefix="1">
      <alignment vertical="center"/>
    </xf>
    <xf numFmtId="164" fontId="0" fillId="0" borderId="0" xfId="20" applyFont="1" applyFill="1" applyBorder="1">
      <alignment horizontal="center" vertical="center"/>
    </xf>
    <xf numFmtId="0" fontId="6" fillId="0" borderId="0" xfId="0" applyFont="1" applyAlignment="1">
      <alignment horizontal="left" vertical="center"/>
    </xf>
    <xf numFmtId="0" fontId="9" fillId="0" borderId="0" xfId="1">
      <alignment horizontal="left" vertical="center"/>
    </xf>
    <xf numFmtId="0" fontId="15" fillId="0" borderId="4" xfId="0" applyFont="1" applyBorder="1" applyAlignment="1"/>
    <xf numFmtId="0" fontId="14" fillId="0" borderId="4" xfId="0" applyFont="1" applyBorder="1" applyAlignment="1">
      <alignment wrapText="1"/>
    </xf>
    <xf numFmtId="0" fontId="15" fillId="0" borderId="4" xfId="0" applyFont="1" applyBorder="1" applyAlignment="1">
      <alignment wrapText="1"/>
    </xf>
    <xf numFmtId="0" fontId="17" fillId="0" borderId="4" xfId="11" applyFont="1" applyBorder="1" applyAlignment="1">
      <alignment horizontal="left" wrapText="1"/>
    </xf>
    <xf numFmtId="0" fontId="13" fillId="0" borderId="0" xfId="0" applyFont="1">
      <alignment vertical="center"/>
    </xf>
    <xf numFmtId="0" fontId="17" fillId="0" borderId="0" xfId="11" applyFont="1">
      <alignment horizontal="left" vertical="center" wrapText="1" indent="1"/>
    </xf>
    <xf numFmtId="0" fontId="17" fillId="0" borderId="4" xfId="11" applyFont="1" applyBorder="1">
      <alignment horizontal="left" vertical="center" wrapText="1" indent="1"/>
    </xf>
    <xf numFmtId="0" fontId="15" fillId="0" borderId="0" xfId="0" applyFont="1" applyAlignment="1"/>
    <xf numFmtId="0" fontId="14" fillId="0" borderId="0" xfId="0" applyFont="1" applyAlignment="1">
      <alignment wrapText="1"/>
    </xf>
    <xf numFmtId="0" fontId="15" fillId="0" borderId="0" xfId="0" applyFont="1" applyAlignment="1">
      <alignment wrapText="1"/>
    </xf>
    <xf numFmtId="0" fontId="18" fillId="12" borderId="0" xfId="23" applyFont="1" applyFill="1" applyBorder="1" applyAlignment="1">
      <alignment horizontal="center" vertical="center"/>
    </xf>
    <xf numFmtId="0" fontId="4" fillId="0" borderId="0" xfId="17" applyAlignment="1">
      <alignment horizontal="center" vertical="center" wrapText="1"/>
    </xf>
    <xf numFmtId="0" fontId="18" fillId="0" borderId="0" xfId="23" applyFont="1" applyFill="1" applyBorder="1" applyAlignment="1">
      <alignment horizontal="center" vertical="center"/>
    </xf>
    <xf numFmtId="0" fontId="18" fillId="9" borderId="0" xfId="24" applyFont="1" applyBorder="1" applyAlignment="1">
      <alignment horizontal="center" vertical="center"/>
    </xf>
    <xf numFmtId="0" fontId="18" fillId="8" borderId="0" xfId="23" applyFont="1" applyBorder="1" applyAlignment="1">
      <alignment horizontal="center" vertical="center"/>
    </xf>
    <xf numFmtId="0" fontId="8" fillId="3" borderId="0" xfId="3" applyFont="1" applyBorder="1" applyAlignment="1">
      <alignment horizontal="center" vertical="center"/>
    </xf>
    <xf numFmtId="0" fontId="8" fillId="6" borderId="0" xfId="6" applyFont="1" applyBorder="1" applyAlignment="1">
      <alignment horizontal="center" vertical="center"/>
    </xf>
    <xf numFmtId="0" fontId="8" fillId="5" borderId="0" xfId="5" applyFont="1" applyBorder="1" applyAlignment="1">
      <alignment horizontal="center" vertical="center"/>
    </xf>
    <xf numFmtId="0" fontId="8" fillId="4" borderId="0" xfId="4" applyFont="1" applyBorder="1" applyAlignment="1">
      <alignment horizontal="center" vertical="center"/>
    </xf>
    <xf numFmtId="0" fontId="18" fillId="11" borderId="0" xfId="23" applyFont="1" applyFill="1" applyBorder="1" applyAlignment="1">
      <alignment horizontal="center" vertical="center"/>
    </xf>
    <xf numFmtId="0" fontId="18" fillId="10" borderId="0" xfId="23" applyFont="1" applyFill="1" applyBorder="1" applyAlignment="1">
      <alignment horizontal="center" vertical="center"/>
    </xf>
    <xf numFmtId="0" fontId="3" fillId="2" borderId="3" xfId="7" applyAlignment="1">
      <alignment horizontal="left" vertical="center" wrapText="1" indent="1"/>
    </xf>
    <xf numFmtId="0" fontId="3" fillId="2" borderId="3" xfId="22" applyAlignment="1">
      <alignment horizontal="left" vertical="center" indent="1"/>
    </xf>
    <xf numFmtId="0" fontId="4" fillId="0" borderId="0" xfId="17" applyAlignment="1">
      <alignment horizontal="center" vertical="center"/>
    </xf>
    <xf numFmtId="0" fontId="7" fillId="2" borderId="0" xfId="9" applyAlignment="1">
      <alignment horizontal="center" vertical="center"/>
    </xf>
    <xf numFmtId="165" fontId="11" fillId="0" borderId="0" xfId="18" applyAlignment="1">
      <alignment horizontal="center" vertical="center"/>
    </xf>
    <xf numFmtId="0" fontId="12" fillId="0" borderId="0" xfId="19" applyFill="1" applyAlignment="1">
      <alignment horizontal="center" vertical="center"/>
    </xf>
    <xf numFmtId="0" fontId="12" fillId="0" borderId="0" xfId="19" applyAlignment="1">
      <alignment horizontal="center" vertical="center"/>
    </xf>
  </cellXfs>
  <cellStyles count="25">
    <cellStyle name="Accent1" xfId="3" builtinId="29" customBuiltin="1"/>
    <cellStyle name="Accent2" xfId="23" builtinId="33"/>
    <cellStyle name="Accent3" xfId="4" builtinId="37" customBuiltin="1"/>
    <cellStyle name="Accent4" xfId="5" builtinId="41" customBuiltin="1"/>
    <cellStyle name="Accent5" xfId="6" builtinId="45" customBuiltin="1"/>
    <cellStyle name="Accent6" xfId="24" builtinId="49"/>
    <cellStyle name="Days" xfId="20" xr:uid="{00000000-0005-0000-0000-000004000000}"/>
    <cellStyle name="Days_On_Leave" xfId="9" xr:uid="{00000000-0005-0000-0000-000005000000}"/>
    <cellStyle name="Followed Hyperlink" xfId="21" builtinId="9" customBuiltin="1"/>
    <cellStyle name="Heading 1" xfId="16" builtinId="16" customBuiltin="1"/>
    <cellStyle name="Heading 2" xfId="17" builtinId="17" customBuiltin="1"/>
    <cellStyle name="Heading 3" xfId="18" builtinId="18" customBuiltin="1"/>
    <cellStyle name="Heading 4" xfId="19" builtinId="19" customBuiltin="1"/>
    <cellStyle name="Hyperlink" xfId="15" builtinId="8" customBuiltin="1"/>
    <cellStyle name="Linked Cell" xfId="2" builtinId="24" customBuiltin="1"/>
    <cellStyle name="Months" xfId="8" xr:uid="{00000000-0005-0000-0000-00000D000000}"/>
    <cellStyle name="Normal" xfId="0" builtinId="0" customBuiltin="1"/>
    <cellStyle name="Right Border" xfId="10" xr:uid="{00000000-0005-0000-0000-00000F000000}"/>
    <cellStyle name="Selection" xfId="7" xr:uid="{00000000-0005-0000-0000-000010000000}"/>
    <cellStyle name="Table Dates" xfId="14" xr:uid="{00000000-0005-0000-0000-000011000000}"/>
    <cellStyle name="Table Days" xfId="13" xr:uid="{00000000-0005-0000-0000-000012000000}"/>
    <cellStyle name="Table details" xfId="11" xr:uid="{00000000-0005-0000-0000-000013000000}"/>
    <cellStyle name="Table Headers" xfId="12" xr:uid="{00000000-0005-0000-0000-000014000000}"/>
    <cellStyle name="Title" xfId="1" builtinId="15" customBuiltin="1"/>
    <cellStyle name="Year_entry" xfId="22" xr:uid="{00000000-0005-0000-0000-000016000000}"/>
  </cellStyles>
  <dxfs count="36">
    <dxf>
      <font>
        <strike val="0"/>
        <outline val="0"/>
        <shadow val="0"/>
        <u val="none"/>
        <vertAlign val="baseline"/>
        <sz val="10"/>
        <color theme="1"/>
        <name val="Trebuchet MS"/>
        <scheme val="minor"/>
      </font>
    </dxf>
    <dxf>
      <font>
        <strike val="0"/>
        <outline val="0"/>
        <shadow val="0"/>
        <u val="none"/>
        <vertAlign val="baseline"/>
        <sz val="11"/>
        <name val="Aptos Narrow"/>
        <family val="2"/>
        <scheme val="none"/>
      </font>
      <fill>
        <patternFill patternType="none">
          <bgColor auto="1"/>
        </patternFill>
      </fill>
    </dxf>
    <dxf>
      <font>
        <strike val="0"/>
        <outline val="0"/>
        <shadow val="0"/>
        <u val="none"/>
        <vertAlign val="baseline"/>
        <sz val="11"/>
        <name val="Aptos Narrow"/>
        <family val="2"/>
        <scheme val="none"/>
      </font>
      <fill>
        <patternFill patternType="none">
          <bgColor auto="1"/>
        </patternFill>
      </fill>
    </dxf>
    <dxf>
      <numFmt numFmtId="1" formatCode="0"/>
    </dxf>
    <dxf>
      <fill>
        <patternFill>
          <bgColor theme="7"/>
        </patternFill>
      </fill>
    </dxf>
    <dxf>
      <fill>
        <patternFill>
          <bgColor theme="6"/>
        </patternFill>
      </fill>
    </dxf>
    <dxf>
      <fill>
        <patternFill>
          <bgColor theme="8"/>
        </patternFill>
      </fill>
    </dxf>
    <dxf>
      <font>
        <color theme="3" tint="-0.24994659260841701"/>
      </font>
      <fill>
        <patternFill>
          <bgColor theme="4"/>
        </patternFill>
      </fill>
    </dxf>
    <dxf>
      <fill>
        <patternFill>
          <bgColor theme="9"/>
        </patternFill>
      </fill>
    </dxf>
    <dxf>
      <fill>
        <patternFill>
          <bgColor theme="5"/>
        </patternFill>
      </fill>
    </dxf>
    <dxf>
      <fill>
        <patternFill>
          <bgColor rgb="FFB0FACC"/>
        </patternFill>
      </fill>
    </dxf>
    <dxf>
      <fill>
        <patternFill>
          <bgColor theme="4" tint="0.79998168889431442"/>
        </patternFill>
      </fill>
    </dxf>
    <dxf>
      <fill>
        <patternFill>
          <bgColor theme="4" tint="0.79998168889431442"/>
        </patternFill>
      </fill>
    </dxf>
    <dxf>
      <fill>
        <patternFill>
          <bgColor theme="7" tint="0.59996337778862885"/>
        </patternFill>
      </fill>
    </dxf>
    <dxf>
      <font>
        <b/>
        <i val="0"/>
        <color rgb="FF0070C0"/>
      </font>
    </dxf>
    <dxf>
      <font>
        <b/>
        <i val="0"/>
        <color rgb="FF0070C0"/>
      </font>
    </dxf>
    <dxf>
      <font>
        <color theme="2" tint="-0.24994659260841701"/>
      </font>
    </dxf>
    <dxf>
      <font>
        <color theme="0" tint="-0.14996795556505021"/>
      </font>
      <numFmt numFmtId="166" formatCode="[$-409]dddd\,\ mmmm\ d\,\ yyyy"/>
    </dxf>
    <dxf>
      <border>
        <top style="thin">
          <color theme="1"/>
        </top>
        <bottom style="thin">
          <color theme="1"/>
        </bottom>
      </border>
    </dxf>
    <dxf>
      <border>
        <top style="thin">
          <color theme="1"/>
        </top>
        <bottom style="thin">
          <color theme="1"/>
        </bottom>
      </border>
    </dxf>
    <dxf>
      <font>
        <b/>
        <color theme="1"/>
      </font>
    </dxf>
    <dxf>
      <font>
        <b/>
        <color theme="1" tint="0.499984740745262"/>
      </font>
    </dxf>
    <dxf>
      <font>
        <b/>
        <color theme="1"/>
      </font>
    </dxf>
    <dxf>
      <font>
        <b/>
        <color theme="1" tint="0.499984740745262"/>
      </font>
    </dxf>
    <dxf>
      <font>
        <b/>
        <color theme="1"/>
      </font>
      <border>
        <bottom style="thin">
          <color theme="0" tint="-0.249977111117893"/>
        </bottom>
      </border>
    </dxf>
    <dxf>
      <font>
        <color theme="1"/>
      </font>
      <fill>
        <patternFill patternType="solid">
          <fgColor theme="0" tint="-0.249977111117893"/>
          <bgColor theme="0" tint="-0.249977111117893"/>
        </patternFill>
      </fill>
      <border>
        <left style="thin">
          <color theme="0" tint="-0.34998626667073579"/>
        </left>
        <right style="thin">
          <color theme="0" tint="-0.34998626667073579"/>
        </right>
        <top style="thin">
          <color theme="0" tint="-0.34998626667073579"/>
        </top>
      </border>
    </dxf>
    <dxf>
      <fill>
        <patternFill patternType="solid">
          <fgColor theme="0" tint="-0.14996795556505021"/>
          <bgColor theme="0" tint="-4.9989318521683403E-2"/>
        </patternFill>
      </fill>
      <border>
        <left style="thin">
          <color theme="0" tint="-0.249977111117893"/>
        </left>
        <right style="thin">
          <color theme="0" tint="-0.249977111117893"/>
        </right>
        <vertical style="thin">
          <color theme="1" tint="0.34998626667073579"/>
        </vertical>
      </border>
    </dxf>
    <dxf>
      <fill>
        <patternFill patternType="solid">
          <fgColor theme="0" tint="-0.14996795556505021"/>
          <bgColor theme="0" tint="-4.9989318521683403E-2"/>
        </patternFill>
      </fill>
      <border>
        <top style="thin">
          <color theme="0" tint="-0.249977111117893"/>
        </top>
        <bottom style="thin">
          <color theme="0" tint="-0.249977111117893"/>
        </bottom>
      </border>
    </dxf>
    <dxf>
      <font>
        <color theme="0"/>
      </font>
      <fill>
        <patternFill patternType="solid">
          <fgColor theme="1"/>
          <bgColor theme="1"/>
        </patternFill>
      </fill>
      <border>
        <left/>
        <right/>
        <vertical/>
      </border>
    </dxf>
    <dxf>
      <font>
        <color theme="0"/>
      </font>
      <fill>
        <patternFill patternType="solid">
          <fgColor theme="1"/>
          <bgColor theme="1"/>
        </patternFill>
      </fill>
      <border>
        <left/>
        <right/>
        <vertical/>
      </border>
    </dxf>
    <dxf>
      <font>
        <color theme="1"/>
      </font>
      <fill>
        <patternFill patternType="none">
          <fgColor indexed="64"/>
          <bgColor auto="1"/>
        </patternFill>
      </fill>
      <border>
        <left style="thin">
          <color theme="0" tint="-0.14996795556505021"/>
        </left>
        <right style="thin">
          <color theme="0" tint="-0.14996795556505021"/>
        </right>
        <vertical style="thin">
          <color theme="1" tint="0.34998626667073579"/>
        </vertical>
      </border>
    </dxf>
    <dxf>
      <font>
        <b val="0"/>
        <i val="0"/>
      </font>
    </dxf>
    <dxf>
      <fill>
        <patternFill>
          <bgColor theme="2"/>
        </patternFill>
      </fill>
    </dxf>
    <dxf>
      <font>
        <b/>
        <i val="0"/>
      </font>
    </dxf>
    <dxf>
      <font>
        <color theme="0"/>
      </font>
      <fill>
        <patternFill>
          <bgColor theme="3"/>
        </patternFill>
      </fill>
      <border>
        <right/>
        <vertical style="thin">
          <color theme="0"/>
        </vertical>
      </border>
    </dxf>
    <dxf>
      <font>
        <color theme="3"/>
      </font>
      <border diagonalUp="0" diagonalDown="0">
        <left style="thin">
          <color theme="0" tint="-0.24994659260841701"/>
        </left>
        <right style="thin">
          <color theme="0" tint="-0.24994659260841701"/>
        </right>
        <top style="thin">
          <color theme="0" tint="-0.24994659260841701"/>
        </top>
        <bottom style="thick">
          <color theme="3"/>
        </bottom>
        <vertical style="thin">
          <color theme="3" tint="0.39994506668294322"/>
        </vertical>
        <horizontal/>
      </border>
    </dxf>
  </dxfs>
  <tableStyles count="2" defaultTableStyle="Attendance Record Table style" defaultPivotStyle="Leave Report">
    <tableStyle name="Attendance Record Table style" pivot="0" count="5" xr9:uid="{00000000-0011-0000-FFFF-FFFF00000000}">
      <tableStyleElement type="wholeTable" dxfId="35"/>
      <tableStyleElement type="headerRow" dxfId="34"/>
      <tableStyleElement type="firstColumn" dxfId="33"/>
      <tableStyleElement type="firstRowStripe" dxfId="32"/>
      <tableStyleElement type="firstHeaderCell" dxfId="31"/>
    </tableStyle>
    <tableStyle name="Leave Report" table="0" count="13" xr9:uid="{00000000-0011-0000-FFFF-FFFF01000000}">
      <tableStyleElement type="wholeTable" dxfId="30"/>
      <tableStyleElement type="headerRow" dxfId="29"/>
      <tableStyleElement type="totalRow" dxfId="28"/>
      <tableStyleElement type="firstRowStripe" dxfId="27"/>
      <tableStyleElement type="firstColumnStripe" dxfId="26"/>
      <tableStyleElement type="firstSubtotalColumn" dxfId="25"/>
      <tableStyleElement type="firstSubtotalRow" dxfId="24"/>
      <tableStyleElement type="secondSubtotalRow" dxfId="23"/>
      <tableStyleElement type="firstRowSubheading" dxfId="22"/>
      <tableStyleElement type="secondRowSubheading" dxfId="21"/>
      <tableStyleElement type="thirdRowSubheading" dxfId="20"/>
      <tableStyleElement type="pageFieldLabels" dxfId="19"/>
      <tableStyleElement type="pageFieldValues" dxfId="18"/>
    </tableStyle>
  </tableStyles>
  <colors>
    <mruColors>
      <color rgb="FFB0FA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ttendanceRecord" displayName="AttendanceRecord" ref="B5:AR17" totalsRowShown="0">
  <autoFilter ref="B5:AR1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autoFilter>
  <tableColumns count="43">
    <tableColumn id="1" xr3:uid="{00000000-0010-0000-0000-000001000000}" name="Weekday/Month" dataCellStyle="Months"/>
    <tableColumn id="6" xr3:uid="{00000000-0010-0000-0000-000006000000}" name="SUN">
      <calculatedColumnFormula>IFERROR(IF(TEXT(DATE(Calendar_Year,ROW($A1),1),"ddd")=LEFT(C$5,3),DATE(Calendar_Year,ROW($A1),1),""),"")</calculatedColumnFormula>
    </tableColumn>
    <tableColumn id="7" xr3:uid="{00000000-0010-0000-0000-000007000000}" name="MON">
      <calculatedColumnFormula>IFERROR(IF(TEXT(DATE(Calendar_Year,ROW($A1),1),"ddd")=LEFT(D$5,3),DATE(Calendar_Year,ROW($A1),1),IF(C6&gt;=1,C6+1,"")),"")</calculatedColumnFormula>
    </tableColumn>
    <tableColumn id="8" xr3:uid="{00000000-0010-0000-0000-000008000000}" name="TUE">
      <calculatedColumnFormula>IFERROR(IF(TEXT(DATE(Calendar_Year,ROW($A1),1),"ddd")=LEFT(E$5,3),DATE(Calendar_Year,ROW($A1),1),IF(D6&gt;=1,D6+1,"")),"")</calculatedColumnFormula>
    </tableColumn>
    <tableColumn id="9" xr3:uid="{00000000-0010-0000-0000-000009000000}" name="WED">
      <calculatedColumnFormula>IFERROR(IF(TEXT(DATE(Calendar_Year,ROW($A1),1),"ddd")=LEFT(F$5,3),DATE(Calendar_Year,ROW($A1),1),IF(E6&gt;=1,E6+1,"")),"")</calculatedColumnFormula>
    </tableColumn>
    <tableColumn id="10" xr3:uid="{00000000-0010-0000-0000-00000A000000}" name="THU">
      <calculatedColumnFormula>IFERROR(IF(TEXT(DATE(Calendar_Year,ROW($A1),1),"ddd")=LEFT(G$5,3),DATE(Calendar_Year,ROW($A1),1),IF(F6&gt;=1,F6+1,"")),"")</calculatedColumnFormula>
    </tableColumn>
    <tableColumn id="11" xr3:uid="{00000000-0010-0000-0000-00000B000000}" name="FRI">
      <calculatedColumnFormula>IFERROR(IF(TEXT(DATE(Calendar_Year,ROW($A1),1),"ddd")=LEFT(H$5,3),DATE(Calendar_Year,ROW($A1),1),IF(G6&gt;=1,G6+1,"")),"")</calculatedColumnFormula>
    </tableColumn>
    <tableColumn id="12" xr3:uid="{00000000-0010-0000-0000-00000C000000}" name="SAT">
      <calculatedColumnFormula>IFERROR(IF(TEXT(DATE(Calendar_Year,ROW($A1),1),"ddd")=LEFT(I$5,3),DATE(Calendar_Year,ROW($A1),1),IF(H6&gt;=1,H6+1,"")),"")</calculatedColumnFormula>
    </tableColumn>
    <tableColumn id="13" xr3:uid="{00000000-0010-0000-0000-00000D000000}" name="SUN   ">
      <calculatedColumnFormula>IFERROR(IF(I6&gt;=1,I6+1,""),"")</calculatedColumnFormula>
    </tableColumn>
    <tableColumn id="14" xr3:uid="{00000000-0010-0000-0000-00000E000000}" name="MON   ">
      <calculatedColumnFormula>IFERROR(IF(J6&gt;=1,J6+1,""),"")</calculatedColumnFormula>
    </tableColumn>
    <tableColumn id="15" xr3:uid="{00000000-0010-0000-0000-00000F000000}" name="TUE   ">
      <calculatedColumnFormula>IFERROR(IF(K6&gt;=1,K6+1,""),"")</calculatedColumnFormula>
    </tableColumn>
    <tableColumn id="16" xr3:uid="{00000000-0010-0000-0000-000010000000}" name="WED   ">
      <calculatedColumnFormula>IFERROR(IF(L6&gt;=1,L6+1,""),"")</calculatedColumnFormula>
    </tableColumn>
    <tableColumn id="17" xr3:uid="{00000000-0010-0000-0000-000011000000}" name="THU   ">
      <calculatedColumnFormula>IFERROR(IF(M6&gt;=1,M6+1,""),"")</calculatedColumnFormula>
    </tableColumn>
    <tableColumn id="18" xr3:uid="{00000000-0010-0000-0000-000012000000}" name="FRI   ">
      <calculatedColumnFormula>IFERROR(IF(N6&gt;=1,N6+1,""),"")</calculatedColumnFormula>
    </tableColumn>
    <tableColumn id="19" xr3:uid="{00000000-0010-0000-0000-000013000000}" name="SAT   ">
      <calculatedColumnFormula>IFERROR(IF(O6&gt;=1,O6+1,""),"")</calculatedColumnFormula>
    </tableColumn>
    <tableColumn id="20" xr3:uid="{00000000-0010-0000-0000-000014000000}" name="SUN    ">
      <calculatedColumnFormula>IFERROR(IF(P6&gt;=1,P6+1,""),"")</calculatedColumnFormula>
    </tableColumn>
    <tableColumn id="21" xr3:uid="{00000000-0010-0000-0000-000015000000}" name="MON    ">
      <calculatedColumnFormula>IFERROR(IF(Q6&gt;=1,Q6+1,""),"")</calculatedColumnFormula>
    </tableColumn>
    <tableColumn id="22" xr3:uid="{00000000-0010-0000-0000-000016000000}" name="TUE    ">
      <calculatedColumnFormula>IFERROR(IF(R6&gt;=1,R6+1,""),"")</calculatedColumnFormula>
    </tableColumn>
    <tableColumn id="23" xr3:uid="{00000000-0010-0000-0000-000017000000}" name="WED    ">
      <calculatedColumnFormula>IFERROR(IF(S6&gt;=1,S6+1,""),"")</calculatedColumnFormula>
    </tableColumn>
    <tableColumn id="24" xr3:uid="{00000000-0010-0000-0000-000018000000}" name="THU    ">
      <calculatedColumnFormula>IFERROR(IF(T6&gt;=1,T6+1,""),"")</calculatedColumnFormula>
    </tableColumn>
    <tableColumn id="25" xr3:uid="{00000000-0010-0000-0000-000019000000}" name="FRI    ">
      <calculatedColumnFormula>IFERROR(IF(U6&gt;=1,U6+1,""),"")</calculatedColumnFormula>
    </tableColumn>
    <tableColumn id="26" xr3:uid="{00000000-0010-0000-0000-00001A000000}" name="SAT    ">
      <calculatedColumnFormula>IFERROR(IF(V6&gt;=1,V6+1,""),"")</calculatedColumnFormula>
    </tableColumn>
    <tableColumn id="27" xr3:uid="{00000000-0010-0000-0000-00001B000000}" name="SUN     ">
      <calculatedColumnFormula>IFERROR(IF(W6&gt;=1,W6+1,""),"")</calculatedColumnFormula>
    </tableColumn>
    <tableColumn id="28" xr3:uid="{00000000-0010-0000-0000-00001C000000}" name="MON     ">
      <calculatedColumnFormula>IFERROR(IF(X6&gt;=1,X6+1,""),"")</calculatedColumnFormula>
    </tableColumn>
    <tableColumn id="29" xr3:uid="{00000000-0010-0000-0000-00001D000000}" name="TUE     ">
      <calculatedColumnFormula>IFERROR(IF(Y6&gt;=1,Y6+1,""),"")</calculatedColumnFormula>
    </tableColumn>
    <tableColumn id="30" xr3:uid="{00000000-0010-0000-0000-00001E000000}" name="WED     ">
      <calculatedColumnFormula>IFERROR(IF(Z6&gt;=1,Z6+1,""),"")</calculatedColumnFormula>
    </tableColumn>
    <tableColumn id="31" xr3:uid="{00000000-0010-0000-0000-00001F000000}" name="THU  ">
      <calculatedColumnFormula>IFERROR(IF(AA6&gt;=1,AA6+1,""),"")</calculatedColumnFormula>
    </tableColumn>
    <tableColumn id="32" xr3:uid="{00000000-0010-0000-0000-000020000000}" name="FRI     ">
      <calculatedColumnFormula>IFERROR(IF(AB6&gt;=1,AB6+1,""),"")</calculatedColumnFormula>
    </tableColumn>
    <tableColumn id="33" xr3:uid="{00000000-0010-0000-0000-000021000000}" name="SAT     ">
      <calculatedColumnFormula>IFERROR(IF(AC6&gt;=1,AC6+1,""),"")</calculatedColumnFormula>
    </tableColumn>
    <tableColumn id="34" xr3:uid="{00000000-0010-0000-0000-000022000000}" name="SUN ">
      <calculatedColumnFormula>IFERROR(IF(AD6&gt;=1,AD6+1,""),"")</calculatedColumnFormula>
    </tableColumn>
    <tableColumn id="35" xr3:uid="{00000000-0010-0000-0000-000023000000}" name="MON ">
      <calculatedColumnFormula>IFERROR(IF(AE6&gt;=1,AE6+1,""),"")</calculatedColumnFormula>
    </tableColumn>
    <tableColumn id="36" xr3:uid="{00000000-0010-0000-0000-000024000000}" name="TUE ">
      <calculatedColumnFormula>IFERROR(IF(AF6&gt;=1,AF6+1,""),"")</calculatedColumnFormula>
    </tableColumn>
    <tableColumn id="37" xr3:uid="{00000000-0010-0000-0000-000025000000}" name="WED ">
      <calculatedColumnFormula>IFERROR(IF(AG6&gt;=1,AG6+1,""),"")</calculatedColumnFormula>
    </tableColumn>
    <tableColumn id="38" xr3:uid="{00000000-0010-0000-0000-000026000000}" name="THU ">
      <calculatedColumnFormula>IFERROR(IF(AH6&gt;=1,AH6+1,""),"")</calculatedColumnFormula>
    </tableColumn>
    <tableColumn id="39" xr3:uid="{00000000-0010-0000-0000-000027000000}" name="FRI ">
      <calculatedColumnFormula>IFERROR(IF(AI6&gt;=1,AI6+1,""),"")</calculatedColumnFormula>
    </tableColumn>
    <tableColumn id="40" xr3:uid="{00000000-0010-0000-0000-000028000000}" name="SAT ">
      <calculatedColumnFormula>IFERROR(IF(AJ6&gt;=1,AJ6+1,""),"")</calculatedColumnFormula>
    </tableColumn>
    <tableColumn id="41" xr3:uid="{00000000-0010-0000-0000-000029000000}" name="SUN  ">
      <calculatedColumnFormula>IFERROR(IF(AND(AK6&gt;=1,AK6+1&lt;=DATE(Calendar_Year,ROW($A1)+1,0)),AK6+1,""),"")</calculatedColumnFormula>
    </tableColumn>
    <tableColumn id="42" xr3:uid="{00000000-0010-0000-0000-00002A000000}" name="MON  ">
      <calculatedColumnFormula>IFERROR(IF(AND(AL6&gt;=1,AL6+1&lt;=DATE(Calendar_Year,ROW($A1)+1,0)),AL6+1,""),"")</calculatedColumnFormula>
    </tableColumn>
    <tableColumn id="43" xr3:uid="{00000000-0010-0000-0000-00002B000000}" name="TUE  ">
      <calculatedColumnFormula>IFERROR(IF(AND(AM6&gt;=1,AM6+1&lt;=DATE(Calendar_Year,ROW($A1)+1,0)),AM6+1,""),"")</calculatedColumnFormula>
    </tableColumn>
    <tableColumn id="44" xr3:uid="{00000000-0010-0000-0000-00002C000000}" name="WED  ">
      <calculatedColumnFormula>IFERROR(IF(AND(AN6&gt;=1,AN6+1&lt;=DATE(Calendar_Year,ROW($A1)+1,0)),AN6+1,""),"")</calculatedColumnFormula>
    </tableColumn>
    <tableColumn id="45" xr3:uid="{00000000-0010-0000-0000-00002D000000}" name="THU  2">
      <calculatedColumnFormula>IFERROR(IF(AND(AO6&gt;=1,AO6+1&lt;=DATE(Calendar_Year,ROW($A1)+1,0)),AO6+1,""),"")</calculatedColumnFormula>
    </tableColumn>
    <tableColumn id="46" xr3:uid="{00000000-0010-0000-0000-00002E000000}" name="FRI  ">
      <calculatedColumnFormula>IFERROR(IF(AND(AP6&gt;=1,AP6+1&lt;=DATE(Calendar_Year,ROW($A1)+1,0)),AP6+1,""),"")</calculatedColumnFormula>
    </tableColumn>
    <tableColumn id="47" xr3:uid="{00000000-0010-0000-0000-00002F000000}" name="SAT  ">
      <calculatedColumnFormula>IFERROR(IF(AND(AQ6&gt;=1,AQ6+1&lt;=DATE(Calendar_Year,ROW($A1)+1,0)),AQ6+1,""),"")</calculatedColumnFormula>
    </tableColumn>
  </tableColumns>
  <tableStyleInfo name="Attendance Record Table style" showFirstColumn="0" showLastColumn="0" showRowStripes="1" showColumnStripes="0"/>
  <extLst>
    <ext xmlns:x14="http://schemas.microsoft.com/office/spreadsheetml/2009/9/main" uri="{504A1905-F514-4f6f-8877-14C23A59335A}">
      <x14:table altTextSummary="An employee's attendance record is outlined in this table. Column B has the month of each year, the row corresponding to that month shows absence for each day of the month"/>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LeaveTracker" displayName="LeaveTracker" ref="B3:F86" headerRowCellStyle="Table Headers">
  <autoFilter ref="B3:F86" xr:uid="{00000000-0009-0000-0100-000001000000}">
    <filterColumn colId="0">
      <filters>
        <filter val="Charisse (Chase) Argamosa"/>
      </filters>
    </filterColumn>
  </autoFilter>
  <tableColumns count="5">
    <tableColumn id="1" xr3:uid="{00000000-0010-0000-0100-000001000000}" name="Employee name" totalsRowLabel="Total" dataCellStyle="Table details"/>
    <tableColumn id="2" xr3:uid="{00000000-0010-0000-0100-000002000000}" name="Start date" dataCellStyle="Table Dates"/>
    <tableColumn id="3" xr3:uid="{00000000-0010-0000-0100-000003000000}" name="End date" dataCellStyle="Table Dates"/>
    <tableColumn id="4" xr3:uid="{00000000-0010-0000-0100-000004000000}" name="Type of leave" dataCellStyle="Table details"/>
    <tableColumn id="5" xr3:uid="{00000000-0010-0000-0100-000005000000}" name="Days" totalsRowFunction="sum" dataDxfId="3" dataCellStyle="Table Days">
      <calculatedColumnFormula>NETWORKDAYS(LeaveTracker[[#This Row],[Start date]],LeaveTracker[[#This Row],[End date]],lstHolidays)</calculatedColumnFormula>
    </tableColumn>
  </tableColumns>
  <tableStyleInfo name="Attendance Record Table style" showFirstColumn="1" showLastColumn="0" showRowStripes="1" showColumnStripes="0"/>
  <extLst>
    <ext xmlns:x14="http://schemas.microsoft.com/office/spreadsheetml/2009/9/main" uri="{504A1905-F514-4f6f-8877-14C23A59335A}">
      <x14:table altTextSummary="Log employee leave in this table. Add start date, end date, type of leave and number of day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Employees" displayName="Employees" ref="B3:B55" totalsRowShown="0" dataDxfId="2" headerRowCellStyle="Table Headers" dataCellStyle="Table details">
  <sortState xmlns:xlrd2="http://schemas.microsoft.com/office/spreadsheetml/2017/richdata2" ref="B4:B55">
    <sortCondition ref="B3:B55"/>
  </sortState>
  <tableColumns count="1">
    <tableColumn id="1" xr3:uid="{00000000-0010-0000-0200-000001000000}" name="Employee names" dataDxfId="1"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Employee nam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LeaveTypes" displayName="LeaveTypes" ref="B3:B15" totalsRowShown="0" headerRowCellStyle="Table Headers" dataCellStyle="Table details">
  <tableColumns count="1">
    <tableColumn id="1" xr3:uid="{00000000-0010-0000-0300-000001000000}" name="List of leave types"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types of leave- Sick Leave, Vacation, Bereavement, and Other"/>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CompanyHolidays" displayName="CompanyHolidays" ref="B3:C16" totalsRowShown="0" dataDxfId="0" headerRowCellStyle="Table Headers">
  <tableColumns count="2">
    <tableColumn id="1" xr3:uid="{00000000-0010-0000-0400-000001000000}" name="Company holidays" dataCellStyle="Table Dates"/>
    <tableColumn id="2" xr3:uid="{00000000-0010-0000-0400-000002000000}" name="Description"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company holidays with description"/>
    </ext>
  </extLst>
</table>
</file>

<file path=xl/theme/theme1.xml><?xml version="1.0" encoding="utf-8"?>
<a:theme xmlns:a="http://schemas.openxmlformats.org/drawingml/2006/main" name="Employee Attendance Tracker">
  <a:themeElements>
    <a:clrScheme name="Custom 3">
      <a:dk1>
        <a:sysClr val="windowText" lastClr="000000"/>
      </a:dk1>
      <a:lt1>
        <a:sysClr val="window" lastClr="FFFFFF"/>
      </a:lt1>
      <a:dk2>
        <a:srgbClr val="36384E"/>
      </a:dk2>
      <a:lt2>
        <a:srgbClr val="E6E6E6"/>
      </a:lt2>
      <a:accent1>
        <a:srgbClr val="8BBEDD"/>
      </a:accent1>
      <a:accent2>
        <a:srgbClr val="53B9B4"/>
      </a:accent2>
      <a:accent3>
        <a:srgbClr val="9FD179"/>
      </a:accent3>
      <a:accent4>
        <a:srgbClr val="F6E166"/>
      </a:accent4>
      <a:accent5>
        <a:srgbClr val="F9A755"/>
      </a:accent5>
      <a:accent6>
        <a:srgbClr val="ED7669"/>
      </a:accent6>
      <a:hlink>
        <a:srgbClr val="0000FF"/>
      </a:hlink>
      <a:folHlink>
        <a:srgbClr val="800080"/>
      </a:folHlink>
    </a:clrScheme>
    <a:fontScheme name="67 employee attendance tracker">
      <a:majorFont>
        <a:latin typeface="Bookman Old Style"/>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2" dT="2025-02-04T14:38:02.23" personId="{00000000-0000-0000-0000-000000000000}" id="{59FEE7A9-C81E-475E-8C1E-4090A67D76AF}">
    <text>½ day - cramps</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3"/>
    <pageSetUpPr fitToPage="1"/>
  </sheetPr>
  <dimension ref="A1:AS29"/>
  <sheetViews>
    <sheetView showGridLines="0" tabSelected="1" topLeftCell="A13" zoomScaleNormal="100" workbookViewId="0">
      <selection activeCell="L3" sqref="L3"/>
    </sheetView>
  </sheetViews>
  <sheetFormatPr defaultRowHeight="14.45"/>
  <cols>
    <col min="1" max="1" width="2.5" customWidth="1"/>
    <col min="2" max="2" width="20.25" customWidth="1"/>
    <col min="3" max="44" width="4.5" customWidth="1"/>
    <col min="45" max="45" width="2.5" customWidth="1"/>
  </cols>
  <sheetData>
    <row r="1" spans="1:44" ht="40.15" customHeight="1" thickBot="1">
      <c r="B1" s="5" t="s">
        <v>0</v>
      </c>
    </row>
    <row r="2" spans="1:44" ht="21.75" customHeight="1">
      <c r="B2" s="14" t="s">
        <v>1</v>
      </c>
      <c r="C2" s="40" t="s">
        <v>2</v>
      </c>
      <c r="D2" s="40"/>
      <c r="E2" s="40"/>
      <c r="F2" s="40"/>
      <c r="G2" s="40"/>
      <c r="H2" s="40"/>
      <c r="I2" s="40"/>
      <c r="J2" s="12"/>
      <c r="U2" s="4"/>
      <c r="V2" s="4"/>
      <c r="W2" s="4"/>
      <c r="X2" s="4"/>
      <c r="Y2" s="4"/>
      <c r="Z2" s="4"/>
      <c r="AA2" s="4"/>
      <c r="AB2" s="4"/>
    </row>
    <row r="3" spans="1:44" ht="22.15" customHeight="1" thickTop="1" thickBot="1">
      <c r="B3" s="14" t="s">
        <v>3</v>
      </c>
      <c r="C3" s="41">
        <f ca="1">YEAR(TODAY())</f>
        <v>2026</v>
      </c>
      <c r="D3" s="41"/>
      <c r="E3" s="41"/>
      <c r="F3" s="41"/>
      <c r="G3" s="41"/>
      <c r="H3" s="41"/>
      <c r="I3" s="41"/>
      <c r="J3" s="12"/>
      <c r="U3" s="4"/>
      <c r="V3" s="4"/>
      <c r="W3" s="4"/>
      <c r="X3" s="4"/>
      <c r="Y3" s="4"/>
      <c r="Z3" s="4"/>
      <c r="AA3" s="4"/>
      <c r="AB3" s="4"/>
    </row>
    <row r="4" spans="1:44" ht="15" customHeight="1" thickTop="1">
      <c r="B4" s="4"/>
      <c r="C4" s="4"/>
      <c r="D4" s="4"/>
      <c r="E4" s="4"/>
      <c r="F4" s="4"/>
      <c r="G4" s="4"/>
      <c r="H4" s="4"/>
      <c r="I4" s="4"/>
      <c r="J4" s="4"/>
      <c r="K4" s="4"/>
      <c r="L4" s="4"/>
      <c r="M4" s="4"/>
      <c r="N4" s="4"/>
      <c r="O4" s="4"/>
      <c r="P4" s="4"/>
      <c r="Q4" s="4"/>
      <c r="R4" s="4"/>
      <c r="S4" s="4"/>
      <c r="T4" s="4"/>
      <c r="U4" s="4"/>
      <c r="V4" s="4"/>
      <c r="W4" s="4"/>
      <c r="X4" s="4"/>
      <c r="Y4" s="4"/>
      <c r="Z4" s="4"/>
      <c r="AA4" s="4"/>
      <c r="AB4" s="4"/>
    </row>
    <row r="5" spans="1:44">
      <c r="B5" t="s">
        <v>4</v>
      </c>
      <c r="C5" t="s">
        <v>5</v>
      </c>
      <c r="D5" t="s">
        <v>6</v>
      </c>
      <c r="E5" t="s">
        <v>7</v>
      </c>
      <c r="F5" t="s">
        <v>8</v>
      </c>
      <c r="G5" t="s">
        <v>9</v>
      </c>
      <c r="H5" t="s">
        <v>10</v>
      </c>
      <c r="I5" t="s">
        <v>11</v>
      </c>
      <c r="J5" t="s">
        <v>12</v>
      </c>
      <c r="K5" t="s">
        <v>13</v>
      </c>
      <c r="L5" t="s">
        <v>14</v>
      </c>
      <c r="M5" t="s">
        <v>15</v>
      </c>
      <c r="N5" t="s">
        <v>16</v>
      </c>
      <c r="O5" t="s">
        <v>17</v>
      </c>
      <c r="P5" t="s">
        <v>18</v>
      </c>
      <c r="Q5" t="s">
        <v>19</v>
      </c>
      <c r="R5" t="s">
        <v>20</v>
      </c>
      <c r="S5" t="s">
        <v>21</v>
      </c>
      <c r="T5" t="s">
        <v>22</v>
      </c>
      <c r="U5" t="s">
        <v>23</v>
      </c>
      <c r="V5" t="s">
        <v>24</v>
      </c>
      <c r="W5" t="s">
        <v>25</v>
      </c>
      <c r="X5" t="s">
        <v>26</v>
      </c>
      <c r="Y5" t="s">
        <v>27</v>
      </c>
      <c r="Z5" t="s">
        <v>28</v>
      </c>
      <c r="AA5" t="s">
        <v>29</v>
      </c>
      <c r="AB5" t="s">
        <v>30</v>
      </c>
      <c r="AC5" t="s">
        <v>31</v>
      </c>
      <c r="AD5" t="s">
        <v>32</v>
      </c>
      <c r="AE5" t="s">
        <v>33</v>
      </c>
      <c r="AF5" t="s">
        <v>34</v>
      </c>
      <c r="AG5" t="s">
        <v>35</v>
      </c>
      <c r="AH5" t="s">
        <v>36</v>
      </c>
      <c r="AI5" t="s">
        <v>37</v>
      </c>
      <c r="AJ5" t="s">
        <v>38</v>
      </c>
      <c r="AK5" t="s">
        <v>39</v>
      </c>
      <c r="AL5" t="s">
        <v>40</v>
      </c>
      <c r="AM5" t="s">
        <v>41</v>
      </c>
      <c r="AN5" t="s">
        <v>42</v>
      </c>
      <c r="AO5" t="s">
        <v>43</v>
      </c>
      <c r="AP5" t="s">
        <v>44</v>
      </c>
      <c r="AQ5" t="s">
        <v>45</v>
      </c>
      <c r="AR5" t="s">
        <v>46</v>
      </c>
    </row>
    <row r="6" spans="1:44" ht="18.75" customHeight="1">
      <c r="B6" s="13" t="s">
        <v>47</v>
      </c>
      <c r="C6" s="16" t="str">
        <f t="shared" ref="C6:C17" ca="1" si="0">IFERROR(IF(TEXT(DATE(Calendar_Year,ROW($A1),1),"ddd")=LEFT(C$5,3),DATE(Calendar_Year,ROW($A1),1),""),"")</f>
        <v/>
      </c>
      <c r="D6" s="16" t="str">
        <f t="shared" ref="D6:I17" ca="1" si="1">IFERROR(IF(TEXT(DATE(Calendar_Year,ROW($A1),1),"ddd")=LEFT(D$5,3),DATE(Calendar_Year,ROW($A1),1),IF(C6&gt;=1,C6+1,"")),"")</f>
        <v/>
      </c>
      <c r="E6" s="16" t="str">
        <f t="shared" ca="1" si="1"/>
        <v/>
      </c>
      <c r="F6" s="16" t="str">
        <f ca="1">IFERROR(IF(TEXT(DATE(Calendar_Year,ROW($A1),1),"ddd")=LEFT(F$5,3),DATE(Calendar_Year,ROW($A1),1),IF(E6&gt;=1,E6+1,"")),"")</f>
        <v/>
      </c>
      <c r="G6" s="16">
        <f t="shared" ca="1" si="1"/>
        <v>46023</v>
      </c>
      <c r="H6" s="16">
        <f t="shared" ca="1" si="1"/>
        <v>46024</v>
      </c>
      <c r="I6" s="16">
        <f t="shared" ca="1" si="1"/>
        <v>46025</v>
      </c>
      <c r="J6" s="16">
        <f t="shared" ref="J6:J17" ca="1" si="2">IFERROR(IF(I6&gt;=1,I6+1,""),"")</f>
        <v>46026</v>
      </c>
      <c r="K6" s="16">
        <f t="shared" ref="K6:K17" ca="1" si="3">IFERROR(IF(J6&gt;=1,J6+1,""),"")</f>
        <v>46027</v>
      </c>
      <c r="L6" s="16">
        <f t="shared" ref="L6:L17" ca="1" si="4">IFERROR(IF(K6&gt;=1,K6+1,""),"")</f>
        <v>46028</v>
      </c>
      <c r="M6" s="16">
        <f t="shared" ref="M6:M17" ca="1" si="5">IFERROR(IF(L6&gt;=1,L6+1,""),"")</f>
        <v>46029</v>
      </c>
      <c r="N6" s="16">
        <f t="shared" ref="N6:N17" ca="1" si="6">IFERROR(IF(M6&gt;=1,M6+1,""),"")</f>
        <v>46030</v>
      </c>
      <c r="O6" s="16">
        <f t="shared" ref="O6:O17" ca="1" si="7">IFERROR(IF(N6&gt;=1,N6+1,""),"")</f>
        <v>46031</v>
      </c>
      <c r="P6" s="16">
        <f t="shared" ref="P6:P17" ca="1" si="8">IFERROR(IF(O6&gt;=1,O6+1,""),"")</f>
        <v>46032</v>
      </c>
      <c r="Q6" s="16">
        <f t="shared" ref="Q6:Q17" ca="1" si="9">IFERROR(IF(P6&gt;=1,P6+1,""),"")</f>
        <v>46033</v>
      </c>
      <c r="R6" s="16">
        <f t="shared" ref="R6:R17" ca="1" si="10">IFERROR(IF(Q6&gt;=1,Q6+1,""),"")</f>
        <v>46034</v>
      </c>
      <c r="S6" s="16">
        <f t="shared" ref="S6:S17" ca="1" si="11">IFERROR(IF(R6&gt;=1,R6+1,""),"")</f>
        <v>46035</v>
      </c>
      <c r="T6" s="16">
        <f t="shared" ref="T6:T17" ca="1" si="12">IFERROR(IF(S6&gt;=1,S6+1,""),"")</f>
        <v>46036</v>
      </c>
      <c r="U6" s="16">
        <f t="shared" ref="U6:U17" ca="1" si="13">IFERROR(IF(T6&gt;=1,T6+1,""),"")</f>
        <v>46037</v>
      </c>
      <c r="V6" s="16">
        <f t="shared" ref="V6:V17" ca="1" si="14">IFERROR(IF(U6&gt;=1,U6+1,""),"")</f>
        <v>46038</v>
      </c>
      <c r="W6" s="16">
        <f t="shared" ref="W6:W17" ca="1" si="15">IFERROR(IF(V6&gt;=1,V6+1,""),"")</f>
        <v>46039</v>
      </c>
      <c r="X6" s="16">
        <f t="shared" ref="X6:X17" ca="1" si="16">IFERROR(IF(W6&gt;=1,W6+1,""),"")</f>
        <v>46040</v>
      </c>
      <c r="Y6" s="16">
        <f t="shared" ref="Y6:Y17" ca="1" si="17">IFERROR(IF(X6&gt;=1,X6+1,""),"")</f>
        <v>46041</v>
      </c>
      <c r="Z6" s="16">
        <f t="shared" ref="Z6:Z17" ca="1" si="18">IFERROR(IF(Y6&gt;=1,Y6+1,""),"")</f>
        <v>46042</v>
      </c>
      <c r="AA6" s="16">
        <f t="shared" ref="AA6:AA17" ca="1" si="19">IFERROR(IF(Z6&gt;=1,Z6+1,""),"")</f>
        <v>46043</v>
      </c>
      <c r="AB6" s="16">
        <f t="shared" ref="AB6:AB17" ca="1" si="20">IFERROR(IF(AA6&gt;=1,AA6+1,""),"")</f>
        <v>46044</v>
      </c>
      <c r="AC6" s="16">
        <f t="shared" ref="AC6:AC17" ca="1" si="21">IFERROR(IF(AB6&gt;=1,AB6+1,""),"")</f>
        <v>46045</v>
      </c>
      <c r="AD6" s="16">
        <f t="shared" ref="AD6:AD17" ca="1" si="22">IFERROR(IF(AC6&gt;=1,AC6+1,""),"")</f>
        <v>46046</v>
      </c>
      <c r="AE6" s="16">
        <f t="shared" ref="AE6:AE17" ca="1" si="23">IFERROR(IF(AD6&gt;=1,AD6+1,""),"")</f>
        <v>46047</v>
      </c>
      <c r="AF6" s="16">
        <f t="shared" ref="AF6:AF17" ca="1" si="24">IFERROR(IF(AE6&gt;=1,AE6+1,""),"")</f>
        <v>46048</v>
      </c>
      <c r="AG6" s="16">
        <f t="shared" ref="AG6:AG17" ca="1" si="25">IFERROR(IF(AF6&gt;=1,AF6+1,""),"")</f>
        <v>46049</v>
      </c>
      <c r="AH6" s="16">
        <f t="shared" ref="AH6:AH17" ca="1" si="26">IFERROR(IF(AG6&gt;=1,AG6+1,""),"")</f>
        <v>46050</v>
      </c>
      <c r="AI6" s="16">
        <f t="shared" ref="AI6:AI17" ca="1" si="27">IFERROR(IF(AH6&gt;=1,AH6+1,""),"")</f>
        <v>46051</v>
      </c>
      <c r="AJ6" s="16">
        <f t="shared" ref="AJ6:AJ17" ca="1" si="28">IFERROR(IF(AI6&gt;=1,AI6+1,""),"")</f>
        <v>46052</v>
      </c>
      <c r="AK6" s="16">
        <f t="shared" ref="AK6:AK17" ca="1" si="29">IFERROR(IF(AJ6&gt;=1,AJ6+1,""),"")</f>
        <v>46053</v>
      </c>
      <c r="AL6" s="16" t="str">
        <f t="shared" ref="AL6:AR17" ca="1" si="30">IFERROR(IF(AND(AK6&gt;=1,AK6+1&lt;=DATE(Calendar_Year,ROW($A1)+1,0)),AK6+1,""),"")</f>
        <v/>
      </c>
      <c r="AM6" s="16" t="str">
        <f t="shared" ca="1" si="30"/>
        <v/>
      </c>
      <c r="AN6" s="16" t="str">
        <f t="shared" ca="1" si="30"/>
        <v/>
      </c>
      <c r="AO6" s="16" t="str">
        <f t="shared" ca="1" si="30"/>
        <v/>
      </c>
      <c r="AP6" s="16" t="str">
        <f t="shared" ca="1" si="30"/>
        <v/>
      </c>
      <c r="AQ6" s="16" t="str">
        <f t="shared" ca="1" si="30"/>
        <v/>
      </c>
      <c r="AR6" s="16" t="str">
        <f t="shared" ca="1" si="30"/>
        <v/>
      </c>
    </row>
    <row r="7" spans="1:44" ht="18.75" customHeight="1">
      <c r="B7" s="13" t="s">
        <v>48</v>
      </c>
      <c r="C7" s="16">
        <f t="shared" ca="1" si="0"/>
        <v>46054</v>
      </c>
      <c r="D7" s="16">
        <f t="shared" ca="1" si="1"/>
        <v>46055</v>
      </c>
      <c r="E7" s="16">
        <f t="shared" ca="1" si="1"/>
        <v>46056</v>
      </c>
      <c r="F7" s="16">
        <f t="shared" ca="1" si="1"/>
        <v>46057</v>
      </c>
      <c r="G7" s="16">
        <f t="shared" ca="1" si="1"/>
        <v>46058</v>
      </c>
      <c r="H7" s="16">
        <f t="shared" ca="1" si="1"/>
        <v>46059</v>
      </c>
      <c r="I7" s="16">
        <f t="shared" ca="1" si="1"/>
        <v>46060</v>
      </c>
      <c r="J7" s="16">
        <f t="shared" ca="1" si="2"/>
        <v>46061</v>
      </c>
      <c r="K7" s="16">
        <f t="shared" ca="1" si="3"/>
        <v>46062</v>
      </c>
      <c r="L7" s="16">
        <f t="shared" ca="1" si="4"/>
        <v>46063</v>
      </c>
      <c r="M7" s="16">
        <f t="shared" ca="1" si="5"/>
        <v>46064</v>
      </c>
      <c r="N7" s="16">
        <f t="shared" ca="1" si="6"/>
        <v>46065</v>
      </c>
      <c r="O7" s="16">
        <f t="shared" ca="1" si="7"/>
        <v>46066</v>
      </c>
      <c r="P7" s="16">
        <f t="shared" ca="1" si="8"/>
        <v>46067</v>
      </c>
      <c r="Q7" s="16">
        <f t="shared" ca="1" si="9"/>
        <v>46068</v>
      </c>
      <c r="R7" s="16">
        <f t="shared" ca="1" si="10"/>
        <v>46069</v>
      </c>
      <c r="S7" s="16">
        <f t="shared" ca="1" si="11"/>
        <v>46070</v>
      </c>
      <c r="T7" s="16">
        <f t="shared" ca="1" si="12"/>
        <v>46071</v>
      </c>
      <c r="U7" s="16">
        <f t="shared" ca="1" si="13"/>
        <v>46072</v>
      </c>
      <c r="V7" s="16">
        <f t="shared" ca="1" si="14"/>
        <v>46073</v>
      </c>
      <c r="W7" s="16">
        <f t="shared" ca="1" si="15"/>
        <v>46074</v>
      </c>
      <c r="X7" s="16">
        <f t="shared" ca="1" si="16"/>
        <v>46075</v>
      </c>
      <c r="Y7" s="16">
        <f t="shared" ca="1" si="17"/>
        <v>46076</v>
      </c>
      <c r="Z7" s="16">
        <f t="shared" ca="1" si="18"/>
        <v>46077</v>
      </c>
      <c r="AA7" s="16">
        <f t="shared" ca="1" si="19"/>
        <v>46078</v>
      </c>
      <c r="AB7" s="16">
        <f t="shared" ca="1" si="20"/>
        <v>46079</v>
      </c>
      <c r="AC7" s="16">
        <f t="shared" ca="1" si="21"/>
        <v>46080</v>
      </c>
      <c r="AD7" s="16">
        <f t="shared" ca="1" si="22"/>
        <v>46081</v>
      </c>
      <c r="AE7" s="16">
        <f t="shared" ca="1" si="23"/>
        <v>46082</v>
      </c>
      <c r="AF7" s="16">
        <f t="shared" ca="1" si="24"/>
        <v>46083</v>
      </c>
      <c r="AG7" s="16">
        <f t="shared" ca="1" si="25"/>
        <v>46084</v>
      </c>
      <c r="AH7" s="16">
        <f t="shared" ca="1" si="26"/>
        <v>46085</v>
      </c>
      <c r="AI7" s="16">
        <f t="shared" ca="1" si="27"/>
        <v>46086</v>
      </c>
      <c r="AJ7" s="16">
        <f t="shared" ca="1" si="28"/>
        <v>46087</v>
      </c>
      <c r="AK7" s="16">
        <f t="shared" ca="1" si="29"/>
        <v>46088</v>
      </c>
      <c r="AL7" s="16" t="str">
        <f t="shared" ca="1" si="30"/>
        <v/>
      </c>
      <c r="AM7" s="16" t="str">
        <f t="shared" ca="1" si="30"/>
        <v/>
      </c>
      <c r="AN7" s="16" t="str">
        <f t="shared" ca="1" si="30"/>
        <v/>
      </c>
      <c r="AO7" s="16" t="str">
        <f t="shared" ca="1" si="30"/>
        <v/>
      </c>
      <c r="AP7" s="16" t="str">
        <f t="shared" ca="1" si="30"/>
        <v/>
      </c>
      <c r="AQ7" s="16" t="str">
        <f t="shared" ca="1" si="30"/>
        <v/>
      </c>
      <c r="AR7" s="16" t="str">
        <f t="shared" ca="1" si="30"/>
        <v/>
      </c>
    </row>
    <row r="8" spans="1:44" ht="18.75" customHeight="1">
      <c r="A8" s="15"/>
      <c r="B8" s="13" t="s">
        <v>49</v>
      </c>
      <c r="C8" s="16">
        <f t="shared" ca="1" si="0"/>
        <v>46082</v>
      </c>
      <c r="D8" s="16">
        <f t="shared" ca="1" si="1"/>
        <v>46083</v>
      </c>
      <c r="E8" s="16">
        <f t="shared" ca="1" si="1"/>
        <v>46084</v>
      </c>
      <c r="F8" s="16">
        <f t="shared" ca="1" si="1"/>
        <v>46085</v>
      </c>
      <c r="G8" s="16">
        <f t="shared" ca="1" si="1"/>
        <v>46086</v>
      </c>
      <c r="H8" s="16">
        <f t="shared" ca="1" si="1"/>
        <v>46087</v>
      </c>
      <c r="I8" s="16">
        <f t="shared" ca="1" si="1"/>
        <v>46088</v>
      </c>
      <c r="J8" s="16">
        <f t="shared" ca="1" si="2"/>
        <v>46089</v>
      </c>
      <c r="K8" s="16">
        <f t="shared" ca="1" si="3"/>
        <v>46090</v>
      </c>
      <c r="L8" s="16">
        <f t="shared" ca="1" si="4"/>
        <v>46091</v>
      </c>
      <c r="M8" s="16">
        <f t="shared" ca="1" si="5"/>
        <v>46092</v>
      </c>
      <c r="N8" s="16">
        <f t="shared" ca="1" si="6"/>
        <v>46093</v>
      </c>
      <c r="O8" s="16">
        <f t="shared" ca="1" si="7"/>
        <v>46094</v>
      </c>
      <c r="P8" s="16">
        <f t="shared" ca="1" si="8"/>
        <v>46095</v>
      </c>
      <c r="Q8" s="16">
        <f t="shared" ca="1" si="9"/>
        <v>46096</v>
      </c>
      <c r="R8" s="16">
        <f t="shared" ca="1" si="10"/>
        <v>46097</v>
      </c>
      <c r="S8" s="16">
        <f t="shared" ca="1" si="11"/>
        <v>46098</v>
      </c>
      <c r="T8" s="16">
        <f t="shared" ca="1" si="12"/>
        <v>46099</v>
      </c>
      <c r="U8" s="16">
        <f t="shared" ca="1" si="13"/>
        <v>46100</v>
      </c>
      <c r="V8" s="16">
        <f t="shared" ca="1" si="14"/>
        <v>46101</v>
      </c>
      <c r="W8" s="16">
        <f t="shared" ca="1" si="15"/>
        <v>46102</v>
      </c>
      <c r="X8" s="16">
        <f t="shared" ca="1" si="16"/>
        <v>46103</v>
      </c>
      <c r="Y8" s="16">
        <f t="shared" ca="1" si="17"/>
        <v>46104</v>
      </c>
      <c r="Z8" s="16">
        <f t="shared" ca="1" si="18"/>
        <v>46105</v>
      </c>
      <c r="AA8" s="16">
        <f t="shared" ca="1" si="19"/>
        <v>46106</v>
      </c>
      <c r="AB8" s="16">
        <f t="shared" ca="1" si="20"/>
        <v>46107</v>
      </c>
      <c r="AC8" s="16">
        <f t="shared" ca="1" si="21"/>
        <v>46108</v>
      </c>
      <c r="AD8" s="16">
        <f t="shared" ca="1" si="22"/>
        <v>46109</v>
      </c>
      <c r="AE8" s="16">
        <f t="shared" ca="1" si="23"/>
        <v>46110</v>
      </c>
      <c r="AF8" s="16">
        <f t="shared" ca="1" si="24"/>
        <v>46111</v>
      </c>
      <c r="AG8" s="16">
        <f t="shared" ca="1" si="25"/>
        <v>46112</v>
      </c>
      <c r="AH8" s="16">
        <f t="shared" ca="1" si="26"/>
        <v>46113</v>
      </c>
      <c r="AI8" s="16">
        <f t="shared" ca="1" si="27"/>
        <v>46114</v>
      </c>
      <c r="AJ8" s="16">
        <f t="shared" ca="1" si="28"/>
        <v>46115</v>
      </c>
      <c r="AK8" s="16">
        <f t="shared" ca="1" si="29"/>
        <v>46116</v>
      </c>
      <c r="AL8" s="16" t="str">
        <f t="shared" ca="1" si="30"/>
        <v/>
      </c>
      <c r="AM8" s="16" t="str">
        <f t="shared" ca="1" si="30"/>
        <v/>
      </c>
      <c r="AN8" s="16" t="str">
        <f t="shared" ca="1" si="30"/>
        <v/>
      </c>
      <c r="AO8" s="16" t="str">
        <f t="shared" ca="1" si="30"/>
        <v/>
      </c>
      <c r="AP8" s="16" t="str">
        <f t="shared" ca="1" si="30"/>
        <v/>
      </c>
      <c r="AQ8" s="16" t="str">
        <f t="shared" ca="1" si="30"/>
        <v/>
      </c>
      <c r="AR8" s="16" t="str">
        <f t="shared" ca="1" si="30"/>
        <v/>
      </c>
    </row>
    <row r="9" spans="1:44" ht="18.75" customHeight="1">
      <c r="B9" s="13" t="s">
        <v>50</v>
      </c>
      <c r="C9" s="16" t="str">
        <f t="shared" ca="1" si="0"/>
        <v/>
      </c>
      <c r="D9" s="16" t="str">
        <f t="shared" ca="1" si="1"/>
        <v/>
      </c>
      <c r="E9" s="16" t="str">
        <f t="shared" ca="1" si="1"/>
        <v/>
      </c>
      <c r="F9" s="16">
        <f t="shared" ca="1" si="1"/>
        <v>46113</v>
      </c>
      <c r="G9" s="16">
        <f t="shared" ca="1" si="1"/>
        <v>46114</v>
      </c>
      <c r="H9" s="16">
        <f t="shared" ca="1" si="1"/>
        <v>46115</v>
      </c>
      <c r="I9" s="16">
        <f t="shared" ca="1" si="1"/>
        <v>46116</v>
      </c>
      <c r="J9" s="16">
        <f t="shared" ca="1" si="2"/>
        <v>46117</v>
      </c>
      <c r="K9" s="16">
        <f t="shared" ca="1" si="3"/>
        <v>46118</v>
      </c>
      <c r="L9" s="16">
        <f t="shared" ca="1" si="4"/>
        <v>46119</v>
      </c>
      <c r="M9" s="16">
        <f t="shared" ca="1" si="5"/>
        <v>46120</v>
      </c>
      <c r="N9" s="16">
        <f t="shared" ca="1" si="6"/>
        <v>46121</v>
      </c>
      <c r="O9" s="16">
        <f t="shared" ca="1" si="7"/>
        <v>46122</v>
      </c>
      <c r="P9" s="16">
        <f t="shared" ca="1" si="8"/>
        <v>46123</v>
      </c>
      <c r="Q9" s="16">
        <f t="shared" ca="1" si="9"/>
        <v>46124</v>
      </c>
      <c r="R9" s="16">
        <f t="shared" ca="1" si="10"/>
        <v>46125</v>
      </c>
      <c r="S9" s="16">
        <f t="shared" ca="1" si="11"/>
        <v>46126</v>
      </c>
      <c r="T9" s="16">
        <f t="shared" ca="1" si="12"/>
        <v>46127</v>
      </c>
      <c r="U9" s="16">
        <f t="shared" ca="1" si="13"/>
        <v>46128</v>
      </c>
      <c r="V9" s="16">
        <f t="shared" ca="1" si="14"/>
        <v>46129</v>
      </c>
      <c r="W9" s="16">
        <f t="shared" ca="1" si="15"/>
        <v>46130</v>
      </c>
      <c r="X9" s="16">
        <f t="shared" ca="1" si="16"/>
        <v>46131</v>
      </c>
      <c r="Y9" s="16">
        <f t="shared" ca="1" si="17"/>
        <v>46132</v>
      </c>
      <c r="Z9" s="16">
        <f t="shared" ca="1" si="18"/>
        <v>46133</v>
      </c>
      <c r="AA9" s="16">
        <f t="shared" ca="1" si="19"/>
        <v>46134</v>
      </c>
      <c r="AB9" s="16">
        <f t="shared" ca="1" si="20"/>
        <v>46135</v>
      </c>
      <c r="AC9" s="16">
        <f t="shared" ca="1" si="21"/>
        <v>46136</v>
      </c>
      <c r="AD9" s="16">
        <f t="shared" ca="1" si="22"/>
        <v>46137</v>
      </c>
      <c r="AE9" s="16">
        <f t="shared" ca="1" si="23"/>
        <v>46138</v>
      </c>
      <c r="AF9" s="16">
        <f t="shared" ca="1" si="24"/>
        <v>46139</v>
      </c>
      <c r="AG9" s="16">
        <f t="shared" ca="1" si="25"/>
        <v>46140</v>
      </c>
      <c r="AH9" s="16">
        <f t="shared" ca="1" si="26"/>
        <v>46141</v>
      </c>
      <c r="AI9" s="16">
        <f t="shared" ca="1" si="27"/>
        <v>46142</v>
      </c>
      <c r="AJ9" s="16">
        <f t="shared" ca="1" si="28"/>
        <v>46143</v>
      </c>
      <c r="AK9" s="16">
        <f t="shared" ca="1" si="29"/>
        <v>46144</v>
      </c>
      <c r="AL9" s="16" t="str">
        <f t="shared" ca="1" si="30"/>
        <v/>
      </c>
      <c r="AM9" s="16" t="str">
        <f t="shared" ca="1" si="30"/>
        <v/>
      </c>
      <c r="AN9" s="16" t="str">
        <f t="shared" ca="1" si="30"/>
        <v/>
      </c>
      <c r="AO9" s="16" t="str">
        <f t="shared" ca="1" si="30"/>
        <v/>
      </c>
      <c r="AP9" s="16" t="str">
        <f t="shared" ca="1" si="30"/>
        <v/>
      </c>
      <c r="AQ9" s="16" t="str">
        <f t="shared" ca="1" si="30"/>
        <v/>
      </c>
      <c r="AR9" s="16" t="str">
        <f t="shared" ca="1" si="30"/>
        <v/>
      </c>
    </row>
    <row r="10" spans="1:44" ht="18.75" customHeight="1">
      <c r="B10" s="13" t="s">
        <v>51</v>
      </c>
      <c r="C10" s="16" t="str">
        <f t="shared" ca="1" si="0"/>
        <v/>
      </c>
      <c r="D10" s="16" t="str">
        <f t="shared" ca="1" si="1"/>
        <v/>
      </c>
      <c r="E10" s="16" t="str">
        <f t="shared" ca="1" si="1"/>
        <v/>
      </c>
      <c r="F10" s="16" t="str">
        <f t="shared" ca="1" si="1"/>
        <v/>
      </c>
      <c r="G10" s="16" t="str">
        <f t="shared" ca="1" si="1"/>
        <v/>
      </c>
      <c r="H10" s="16">
        <f t="shared" ca="1" si="1"/>
        <v>46143</v>
      </c>
      <c r="I10" s="16">
        <f t="shared" ca="1" si="1"/>
        <v>46144</v>
      </c>
      <c r="J10" s="16">
        <f t="shared" ca="1" si="2"/>
        <v>46145</v>
      </c>
      <c r="K10" s="16">
        <f t="shared" ca="1" si="3"/>
        <v>46146</v>
      </c>
      <c r="L10" s="16">
        <f t="shared" ca="1" si="4"/>
        <v>46147</v>
      </c>
      <c r="M10" s="16">
        <f t="shared" ca="1" si="5"/>
        <v>46148</v>
      </c>
      <c r="N10" s="16">
        <f t="shared" ca="1" si="6"/>
        <v>46149</v>
      </c>
      <c r="O10" s="16">
        <f t="shared" ca="1" si="7"/>
        <v>46150</v>
      </c>
      <c r="P10" s="16">
        <f t="shared" ca="1" si="8"/>
        <v>46151</v>
      </c>
      <c r="Q10" s="16">
        <f t="shared" ca="1" si="9"/>
        <v>46152</v>
      </c>
      <c r="R10" s="16">
        <f t="shared" ca="1" si="10"/>
        <v>46153</v>
      </c>
      <c r="S10" s="16">
        <f t="shared" ca="1" si="11"/>
        <v>46154</v>
      </c>
      <c r="T10" s="16">
        <f t="shared" ca="1" si="12"/>
        <v>46155</v>
      </c>
      <c r="U10" s="16">
        <f t="shared" ca="1" si="13"/>
        <v>46156</v>
      </c>
      <c r="V10" s="16">
        <f t="shared" ca="1" si="14"/>
        <v>46157</v>
      </c>
      <c r="W10" s="16">
        <f t="shared" ca="1" si="15"/>
        <v>46158</v>
      </c>
      <c r="X10" s="16">
        <f t="shared" ca="1" si="16"/>
        <v>46159</v>
      </c>
      <c r="Y10" s="16">
        <f t="shared" ca="1" si="17"/>
        <v>46160</v>
      </c>
      <c r="Z10" s="16">
        <f t="shared" ca="1" si="18"/>
        <v>46161</v>
      </c>
      <c r="AA10" s="16">
        <f t="shared" ca="1" si="19"/>
        <v>46162</v>
      </c>
      <c r="AB10" s="16">
        <f t="shared" ca="1" si="20"/>
        <v>46163</v>
      </c>
      <c r="AC10" s="16">
        <f t="shared" ca="1" si="21"/>
        <v>46164</v>
      </c>
      <c r="AD10" s="16">
        <f t="shared" ca="1" si="22"/>
        <v>46165</v>
      </c>
      <c r="AE10" s="16">
        <f t="shared" ca="1" si="23"/>
        <v>46166</v>
      </c>
      <c r="AF10" s="16">
        <f t="shared" ca="1" si="24"/>
        <v>46167</v>
      </c>
      <c r="AG10" s="16">
        <f t="shared" ca="1" si="25"/>
        <v>46168</v>
      </c>
      <c r="AH10" s="16">
        <f t="shared" ca="1" si="26"/>
        <v>46169</v>
      </c>
      <c r="AI10" s="16">
        <f t="shared" ca="1" si="27"/>
        <v>46170</v>
      </c>
      <c r="AJ10" s="16">
        <f t="shared" ca="1" si="28"/>
        <v>46171</v>
      </c>
      <c r="AK10" s="16">
        <f t="shared" ca="1" si="29"/>
        <v>46172</v>
      </c>
      <c r="AL10" s="16">
        <f t="shared" ca="1" si="30"/>
        <v>46173</v>
      </c>
      <c r="AM10" s="16" t="str">
        <f t="shared" ca="1" si="30"/>
        <v/>
      </c>
      <c r="AN10" s="16" t="str">
        <f t="shared" ca="1" si="30"/>
        <v/>
      </c>
      <c r="AO10" s="16" t="str">
        <f t="shared" ca="1" si="30"/>
        <v/>
      </c>
      <c r="AP10" s="16" t="str">
        <f t="shared" ca="1" si="30"/>
        <v/>
      </c>
      <c r="AQ10" s="16" t="str">
        <f t="shared" ca="1" si="30"/>
        <v/>
      </c>
      <c r="AR10" s="16" t="str">
        <f t="shared" ca="1" si="30"/>
        <v/>
      </c>
    </row>
    <row r="11" spans="1:44" ht="18.75" customHeight="1">
      <c r="B11" s="13" t="s">
        <v>52</v>
      </c>
      <c r="C11" s="16" t="str">
        <f t="shared" ca="1" si="0"/>
        <v/>
      </c>
      <c r="D11" s="16">
        <f t="shared" ca="1" si="1"/>
        <v>46174</v>
      </c>
      <c r="E11" s="16">
        <f t="shared" ca="1" si="1"/>
        <v>46175</v>
      </c>
      <c r="F11" s="16">
        <f t="shared" ca="1" si="1"/>
        <v>46176</v>
      </c>
      <c r="G11" s="16">
        <f t="shared" ca="1" si="1"/>
        <v>46177</v>
      </c>
      <c r="H11" s="16">
        <f t="shared" ca="1" si="1"/>
        <v>46178</v>
      </c>
      <c r="I11" s="16">
        <f t="shared" ca="1" si="1"/>
        <v>46179</v>
      </c>
      <c r="J11" s="16">
        <f t="shared" ca="1" si="2"/>
        <v>46180</v>
      </c>
      <c r="K11" s="16">
        <f t="shared" ca="1" si="3"/>
        <v>46181</v>
      </c>
      <c r="L11" s="16">
        <f t="shared" ca="1" si="4"/>
        <v>46182</v>
      </c>
      <c r="M11" s="16">
        <f t="shared" ca="1" si="5"/>
        <v>46183</v>
      </c>
      <c r="N11" s="16">
        <f t="shared" ca="1" si="6"/>
        <v>46184</v>
      </c>
      <c r="O11" s="16">
        <f t="shared" ca="1" si="7"/>
        <v>46185</v>
      </c>
      <c r="P11" s="16">
        <f t="shared" ca="1" si="8"/>
        <v>46186</v>
      </c>
      <c r="Q11" s="16">
        <f t="shared" ca="1" si="9"/>
        <v>46187</v>
      </c>
      <c r="R11" s="16">
        <f t="shared" ca="1" si="10"/>
        <v>46188</v>
      </c>
      <c r="S11" s="16">
        <f t="shared" ca="1" si="11"/>
        <v>46189</v>
      </c>
      <c r="T11" s="16">
        <f t="shared" ca="1" si="12"/>
        <v>46190</v>
      </c>
      <c r="U11" s="16">
        <f t="shared" ca="1" si="13"/>
        <v>46191</v>
      </c>
      <c r="V11" s="16">
        <f t="shared" ca="1" si="14"/>
        <v>46192</v>
      </c>
      <c r="W11" s="16">
        <f t="shared" ca="1" si="15"/>
        <v>46193</v>
      </c>
      <c r="X11" s="16">
        <f t="shared" ca="1" si="16"/>
        <v>46194</v>
      </c>
      <c r="Y11" s="16">
        <f t="shared" ca="1" si="17"/>
        <v>46195</v>
      </c>
      <c r="Z11" s="16">
        <f t="shared" ca="1" si="18"/>
        <v>46196</v>
      </c>
      <c r="AA11" s="16">
        <f t="shared" ca="1" si="19"/>
        <v>46197</v>
      </c>
      <c r="AB11" s="16">
        <f t="shared" ca="1" si="20"/>
        <v>46198</v>
      </c>
      <c r="AC11" s="16">
        <f t="shared" ca="1" si="21"/>
        <v>46199</v>
      </c>
      <c r="AD11" s="16">
        <f t="shared" ca="1" si="22"/>
        <v>46200</v>
      </c>
      <c r="AE11" s="16">
        <f t="shared" ca="1" si="23"/>
        <v>46201</v>
      </c>
      <c r="AF11" s="16">
        <f t="shared" ca="1" si="24"/>
        <v>46202</v>
      </c>
      <c r="AG11" s="16">
        <f t="shared" ca="1" si="25"/>
        <v>46203</v>
      </c>
      <c r="AH11" s="16">
        <f t="shared" ca="1" si="26"/>
        <v>46204</v>
      </c>
      <c r="AI11" s="16">
        <f t="shared" ca="1" si="27"/>
        <v>46205</v>
      </c>
      <c r="AJ11" s="16">
        <f t="shared" ca="1" si="28"/>
        <v>46206</v>
      </c>
      <c r="AK11" s="16">
        <f t="shared" ca="1" si="29"/>
        <v>46207</v>
      </c>
      <c r="AL11" s="16" t="str">
        <f t="shared" ca="1" si="30"/>
        <v/>
      </c>
      <c r="AM11" s="16" t="str">
        <f t="shared" ca="1" si="30"/>
        <v/>
      </c>
      <c r="AN11" s="16" t="str">
        <f t="shared" ca="1" si="30"/>
        <v/>
      </c>
      <c r="AO11" s="16" t="str">
        <f t="shared" ca="1" si="30"/>
        <v/>
      </c>
      <c r="AP11" s="16" t="str">
        <f t="shared" ca="1" si="30"/>
        <v/>
      </c>
      <c r="AQ11" s="16" t="str">
        <f t="shared" ca="1" si="30"/>
        <v/>
      </c>
      <c r="AR11" s="16" t="str">
        <f t="shared" ca="1" si="30"/>
        <v/>
      </c>
    </row>
    <row r="12" spans="1:44" ht="18.75" customHeight="1">
      <c r="B12" s="13" t="s">
        <v>53</v>
      </c>
      <c r="C12" s="16" t="str">
        <f t="shared" ca="1" si="0"/>
        <v/>
      </c>
      <c r="D12" s="16" t="str">
        <f t="shared" ca="1" si="1"/>
        <v/>
      </c>
      <c r="E12" s="16" t="str">
        <f t="shared" ca="1" si="1"/>
        <v/>
      </c>
      <c r="F12" s="16">
        <f t="shared" ca="1" si="1"/>
        <v>46204</v>
      </c>
      <c r="G12" s="16">
        <f t="shared" ca="1" si="1"/>
        <v>46205</v>
      </c>
      <c r="H12" s="16">
        <f t="shared" ca="1" si="1"/>
        <v>46206</v>
      </c>
      <c r="I12" s="16">
        <f t="shared" ca="1" si="1"/>
        <v>46207</v>
      </c>
      <c r="J12" s="16">
        <f t="shared" ca="1" si="2"/>
        <v>46208</v>
      </c>
      <c r="K12" s="16">
        <f t="shared" ca="1" si="3"/>
        <v>46209</v>
      </c>
      <c r="L12" s="16">
        <f t="shared" ca="1" si="4"/>
        <v>46210</v>
      </c>
      <c r="M12" s="16">
        <f t="shared" ca="1" si="5"/>
        <v>46211</v>
      </c>
      <c r="N12" s="16">
        <f t="shared" ca="1" si="6"/>
        <v>46212</v>
      </c>
      <c r="O12" s="16">
        <f t="shared" ca="1" si="7"/>
        <v>46213</v>
      </c>
      <c r="P12" s="16">
        <f t="shared" ca="1" si="8"/>
        <v>46214</v>
      </c>
      <c r="Q12" s="16">
        <f t="shared" ca="1" si="9"/>
        <v>46215</v>
      </c>
      <c r="R12" s="16">
        <f t="shared" ca="1" si="10"/>
        <v>46216</v>
      </c>
      <c r="S12" s="16">
        <f t="shared" ca="1" si="11"/>
        <v>46217</v>
      </c>
      <c r="T12" s="16">
        <f t="shared" ca="1" si="12"/>
        <v>46218</v>
      </c>
      <c r="U12" s="16">
        <f t="shared" ca="1" si="13"/>
        <v>46219</v>
      </c>
      <c r="V12" s="16">
        <f t="shared" ca="1" si="14"/>
        <v>46220</v>
      </c>
      <c r="W12" s="16">
        <f t="shared" ca="1" si="15"/>
        <v>46221</v>
      </c>
      <c r="X12" s="16">
        <f t="shared" ca="1" si="16"/>
        <v>46222</v>
      </c>
      <c r="Y12" s="16">
        <f t="shared" ca="1" si="17"/>
        <v>46223</v>
      </c>
      <c r="Z12" s="16">
        <f t="shared" ca="1" si="18"/>
        <v>46224</v>
      </c>
      <c r="AA12" s="16">
        <f t="shared" ca="1" si="19"/>
        <v>46225</v>
      </c>
      <c r="AB12" s="16">
        <f t="shared" ca="1" si="20"/>
        <v>46226</v>
      </c>
      <c r="AC12" s="16">
        <f t="shared" ca="1" si="21"/>
        <v>46227</v>
      </c>
      <c r="AD12" s="16">
        <f t="shared" ca="1" si="22"/>
        <v>46228</v>
      </c>
      <c r="AE12" s="16">
        <f t="shared" ca="1" si="23"/>
        <v>46229</v>
      </c>
      <c r="AF12" s="16">
        <f t="shared" ca="1" si="24"/>
        <v>46230</v>
      </c>
      <c r="AG12" s="16">
        <f t="shared" ca="1" si="25"/>
        <v>46231</v>
      </c>
      <c r="AH12" s="16">
        <f t="shared" ca="1" si="26"/>
        <v>46232</v>
      </c>
      <c r="AI12" s="16">
        <f t="shared" ca="1" si="27"/>
        <v>46233</v>
      </c>
      <c r="AJ12" s="16">
        <f t="shared" ca="1" si="28"/>
        <v>46234</v>
      </c>
      <c r="AK12" s="16">
        <f t="shared" ca="1" si="29"/>
        <v>46235</v>
      </c>
      <c r="AL12" s="16" t="str">
        <f t="shared" ca="1" si="30"/>
        <v/>
      </c>
      <c r="AM12" s="16" t="str">
        <f t="shared" ca="1" si="30"/>
        <v/>
      </c>
      <c r="AN12" s="16" t="str">
        <f t="shared" ca="1" si="30"/>
        <v/>
      </c>
      <c r="AO12" s="16" t="str">
        <f t="shared" ca="1" si="30"/>
        <v/>
      </c>
      <c r="AP12" s="16" t="str">
        <f t="shared" ca="1" si="30"/>
        <v/>
      </c>
      <c r="AQ12" s="16" t="str">
        <f t="shared" ca="1" si="30"/>
        <v/>
      </c>
      <c r="AR12" s="16" t="str">
        <f t="shared" ca="1" si="30"/>
        <v/>
      </c>
    </row>
    <row r="13" spans="1:44" ht="18.75" customHeight="1">
      <c r="B13" s="13" t="s">
        <v>54</v>
      </c>
      <c r="C13" s="16" t="str">
        <f t="shared" ca="1" si="0"/>
        <v/>
      </c>
      <c r="D13" s="16" t="str">
        <f t="shared" ca="1" si="1"/>
        <v/>
      </c>
      <c r="E13" s="16" t="str">
        <f t="shared" ca="1" si="1"/>
        <v/>
      </c>
      <c r="F13" s="16" t="str">
        <f t="shared" ca="1" si="1"/>
        <v/>
      </c>
      <c r="G13" s="16" t="str">
        <f t="shared" ca="1" si="1"/>
        <v/>
      </c>
      <c r="H13" s="16" t="str">
        <f t="shared" ca="1" si="1"/>
        <v/>
      </c>
      <c r="I13" s="16">
        <f t="shared" ca="1" si="1"/>
        <v>46235</v>
      </c>
      <c r="J13" s="16">
        <f t="shared" ca="1" si="2"/>
        <v>46236</v>
      </c>
      <c r="K13" s="16">
        <f t="shared" ca="1" si="3"/>
        <v>46237</v>
      </c>
      <c r="L13" s="16">
        <f t="shared" ca="1" si="4"/>
        <v>46238</v>
      </c>
      <c r="M13" s="16">
        <f t="shared" ca="1" si="5"/>
        <v>46239</v>
      </c>
      <c r="N13" s="16">
        <f t="shared" ca="1" si="6"/>
        <v>46240</v>
      </c>
      <c r="O13" s="16">
        <f t="shared" ca="1" si="7"/>
        <v>46241</v>
      </c>
      <c r="P13" s="16">
        <f t="shared" ca="1" si="8"/>
        <v>46242</v>
      </c>
      <c r="Q13" s="16">
        <f t="shared" ca="1" si="9"/>
        <v>46243</v>
      </c>
      <c r="R13" s="16">
        <f t="shared" ca="1" si="10"/>
        <v>46244</v>
      </c>
      <c r="S13" s="16">
        <f t="shared" ca="1" si="11"/>
        <v>46245</v>
      </c>
      <c r="T13" s="16">
        <f t="shared" ca="1" si="12"/>
        <v>46246</v>
      </c>
      <c r="U13" s="16">
        <f t="shared" ca="1" si="13"/>
        <v>46247</v>
      </c>
      <c r="V13" s="16">
        <f t="shared" ca="1" si="14"/>
        <v>46248</v>
      </c>
      <c r="W13" s="16">
        <f t="shared" ca="1" si="15"/>
        <v>46249</v>
      </c>
      <c r="X13" s="16">
        <f t="shared" ca="1" si="16"/>
        <v>46250</v>
      </c>
      <c r="Y13" s="16">
        <f t="shared" ca="1" si="17"/>
        <v>46251</v>
      </c>
      <c r="Z13" s="16">
        <f t="shared" ca="1" si="18"/>
        <v>46252</v>
      </c>
      <c r="AA13" s="16">
        <f t="shared" ca="1" si="19"/>
        <v>46253</v>
      </c>
      <c r="AB13" s="16">
        <f t="shared" ca="1" si="20"/>
        <v>46254</v>
      </c>
      <c r="AC13" s="16">
        <f t="shared" ca="1" si="21"/>
        <v>46255</v>
      </c>
      <c r="AD13" s="16">
        <f t="shared" ca="1" si="22"/>
        <v>46256</v>
      </c>
      <c r="AE13" s="16">
        <f t="shared" ca="1" si="23"/>
        <v>46257</v>
      </c>
      <c r="AF13" s="16">
        <f t="shared" ca="1" si="24"/>
        <v>46258</v>
      </c>
      <c r="AG13" s="16">
        <f t="shared" ca="1" si="25"/>
        <v>46259</v>
      </c>
      <c r="AH13" s="16">
        <f t="shared" ca="1" si="26"/>
        <v>46260</v>
      </c>
      <c r="AI13" s="16">
        <f t="shared" ca="1" si="27"/>
        <v>46261</v>
      </c>
      <c r="AJ13" s="16">
        <f t="shared" ca="1" si="28"/>
        <v>46262</v>
      </c>
      <c r="AK13" s="16">
        <f t="shared" ca="1" si="29"/>
        <v>46263</v>
      </c>
      <c r="AL13" s="16">
        <f t="shared" ca="1" si="30"/>
        <v>46264</v>
      </c>
      <c r="AM13" s="16">
        <f t="shared" ca="1" si="30"/>
        <v>46265</v>
      </c>
      <c r="AN13" s="16" t="str">
        <f t="shared" ca="1" si="30"/>
        <v/>
      </c>
      <c r="AO13" s="16" t="str">
        <f t="shared" ca="1" si="30"/>
        <v/>
      </c>
      <c r="AP13" s="16" t="str">
        <f t="shared" ca="1" si="30"/>
        <v/>
      </c>
      <c r="AQ13" s="16" t="str">
        <f t="shared" ca="1" si="30"/>
        <v/>
      </c>
      <c r="AR13" s="16" t="str">
        <f t="shared" ca="1" si="30"/>
        <v/>
      </c>
    </row>
    <row r="14" spans="1:44" ht="18.75" customHeight="1">
      <c r="B14" s="13" t="s">
        <v>55</v>
      </c>
      <c r="C14" s="16" t="str">
        <f t="shared" ca="1" si="0"/>
        <v/>
      </c>
      <c r="D14" s="16" t="str">
        <f t="shared" ca="1" si="1"/>
        <v/>
      </c>
      <c r="E14" s="16">
        <f t="shared" ca="1" si="1"/>
        <v>46266</v>
      </c>
      <c r="F14" s="16">
        <f t="shared" ca="1" si="1"/>
        <v>46267</v>
      </c>
      <c r="G14" s="16">
        <f t="shared" ca="1" si="1"/>
        <v>46268</v>
      </c>
      <c r="H14" s="16">
        <f t="shared" ca="1" si="1"/>
        <v>46269</v>
      </c>
      <c r="I14" s="16">
        <f t="shared" ca="1" si="1"/>
        <v>46270</v>
      </c>
      <c r="J14" s="16">
        <f t="shared" ca="1" si="2"/>
        <v>46271</v>
      </c>
      <c r="K14" s="16">
        <f t="shared" ca="1" si="3"/>
        <v>46272</v>
      </c>
      <c r="L14" s="16">
        <f t="shared" ca="1" si="4"/>
        <v>46273</v>
      </c>
      <c r="M14" s="16">
        <f t="shared" ca="1" si="5"/>
        <v>46274</v>
      </c>
      <c r="N14" s="16">
        <f t="shared" ca="1" si="6"/>
        <v>46275</v>
      </c>
      <c r="O14" s="16">
        <f t="shared" ca="1" si="7"/>
        <v>46276</v>
      </c>
      <c r="P14" s="16">
        <f t="shared" ca="1" si="8"/>
        <v>46277</v>
      </c>
      <c r="Q14" s="16">
        <f t="shared" ca="1" si="9"/>
        <v>46278</v>
      </c>
      <c r="R14" s="16">
        <f t="shared" ca="1" si="10"/>
        <v>46279</v>
      </c>
      <c r="S14" s="16">
        <f t="shared" ca="1" si="11"/>
        <v>46280</v>
      </c>
      <c r="T14" s="16">
        <f t="shared" ca="1" si="12"/>
        <v>46281</v>
      </c>
      <c r="U14" s="16">
        <f t="shared" ca="1" si="13"/>
        <v>46282</v>
      </c>
      <c r="V14" s="16">
        <f t="shared" ca="1" si="14"/>
        <v>46283</v>
      </c>
      <c r="W14" s="16">
        <f t="shared" ca="1" si="15"/>
        <v>46284</v>
      </c>
      <c r="X14" s="16">
        <f t="shared" ca="1" si="16"/>
        <v>46285</v>
      </c>
      <c r="Y14" s="16">
        <f t="shared" ca="1" si="17"/>
        <v>46286</v>
      </c>
      <c r="Z14" s="16">
        <f t="shared" ca="1" si="18"/>
        <v>46287</v>
      </c>
      <c r="AA14" s="16">
        <f t="shared" ca="1" si="19"/>
        <v>46288</v>
      </c>
      <c r="AB14" s="16">
        <f t="shared" ca="1" si="20"/>
        <v>46289</v>
      </c>
      <c r="AC14" s="16">
        <f t="shared" ca="1" si="21"/>
        <v>46290</v>
      </c>
      <c r="AD14" s="16">
        <f t="shared" ca="1" si="22"/>
        <v>46291</v>
      </c>
      <c r="AE14" s="16">
        <f t="shared" ca="1" si="23"/>
        <v>46292</v>
      </c>
      <c r="AF14" s="16">
        <f t="shared" ca="1" si="24"/>
        <v>46293</v>
      </c>
      <c r="AG14" s="16">
        <f t="shared" ca="1" si="25"/>
        <v>46294</v>
      </c>
      <c r="AH14" s="16">
        <f t="shared" ca="1" si="26"/>
        <v>46295</v>
      </c>
      <c r="AI14" s="16">
        <f t="shared" ca="1" si="27"/>
        <v>46296</v>
      </c>
      <c r="AJ14" s="16">
        <f t="shared" ca="1" si="28"/>
        <v>46297</v>
      </c>
      <c r="AK14" s="16">
        <f t="shared" ca="1" si="29"/>
        <v>46298</v>
      </c>
      <c r="AL14" s="16" t="str">
        <f t="shared" ca="1" si="30"/>
        <v/>
      </c>
      <c r="AM14" s="16" t="str">
        <f t="shared" ca="1" si="30"/>
        <v/>
      </c>
      <c r="AN14" s="16" t="str">
        <f t="shared" ca="1" si="30"/>
        <v/>
      </c>
      <c r="AO14" s="16" t="str">
        <f t="shared" ca="1" si="30"/>
        <v/>
      </c>
      <c r="AP14" s="16" t="str">
        <f t="shared" ca="1" si="30"/>
        <v/>
      </c>
      <c r="AQ14" s="16" t="str">
        <f t="shared" ca="1" si="30"/>
        <v/>
      </c>
      <c r="AR14" s="16" t="str">
        <f t="shared" ca="1" si="30"/>
        <v/>
      </c>
    </row>
    <row r="15" spans="1:44" ht="18.75" customHeight="1">
      <c r="B15" s="13" t="s">
        <v>56</v>
      </c>
      <c r="C15" s="16" t="str">
        <f t="shared" ca="1" si="0"/>
        <v/>
      </c>
      <c r="D15" s="16" t="str">
        <f t="shared" ca="1" si="1"/>
        <v/>
      </c>
      <c r="E15" s="16" t="str">
        <f t="shared" ca="1" si="1"/>
        <v/>
      </c>
      <c r="F15" s="16" t="str">
        <f t="shared" ca="1" si="1"/>
        <v/>
      </c>
      <c r="G15" s="16">
        <f t="shared" ca="1" si="1"/>
        <v>46296</v>
      </c>
      <c r="H15" s="16">
        <f t="shared" ca="1" si="1"/>
        <v>46297</v>
      </c>
      <c r="I15" s="16">
        <f t="shared" ca="1" si="1"/>
        <v>46298</v>
      </c>
      <c r="J15" s="16">
        <f t="shared" ca="1" si="2"/>
        <v>46299</v>
      </c>
      <c r="K15" s="16">
        <f t="shared" ca="1" si="3"/>
        <v>46300</v>
      </c>
      <c r="L15" s="16">
        <f t="shared" ca="1" si="4"/>
        <v>46301</v>
      </c>
      <c r="M15" s="16">
        <f t="shared" ca="1" si="5"/>
        <v>46302</v>
      </c>
      <c r="N15" s="16">
        <f t="shared" ca="1" si="6"/>
        <v>46303</v>
      </c>
      <c r="O15" s="16">
        <f t="shared" ca="1" si="7"/>
        <v>46304</v>
      </c>
      <c r="P15" s="16">
        <f t="shared" ca="1" si="8"/>
        <v>46305</v>
      </c>
      <c r="Q15" s="16">
        <f t="shared" ca="1" si="9"/>
        <v>46306</v>
      </c>
      <c r="R15" s="16">
        <f t="shared" ca="1" si="10"/>
        <v>46307</v>
      </c>
      <c r="S15" s="16">
        <f t="shared" ca="1" si="11"/>
        <v>46308</v>
      </c>
      <c r="T15" s="16">
        <f t="shared" ca="1" si="12"/>
        <v>46309</v>
      </c>
      <c r="U15" s="16">
        <f t="shared" ca="1" si="13"/>
        <v>46310</v>
      </c>
      <c r="V15" s="16">
        <f t="shared" ca="1" si="14"/>
        <v>46311</v>
      </c>
      <c r="W15" s="16">
        <f t="shared" ca="1" si="15"/>
        <v>46312</v>
      </c>
      <c r="X15" s="16">
        <f t="shared" ca="1" si="16"/>
        <v>46313</v>
      </c>
      <c r="Y15" s="16">
        <f t="shared" ca="1" si="17"/>
        <v>46314</v>
      </c>
      <c r="Z15" s="16">
        <f t="shared" ca="1" si="18"/>
        <v>46315</v>
      </c>
      <c r="AA15" s="16">
        <f t="shared" ca="1" si="19"/>
        <v>46316</v>
      </c>
      <c r="AB15" s="16">
        <f t="shared" ca="1" si="20"/>
        <v>46317</v>
      </c>
      <c r="AC15" s="16">
        <f t="shared" ca="1" si="21"/>
        <v>46318</v>
      </c>
      <c r="AD15" s="16">
        <f t="shared" ca="1" si="22"/>
        <v>46319</v>
      </c>
      <c r="AE15" s="16">
        <f t="shared" ca="1" si="23"/>
        <v>46320</v>
      </c>
      <c r="AF15" s="16">
        <f t="shared" ca="1" si="24"/>
        <v>46321</v>
      </c>
      <c r="AG15" s="16">
        <f t="shared" ca="1" si="25"/>
        <v>46322</v>
      </c>
      <c r="AH15" s="16">
        <f t="shared" ca="1" si="26"/>
        <v>46323</v>
      </c>
      <c r="AI15" s="16">
        <f t="shared" ca="1" si="27"/>
        <v>46324</v>
      </c>
      <c r="AJ15" s="16">
        <f t="shared" ca="1" si="28"/>
        <v>46325</v>
      </c>
      <c r="AK15" s="16">
        <f t="shared" ca="1" si="29"/>
        <v>46326</v>
      </c>
      <c r="AL15" s="16" t="str">
        <f t="shared" ca="1" si="30"/>
        <v/>
      </c>
      <c r="AM15" s="16" t="str">
        <f t="shared" ca="1" si="30"/>
        <v/>
      </c>
      <c r="AN15" s="16" t="str">
        <f t="shared" ca="1" si="30"/>
        <v/>
      </c>
      <c r="AO15" s="16" t="str">
        <f t="shared" ca="1" si="30"/>
        <v/>
      </c>
      <c r="AP15" s="16" t="str">
        <f t="shared" ca="1" si="30"/>
        <v/>
      </c>
      <c r="AQ15" s="16" t="str">
        <f t="shared" ca="1" si="30"/>
        <v/>
      </c>
      <c r="AR15" s="16" t="str">
        <f t="shared" ca="1" si="30"/>
        <v/>
      </c>
    </row>
    <row r="16" spans="1:44" ht="18.75" customHeight="1">
      <c r="B16" s="13" t="s">
        <v>57</v>
      </c>
      <c r="C16" s="16">
        <f t="shared" ca="1" si="0"/>
        <v>46327</v>
      </c>
      <c r="D16" s="16">
        <f t="shared" ca="1" si="1"/>
        <v>46328</v>
      </c>
      <c r="E16" s="16">
        <f t="shared" ca="1" si="1"/>
        <v>46329</v>
      </c>
      <c r="F16" s="16">
        <f t="shared" ca="1" si="1"/>
        <v>46330</v>
      </c>
      <c r="G16" s="16">
        <f t="shared" ca="1" si="1"/>
        <v>46331</v>
      </c>
      <c r="H16" s="16">
        <f t="shared" ca="1" si="1"/>
        <v>46332</v>
      </c>
      <c r="I16" s="16">
        <f t="shared" ca="1" si="1"/>
        <v>46333</v>
      </c>
      <c r="J16" s="16">
        <f t="shared" ca="1" si="2"/>
        <v>46334</v>
      </c>
      <c r="K16" s="16">
        <f t="shared" ca="1" si="3"/>
        <v>46335</v>
      </c>
      <c r="L16" s="16">
        <f t="shared" ca="1" si="4"/>
        <v>46336</v>
      </c>
      <c r="M16" s="16">
        <f t="shared" ca="1" si="5"/>
        <v>46337</v>
      </c>
      <c r="N16" s="16">
        <f t="shared" ca="1" si="6"/>
        <v>46338</v>
      </c>
      <c r="O16" s="16">
        <f t="shared" ca="1" si="7"/>
        <v>46339</v>
      </c>
      <c r="P16" s="16">
        <f t="shared" ca="1" si="8"/>
        <v>46340</v>
      </c>
      <c r="Q16" s="16">
        <f t="shared" ca="1" si="9"/>
        <v>46341</v>
      </c>
      <c r="R16" s="16">
        <f t="shared" ca="1" si="10"/>
        <v>46342</v>
      </c>
      <c r="S16" s="16">
        <f t="shared" ca="1" si="11"/>
        <v>46343</v>
      </c>
      <c r="T16" s="16">
        <f t="shared" ca="1" si="12"/>
        <v>46344</v>
      </c>
      <c r="U16" s="16">
        <f t="shared" ca="1" si="13"/>
        <v>46345</v>
      </c>
      <c r="V16" s="16">
        <f t="shared" ca="1" si="14"/>
        <v>46346</v>
      </c>
      <c r="W16" s="16">
        <f t="shared" ca="1" si="15"/>
        <v>46347</v>
      </c>
      <c r="X16" s="16">
        <f t="shared" ca="1" si="16"/>
        <v>46348</v>
      </c>
      <c r="Y16" s="16">
        <f t="shared" ca="1" si="17"/>
        <v>46349</v>
      </c>
      <c r="Z16" s="16">
        <f t="shared" ca="1" si="18"/>
        <v>46350</v>
      </c>
      <c r="AA16" s="16">
        <f t="shared" ca="1" si="19"/>
        <v>46351</v>
      </c>
      <c r="AB16" s="16">
        <f t="shared" ca="1" si="20"/>
        <v>46352</v>
      </c>
      <c r="AC16" s="16">
        <f t="shared" ca="1" si="21"/>
        <v>46353</v>
      </c>
      <c r="AD16" s="16">
        <f t="shared" ca="1" si="22"/>
        <v>46354</v>
      </c>
      <c r="AE16" s="16">
        <f t="shared" ca="1" si="23"/>
        <v>46355</v>
      </c>
      <c r="AF16" s="16">
        <f t="shared" ca="1" si="24"/>
        <v>46356</v>
      </c>
      <c r="AG16" s="16">
        <f t="shared" ca="1" si="25"/>
        <v>46357</v>
      </c>
      <c r="AH16" s="16">
        <f t="shared" ca="1" si="26"/>
        <v>46358</v>
      </c>
      <c r="AI16" s="16">
        <f t="shared" ca="1" si="27"/>
        <v>46359</v>
      </c>
      <c r="AJ16" s="16">
        <f t="shared" ca="1" si="28"/>
        <v>46360</v>
      </c>
      <c r="AK16" s="16">
        <f t="shared" ca="1" si="29"/>
        <v>46361</v>
      </c>
      <c r="AL16" s="16" t="str">
        <f t="shared" ca="1" si="30"/>
        <v/>
      </c>
      <c r="AM16" s="16" t="str">
        <f t="shared" ca="1" si="30"/>
        <v/>
      </c>
      <c r="AN16" s="16" t="str">
        <f t="shared" ca="1" si="30"/>
        <v/>
      </c>
      <c r="AO16" s="16" t="str">
        <f t="shared" ca="1" si="30"/>
        <v/>
      </c>
      <c r="AP16" s="16" t="str">
        <f t="shared" ca="1" si="30"/>
        <v/>
      </c>
      <c r="AQ16" s="16" t="str">
        <f t="shared" ca="1" si="30"/>
        <v/>
      </c>
      <c r="AR16" s="16" t="str">
        <f t="shared" ca="1" si="30"/>
        <v/>
      </c>
    </row>
    <row r="17" spans="2:45" ht="18.75" customHeight="1">
      <c r="B17" s="13" t="s">
        <v>58</v>
      </c>
      <c r="C17" s="16" t="str">
        <f t="shared" ca="1" si="0"/>
        <v/>
      </c>
      <c r="D17" s="16" t="str">
        <f t="shared" ca="1" si="1"/>
        <v/>
      </c>
      <c r="E17" s="16">
        <f t="shared" ca="1" si="1"/>
        <v>46357</v>
      </c>
      <c r="F17" s="16">
        <f t="shared" ca="1" si="1"/>
        <v>46358</v>
      </c>
      <c r="G17" s="16">
        <f t="shared" ca="1" si="1"/>
        <v>46359</v>
      </c>
      <c r="H17" s="16">
        <f t="shared" ca="1" si="1"/>
        <v>46360</v>
      </c>
      <c r="I17" s="16">
        <f t="shared" ca="1" si="1"/>
        <v>46361</v>
      </c>
      <c r="J17" s="16">
        <f t="shared" ca="1" si="2"/>
        <v>46362</v>
      </c>
      <c r="K17" s="16">
        <f t="shared" ca="1" si="3"/>
        <v>46363</v>
      </c>
      <c r="L17" s="16">
        <f t="shared" ca="1" si="4"/>
        <v>46364</v>
      </c>
      <c r="M17" s="16">
        <f t="shared" ca="1" si="5"/>
        <v>46365</v>
      </c>
      <c r="N17" s="16">
        <f t="shared" ca="1" si="6"/>
        <v>46366</v>
      </c>
      <c r="O17" s="16">
        <f t="shared" ca="1" si="7"/>
        <v>46367</v>
      </c>
      <c r="P17" s="16">
        <f t="shared" ca="1" si="8"/>
        <v>46368</v>
      </c>
      <c r="Q17" s="16">
        <f t="shared" ca="1" si="9"/>
        <v>46369</v>
      </c>
      <c r="R17" s="16">
        <f t="shared" ca="1" si="10"/>
        <v>46370</v>
      </c>
      <c r="S17" s="16">
        <f t="shared" ca="1" si="11"/>
        <v>46371</v>
      </c>
      <c r="T17" s="16">
        <f t="shared" ca="1" si="12"/>
        <v>46372</v>
      </c>
      <c r="U17" s="16">
        <f t="shared" ca="1" si="13"/>
        <v>46373</v>
      </c>
      <c r="V17" s="16">
        <f t="shared" ca="1" si="14"/>
        <v>46374</v>
      </c>
      <c r="W17" s="16">
        <f t="shared" ca="1" si="15"/>
        <v>46375</v>
      </c>
      <c r="X17" s="16">
        <f t="shared" ca="1" si="16"/>
        <v>46376</v>
      </c>
      <c r="Y17" s="16">
        <f t="shared" ca="1" si="17"/>
        <v>46377</v>
      </c>
      <c r="Z17" s="16">
        <f t="shared" ca="1" si="18"/>
        <v>46378</v>
      </c>
      <c r="AA17" s="16">
        <f t="shared" ca="1" si="19"/>
        <v>46379</v>
      </c>
      <c r="AB17" s="16">
        <f t="shared" ca="1" si="20"/>
        <v>46380</v>
      </c>
      <c r="AC17" s="16">
        <f t="shared" ca="1" si="21"/>
        <v>46381</v>
      </c>
      <c r="AD17" s="16">
        <f t="shared" ca="1" si="22"/>
        <v>46382</v>
      </c>
      <c r="AE17" s="16">
        <f t="shared" ca="1" si="23"/>
        <v>46383</v>
      </c>
      <c r="AF17" s="16">
        <f t="shared" ca="1" si="24"/>
        <v>46384</v>
      </c>
      <c r="AG17" s="16">
        <f t="shared" ca="1" si="25"/>
        <v>46385</v>
      </c>
      <c r="AH17" s="16">
        <f t="shared" ca="1" si="26"/>
        <v>46386</v>
      </c>
      <c r="AI17" s="16">
        <f t="shared" ca="1" si="27"/>
        <v>46387</v>
      </c>
      <c r="AJ17" s="16">
        <f t="shared" ca="1" si="28"/>
        <v>46388</v>
      </c>
      <c r="AK17" s="16">
        <f t="shared" ca="1" si="29"/>
        <v>46389</v>
      </c>
      <c r="AL17" s="16" t="str">
        <f t="shared" ca="1" si="30"/>
        <v/>
      </c>
      <c r="AM17" s="16" t="str">
        <f t="shared" ca="1" si="30"/>
        <v/>
      </c>
      <c r="AN17" s="16" t="str">
        <f t="shared" ca="1" si="30"/>
        <v/>
      </c>
      <c r="AO17" s="16" t="str">
        <f t="shared" ca="1" si="30"/>
        <v/>
      </c>
      <c r="AP17" s="16" t="str">
        <f t="shared" ca="1" si="30"/>
        <v/>
      </c>
      <c r="AQ17" s="16" t="str">
        <f t="shared" ca="1" si="30"/>
        <v/>
      </c>
      <c r="AR17" s="16" t="str">
        <f t="shared" ca="1" si="30"/>
        <v/>
      </c>
    </row>
    <row r="18" spans="2:45" ht="40.15" customHeight="1">
      <c r="B18" s="6" t="s">
        <v>59</v>
      </c>
      <c r="C18" s="1"/>
      <c r="D18" s="1"/>
      <c r="E18" s="1"/>
      <c r="F18" s="1"/>
      <c r="G18" s="2"/>
      <c r="H18" s="2"/>
      <c r="I18" s="2"/>
      <c r="J18" s="2"/>
      <c r="K18" s="2"/>
      <c r="L18" s="2"/>
      <c r="M18" s="2"/>
      <c r="N18" s="2"/>
      <c r="O18" s="2"/>
    </row>
    <row r="19" spans="2:45" ht="28.15" customHeight="1">
      <c r="C19" s="42" t="s">
        <v>60</v>
      </c>
      <c r="D19" s="42"/>
      <c r="E19" s="42"/>
      <c r="F19" s="7"/>
      <c r="H19" s="42" t="s">
        <v>61</v>
      </c>
      <c r="I19" s="42"/>
      <c r="J19" s="42"/>
      <c r="K19" s="42"/>
      <c r="L19" s="7"/>
      <c r="M19" s="17"/>
      <c r="N19" s="42" t="s">
        <v>62</v>
      </c>
      <c r="O19" s="42"/>
      <c r="P19" s="42"/>
      <c r="Q19" s="7"/>
      <c r="S19" s="42" t="s">
        <v>63</v>
      </c>
      <c r="T19" s="42"/>
      <c r="U19" s="42"/>
      <c r="V19" s="7"/>
      <c r="X19" s="30" t="s">
        <v>64</v>
      </c>
      <c r="Y19" s="30"/>
      <c r="Z19" s="30"/>
      <c r="AA19" s="7"/>
      <c r="AC19" s="30" t="s">
        <v>65</v>
      </c>
      <c r="AD19" s="30"/>
      <c r="AE19" s="30"/>
      <c r="AF19" s="7"/>
      <c r="AH19" s="30" t="s">
        <v>66</v>
      </c>
      <c r="AI19" s="30"/>
      <c r="AJ19" s="30"/>
      <c r="AK19" s="7"/>
      <c r="AM19" s="30" t="s">
        <v>67</v>
      </c>
      <c r="AN19" s="30"/>
      <c r="AO19" s="30"/>
      <c r="AQ19" s="30"/>
      <c r="AR19" s="30"/>
      <c r="AS19" s="30"/>
    </row>
    <row r="20" spans="2:45" ht="55.15" customHeight="1">
      <c r="C20" s="43">
        <f ca="1">SUMIFS(LeaveTracker[Days],LeaveTracker[Employee name],valSelEmployee,LeaveTracker[Start date],"&gt;="&amp;DATE(Calendar_Year,1,1),LeaveTracker[End date],"&lt;"&amp;DATE(Calendar_Year+1,1,1),LeaveTracker[Type of leave],"&lt;&gt;WFH",LeaveTracker[Type of leave],"&lt;&gt;late",LeaveTracker[Type of leave],"&lt;&gt;leave early",LeaveTracker[Type of leave],"&lt;&gt;Flex")</f>
        <v>0</v>
      </c>
      <c r="D20" s="43"/>
      <c r="E20" s="43"/>
      <c r="F20" s="7"/>
      <c r="H20" s="43">
        <f ca="1">NETWORKDAYS(DATE(Calendar_Year,1,1),EDATE(DATE(Calendar_Year,1,1),12)-1)</f>
        <v>261</v>
      </c>
      <c r="I20" s="43"/>
      <c r="J20" s="43"/>
      <c r="K20" s="43"/>
      <c r="L20" s="7"/>
      <c r="N20" s="34">
        <f ca="1">SUMIFS(LeaveTracker[Days],LeaveTracker[Employee name],valSelEmployee,LeaveTracker[Start date],"&gt;="&amp;DATE(Calendar_Year,1,1),LeaveTracker[End date],"&lt;"&amp;DATE(Calendar_Year+1,1,1),LeaveTracker[Type of leave],'Leave Types'!B4)</f>
        <v>0</v>
      </c>
      <c r="O20" s="34"/>
      <c r="P20" s="34"/>
      <c r="Q20" s="7"/>
      <c r="S20" s="35">
        <f ca="1">SUMIFS(LeaveTracker[Days],LeaveTracker[Employee name],valSelEmployee,LeaveTracker[Start date],"&gt;="&amp;DATE(Calendar_Year,1,1),LeaveTracker[End date],"&lt;"&amp;DATE(Calendar_Year+1,1,1),LeaveTracker[Type of leave],'Leave Types'!B5)</f>
        <v>0</v>
      </c>
      <c r="T20" s="35"/>
      <c r="U20" s="35"/>
      <c r="V20" s="7"/>
      <c r="X20" s="37">
        <f ca="1">SUMIFS(LeaveTracker[Days],LeaveTracker[Employee name],valSelEmployee,LeaveTracker[Start date],"&gt;="&amp;DATE(Calendar_Year,1,1),LeaveTracker[End date],"&lt;"&amp;DATE(Calendar_Year+1,1,1),LeaveTracker[Type of leave],'Leave Types'!B6)</f>
        <v>0</v>
      </c>
      <c r="Y20" s="37"/>
      <c r="Z20" s="37"/>
      <c r="AA20" s="7"/>
      <c r="AC20" s="36">
        <f ca="1">SUMIFS(LeaveTracker[Days],LeaveTracker[Employee name],valSelEmployee,LeaveTracker[Start date],"&gt;="&amp;DATE(Calendar_Year,1,1),LeaveTracker[End date],"&lt;"&amp;DATE(Calendar_Year+1,1,1),LeaveTracker[Type of leave],'Leave Types'!B7)</f>
        <v>0</v>
      </c>
      <c r="AD20" s="36"/>
      <c r="AE20" s="36"/>
      <c r="AF20" s="7"/>
      <c r="AG20" s="23"/>
      <c r="AH20" s="32">
        <f ca="1">SUMIFS(LeaveTracker[Days],LeaveTracker[Employee name],valSelEmployee,LeaveTracker[Start date],"&gt;="&amp;DATE(Calendar_Year,1,1),LeaveTracker[End date],"&lt;"&amp;DATE(Calendar_Year+1,1,1),LeaveTracker[Type of leave],'Leave Types'!B8)</f>
        <v>0</v>
      </c>
      <c r="AI20" s="32"/>
      <c r="AJ20" s="32"/>
      <c r="AK20" s="7"/>
      <c r="AL20" s="23"/>
      <c r="AM20" s="33">
        <f ca="1">SUMIFS(LeaveTracker[Days],LeaveTracker[Employee name],valSelEmployee,LeaveTracker[Start date],"&gt;="&amp;DATE(Calendar_Year,1,1),LeaveTracker[End date],"&lt;"&amp;DATE(Calendar_Year+1,1,1),LeaveTracker[Type of leave],'Leave Types'!B9)</f>
        <v>0</v>
      </c>
      <c r="AN20" s="33"/>
      <c r="AO20" s="33"/>
      <c r="AQ20" s="31"/>
      <c r="AR20" s="31"/>
      <c r="AS20" s="31"/>
    </row>
    <row r="21" spans="2:45" ht="22.15" customHeight="1">
      <c r="C21" s="44">
        <f ca="1">SUMIFS(LeaveTracker[Days],LeaveTracker[Employee name],valSelEmployee,LeaveTracker[Start date],"&gt;="&amp;DATE(Calendar_Year-1,1,1),LeaveTracker[End date],"&lt;"&amp;DATE(Calendar_Year,1,1))</f>
        <v>1</v>
      </c>
      <c r="D21" s="44"/>
      <c r="E21" s="44"/>
      <c r="F21" s="7"/>
      <c r="G21" s="3"/>
      <c r="H21" s="44">
        <f ca="1">NETWORKDAYS(DATE(Calendar_Year-1,1,1),EDATE(DATE(Calendar_Year-1,1,1),12)-1)</f>
        <v>261</v>
      </c>
      <c r="I21" s="44"/>
      <c r="J21" s="44"/>
      <c r="K21" s="44"/>
      <c r="L21" s="7"/>
      <c r="M21" s="3"/>
      <c r="N21" s="44">
        <f ca="1">SUMIFS(LeaveTracker[Days],LeaveTracker[Employee name],valSelEmployee,LeaveTracker[Start date],"&gt;="&amp;DATE(Calendar_Year-1,1,1),LeaveTracker[End date],"&lt;"&amp;DATE(Calendar_Year,1,1),LeaveTracker[Type of leave],'Leave Types'!B4)</f>
        <v>1</v>
      </c>
      <c r="O21" s="44"/>
      <c r="P21" s="44"/>
      <c r="Q21" s="7"/>
      <c r="R21" s="3"/>
      <c r="S21" s="44">
        <f ca="1">SUMIFS(LeaveTracker[Days],LeaveTracker[Employee name],valSelEmployee,LeaveTracker[Start date],"&gt;="&amp;DATE(Calendar_Year-1,1,1),LeaveTracker[End date],"&lt;"&amp;DATE(Calendar_Year,1,1),LeaveTracker[Type of leave],'Leave Types'!B5)</f>
        <v>0</v>
      </c>
      <c r="T21" s="44"/>
      <c r="U21" s="44"/>
      <c r="V21" s="7"/>
      <c r="W21" s="3"/>
      <c r="X21" s="44">
        <f ca="1">SUMIFS(LeaveTracker[Days],LeaveTracker[Employee name],valSelEmployee,LeaveTracker[Start date],"&gt;="&amp;DATE(Calendar_Year-1,1,1),LeaveTracker[End date],"&lt;"&amp;DATE(Calendar_Year,1,1),LeaveTracker[Type of leave],'Leave Types'!B7)</f>
        <v>0</v>
      </c>
      <c r="Y21" s="44"/>
      <c r="Z21" s="44"/>
      <c r="AA21" s="7"/>
      <c r="AB21" s="3"/>
      <c r="AC21" s="44">
        <f ca="1">SUMIFS(LeaveTracker[Days],LeaveTracker[Employee name],valSelEmployee,LeaveTracker[Start date],"&gt;="&amp;DATE(Calendar_Year-1,1,1),LeaveTracker[End date],"&lt;"&amp;DATE(Calendar_Year,1,1),LeaveTracker[Type of leave],'Leave Types'!B10)</f>
        <v>0</v>
      </c>
      <c r="AD21" s="44"/>
      <c r="AE21" s="44"/>
      <c r="AF21" s="7"/>
      <c r="AG21" s="3"/>
      <c r="AH21" s="44">
        <f ca="1">SUMIFS(LeaveTracker[Days],LeaveTracker[Employee name],valSelEmployee,LeaveTracker[Start date],"&gt;="&amp;DATE(Calendar_Year-1,1,1),LeaveTracker[End date],"&lt;"&amp;DATE(Calendar_Year,1,1),LeaveTracker[Type of leave],'Leave Types'!G10)</f>
        <v>0</v>
      </c>
      <c r="AI21" s="44"/>
      <c r="AJ21" s="44"/>
      <c r="AK21" s="7"/>
      <c r="AL21" s="3"/>
      <c r="AM21" s="44">
        <f ca="1">SUMIFS(LeaveTracker[Days],LeaveTracker[Employee name],valSelEmployee,LeaveTracker[Start date],"&gt;="&amp;DATE(Calendar_Year-1,1,1),LeaveTracker[End date],"&lt;"&amp;DATE(Calendar_Year,1,1),LeaveTracker[Type of leave],'Leave Types'!L10)</f>
        <v>0</v>
      </c>
      <c r="AN21" s="44"/>
      <c r="AO21" s="44"/>
      <c r="AP21" s="3"/>
      <c r="AQ21" s="44"/>
      <c r="AR21" s="44"/>
      <c r="AS21" s="44"/>
    </row>
    <row r="22" spans="2:45" ht="22.15" customHeight="1">
      <c r="C22" s="45" t="str">
        <f ca="1">IFERROR(IF(C21&lt;&gt;0,IF(C20&gt;=C21,"UP ", "DOWN ")&amp;TEXT(C20/C21-1,"0%;0%"),"UP 100%"),"")</f>
        <v>DOWN 100%</v>
      </c>
      <c r="D22" s="45"/>
      <c r="E22" s="45"/>
      <c r="F22" s="7"/>
      <c r="G22" s="3"/>
      <c r="H22" s="46" t="str">
        <f ca="1">IFERROR(IF(H21&lt;&gt;0,IF(H20&gt;=H21,"UP ", "DOWN ")&amp;TEXT(H20/H21-1,"0%;0%"),"UP 100%"),"")</f>
        <v>UP 0%</v>
      </c>
      <c r="I22" s="46"/>
      <c r="J22" s="46"/>
      <c r="K22" s="46"/>
      <c r="L22" s="7"/>
      <c r="M22" s="3"/>
      <c r="N22" s="45" t="str">
        <f ca="1">IFERROR(IF(N21&lt;&gt;0,IF(N20&gt;=N21,"UP ", "DOWN ")&amp;TEXT(N20/N21-1,"0%;0%"),"UP 100%"),"")</f>
        <v>DOWN 100%</v>
      </c>
      <c r="O22" s="45"/>
      <c r="P22" s="45"/>
      <c r="Q22" s="7"/>
      <c r="R22" s="3"/>
      <c r="S22" s="45" t="str">
        <f ca="1">IFERROR(IF(S21&lt;&gt;0,IF(S20&gt;=S21,"UP ", "DOWN ")&amp;TEXT(S20/S21-1,"0%;0%"),"UP 100%"),"")</f>
        <v>UP 100%</v>
      </c>
      <c r="T22" s="45"/>
      <c r="U22" s="45"/>
      <c r="V22" s="7"/>
      <c r="W22" s="3"/>
      <c r="X22" s="45" t="str">
        <f ca="1">IFERROR(IF(X21&lt;&gt;0,IF(X20&gt;=X21,"UP ", "DOWN ")&amp;TEXT(X20/X21-1,"0%;0%"),"UP 100%"),"")</f>
        <v>UP 100%</v>
      </c>
      <c r="Y22" s="45"/>
      <c r="Z22" s="45"/>
      <c r="AA22" s="7"/>
      <c r="AB22" s="3"/>
      <c r="AC22" s="45" t="str">
        <f ca="1">IFERROR(IF(AC21&lt;&gt;0,IF(AC20&gt;=AC21,"UP ", "DOWN ")&amp;TEXT(AC20/AC21-1,"0%;0%"),"UP 100%"),"")</f>
        <v>UP 100%</v>
      </c>
      <c r="AD22" s="45"/>
      <c r="AE22" s="45"/>
      <c r="AF22" s="7"/>
      <c r="AG22" s="3"/>
      <c r="AH22" s="45" t="str">
        <f ca="1">IFERROR(IF(AH21&lt;&gt;0,IF(AH20&gt;=AH21,"UP ", "DOWN ")&amp;TEXT(AH20/AH21-1,"0%;0%"),"UP 100%"),"")</f>
        <v>UP 100%</v>
      </c>
      <c r="AI22" s="45"/>
      <c r="AJ22" s="45"/>
      <c r="AK22" s="7"/>
      <c r="AL22" s="3"/>
      <c r="AM22" s="45" t="str">
        <f ca="1">IFERROR(IF(AM21&lt;&gt;0,IF(AM20&gt;=AM21,"UP ", "DOWN ")&amp;TEXT(AM20/AM21-1,"0%;0%"),"UP 100%"),"")</f>
        <v>UP 100%</v>
      </c>
      <c r="AN22" s="45"/>
      <c r="AO22" s="45"/>
      <c r="AP22" s="3"/>
      <c r="AQ22" s="45"/>
      <c r="AR22" s="45"/>
      <c r="AS22" s="45"/>
    </row>
    <row r="26" spans="2:45">
      <c r="L26" s="7"/>
      <c r="N26" s="30" t="s">
        <v>68</v>
      </c>
      <c r="O26" s="30"/>
      <c r="P26" s="30"/>
      <c r="Q26" s="7"/>
      <c r="S26" s="30" t="s">
        <v>69</v>
      </c>
      <c r="T26" s="30"/>
      <c r="U26" s="30"/>
      <c r="V26" s="7"/>
      <c r="X26" s="30" t="s">
        <v>70</v>
      </c>
      <c r="Y26" s="30"/>
      <c r="Z26" s="30"/>
      <c r="AA26" s="7"/>
      <c r="AC26" s="30" t="s">
        <v>71</v>
      </c>
      <c r="AD26" s="30"/>
      <c r="AE26" s="30"/>
    </row>
    <row r="27" spans="2:45" ht="62.25" customHeight="1">
      <c r="L27" s="7"/>
      <c r="M27" s="23"/>
      <c r="N27" s="29">
        <f ca="1">SUMIFS(LeaveTracker[Days],LeaveTracker[Employee name],valSelEmployee,LeaveTracker[Start date],"&gt;="&amp;DATE(Calendar_Year,1,1),LeaveTracker[End date],"&lt;"&amp;DATE(Calendar_Year+1,1,1),LeaveTracker[Type of leave],'Leave Types'!B10)</f>
        <v>0</v>
      </c>
      <c r="O27" s="29"/>
      <c r="P27" s="29"/>
      <c r="Q27" s="7"/>
      <c r="R27" s="23"/>
      <c r="S27" s="39">
        <f ca="1">SUMIFS(LeaveTracker[Days],LeaveTracker[Employee name],valSelEmployee,LeaveTracker[Start date],"&gt;="&amp;DATE(Calendar_Year,1,1),LeaveTracker[End date],"&lt;"&amp;DATE(Calendar_Year+1,1,1),LeaveTracker[Type of leave],'Leave Types'!B11)</f>
        <v>0</v>
      </c>
      <c r="T27" s="39"/>
      <c r="U27" s="39"/>
      <c r="V27" s="7"/>
      <c r="W27" s="23"/>
      <c r="X27" s="39">
        <f ca="1">SUMIFS(LeaveTracker[Days],LeaveTracker[Employee name],valSelEmployee,LeaveTracker[Start date],"&gt;="&amp;DATE(Calendar_Year,1,1),LeaveTracker[End date],"&lt;"&amp;DATE(Calendar_Year+1,1,1),LeaveTracker[Type of leave],'Leave Types'!B12)</f>
        <v>0</v>
      </c>
      <c r="Y27" s="39"/>
      <c r="Z27" s="39"/>
      <c r="AA27" s="7"/>
      <c r="AB27" s="23"/>
      <c r="AC27" s="38">
        <f ca="1">SUMIFS(LeaveTracker[Days],LeaveTracker[Employee name],valSelEmployee,LeaveTracker[Start date],"&gt;="&amp;DATE(Calendar_Year,1,1),LeaveTracker[End date],"&lt;"&amp;DATE(Calendar_Year+1,1,1),LeaveTracker[Type of leave],'Leave Types'!B15)</f>
        <v>0</v>
      </c>
      <c r="AD27" s="38"/>
      <c r="AE27" s="38"/>
    </row>
    <row r="28" spans="2:45">
      <c r="L28" s="7"/>
      <c r="M28" s="3"/>
      <c r="N28" s="44">
        <f ca="1">SUMIFS(LeaveTracker[Days],LeaveTracker[Employee name],valSelEmployee,LeaveTracker[Start date],"&gt;="&amp;DATE(Calendar_Year-1,1,1),LeaveTracker[End date],"&lt;"&amp;DATE(Calendar_Year,1,1),LeaveTracker[Type of leave],'Leave Types'!#REF!)</f>
        <v>0</v>
      </c>
      <c r="O28" s="44"/>
      <c r="P28" s="44"/>
      <c r="Q28" s="7"/>
      <c r="R28" s="3"/>
      <c r="S28" s="44">
        <f ca="1">SUMIFS(LeaveTracker[Days],LeaveTracker[Employee name],valSelEmployee,LeaveTracker[Start date],"&gt;="&amp;DATE(Calendar_Year-1,1,1),LeaveTracker[End date],"&lt;"&amp;DATE(Calendar_Year,1,1),LeaveTracker[Type of leave],'Leave Types'!#REF!)</f>
        <v>0</v>
      </c>
      <c r="T28" s="44"/>
      <c r="U28" s="44"/>
      <c r="V28" s="7"/>
      <c r="W28" s="3"/>
      <c r="X28" s="44">
        <f ca="1">SUMIFS(LeaveTracker[Days],LeaveTracker[Employee name],valSelEmployee,LeaveTracker[Start date],"&gt;="&amp;DATE(Calendar_Year-1,1,1),LeaveTracker[End date],"&lt;"&amp;DATE(Calendar_Year,1,1),LeaveTracker[Type of leave],'Leave Types'!#REF!)</f>
        <v>0</v>
      </c>
      <c r="Y28" s="44"/>
      <c r="Z28" s="44"/>
      <c r="AA28" s="7"/>
      <c r="AB28" s="3"/>
      <c r="AC28" s="44">
        <f ca="1">SUMIFS(LeaveTracker[Days],LeaveTracker[Employee name],valSelEmployee,LeaveTracker[Start date],"&gt;="&amp;DATE(Calendar_Year-1,1,1),LeaveTracker[End date],"&lt;"&amp;DATE(Calendar_Year,1,1),LeaveTracker[Type of leave],'Leave Types'!#REF!)</f>
        <v>0</v>
      </c>
      <c r="AD28" s="44"/>
      <c r="AE28" s="44"/>
    </row>
    <row r="29" spans="2:45">
      <c r="L29" s="7"/>
      <c r="M29" s="3"/>
      <c r="N29" s="45" t="str">
        <f ca="1">IFERROR(IF(N28&lt;&gt;0,IF(N27&gt;=N28,"UP ", "DOWN ")&amp;TEXT(N27/N28-1,"0%;0%"),"UP 100%"),"")</f>
        <v>UP 100%</v>
      </c>
      <c r="O29" s="45"/>
      <c r="P29" s="45"/>
      <c r="Q29" s="7"/>
      <c r="R29" s="3"/>
      <c r="S29" s="45" t="str">
        <f ca="1">IFERROR(IF(S28&lt;&gt;0,IF(S27&gt;=S28,"UP ", "DOWN ")&amp;TEXT(S27/S28-1,"0%;0%"),"UP 100%"),"")</f>
        <v>UP 100%</v>
      </c>
      <c r="T29" s="45"/>
      <c r="U29" s="45"/>
      <c r="V29" s="7"/>
      <c r="W29" s="3"/>
      <c r="X29" s="45" t="str">
        <f ca="1">IFERROR(IF(X28&lt;&gt;0,IF(X27&gt;=X28,"UP ", "DOWN ")&amp;TEXT(X27/X28-1,"0%;0%"),"UP 100%"),"")</f>
        <v>UP 100%</v>
      </c>
      <c r="Y29" s="45"/>
      <c r="Z29" s="45"/>
      <c r="AA29" s="7"/>
      <c r="AB29" s="3"/>
      <c r="AC29" s="45" t="str">
        <f ca="1">IFERROR(IF(AC28&lt;&gt;0,IF(AC27&gt;=AC28,"UP ", "DOWN ")&amp;TEXT(AC27/AC28-1,"0%;0%"),"UP 100%"),"")</f>
        <v>UP 100%</v>
      </c>
      <c r="AD29" s="45"/>
      <c r="AE29" s="45"/>
    </row>
  </sheetData>
  <mergeCells count="54">
    <mergeCell ref="AC26:AE26"/>
    <mergeCell ref="AC27:AE27"/>
    <mergeCell ref="AC28:AE28"/>
    <mergeCell ref="AC29:AE29"/>
    <mergeCell ref="S26:U26"/>
    <mergeCell ref="S27:U27"/>
    <mergeCell ref="S28:U28"/>
    <mergeCell ref="S29:U29"/>
    <mergeCell ref="X26:Z26"/>
    <mergeCell ref="X27:Z27"/>
    <mergeCell ref="X28:Z28"/>
    <mergeCell ref="X29:Z29"/>
    <mergeCell ref="C2:I2"/>
    <mergeCell ref="C3:I3"/>
    <mergeCell ref="C22:E22"/>
    <mergeCell ref="N22:P22"/>
    <mergeCell ref="S22:U22"/>
    <mergeCell ref="C19:E19"/>
    <mergeCell ref="C20:E20"/>
    <mergeCell ref="C21:E21"/>
    <mergeCell ref="S21:U21"/>
    <mergeCell ref="H19:K19"/>
    <mergeCell ref="H20:K20"/>
    <mergeCell ref="H21:K21"/>
    <mergeCell ref="H22:K22"/>
    <mergeCell ref="N21:P21"/>
    <mergeCell ref="N19:P19"/>
    <mergeCell ref="S19:U19"/>
    <mergeCell ref="N20:P20"/>
    <mergeCell ref="S20:U20"/>
    <mergeCell ref="AC21:AE21"/>
    <mergeCell ref="AC22:AE22"/>
    <mergeCell ref="AC19:AE19"/>
    <mergeCell ref="AC20:AE20"/>
    <mergeCell ref="X19:Z19"/>
    <mergeCell ref="X20:Z20"/>
    <mergeCell ref="X21:Z21"/>
    <mergeCell ref="X22:Z22"/>
    <mergeCell ref="N27:P27"/>
    <mergeCell ref="N28:P28"/>
    <mergeCell ref="N29:P29"/>
    <mergeCell ref="AQ19:AS19"/>
    <mergeCell ref="AQ20:AS20"/>
    <mergeCell ref="AQ21:AS21"/>
    <mergeCell ref="AQ22:AS22"/>
    <mergeCell ref="N26:P26"/>
    <mergeCell ref="AH19:AJ19"/>
    <mergeCell ref="AH20:AJ20"/>
    <mergeCell ref="AH21:AJ21"/>
    <mergeCell ref="AH22:AJ22"/>
    <mergeCell ref="AM22:AO22"/>
    <mergeCell ref="AM21:AO21"/>
    <mergeCell ref="AM20:AO20"/>
    <mergeCell ref="AM19:AO19"/>
  </mergeCells>
  <conditionalFormatting sqref="C6:AR17">
    <cfRule type="expression" dxfId="17" priority="12">
      <formula>MONTH(C6)&lt;&gt;MONTH($B6)</formula>
    </cfRule>
    <cfRule type="expression" dxfId="16" priority="22">
      <formula>OR(LEFT(C$5,1)="S", COUNTIF(lstHolidays, C6)&gt;0)</formula>
    </cfRule>
  </conditionalFormatting>
  <conditionalFormatting sqref="C22:AS22">
    <cfRule type="beginsWith" dxfId="15" priority="8" operator="beginsWith" text="UP">
      <formula>LEFT(C22,LEN("UP"))="UP"</formula>
    </cfRule>
  </conditionalFormatting>
  <conditionalFormatting sqref="L29:AE29">
    <cfRule type="beginsWith" dxfId="14" priority="7" operator="beginsWith" text="UP">
      <formula>LEFT(L29,LEN("UP"))="UP"</formula>
    </cfRule>
  </conditionalFormatting>
  <dataValidations xWindow="131" yWindow="879" count="16">
    <dataValidation allowBlank="1" showInputMessage="1" showErrorMessage="1" prompt="View employee annual attendance in this workbook. Select an employee and year for an overview in this worksheet" sqref="A1" xr:uid="{00000000-0002-0000-0000-000000000000}"/>
    <dataValidation allowBlank="1" showInputMessage="1" showErrorMessage="1" prompt="Select an employee’s name in cell AM2 on the right" sqref="J2" xr:uid="{00000000-0002-0000-0000-000001000000}"/>
    <dataValidation allowBlank="1" showInputMessage="1" showErrorMessage="1" prompt="Enter year in cell AM3 on the right" sqref="J3" xr:uid="{00000000-0002-0000-0000-000002000000}"/>
    <dataValidation allowBlank="1" showInputMessage="1" showErrorMessage="1" prompt="Worksheet title is in this cell" sqref="B1" xr:uid="{00000000-0002-0000-0000-000003000000}"/>
    <dataValidation allowBlank="1" showInputMessage="1" showErrorMessage="1" prompt="Key statistics title is in this cell. Navigate rows 19 through 22 to view totol number of leave days, working days and other leave related statistics" sqref="B18" xr:uid="{00000000-0002-0000-0000-000004000000}"/>
    <dataValidation allowBlank="1" showInputMessage="1" showErrorMessage="1" prompt="Attendance Record table is automatically updated for employee and year selected using entries from Employee Leave Tracker workheet. Months of the year are in this column" sqref="B5" xr:uid="{00000000-0002-0000-0000-000005000000}"/>
    <dataValidation allowBlank="1" showInputMessage="1" showErrorMessage="1" prompt="Select employee from cell at right" sqref="B2" xr:uid="{00000000-0002-0000-0000-000006000000}"/>
    <dataValidation allowBlank="1" showInputMessage="1" showErrorMessage="1" prompt="Enter year in cell at right" sqref="B3" xr:uid="{00000000-0002-0000-0000-000007000000}"/>
    <dataValidation type="list" allowBlank="1" showInputMessage="1" showErrorMessage="1" error="Select employee name from the list. Select CANCEL, and press ALT+DOWN ARROW, and ENTER to select " prompt="Select employee name in this cell. Press ALT+DOWN ARROW to open the drop-down list, then press ENTER to make selection" sqref="C2:I2" xr:uid="{00000000-0002-0000-0000-000008000000}">
      <formula1>lstEmployees</formula1>
    </dataValidation>
    <dataValidation allowBlank="1" showInputMessage="1" showErrorMessage="1" prompt="Enter year in this cell" sqref="C3:I3" xr:uid="{00000000-0002-0000-0000-000009000000}"/>
    <dataValidation allowBlank="1" showInputMessage="1" showErrorMessage="1" prompt="Date for the month at left and weekday in this cell is in this column. Days are only filled in for relevant days of the month. Leave is highlighted according to legend below table" sqref="C5" xr:uid="{00000000-0002-0000-0000-00000A000000}"/>
    <dataValidation allowBlank="1" showInputMessage="1" showErrorMessage="1" prompt="Key statistics headings are automatically calculated in this row starting at right" sqref="B19" xr:uid="{00000000-0002-0000-0000-00000B000000}"/>
    <dataValidation allowBlank="1" showInputMessage="1" showErrorMessage="1" prompt="Key statistics values are automatically calculated in this row starting at right" sqref="B20" xr:uid="{00000000-0002-0000-0000-00000C000000}"/>
    <dataValidation allowBlank="1" showInputMessage="1" showErrorMessage="1" prompt="Key statistics comparison to last year are automatically calculated in this row starting at right" sqref="B21" xr:uid="{00000000-0002-0000-0000-00000D000000}"/>
    <dataValidation allowBlank="1" showInputMessage="1" showErrorMessage="1" prompt="The net change for each key statistic is in this row starting at right" sqref="B22" xr:uid="{00000000-0002-0000-0000-00000E000000}"/>
    <dataValidation allowBlank="1" showInputMessage="1" showErrorMessage="1" prompt="Days of the week for the month in column B and weekday in this heading are in this column. Cell highlights indicate leave" sqref="D5:AR5" xr:uid="{00000000-0002-0000-0000-00000F000000}"/>
  </dataValidations>
  <printOptions horizontalCentered="1"/>
  <pageMargins left="0.25" right="0.25" top="0.75" bottom="0.75" header="0.3" footer="0.3"/>
  <pageSetup scale="60" fitToHeight="0" orientation="landscape" r:id="rId1"/>
  <headerFooter differentFirst="1">
    <oddFooter>&amp;C_x000D_&amp;1#&amp;"Arial"&amp;8&amp;K2E404D Sensitivity Label: General</oddFooter>
    <firstFooter>&amp;C_x000D_&amp;1#&amp;"Arial"&amp;8&amp;K2E404D Sensitivity Label: General</first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A9BFB2F5-684F-47B0-A8B5-F67D189E41AB}">
            <xm:f>COUNTIFS(lstEmpNames,valSelEmployee,lstSdates,"&lt;="&amp;C6,lstEDates,"&gt;="&amp;C6,lstHTypes,'Leave Types'!$B$15)&gt;0</xm:f>
            <x14:dxf>
              <fill>
                <patternFill>
                  <bgColor theme="7" tint="0.59996337778862885"/>
                </patternFill>
              </fill>
            </x14:dxf>
          </x14:cfRule>
          <x14:cfRule type="expression" priority="2" id="{FC74BBAF-438F-4851-8B98-A3BB978371D2}">
            <xm:f>COUNTIFS(lstEmpNames,valSelEmployee,lstSdates,"&lt;="&amp;C6,lstEDates,"&gt;="&amp;C6,lstHTypes,'Leave Types'!$B$12)&gt;0</xm:f>
            <x14:dxf>
              <fill>
                <patternFill>
                  <bgColor theme="4" tint="0.79998168889431442"/>
                </patternFill>
              </fill>
            </x14:dxf>
          </x14:cfRule>
          <x14:cfRule type="expression" priority="3" id="{162A2D85-6DA7-447E-80CF-350801C1FC9E}">
            <xm:f>COUNTIFS(lstEmpNames,valSelEmployee,lstSdates,"&lt;="&amp;C6,lstEDates,"&gt;="&amp;C6,lstHTypes,'Leave Types'!$B$11)&gt;0</xm:f>
            <x14:dxf>
              <fill>
                <patternFill>
                  <bgColor theme="4" tint="0.79998168889431442"/>
                </patternFill>
              </fill>
            </x14:dxf>
          </x14:cfRule>
          <x14:cfRule type="expression" priority="4" id="{9B096DA7-0488-45DD-AC92-2C86CEA8CCCD}">
            <xm:f>COUNTIFS(lstEmpNames,valSelEmployee,lstSdates,"&lt;="&amp;C6,lstEDates,"&gt;="&amp;C6,lstHTypes,'Leave Types'!$B$10)&gt;0</xm:f>
            <x14:dxf>
              <fill>
                <patternFill>
                  <bgColor rgb="FFB0FACC"/>
                </patternFill>
              </fill>
            </x14:dxf>
          </x14:cfRule>
          <x14:cfRule type="expression" priority="5" id="{09D278D7-F1A3-4722-8948-188595011C26}">
            <xm:f>COUNTIFS(lstEmpNames,valSelEmployee,lstSdates,"&lt;="&amp;C6,lstEDates,"&gt;="&amp;C6,lstHTypes,'Leave Types'!$B$9)&gt;0</xm:f>
            <x14:dxf>
              <fill>
                <patternFill>
                  <bgColor theme="5"/>
                </patternFill>
              </fill>
            </x14:dxf>
          </x14:cfRule>
          <x14:cfRule type="expression" priority="6" id="{6DDEF65C-F9A3-4EA9-A120-4D12814DB1BA}">
            <xm:f>COUNTIFS(lstEmpNames,valSelEmployee,lstSdates,"&lt;="&amp;C6,lstEDates,"&gt;="&amp;C6,lstHTypes,'Leave Types'!$B$8)&gt;0</xm:f>
            <x14:dxf>
              <fill>
                <patternFill>
                  <bgColor theme="9"/>
                </patternFill>
              </fill>
            </x14:dxf>
          </x14:cfRule>
          <x14:cfRule type="expression" priority="13" id="{77486DEF-4B90-4A09-A027-C628567EDF4C}">
            <xm:f>COUNTIFS(lstEmpNames,valSelEmployee,lstSdates,"&lt;="&amp;C6,lstEDates,"&gt;="&amp;C6,lstHTypes,'Leave Types'!$B$4)&gt;0</xm:f>
            <x14:dxf>
              <font>
                <color theme="3" tint="-0.24994659260841701"/>
              </font>
              <fill>
                <patternFill>
                  <bgColor theme="4"/>
                </patternFill>
              </fill>
            </x14:dxf>
          </x14:cfRule>
          <x14:cfRule type="expression" priority="14" id="{7BA81481-452F-4533-84C8-E4B1E4D25843}">
            <xm:f>COUNTIFS(lstEmpNames,valSelEmployee,lstSdates,"&lt;="&amp;C6,lstEDates,"&gt;="&amp;C6,lstHTypes,'Leave Types'!$B$5)&gt;0</xm:f>
            <x14:dxf>
              <fill>
                <patternFill>
                  <bgColor theme="8"/>
                </patternFill>
              </fill>
            </x14:dxf>
          </x14:cfRule>
          <x14:cfRule type="expression" priority="15" id="{7DF86B1D-BC96-4C1F-BA74-43CC1527B439}">
            <xm:f>COUNTIFS(lstEmpNames,valSelEmployee,lstSdates,"&lt;="&amp;C6,lstEDates,"&gt;="&amp;C6,lstHTypes,'Leave Types'!$B$6)&gt;0</xm:f>
            <x14:dxf>
              <fill>
                <patternFill>
                  <bgColor theme="6"/>
                </patternFill>
              </fill>
            </x14:dxf>
          </x14:cfRule>
          <x14:cfRule type="expression" priority="21" id="{8D7627D3-E4F4-4E54-8BDC-376A6BB31759}">
            <xm:f>COUNTIFS(lstEmpNames,valSelEmployee,lstSdates,"&lt;="&amp;C6,lstEDates,"&gt;="&amp;C6,lstHTypes,'Leave Types'!$B$7)&gt;0</xm:f>
            <x14:dxf>
              <fill>
                <patternFill>
                  <bgColor theme="7"/>
                </patternFill>
              </fill>
            </x14:dxf>
          </x14:cfRule>
          <xm:sqref>C6:AR17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5" tint="-0.499984740745262"/>
    <pageSetUpPr autoPageBreaks="0" fitToPage="1"/>
  </sheetPr>
  <dimension ref="B1:F86"/>
  <sheetViews>
    <sheetView showGridLines="0" topLeftCell="A82" workbookViewId="0">
      <selection activeCell="C89" sqref="C89"/>
    </sheetView>
  </sheetViews>
  <sheetFormatPr defaultRowHeight="30" customHeight="1"/>
  <cols>
    <col min="1" max="1" width="2.5" customWidth="1"/>
    <col min="2" max="2" width="33.125" customWidth="1"/>
    <col min="3" max="4" width="17.25" customWidth="1"/>
    <col min="5" max="5" width="19" bestFit="1" customWidth="1"/>
    <col min="6" max="6" width="12.25" customWidth="1"/>
    <col min="7" max="7" width="2.5" customWidth="1"/>
  </cols>
  <sheetData>
    <row r="1" spans="2:6" ht="40.15" customHeight="1">
      <c r="B1" s="18" t="s">
        <v>72</v>
      </c>
    </row>
    <row r="2" spans="2:6" ht="15" customHeight="1"/>
    <row r="3" spans="2:6" ht="30" customHeight="1">
      <c r="B3" s="9" t="s">
        <v>73</v>
      </c>
      <c r="C3" s="9" t="s">
        <v>74</v>
      </c>
      <c r="D3" s="9" t="s">
        <v>75</v>
      </c>
      <c r="E3" s="9" t="s">
        <v>76</v>
      </c>
      <c r="F3" s="9" t="s">
        <v>77</v>
      </c>
    </row>
    <row r="4" spans="2:6" ht="30" hidden="1" customHeight="1">
      <c r="B4" s="8" t="s">
        <v>78</v>
      </c>
      <c r="C4" s="11">
        <f ca="1">DATE(YEAR(TODAY()),1,3)</f>
        <v>46025</v>
      </c>
      <c r="D4" s="11">
        <f ca="1">DATE(YEAR(TODAY()),1,3)</f>
        <v>46025</v>
      </c>
      <c r="E4" s="8" t="s">
        <v>79</v>
      </c>
      <c r="F4" s="10">
        <f ca="1">NETWORKDAYS(LeaveTracker[[#This Row],[Start date]],LeaveTracker[[#This Row],[End date]],lstHolidays)</f>
        <v>0</v>
      </c>
    </row>
    <row r="5" spans="2:6" ht="30" hidden="1" customHeight="1">
      <c r="B5" s="8" t="s">
        <v>80</v>
      </c>
      <c r="C5" s="11">
        <f ca="1">DATE(YEAR(TODAY()),1,2)</f>
        <v>46024</v>
      </c>
      <c r="D5" s="11">
        <f ca="1">DATE(YEAR(TODAY()),1,10)</f>
        <v>46032</v>
      </c>
      <c r="E5" s="8" t="s">
        <v>63</v>
      </c>
      <c r="F5" s="10">
        <f ca="1">NETWORKDAYS(LeaveTracker[[#This Row],[Start date]],LeaveTracker[[#This Row],[End date]],lstHolidays)</f>
        <v>6</v>
      </c>
    </row>
    <row r="6" spans="2:6" ht="30" hidden="1" customHeight="1">
      <c r="B6" s="8" t="s">
        <v>81</v>
      </c>
      <c r="C6" s="11">
        <f ca="1">DATE(YEAR(TODAY()),1,2 )</f>
        <v>46024</v>
      </c>
      <c r="D6" s="11">
        <f ca="1">DATE(YEAR(TODAY()),1,7)</f>
        <v>46029</v>
      </c>
      <c r="E6" s="8" t="s">
        <v>79</v>
      </c>
      <c r="F6" s="10">
        <f ca="1">NETWORKDAYS(LeaveTracker[[#This Row],[Start date]],LeaveTracker[[#This Row],[End date]],lstHolidays)</f>
        <v>4</v>
      </c>
    </row>
    <row r="7" spans="2:6" ht="30" hidden="1" customHeight="1">
      <c r="B7" s="8" t="s">
        <v>81</v>
      </c>
      <c r="C7" s="11">
        <f ca="1">DATE(YEAR(TODAY()),1,8 )</f>
        <v>46030</v>
      </c>
      <c r="D7" s="11">
        <f ca="1">DATE(YEAR(TODAY()),1,10)</f>
        <v>46032</v>
      </c>
      <c r="E7" s="8" t="s">
        <v>63</v>
      </c>
      <c r="F7" s="10">
        <f ca="1">NETWORKDAYS(LeaveTracker[[#This Row],[Start date]],LeaveTracker[[#This Row],[End date]],lstHolidays)</f>
        <v>2</v>
      </c>
    </row>
    <row r="8" spans="2:6" ht="30" hidden="1" customHeight="1">
      <c r="B8" s="8" t="s">
        <v>82</v>
      </c>
      <c r="C8" s="11">
        <f ca="1">DATE(YEAR(TODAY()),1,2 )</f>
        <v>46024</v>
      </c>
      <c r="D8" s="11">
        <f ca="1">DATE(YEAR(TODAY()),1,3)</f>
        <v>46025</v>
      </c>
      <c r="E8" s="8" t="s">
        <v>79</v>
      </c>
      <c r="F8" s="10">
        <f ca="1">NETWORKDAYS(LeaveTracker[[#This Row],[Start date]],LeaveTracker[[#This Row],[End date]],lstHolidays)</f>
        <v>1</v>
      </c>
    </row>
    <row r="9" spans="2:6" ht="30" hidden="1" customHeight="1">
      <c r="B9" s="8" t="s">
        <v>83</v>
      </c>
      <c r="C9" s="11">
        <f ca="1">DATE(YEAR(TODAY()),1,2  )</f>
        <v>46024</v>
      </c>
      <c r="D9" s="11">
        <f ca="1">DATE(YEAR(TODAY()),1,3)</f>
        <v>46025</v>
      </c>
      <c r="E9" s="8" t="s">
        <v>63</v>
      </c>
      <c r="F9" s="10">
        <f ca="1">NETWORKDAYS(LeaveTracker[[#This Row],[Start date]],LeaveTracker[[#This Row],[End date]],lstHolidays)</f>
        <v>1</v>
      </c>
    </row>
    <row r="10" spans="2:6" ht="30" hidden="1" customHeight="1">
      <c r="B10" s="8" t="s">
        <v>84</v>
      </c>
      <c r="C10" s="11">
        <f ca="1">DATE(YEAR(TODAY()),1,2  )</f>
        <v>46024</v>
      </c>
      <c r="D10" s="11">
        <f ca="1">DATE(YEAR(TODAY()),1,2)</f>
        <v>46024</v>
      </c>
      <c r="E10" s="8" t="s">
        <v>63</v>
      </c>
      <c r="F10" s="10">
        <f ca="1">NETWORKDAYS(LeaveTracker[[#This Row],[Start date]],LeaveTracker[[#This Row],[End date]],lstHolidays)</f>
        <v>1</v>
      </c>
    </row>
    <row r="11" spans="2:6" ht="30" hidden="1" customHeight="1">
      <c r="B11" s="8" t="s">
        <v>85</v>
      </c>
      <c r="C11" s="11">
        <f ca="1">DATE(YEAR(TODAY()),1,2 )</f>
        <v>46024</v>
      </c>
      <c r="D11" s="11">
        <f ca="1">DATE(YEAR(TODAY()),1,3)</f>
        <v>46025</v>
      </c>
      <c r="E11" s="8" t="s">
        <v>63</v>
      </c>
      <c r="F11" s="10">
        <f ca="1">NETWORKDAYS(LeaveTracker[[#This Row],[Start date]],LeaveTracker[[#This Row],[End date]],lstHolidays)</f>
        <v>1</v>
      </c>
    </row>
    <row r="12" spans="2:6" ht="30" hidden="1" customHeight="1">
      <c r="B12" s="8" t="s">
        <v>86</v>
      </c>
      <c r="C12" s="11">
        <f ca="1">DATE(YEAR(TODAY()),1,3)</f>
        <v>46025</v>
      </c>
      <c r="D12" s="11">
        <f ca="1">DATE(YEAR(TODAY()),1,3)</f>
        <v>46025</v>
      </c>
      <c r="E12" s="8" t="s">
        <v>63</v>
      </c>
      <c r="F12" s="10">
        <f ca="1">NETWORKDAYS(LeaveTracker[[#This Row],[Start date]],LeaveTracker[[#This Row],[End date]],lstHolidays)</f>
        <v>0</v>
      </c>
    </row>
    <row r="13" spans="2:6" ht="30" hidden="1" customHeight="1">
      <c r="B13" s="8" t="s">
        <v>84</v>
      </c>
      <c r="C13" s="11">
        <f ca="1">DATE(YEAR(TODAY()),1,16)</f>
        <v>46038</v>
      </c>
      <c r="D13" s="11">
        <f ca="1">DATE(YEAR(TODAY()),1,16)</f>
        <v>46038</v>
      </c>
      <c r="E13" s="8" t="s">
        <v>67</v>
      </c>
      <c r="F13" s="10">
        <f ca="1">NETWORKDAYS(LeaveTracker[[#This Row],[Start date]],LeaveTracker[[#This Row],[End date]],lstHolidays)</f>
        <v>1</v>
      </c>
    </row>
    <row r="14" spans="2:6" ht="30" customHeight="1">
      <c r="B14" s="8" t="s">
        <v>87</v>
      </c>
      <c r="C14" s="11">
        <f ca="1">DATE(YEAR(TODAY()),1,13 )</f>
        <v>46035</v>
      </c>
      <c r="D14" s="11">
        <f ca="1">DATE(YEAR(TODAY()),1,14)</f>
        <v>46036</v>
      </c>
      <c r="E14" s="8" t="s">
        <v>63</v>
      </c>
      <c r="F14" s="10">
        <f ca="1">NETWORKDAYS(LeaveTracker[[#This Row],[Start date]],LeaveTracker[[#This Row],[End date]],lstHolidays)</f>
        <v>2</v>
      </c>
    </row>
    <row r="15" spans="2:6" ht="30" hidden="1" customHeight="1">
      <c r="B15" s="8" t="s">
        <v>85</v>
      </c>
      <c r="C15" s="11">
        <f ca="1">DATE(YEAR(TODAY()),1,23 )</f>
        <v>46045</v>
      </c>
      <c r="D15" s="11">
        <f ca="1">DATE(YEAR(TODAY()),1,23)</f>
        <v>46045</v>
      </c>
      <c r="E15" s="8" t="s">
        <v>88</v>
      </c>
      <c r="F15" s="10">
        <f ca="1">NETWORKDAYS(LeaveTracker[[#This Row],[Start date]],LeaveTracker[[#This Row],[End date]],lstHolidays)</f>
        <v>1</v>
      </c>
    </row>
    <row r="16" spans="2:6" ht="30" hidden="1" customHeight="1">
      <c r="B16" s="8" t="s">
        <v>84</v>
      </c>
      <c r="C16" s="11">
        <f ca="1">DATE(YEAR(TODAY()),1,16 )</f>
        <v>46038</v>
      </c>
      <c r="D16" s="11">
        <f ca="1">DATE(YEAR(TODAY()),1,24)</f>
        <v>46046</v>
      </c>
      <c r="E16" s="8" t="s">
        <v>68</v>
      </c>
      <c r="F16" s="10">
        <f ca="1">NETWORKDAYS(LeaveTracker[[#This Row],[Start date]],LeaveTracker[[#This Row],[End date]],lstHolidays)</f>
        <v>6</v>
      </c>
    </row>
    <row r="17" spans="2:6" ht="30" hidden="1" customHeight="1">
      <c r="B17" s="8" t="s">
        <v>89</v>
      </c>
      <c r="C17" s="11">
        <f ca="1">DATE(YEAR(TODAY()),1,22 )</f>
        <v>46044</v>
      </c>
      <c r="D17" s="11">
        <f ca="1">DATE(YEAR(TODAY()),1,29)</f>
        <v>46051</v>
      </c>
      <c r="E17" s="8" t="s">
        <v>63</v>
      </c>
      <c r="F17" s="10">
        <f ca="1">NETWORKDAYS(LeaveTracker[[#This Row],[Start date]],LeaveTracker[[#This Row],[End date]],lstHolidays)</f>
        <v>6</v>
      </c>
    </row>
    <row r="18" spans="2:6" ht="30" customHeight="1">
      <c r="B18" s="8" t="s">
        <v>87</v>
      </c>
      <c r="C18" s="11">
        <f ca="1">DATE(YEAR(TODAY()),1,30 )</f>
        <v>46052</v>
      </c>
      <c r="D18" s="11">
        <f ca="1">DATE(YEAR(TODAY()),1,30)</f>
        <v>46052</v>
      </c>
      <c r="E18" s="8" t="s">
        <v>69</v>
      </c>
      <c r="F18" s="10">
        <f ca="1">NETWORKDAYS(LeaveTracker[[#This Row],[Start date]],LeaveTracker[[#This Row],[End date]],lstHolidays)</f>
        <v>1</v>
      </c>
    </row>
    <row r="19" spans="2:6" ht="30" hidden="1" customHeight="1">
      <c r="B19" s="8" t="s">
        <v>83</v>
      </c>
      <c r="C19" s="11">
        <f ca="1">DATE(YEAR(TODAY()),1,30 )</f>
        <v>46052</v>
      </c>
      <c r="D19" s="11">
        <f ca="1">DATE(YEAR(TODAY()),1,30)</f>
        <v>46052</v>
      </c>
      <c r="E19" s="8" t="s">
        <v>88</v>
      </c>
      <c r="F19" s="10">
        <f ca="1">NETWORKDAYS(LeaveTracker[[#This Row],[Start date]],LeaveTracker[[#This Row],[End date]],lstHolidays)</f>
        <v>1</v>
      </c>
    </row>
    <row r="20" spans="2:6" ht="30" hidden="1" customHeight="1">
      <c r="B20" s="8" t="s">
        <v>82</v>
      </c>
      <c r="C20" s="11">
        <f ca="1">DATE(YEAR(TODAY()),1,28 )</f>
        <v>46050</v>
      </c>
      <c r="D20" s="11">
        <f ca="1">DATE(YEAR(TODAY()),1,30)</f>
        <v>46052</v>
      </c>
      <c r="E20" s="8" t="s">
        <v>63</v>
      </c>
      <c r="F20" s="10">
        <f ca="1">NETWORKDAYS(LeaveTracker[[#This Row],[Start date]],LeaveTracker[[#This Row],[End date]],lstHolidays)</f>
        <v>3</v>
      </c>
    </row>
    <row r="21" spans="2:6" ht="30" hidden="1" customHeight="1">
      <c r="B21" s="8" t="s">
        <v>82</v>
      </c>
      <c r="C21" s="11">
        <f ca="1">DATE(YEAR(TODAY()),2,5 )</f>
        <v>46058</v>
      </c>
      <c r="D21" s="11">
        <f ca="1">DATE(YEAR(TODAY()),2,5)</f>
        <v>46058</v>
      </c>
      <c r="E21" s="8" t="s">
        <v>71</v>
      </c>
      <c r="F21" s="10">
        <f ca="1">NETWORKDAYS(LeaveTracker[[#This Row],[Start date]],LeaveTracker[[#This Row],[End date]],lstHolidays)</f>
        <v>1</v>
      </c>
    </row>
    <row r="22" spans="2:6" ht="30" hidden="1" customHeight="1">
      <c r="B22" s="8" t="s">
        <v>90</v>
      </c>
      <c r="C22" s="11">
        <f ca="1">DATE(YEAR(TODAY()),2,4 )</f>
        <v>46057</v>
      </c>
      <c r="D22" s="11">
        <f ca="1">DATE(YEAR(TODAY()),2,4)</f>
        <v>46057</v>
      </c>
      <c r="E22" s="8" t="s">
        <v>70</v>
      </c>
      <c r="F22" s="10">
        <f ca="1">NETWORKDAYS(LeaveTracker[[#This Row],[Start date]],LeaveTracker[[#This Row],[End date]],lstHolidays)</f>
        <v>1</v>
      </c>
    </row>
    <row r="23" spans="2:6" ht="30" hidden="1" customHeight="1">
      <c r="B23" s="8" t="s">
        <v>89</v>
      </c>
      <c r="C23" s="11">
        <f ca="1">DATE(YEAR(TODAY()),2,3)</f>
        <v>46056</v>
      </c>
      <c r="D23" s="11">
        <f ca="1">DATE(YEAR(TODAY()),2,3)</f>
        <v>46056</v>
      </c>
      <c r="E23" s="8" t="s">
        <v>88</v>
      </c>
      <c r="F23" s="10">
        <f ca="1">NETWORKDAYS(LeaveTracker[[#This Row],[Start date]],LeaveTracker[[#This Row],[End date]],lstHolidays)</f>
        <v>1</v>
      </c>
    </row>
    <row r="24" spans="2:6" ht="30" customHeight="1">
      <c r="B24" s="8" t="s">
        <v>87</v>
      </c>
      <c r="C24" s="11">
        <f ca="1">DATE(YEAR(TODAY()),2,7)</f>
        <v>46060</v>
      </c>
      <c r="D24" s="11">
        <f ca="1">DATE(YEAR(TODAY()),2,7)</f>
        <v>46060</v>
      </c>
      <c r="E24" s="8" t="s">
        <v>69</v>
      </c>
      <c r="F24" s="10">
        <f ca="1">NETWORKDAYS(LeaveTracker[[#This Row],[Start date]],LeaveTracker[[#This Row],[End date]],lstHolidays)</f>
        <v>0</v>
      </c>
    </row>
    <row r="25" spans="2:6" ht="30" customHeight="1">
      <c r="B25" s="8" t="s">
        <v>87</v>
      </c>
      <c r="C25" s="11">
        <f ca="1">DATE(YEAR(TODAY()),2,10)</f>
        <v>46063</v>
      </c>
      <c r="D25" s="11">
        <f ca="1">DATE(YEAR(TODAY()),2,11)</f>
        <v>46064</v>
      </c>
      <c r="E25" s="8" t="s">
        <v>63</v>
      </c>
      <c r="F25" s="10">
        <f ca="1">NETWORKDAYS(LeaveTracker[[#This Row],[Start date]],LeaveTracker[[#This Row],[End date]],lstHolidays)</f>
        <v>2</v>
      </c>
    </row>
    <row r="26" spans="2:6" ht="30" hidden="1" customHeight="1">
      <c r="B26" s="8" t="s">
        <v>80</v>
      </c>
      <c r="C26" s="11">
        <f ca="1">DATE(YEAR(TODAY()),2,10)</f>
        <v>46063</v>
      </c>
      <c r="D26" s="11">
        <f ca="1">DATE(YEAR(TODAY()),2,10)</f>
        <v>46063</v>
      </c>
      <c r="E26" s="8" t="s">
        <v>71</v>
      </c>
      <c r="F26" s="10">
        <f ca="1">NETWORKDAYS(LeaveTracker[[#This Row],[Start date]],LeaveTracker[[#This Row],[End date]],lstHolidays)</f>
        <v>1</v>
      </c>
    </row>
    <row r="27" spans="2:6" ht="30" customHeight="1">
      <c r="B27" s="8" t="s">
        <v>87</v>
      </c>
      <c r="C27" s="11">
        <f ca="1">DATE(YEAR(TODAY()),2,14)</f>
        <v>46067</v>
      </c>
      <c r="D27" s="11">
        <f ca="1">DATE(YEAR(TODAY()),2,14)</f>
        <v>46067</v>
      </c>
      <c r="E27" s="8" t="s">
        <v>63</v>
      </c>
      <c r="F27" s="10">
        <f ca="1">NETWORKDAYS(LeaveTracker[[#This Row],[Start date]],LeaveTracker[[#This Row],[End date]],lstHolidays)</f>
        <v>0</v>
      </c>
    </row>
    <row r="28" spans="2:6" ht="30" customHeight="1">
      <c r="B28" s="8" t="s">
        <v>87</v>
      </c>
      <c r="C28" s="11">
        <f ca="1">DATE(YEAR(TODAY()),2,17)</f>
        <v>46070</v>
      </c>
      <c r="D28" s="11">
        <f ca="1">DATE(YEAR(TODAY()),2,17)</f>
        <v>46070</v>
      </c>
      <c r="E28" s="8" t="s">
        <v>63</v>
      </c>
      <c r="F28" s="10">
        <f ca="1">NETWORKDAYS(LeaveTracker[[#This Row],[Start date]],LeaveTracker[[#This Row],[End date]],lstHolidays)</f>
        <v>0</v>
      </c>
    </row>
    <row r="29" spans="2:6" ht="30" hidden="1" customHeight="1">
      <c r="B29" s="8" t="s">
        <v>89</v>
      </c>
      <c r="C29" s="11">
        <f ca="1">DATE(YEAR(TODAY()),2,17)</f>
        <v>46070</v>
      </c>
      <c r="D29" s="11">
        <f ca="1">DATE(YEAR(TODAY()),2,19)</f>
        <v>46072</v>
      </c>
      <c r="E29" s="8" t="s">
        <v>88</v>
      </c>
      <c r="F29" s="10">
        <f ca="1">NETWORKDAYS(LeaveTracker[[#This Row],[Start date]],LeaveTracker[[#This Row],[End date]],lstHolidays)</f>
        <v>2</v>
      </c>
    </row>
    <row r="30" spans="2:6" ht="30" hidden="1" customHeight="1">
      <c r="B30" s="8" t="s">
        <v>91</v>
      </c>
      <c r="C30" s="11">
        <f ca="1">DATE(YEAR(TODAY()),2,14)</f>
        <v>46067</v>
      </c>
      <c r="D30" s="11">
        <f ca="1">DATE(YEAR(TODAY()),2,14)</f>
        <v>46067</v>
      </c>
      <c r="E30" s="8" t="s">
        <v>88</v>
      </c>
      <c r="F30" s="10">
        <f ca="1">NETWORKDAYS(LeaveTracker[[#This Row],[Start date]],LeaveTracker[[#This Row],[End date]],lstHolidays)</f>
        <v>0</v>
      </c>
    </row>
    <row r="31" spans="2:6" ht="30" hidden="1" customHeight="1">
      <c r="B31" s="8" t="s">
        <v>92</v>
      </c>
      <c r="C31" s="11">
        <f ca="1">DATE(YEAR(TODAY()),2,20)</f>
        <v>46073</v>
      </c>
      <c r="D31" s="11">
        <f ca="1">DATE(YEAR(TODAY()),2,20)</f>
        <v>46073</v>
      </c>
      <c r="E31" s="8" t="s">
        <v>68</v>
      </c>
      <c r="F31" s="10">
        <f ca="1">NETWORKDAYS(LeaveTracker[[#This Row],[Start date]],LeaveTracker[[#This Row],[End date]],lstHolidays)</f>
        <v>1</v>
      </c>
    </row>
    <row r="32" spans="2:6" ht="30" hidden="1" customHeight="1">
      <c r="B32" s="8" t="s">
        <v>85</v>
      </c>
      <c r="C32" s="11">
        <f ca="1">DATE(YEAR(TODAY()),2,24)</f>
        <v>46077</v>
      </c>
      <c r="D32" s="11">
        <f ca="1">DATE(YEAR(TODAY()),2,24)</f>
        <v>46077</v>
      </c>
      <c r="E32" s="8" t="s">
        <v>88</v>
      </c>
      <c r="F32" s="10">
        <f ca="1">NETWORKDAYS(LeaveTracker[[#This Row],[Start date]],LeaveTracker[[#This Row],[End date]],lstHolidays)</f>
        <v>1</v>
      </c>
    </row>
    <row r="33" spans="2:6" ht="30" hidden="1" customHeight="1">
      <c r="B33" s="8" t="s">
        <v>90</v>
      </c>
      <c r="C33" s="11">
        <f ca="1">DATE(YEAR(TODAY()),2,26)</f>
        <v>46079</v>
      </c>
      <c r="D33" s="11">
        <f ca="1">DATE(YEAR(TODAY()),2,26)</f>
        <v>46079</v>
      </c>
      <c r="E33" s="8" t="s">
        <v>88</v>
      </c>
      <c r="F33" s="10">
        <f ca="1">NETWORKDAYS(LeaveTracker[[#This Row],[Start date]],LeaveTracker[[#This Row],[End date]],lstHolidays)</f>
        <v>1</v>
      </c>
    </row>
    <row r="34" spans="2:6" ht="30" customHeight="1">
      <c r="B34" s="8" t="s">
        <v>87</v>
      </c>
      <c r="C34" s="11">
        <f ca="1">DATE(YEAR(TODAY()),3,10)</f>
        <v>46091</v>
      </c>
      <c r="D34" s="11">
        <f ca="1">DATE(YEAR(TODAY()),3,10)</f>
        <v>46091</v>
      </c>
      <c r="E34" s="8" t="s">
        <v>63</v>
      </c>
      <c r="F34" s="10">
        <f ca="1">NETWORKDAYS(LeaveTracker[[#This Row],[Start date]],LeaveTracker[[#This Row],[End date]],lstHolidays)</f>
        <v>1</v>
      </c>
    </row>
    <row r="35" spans="2:6" ht="30" customHeight="1">
      <c r="B35" s="8" t="s">
        <v>87</v>
      </c>
      <c r="C35" s="11">
        <f ca="1">DATE(YEAR(TODAY()),3,14)</f>
        <v>46095</v>
      </c>
      <c r="D35" s="11">
        <f ca="1">DATE(YEAR(TODAY()),3,14)</f>
        <v>46095</v>
      </c>
      <c r="E35" s="8" t="s">
        <v>63</v>
      </c>
      <c r="F35" s="10">
        <f ca="1">NETWORKDAYS(LeaveTracker[[#This Row],[Start date]],LeaveTracker[[#This Row],[End date]],lstHolidays)</f>
        <v>0</v>
      </c>
    </row>
    <row r="36" spans="2:6" ht="30" hidden="1" customHeight="1">
      <c r="B36" s="8" t="s">
        <v>81</v>
      </c>
      <c r="C36" s="11">
        <f ca="1">DATE(YEAR(TODAY()),3,26)</f>
        <v>46107</v>
      </c>
      <c r="D36" s="11">
        <f ca="1">DATE(YEAR(TODAY()),3,26)</f>
        <v>46107</v>
      </c>
      <c r="E36" s="8" t="s">
        <v>88</v>
      </c>
      <c r="F36" s="10">
        <f ca="1">NETWORKDAYS(LeaveTracker[[#This Row],[Start date]],LeaveTracker[[#This Row],[End date]],lstHolidays)</f>
        <v>1</v>
      </c>
    </row>
    <row r="37" spans="2:6" ht="30" customHeight="1">
      <c r="B37" s="8" t="s">
        <v>87</v>
      </c>
      <c r="C37" s="11">
        <f ca="1">DATE(YEAR(TODAY()),5,12)</f>
        <v>46154</v>
      </c>
      <c r="D37" s="11">
        <f ca="1">DATE(YEAR(TODAY()),5,12)</f>
        <v>46154</v>
      </c>
      <c r="E37" s="8" t="s">
        <v>63</v>
      </c>
      <c r="F37" s="10">
        <f ca="1">NETWORKDAYS(LeaveTracker[[#This Row],[Start date]],LeaveTracker[[#This Row],[End date]],lstHolidays)</f>
        <v>1</v>
      </c>
    </row>
    <row r="38" spans="2:6" ht="30" customHeight="1">
      <c r="B38" s="8" t="s">
        <v>87</v>
      </c>
      <c r="C38" s="11">
        <f ca="1">DATE(YEAR(TODAY()),5,15)</f>
        <v>46157</v>
      </c>
      <c r="D38" s="11">
        <f ca="1">DATE(YEAR(TODAY()),5,16)</f>
        <v>46158</v>
      </c>
      <c r="E38" s="8" t="s">
        <v>63</v>
      </c>
      <c r="F38" s="10">
        <f ca="1">NETWORKDAYS(LeaveTracker[[#This Row],[Start date]],LeaveTracker[[#This Row],[End date]],lstHolidays)</f>
        <v>1</v>
      </c>
    </row>
    <row r="39" spans="2:6" ht="30" customHeight="1">
      <c r="B39" s="8" t="s">
        <v>87</v>
      </c>
      <c r="C39" s="11">
        <f ca="1">DATE(YEAR(TODAY()),5,19)</f>
        <v>46161</v>
      </c>
      <c r="D39" s="11">
        <f ca="1">DATE(YEAR(TODAY()),5,19)</f>
        <v>46161</v>
      </c>
      <c r="E39" s="8" t="s">
        <v>63</v>
      </c>
      <c r="F39" s="10">
        <f ca="1">NETWORKDAYS(LeaveTracker[[#This Row],[Start date]],LeaveTracker[[#This Row],[End date]],lstHolidays)</f>
        <v>1</v>
      </c>
    </row>
    <row r="40" spans="2:6" ht="30" customHeight="1">
      <c r="B40" s="8" t="s">
        <v>87</v>
      </c>
      <c r="C40" s="11">
        <f ca="1">DATE(YEAR(TODAY()),5,30)</f>
        <v>46172</v>
      </c>
      <c r="D40" s="11">
        <f ca="1">DATE(YEAR(TODAY()),5,30)</f>
        <v>46172</v>
      </c>
      <c r="E40" s="8" t="s">
        <v>93</v>
      </c>
      <c r="F40" s="10">
        <f ca="1">NETWORKDAYS(LeaveTracker[[#This Row],[Start date]],LeaveTracker[[#This Row],[End date]],lstHolidays)</f>
        <v>0</v>
      </c>
    </row>
    <row r="41" spans="2:6" ht="30" customHeight="1">
      <c r="B41" s="8" t="s">
        <v>87</v>
      </c>
      <c r="C41" s="11">
        <f ca="1">DATE(YEAR(TODAY()),6,2)</f>
        <v>46175</v>
      </c>
      <c r="D41" s="11">
        <f ca="1">DATE(YEAR(TODAY()),6,2)</f>
        <v>46175</v>
      </c>
      <c r="E41" s="8" t="s">
        <v>93</v>
      </c>
      <c r="F41" s="10">
        <f ca="1">NETWORKDAYS(LeaveTracker[[#This Row],[Start date]],LeaveTracker[[#This Row],[End date]],lstHolidays)</f>
        <v>1</v>
      </c>
    </row>
    <row r="42" spans="2:6" ht="30" customHeight="1">
      <c r="B42" s="8" t="s">
        <v>87</v>
      </c>
      <c r="C42" s="11">
        <f ca="1">DATE(YEAR(TODAY()),6,9)</f>
        <v>46182</v>
      </c>
      <c r="D42" s="11">
        <f ca="1">DATE(YEAR(TODAY()),6,10)</f>
        <v>46183</v>
      </c>
      <c r="E42" s="8" t="s">
        <v>63</v>
      </c>
      <c r="F42" s="10">
        <f ca="1">NETWORKDAYS(LeaveTracker[[#This Row],[Start date]],LeaveTracker[[#This Row],[End date]],lstHolidays)</f>
        <v>2</v>
      </c>
    </row>
    <row r="43" spans="2:6" ht="30" customHeight="1">
      <c r="B43" s="8" t="s">
        <v>87</v>
      </c>
      <c r="C43" s="11">
        <f ca="1">DATE(YEAR(TODAY()),7,10)</f>
        <v>46213</v>
      </c>
      <c r="D43" s="11">
        <f ca="1">DATE(YEAR(TODAY()),7,11)</f>
        <v>46214</v>
      </c>
      <c r="E43" s="8" t="s">
        <v>63</v>
      </c>
      <c r="F43" s="10">
        <f ca="1">NETWORKDAYS(LeaveTracker[[#This Row],[Start date]],LeaveTracker[[#This Row],[End date]],lstHolidays)</f>
        <v>1</v>
      </c>
    </row>
    <row r="44" spans="2:6" ht="30" customHeight="1">
      <c r="B44" s="8" t="s">
        <v>87</v>
      </c>
      <c r="C44" s="11">
        <f ca="1">DATE(YEAR(TODAY()),7,24)</f>
        <v>46227</v>
      </c>
      <c r="D44" s="11">
        <f ca="1">DATE(YEAR(TODAY()),7,25)</f>
        <v>46228</v>
      </c>
      <c r="E44" s="8" t="s">
        <v>94</v>
      </c>
      <c r="F44" s="10">
        <f ca="1">NETWORKDAYS(LeaveTracker[[#This Row],[Start date]],LeaveTracker[[#This Row],[End date]],lstHolidays)</f>
        <v>1</v>
      </c>
    </row>
    <row r="45" spans="2:6" ht="30" customHeight="1">
      <c r="B45" s="8" t="s">
        <v>87</v>
      </c>
      <c r="C45" s="11">
        <f ca="1">DATE(YEAR(TODAY()),8,27)</f>
        <v>46261</v>
      </c>
      <c r="D45" s="11">
        <f ca="1">DATE(YEAR(TODAY()),8,29)</f>
        <v>46263</v>
      </c>
      <c r="E45" s="8" t="s">
        <v>95</v>
      </c>
      <c r="F45" s="10">
        <f ca="1">NETWORKDAYS(LeaveTracker[[#This Row],[Start date]],LeaveTracker[[#This Row],[End date]],lstHolidays)</f>
        <v>2</v>
      </c>
    </row>
    <row r="46" spans="2:6" ht="30" hidden="1" customHeight="1">
      <c r="B46" s="8" t="s">
        <v>96</v>
      </c>
      <c r="C46" s="11">
        <v>45943</v>
      </c>
      <c r="D46" s="11">
        <v>45945</v>
      </c>
      <c r="E46" s="8" t="s">
        <v>63</v>
      </c>
      <c r="F46" s="10">
        <f ca="1">NETWORKDAYS(LeaveTracker[[#This Row],[Start date]],LeaveTracker[[#This Row],[End date]],lstHolidays)</f>
        <v>3</v>
      </c>
    </row>
    <row r="47" spans="2:6" ht="30" hidden="1" customHeight="1">
      <c r="B47" s="8" t="s">
        <v>83</v>
      </c>
      <c r="C47" s="11">
        <v>45945</v>
      </c>
      <c r="D47" s="11">
        <v>45947</v>
      </c>
      <c r="E47" s="8" t="s">
        <v>63</v>
      </c>
      <c r="F47" s="10">
        <f ca="1">NETWORKDAYS(LeaveTracker[[#This Row],[Start date]],LeaveTracker[[#This Row],[End date]],lstHolidays)</f>
        <v>3</v>
      </c>
    </row>
    <row r="48" spans="2:6" ht="30" hidden="1" customHeight="1">
      <c r="B48" s="8" t="s">
        <v>83</v>
      </c>
      <c r="C48" s="11">
        <v>45951</v>
      </c>
      <c r="D48" s="11">
        <v>45952</v>
      </c>
      <c r="E48" s="8" t="s">
        <v>88</v>
      </c>
      <c r="F48" s="10">
        <f ca="1">NETWORKDAYS(LeaveTracker[[#This Row],[Start date]],LeaveTracker[[#This Row],[End date]],lstHolidays)</f>
        <v>2</v>
      </c>
    </row>
    <row r="49" spans="2:6" ht="30" hidden="1" customHeight="1">
      <c r="B49" s="8" t="s">
        <v>86</v>
      </c>
      <c r="C49" s="11">
        <v>45943</v>
      </c>
      <c r="D49" s="11">
        <v>45947</v>
      </c>
      <c r="E49" s="8" t="s">
        <v>88</v>
      </c>
      <c r="F49" s="10">
        <f ca="1">NETWORKDAYS(LeaveTracker[[#This Row],[Start date]],LeaveTracker[[#This Row],[End date]],lstHolidays)</f>
        <v>5</v>
      </c>
    </row>
    <row r="50" spans="2:6" ht="30" hidden="1" customHeight="1">
      <c r="B50" s="8" t="s">
        <v>97</v>
      </c>
      <c r="C50" s="11">
        <v>45943</v>
      </c>
      <c r="D50" s="11">
        <v>45947</v>
      </c>
      <c r="E50" s="8" t="s">
        <v>88</v>
      </c>
      <c r="F50" s="10">
        <f ca="1">NETWORKDAYS(LeaveTracker[[#This Row],[Start date]],LeaveTracker[[#This Row],[End date]],lstHolidays)</f>
        <v>5</v>
      </c>
    </row>
    <row r="51" spans="2:6" ht="30" customHeight="1">
      <c r="B51" s="8" t="s">
        <v>87</v>
      </c>
      <c r="C51" s="11">
        <v>45944</v>
      </c>
      <c r="D51" s="11">
        <v>45964</v>
      </c>
      <c r="E51" s="8" t="s">
        <v>88</v>
      </c>
      <c r="F51" s="10">
        <f ca="1">NETWORKDAYS(LeaveTracker[[#This Row],[Start date]],LeaveTracker[[#This Row],[End date]],lstHolidays)</f>
        <v>15</v>
      </c>
    </row>
    <row r="52" spans="2:6" ht="30" hidden="1" customHeight="1">
      <c r="B52" s="8" t="s">
        <v>98</v>
      </c>
      <c r="C52" s="11">
        <v>45946</v>
      </c>
      <c r="D52" s="11">
        <v>45947</v>
      </c>
      <c r="E52" s="8" t="s">
        <v>63</v>
      </c>
      <c r="F52" s="10">
        <f ca="1">NETWORKDAYS(LeaveTracker[[#This Row],[Start date]],LeaveTracker[[#This Row],[End date]],lstHolidays)</f>
        <v>2</v>
      </c>
    </row>
    <row r="53" spans="2:6" ht="30" hidden="1" customHeight="1">
      <c r="B53" s="8" t="s">
        <v>99</v>
      </c>
      <c r="C53" s="11">
        <v>45947</v>
      </c>
      <c r="D53" s="11">
        <v>45947</v>
      </c>
      <c r="E53" s="8" t="s">
        <v>63</v>
      </c>
      <c r="F53" s="10">
        <f ca="1">NETWORKDAYS(LeaveTracker[[#This Row],[Start date]],LeaveTracker[[#This Row],[End date]],lstHolidays)</f>
        <v>1</v>
      </c>
    </row>
    <row r="54" spans="2:6" ht="30" hidden="1" customHeight="1">
      <c r="B54" s="8" t="s">
        <v>100</v>
      </c>
      <c r="C54" s="11">
        <v>45946</v>
      </c>
      <c r="D54" s="11">
        <v>45947</v>
      </c>
      <c r="E54" s="8" t="s">
        <v>63</v>
      </c>
      <c r="F54" s="10">
        <f ca="1">NETWORKDAYS(LeaveTracker[[#This Row],[Start date]],LeaveTracker[[#This Row],[End date]],lstHolidays)</f>
        <v>2</v>
      </c>
    </row>
    <row r="55" spans="2:6" ht="30" hidden="1" customHeight="1">
      <c r="B55" s="8" t="s">
        <v>101</v>
      </c>
      <c r="C55" s="11">
        <v>45947</v>
      </c>
      <c r="D55" s="11">
        <v>45947</v>
      </c>
      <c r="E55" s="8" t="s">
        <v>63</v>
      </c>
      <c r="F55" s="10">
        <f ca="1">NETWORKDAYS(LeaveTracker[[#This Row],[Start date]],LeaveTracker[[#This Row],[End date]],lstHolidays)</f>
        <v>1</v>
      </c>
    </row>
    <row r="56" spans="2:6" ht="30" hidden="1" customHeight="1">
      <c r="B56" s="8" t="s">
        <v>102</v>
      </c>
      <c r="C56" s="11">
        <v>45952</v>
      </c>
      <c r="D56" s="11">
        <v>45954</v>
      </c>
      <c r="E56" s="8" t="s">
        <v>88</v>
      </c>
      <c r="F56" s="10">
        <f ca="1">NETWORKDAYS(LeaveTracker[[#This Row],[Start date]],LeaveTracker[[#This Row],[End date]],lstHolidays)</f>
        <v>3</v>
      </c>
    </row>
    <row r="57" spans="2:6" ht="30" hidden="1" customHeight="1">
      <c r="B57" s="8" t="s">
        <v>103</v>
      </c>
      <c r="C57" s="11">
        <v>45954</v>
      </c>
      <c r="D57" s="11">
        <v>45954</v>
      </c>
      <c r="E57" s="8" t="s">
        <v>88</v>
      </c>
      <c r="F57" s="10">
        <f ca="1">NETWORKDAYS(LeaveTracker[[#This Row],[Start date]],LeaveTracker[[#This Row],[End date]],lstHolidays)</f>
        <v>1</v>
      </c>
    </row>
    <row r="58" spans="2:6" ht="30" hidden="1" customHeight="1">
      <c r="B58" s="8" t="s">
        <v>80</v>
      </c>
      <c r="C58" s="11">
        <v>45957</v>
      </c>
      <c r="D58" s="11">
        <v>45958</v>
      </c>
      <c r="E58" s="8" t="s">
        <v>88</v>
      </c>
      <c r="F58" s="10">
        <f ca="1">NETWORKDAYS(LeaveTracker[[#This Row],[Start date]],LeaveTracker[[#This Row],[End date]],lstHolidays)</f>
        <v>2</v>
      </c>
    </row>
    <row r="59" spans="2:6" ht="30" hidden="1" customHeight="1">
      <c r="B59" s="8" t="s">
        <v>80</v>
      </c>
      <c r="C59" s="11">
        <v>45952</v>
      </c>
      <c r="D59" s="11">
        <v>45952</v>
      </c>
      <c r="E59" s="8" t="s">
        <v>88</v>
      </c>
      <c r="F59" s="10">
        <f ca="1">NETWORKDAYS(LeaveTracker[[#This Row],[Start date]],LeaveTracker[[#This Row],[End date]],lstHolidays)</f>
        <v>1</v>
      </c>
    </row>
    <row r="60" spans="2:6" ht="30" hidden="1" customHeight="1">
      <c r="B60" s="8" t="s">
        <v>104</v>
      </c>
      <c r="C60" s="11">
        <v>45957</v>
      </c>
      <c r="D60" s="11">
        <v>45957</v>
      </c>
      <c r="E60" s="8" t="s">
        <v>88</v>
      </c>
      <c r="F60" s="10">
        <f ca="1">NETWORKDAYS(LeaveTracker[[#This Row],[Start date]],LeaveTracker[[#This Row],[End date]],lstHolidays)</f>
        <v>1</v>
      </c>
    </row>
    <row r="61" spans="2:6" ht="30" hidden="1" customHeight="1">
      <c r="B61" s="8" t="s">
        <v>105</v>
      </c>
      <c r="C61" s="11">
        <v>45918</v>
      </c>
      <c r="D61" s="11">
        <v>45922</v>
      </c>
      <c r="E61" s="8" t="s">
        <v>63</v>
      </c>
      <c r="F61" s="10">
        <f ca="1">NETWORKDAYS(LeaveTracker[[#This Row],[Start date]],LeaveTracker[[#This Row],[End date]],lstHolidays)</f>
        <v>3</v>
      </c>
    </row>
    <row r="62" spans="2:6" ht="30" hidden="1" customHeight="1">
      <c r="B62" s="8" t="s">
        <v>97</v>
      </c>
      <c r="C62" s="11">
        <v>45959</v>
      </c>
      <c r="D62" s="11">
        <v>45959</v>
      </c>
      <c r="E62" s="8" t="s">
        <v>88</v>
      </c>
      <c r="F62" s="10">
        <f ca="1">NETWORKDAYS(LeaveTracker[[#This Row],[Start date]],LeaveTracker[[#This Row],[End date]],lstHolidays)</f>
        <v>1</v>
      </c>
    </row>
    <row r="63" spans="2:6" ht="30" hidden="1" customHeight="1">
      <c r="B63" s="8" t="s">
        <v>78</v>
      </c>
      <c r="C63" s="11">
        <v>45968</v>
      </c>
      <c r="D63" s="11">
        <v>45968</v>
      </c>
      <c r="E63" s="8" t="s">
        <v>69</v>
      </c>
      <c r="F63" s="10">
        <f ca="1">NETWORKDAYS(LeaveTracker[[#This Row],[Start date]],LeaveTracker[[#This Row],[End date]],lstHolidays)</f>
        <v>1</v>
      </c>
    </row>
    <row r="64" spans="2:6" ht="30" hidden="1" customHeight="1">
      <c r="B64" s="8" t="s">
        <v>106</v>
      </c>
      <c r="C64" s="11">
        <v>45957</v>
      </c>
      <c r="D64" s="11">
        <v>45961</v>
      </c>
      <c r="E64" s="8" t="s">
        <v>63</v>
      </c>
      <c r="F64" s="10">
        <f ca="1">NETWORKDAYS(LeaveTracker[[#This Row],[Start date]],LeaveTracker[[#This Row],[End date]],lstHolidays)</f>
        <v>5</v>
      </c>
    </row>
    <row r="65" spans="2:6" ht="30" hidden="1" customHeight="1">
      <c r="B65" s="8" t="s">
        <v>103</v>
      </c>
      <c r="C65" s="11">
        <v>45961</v>
      </c>
      <c r="D65" s="11">
        <v>45961</v>
      </c>
      <c r="E65" s="8" t="s">
        <v>63</v>
      </c>
      <c r="F65" s="10">
        <f ca="1">NETWORKDAYS(LeaveTracker[[#This Row],[Start date]],LeaveTracker[[#This Row],[End date]],lstHolidays)</f>
        <v>1</v>
      </c>
    </row>
    <row r="66" spans="2:6" ht="30" hidden="1" customHeight="1">
      <c r="B66" s="8" t="s">
        <v>107</v>
      </c>
      <c r="C66" s="11">
        <v>45961</v>
      </c>
      <c r="D66" s="11">
        <v>45961</v>
      </c>
      <c r="E66" s="8" t="s">
        <v>63</v>
      </c>
      <c r="F66" s="10">
        <f ca="1">NETWORKDAYS(LeaveTracker[[#This Row],[Start date]],LeaveTracker[[#This Row],[End date]],lstHolidays)</f>
        <v>1</v>
      </c>
    </row>
    <row r="67" spans="2:6" ht="30" hidden="1" customHeight="1">
      <c r="B67" s="8" t="s">
        <v>108</v>
      </c>
      <c r="C67" s="11">
        <v>45957</v>
      </c>
      <c r="D67" s="11">
        <v>45975</v>
      </c>
      <c r="E67" s="8" t="s">
        <v>109</v>
      </c>
      <c r="F67" s="10">
        <f ca="1">NETWORKDAYS(LeaveTracker[[#This Row],[Start date]],LeaveTracker[[#This Row],[End date]],lstHolidays)</f>
        <v>15</v>
      </c>
    </row>
    <row r="68" spans="2:6" ht="30" hidden="1" customHeight="1">
      <c r="B68" s="8" t="s">
        <v>110</v>
      </c>
      <c r="C68" s="11">
        <v>45968</v>
      </c>
      <c r="D68" s="11">
        <v>45971</v>
      </c>
      <c r="E68" s="8" t="s">
        <v>63</v>
      </c>
      <c r="F68" s="10">
        <f ca="1">NETWORKDAYS(LeaveTracker[[#This Row],[Start date]],LeaveTracker[[#This Row],[End date]],lstHolidays)</f>
        <v>2</v>
      </c>
    </row>
    <row r="69" spans="2:6" ht="30" hidden="1" customHeight="1">
      <c r="B69" s="8" t="s">
        <v>111</v>
      </c>
      <c r="C69" s="11">
        <v>45974</v>
      </c>
      <c r="D69" s="11">
        <v>45978</v>
      </c>
      <c r="E69" s="8" t="s">
        <v>63</v>
      </c>
      <c r="F69" s="10">
        <f ca="1">NETWORKDAYS(LeaveTracker[[#This Row],[Start date]],LeaveTracker[[#This Row],[End date]],lstHolidays)</f>
        <v>3</v>
      </c>
    </row>
    <row r="70" spans="2:6" ht="30" hidden="1" customHeight="1">
      <c r="B70" s="8" t="s">
        <v>112</v>
      </c>
      <c r="C70" s="11">
        <v>45989</v>
      </c>
      <c r="D70" s="11">
        <v>45989</v>
      </c>
      <c r="E70" s="8" t="s">
        <v>63</v>
      </c>
      <c r="F70" s="10">
        <f ca="1">NETWORKDAYS(LeaveTracker[[#This Row],[Start date]],LeaveTracker[[#This Row],[End date]],lstHolidays)</f>
        <v>1</v>
      </c>
    </row>
    <row r="71" spans="2:6" ht="30" hidden="1" customHeight="1">
      <c r="B71" s="8" t="s">
        <v>113</v>
      </c>
      <c r="C71" s="11">
        <v>45971</v>
      </c>
      <c r="D71" s="11">
        <v>45971</v>
      </c>
      <c r="E71" s="8" t="s">
        <v>88</v>
      </c>
      <c r="F71" s="10">
        <f ca="1">NETWORKDAYS(LeaveTracker[[#This Row],[Start date]],LeaveTracker[[#This Row],[End date]],lstHolidays)</f>
        <v>1</v>
      </c>
    </row>
    <row r="72" spans="2:6" ht="30" hidden="1" customHeight="1">
      <c r="B72" s="8" t="s">
        <v>113</v>
      </c>
      <c r="C72" s="11">
        <v>45982</v>
      </c>
      <c r="D72" s="11">
        <v>45985</v>
      </c>
      <c r="E72" s="8" t="s">
        <v>63</v>
      </c>
      <c r="F72" s="10">
        <f ca="1">NETWORKDAYS(LeaveTracker[[#This Row],[Start date]],LeaveTracker[[#This Row],[End date]],lstHolidays)</f>
        <v>2</v>
      </c>
    </row>
    <row r="73" spans="2:6" ht="30" hidden="1" customHeight="1">
      <c r="B73" s="8" t="s">
        <v>114</v>
      </c>
      <c r="C73" s="11">
        <v>45980</v>
      </c>
      <c r="D73" s="11">
        <v>45980</v>
      </c>
      <c r="E73" s="8" t="s">
        <v>63</v>
      </c>
      <c r="F73" s="10">
        <f ca="1">NETWORKDAYS(LeaveTracker[[#This Row],[Start date]],LeaveTracker[[#This Row],[End date]],lstHolidays)</f>
        <v>1</v>
      </c>
    </row>
    <row r="74" spans="2:6" ht="30" hidden="1" customHeight="1">
      <c r="B74" s="8" t="s">
        <v>115</v>
      </c>
      <c r="C74" s="11">
        <v>45975</v>
      </c>
      <c r="D74" s="11">
        <v>45975</v>
      </c>
      <c r="E74" s="8" t="s">
        <v>63</v>
      </c>
      <c r="F74" s="10">
        <f ca="1">NETWORKDAYS(LeaveTracker[[#This Row],[Start date]],LeaveTracker[[#This Row],[End date]],lstHolidays)</f>
        <v>1</v>
      </c>
    </row>
    <row r="75" spans="2:6" ht="30" hidden="1" customHeight="1">
      <c r="B75" s="8" t="s">
        <v>116</v>
      </c>
      <c r="C75" s="11"/>
      <c r="D75" s="11"/>
      <c r="E75" s="8"/>
      <c r="F75" s="10">
        <f ca="1">NETWORKDAYS(LeaveTracker[[#This Row],[Start date]],LeaveTracker[[#This Row],[End date]],lstHolidays)</f>
        <v>0</v>
      </c>
    </row>
    <row r="76" spans="2:6" ht="30" hidden="1" customHeight="1">
      <c r="B76" s="8" t="s">
        <v>2</v>
      </c>
      <c r="C76" s="11">
        <v>45975</v>
      </c>
      <c r="D76" s="11">
        <v>45975</v>
      </c>
      <c r="E76" s="8" t="s">
        <v>88</v>
      </c>
      <c r="F76" s="10">
        <f ca="1">NETWORKDAYS(LeaveTracker[[#This Row],[Start date]],LeaveTracker[[#This Row],[End date]],lstHolidays)</f>
        <v>1</v>
      </c>
    </row>
    <row r="77" spans="2:6" ht="30" hidden="1" customHeight="1">
      <c r="B77" s="8" t="s">
        <v>98</v>
      </c>
      <c r="C77" s="11">
        <v>45982</v>
      </c>
      <c r="D77" s="11">
        <v>45982</v>
      </c>
      <c r="E77" s="8" t="s">
        <v>63</v>
      </c>
      <c r="F77" s="10">
        <f ca="1">NETWORKDAYS(LeaveTracker[[#This Row],[Start date]],LeaveTracker[[#This Row],[End date]],lstHolidays)</f>
        <v>1</v>
      </c>
    </row>
    <row r="78" spans="2:6" ht="30" hidden="1" customHeight="1">
      <c r="B78" s="8" t="s">
        <v>90</v>
      </c>
      <c r="C78" s="11">
        <v>45982</v>
      </c>
      <c r="D78" s="11">
        <v>45982</v>
      </c>
      <c r="E78" s="8" t="s">
        <v>63</v>
      </c>
      <c r="F78" s="10">
        <f ca="1">NETWORKDAYS(LeaveTracker[[#This Row],[Start date]],LeaveTracker[[#This Row],[End date]],lstHolidays)</f>
        <v>1</v>
      </c>
    </row>
    <row r="79" spans="2:6" ht="30" customHeight="1">
      <c r="B79" s="8" t="s">
        <v>87</v>
      </c>
      <c r="C79" s="11">
        <v>45982</v>
      </c>
      <c r="D79" s="11">
        <v>45982</v>
      </c>
      <c r="E79" s="8" t="s">
        <v>94</v>
      </c>
      <c r="F79" s="10">
        <f ca="1">NETWORKDAYS(LeaveTracker[[#This Row],[Start date]],LeaveTracker[[#This Row],[End date]],lstHolidays)</f>
        <v>1</v>
      </c>
    </row>
    <row r="80" spans="2:6" ht="30" hidden="1" customHeight="1">
      <c r="B80" s="8" t="s">
        <v>105</v>
      </c>
      <c r="C80" s="11">
        <v>45974</v>
      </c>
      <c r="D80" s="11">
        <v>45982</v>
      </c>
      <c r="E80" s="8" t="s">
        <v>88</v>
      </c>
      <c r="F80" s="10">
        <f ca="1">NETWORKDAYS(LeaveTracker[[#This Row],[Start date]],LeaveTracker[[#This Row],[End date]],lstHolidays)</f>
        <v>7</v>
      </c>
    </row>
    <row r="81" spans="2:6" ht="30" hidden="1" customHeight="1">
      <c r="B81" s="8" t="s">
        <v>103</v>
      </c>
      <c r="C81" s="11">
        <v>45981</v>
      </c>
      <c r="D81" s="11">
        <v>45982</v>
      </c>
      <c r="E81" s="8" t="s">
        <v>88</v>
      </c>
      <c r="F81" s="10">
        <f ca="1">NETWORKDAYS(LeaveTracker[[#This Row],[Start date]],LeaveTracker[[#This Row],[End date]],lstHolidays)</f>
        <v>2</v>
      </c>
    </row>
    <row r="82" spans="2:6" ht="30" customHeight="1">
      <c r="B82" s="8" t="s">
        <v>97</v>
      </c>
      <c r="C82" s="11">
        <v>45982</v>
      </c>
      <c r="D82" s="11">
        <v>45982</v>
      </c>
      <c r="E82" s="8" t="s">
        <v>88</v>
      </c>
      <c r="F82" s="10">
        <f ca="1">NETWORKDAYS(LeaveTracker[[#This Row],[Start date]],LeaveTracker[[#This Row],[End date]],lstHolidays)</f>
        <v>1</v>
      </c>
    </row>
    <row r="83" spans="2:6" ht="30" customHeight="1">
      <c r="B83" s="8" t="s">
        <v>108</v>
      </c>
      <c r="C83" s="11">
        <v>45982</v>
      </c>
      <c r="D83" s="11">
        <v>45982</v>
      </c>
      <c r="E83" s="8" t="s">
        <v>63</v>
      </c>
      <c r="F83" s="10">
        <f ca="1">NETWORKDAYS(LeaveTracker[[#This Row],[Start date]],LeaveTracker[[#This Row],[End date]],lstHolidays)</f>
        <v>1</v>
      </c>
    </row>
    <row r="84" spans="2:6" ht="30" customHeight="1">
      <c r="B84" s="8" t="s">
        <v>101</v>
      </c>
      <c r="C84" s="11">
        <v>45993</v>
      </c>
      <c r="D84" s="11">
        <v>45993</v>
      </c>
      <c r="E84" s="8" t="s">
        <v>88</v>
      </c>
      <c r="F84" s="10">
        <f ca="1">NETWORKDAYS(LeaveTracker[[#This Row],[Start date]],LeaveTracker[[#This Row],[End date]],lstHolidays)</f>
        <v>1</v>
      </c>
    </row>
    <row r="85" spans="2:6" ht="30" customHeight="1">
      <c r="B85" s="8" t="s">
        <v>91</v>
      </c>
      <c r="C85" s="11">
        <v>45994</v>
      </c>
      <c r="D85" s="11">
        <v>45995</v>
      </c>
      <c r="E85" s="8" t="s">
        <v>88</v>
      </c>
      <c r="F85" s="10">
        <f ca="1">NETWORKDAYS(LeaveTracker[[#This Row],[Start date]],LeaveTracker[[#This Row],[End date]],lstHolidays)</f>
        <v>2</v>
      </c>
    </row>
    <row r="86" spans="2:6" ht="30" customHeight="1">
      <c r="B86" s="8" t="s">
        <v>80</v>
      </c>
      <c r="C86" s="11">
        <v>46008</v>
      </c>
      <c r="D86" s="11">
        <v>46008</v>
      </c>
      <c r="E86" s="8" t="s">
        <v>69</v>
      </c>
      <c r="F86" s="10">
        <f ca="1">NETWORKDAYS(LeaveTracker[[#This Row],[Start date]],LeaveTracker[[#This Row],[End date]],lstHolidays)</f>
        <v>1</v>
      </c>
    </row>
  </sheetData>
  <dataValidations count="11">
    <dataValidation allowBlank="1" showInputMessage="1" showErrorMessage="1" prompt="Log employee leave in the table in this worksheet" sqref="A1" xr:uid="{00000000-0002-0000-0100-000002000000}"/>
    <dataValidation allowBlank="1" showInputMessage="1" showErrorMessage="1" prompt="The below table is used in Calendar View to automatically update an employee’s annual attendance record. Use table filters to get entries for specific employee or type of leave" sqref="B2" xr:uid="{00000000-0002-0000-0100-000003000000}"/>
    <dataValidation allowBlank="1" showInputMessage="1" showErrorMessage="1" prompt="Select an employee name in this column. Press ALT+DOWN ARROW to open the drop-down list, and ENTER to select the employee name" sqref="B3" xr:uid="{00000000-0002-0000-0100-000004000000}"/>
    <dataValidation type="list" errorStyle="warning" allowBlank="1" showInputMessage="1" showErrorMessage="1" error="Select employee name from the list. Select CANCEL, and press ALT+DOWN ARROW to select employee name from the drop-down list" sqref="B4:B30" xr:uid="{00000000-0002-0000-0100-000005000000}">
      <formula1>lstEmployees</formula1>
    </dataValidation>
    <dataValidation allowBlank="1" showInputMessage="1" showErrorMessage="1" prompt="Enter leave start date in this column_x000a_" sqref="C3" xr:uid="{00000000-0002-0000-0100-000006000000}"/>
    <dataValidation allowBlank="1" showInputMessage="1" showErrorMessage="1" prompt="Enter leave end date in this column" sqref="D3" xr:uid="{00000000-0002-0000-0100-000007000000}"/>
    <dataValidation allowBlank="1" showInputMessage="1" showErrorMessage="1" prompt="Select type of leave in this column. Press ALT+DOWN ARROW to open the drop-down list, and press ENTER to select the type of leave" sqref="E3" xr:uid="{00000000-0002-0000-0100-000008000000}"/>
    <dataValidation allowBlank="1" showInputMessage="1" showErrorMessage="1" prompt="Total number of days is automatically calculated in this column" sqref="F3" xr:uid="{00000000-0002-0000-0100-000009000000}"/>
    <dataValidation allowBlank="1" showInputMessage="1" showErrorMessage="1" prompt="Worksheet title is in this cell" sqref="B1" xr:uid="{00000000-0002-0000-0100-00000A000000}"/>
    <dataValidation type="list" errorStyle="warning" allowBlank="1" showInputMessage="1" showErrorMessage="1" error="Select type of leave from the list. Select CANCEL, and press ALT+DOWN ARROW to select type of leave from the drop-down list" sqref="E4:E86" xr:uid="{00000000-0002-0000-0100-000000000000}">
      <formula1>lstHolidayTypes</formula1>
    </dataValidation>
    <dataValidation type="list" errorStyle="information" allowBlank="1" showInputMessage="1" showErrorMessage="1" errorTitle="Unknown Employee" error="Please select an employee from the list. To modify the list, on the Settings tab, add or remove employees from the List of Employees table." sqref="B31:B755" xr:uid="{00000000-0002-0000-0100-000001000000}">
      <formula1>lstEmployees</formula1>
    </dataValidation>
  </dataValidations>
  <pageMargins left="0.7" right="0.7" top="0.75" bottom="0.75" header="0.3" footer="0.3"/>
  <pageSetup scale="94" fitToHeight="0" orientation="portrait" r:id="rId1"/>
  <headerFooter>
    <oddFooter>&amp;C_x000D_&amp;1#&amp;"Arial"&amp;8&amp;K2E404D Sensitivity Label: General</oddFooter>
  </headerFooter>
  <ignoredErrors>
    <ignoredError sqref="D6 C7 D10" formula="1"/>
  </ignoredErrors>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2" tint="-0.499984740745262"/>
    <pageSetUpPr fitToPage="1"/>
  </sheetPr>
  <dimension ref="B1:B55"/>
  <sheetViews>
    <sheetView showGridLines="0" workbookViewId="0">
      <selection activeCell="B4" sqref="B4"/>
    </sheetView>
  </sheetViews>
  <sheetFormatPr defaultRowHeight="30" customHeight="1"/>
  <cols>
    <col min="1" max="1" width="2.5" customWidth="1"/>
    <col min="2" max="2" width="32.5" customWidth="1"/>
    <col min="3" max="3" width="3.25" customWidth="1"/>
  </cols>
  <sheetData>
    <row r="1" spans="2:2" ht="40.15" customHeight="1">
      <c r="B1" s="18" t="s">
        <v>117</v>
      </c>
    </row>
    <row r="2" spans="2:2" ht="15" customHeight="1"/>
    <row r="3" spans="2:2" ht="30" customHeight="1">
      <c r="B3" s="9" t="s">
        <v>118</v>
      </c>
    </row>
    <row r="4" spans="2:2" ht="30" customHeight="1">
      <c r="B4" s="25" t="s">
        <v>112</v>
      </c>
    </row>
    <row r="5" spans="2:2" ht="30" customHeight="1">
      <c r="B5" s="25" t="s">
        <v>119</v>
      </c>
    </row>
    <row r="6" spans="2:2" ht="30" customHeight="1">
      <c r="B6" s="25" t="s">
        <v>111</v>
      </c>
    </row>
    <row r="7" spans="2:2" ht="30" customHeight="1">
      <c r="B7" s="19" t="s">
        <v>90</v>
      </c>
    </row>
    <row r="8" spans="2:2" ht="30" customHeight="1">
      <c r="B8" s="19" t="s">
        <v>104</v>
      </c>
    </row>
    <row r="9" spans="2:2" ht="30" customHeight="1">
      <c r="B9" s="20" t="s">
        <v>80</v>
      </c>
    </row>
    <row r="10" spans="2:2" ht="30" customHeight="1">
      <c r="B10" s="25" t="s">
        <v>120</v>
      </c>
    </row>
    <row r="11" spans="2:2" ht="30" customHeight="1">
      <c r="B11" s="25" t="s">
        <v>113</v>
      </c>
    </row>
    <row r="12" spans="2:2" ht="30" customHeight="1">
      <c r="B12" s="25" t="s">
        <v>121</v>
      </c>
    </row>
    <row r="13" spans="2:2" ht="30" customHeight="1">
      <c r="B13" s="19" t="s">
        <v>105</v>
      </c>
    </row>
    <row r="14" spans="2:2" ht="30" customHeight="1">
      <c r="B14" s="19" t="s">
        <v>122</v>
      </c>
    </row>
    <row r="15" spans="2:2" ht="30" customHeight="1">
      <c r="B15" s="20" t="s">
        <v>123</v>
      </c>
    </row>
    <row r="16" spans="2:2" ht="30" customHeight="1">
      <c r="B16" s="19" t="s">
        <v>87</v>
      </c>
    </row>
    <row r="17" spans="2:2" ht="30" customHeight="1">
      <c r="B17" s="19" t="s">
        <v>85</v>
      </c>
    </row>
    <row r="18" spans="2:2" ht="30" customHeight="1">
      <c r="B18" s="22" t="s">
        <v>103</v>
      </c>
    </row>
    <row r="19" spans="2:2" ht="30" customHeight="1">
      <c r="B19" s="22" t="s">
        <v>96</v>
      </c>
    </row>
    <row r="20" spans="2:2" ht="30" customHeight="1">
      <c r="B20" s="25" t="s">
        <v>115</v>
      </c>
    </row>
    <row r="21" spans="2:2" ht="30" customHeight="1">
      <c r="B21" s="19" t="s">
        <v>124</v>
      </c>
    </row>
    <row r="22" spans="2:2" ht="30" customHeight="1">
      <c r="B22" s="19" t="s">
        <v>97</v>
      </c>
    </row>
    <row r="23" spans="2:2" ht="30" customHeight="1">
      <c r="B23" s="25" t="s">
        <v>116</v>
      </c>
    </row>
    <row r="24" spans="2:2" ht="30" customHeight="1">
      <c r="B24" s="19" t="s">
        <v>125</v>
      </c>
    </row>
    <row r="25" spans="2:2" ht="30" customHeight="1">
      <c r="B25" s="19" t="s">
        <v>106</v>
      </c>
    </row>
    <row r="26" spans="2:2" ht="30" customHeight="1">
      <c r="B26" s="21" t="s">
        <v>126</v>
      </c>
    </row>
    <row r="27" spans="2:2" ht="30" customHeight="1">
      <c r="B27" s="21" t="s">
        <v>127</v>
      </c>
    </row>
    <row r="28" spans="2:2" ht="30" customHeight="1">
      <c r="B28" s="21" t="s">
        <v>101</v>
      </c>
    </row>
    <row r="29" spans="2:2" ht="30" customHeight="1">
      <c r="B29" s="21" t="s">
        <v>98</v>
      </c>
    </row>
    <row r="30" spans="2:2" ht="30" customHeight="1">
      <c r="B30" s="25" t="s">
        <v>128</v>
      </c>
    </row>
    <row r="31" spans="2:2" ht="30" customHeight="1">
      <c r="B31" s="19" t="s">
        <v>129</v>
      </c>
    </row>
    <row r="32" spans="2:2" ht="30" customHeight="1">
      <c r="B32" s="25" t="s">
        <v>130</v>
      </c>
    </row>
    <row r="33" spans="2:2" ht="30" customHeight="1">
      <c r="B33" s="19" t="s">
        <v>78</v>
      </c>
    </row>
    <row r="34" spans="2:2" ht="30" customHeight="1">
      <c r="B34" s="25" t="s">
        <v>114</v>
      </c>
    </row>
    <row r="35" spans="2:2" ht="30" customHeight="1">
      <c r="B35" s="19" t="s">
        <v>108</v>
      </c>
    </row>
    <row r="36" spans="2:2" ht="30" customHeight="1">
      <c r="B36" s="19" t="s">
        <v>131</v>
      </c>
    </row>
    <row r="37" spans="2:2" ht="30" customHeight="1">
      <c r="B37" s="26" t="s">
        <v>132</v>
      </c>
    </row>
    <row r="38" spans="2:2" ht="30" customHeight="1">
      <c r="B38" s="26" t="s">
        <v>99</v>
      </c>
    </row>
    <row r="39" spans="2:2" ht="30" customHeight="1">
      <c r="B39" s="28" t="s">
        <v>102</v>
      </c>
    </row>
    <row r="40" spans="2:2" ht="30" customHeight="1">
      <c r="B40" s="26" t="s">
        <v>133</v>
      </c>
    </row>
    <row r="41" spans="2:2" ht="30" customHeight="1">
      <c r="B41" s="24" t="s">
        <v>134</v>
      </c>
    </row>
    <row r="42" spans="2:2" ht="30" customHeight="1">
      <c r="B42" s="27" t="s">
        <v>110</v>
      </c>
    </row>
    <row r="43" spans="2:2" ht="30" customHeight="1">
      <c r="B43" s="27" t="s">
        <v>135</v>
      </c>
    </row>
    <row r="44" spans="2:2" ht="30" customHeight="1">
      <c r="B44" s="24" t="s">
        <v>136</v>
      </c>
    </row>
    <row r="45" spans="2:2" ht="30" customHeight="1">
      <c r="B45" s="24" t="s">
        <v>137</v>
      </c>
    </row>
    <row r="46" spans="2:2" ht="30" customHeight="1">
      <c r="B46" s="27" t="s">
        <v>100</v>
      </c>
    </row>
    <row r="47" spans="2:2" ht="30" customHeight="1">
      <c r="B47" s="27" t="s">
        <v>107</v>
      </c>
    </row>
    <row r="48" spans="2:2" ht="30" customHeight="1">
      <c r="B48" s="24" t="s">
        <v>138</v>
      </c>
    </row>
    <row r="49" spans="2:2" ht="30" customHeight="1">
      <c r="B49" s="24" t="s">
        <v>139</v>
      </c>
    </row>
    <row r="50" spans="2:2" ht="30" customHeight="1">
      <c r="B50" s="27" t="s">
        <v>2</v>
      </c>
    </row>
    <row r="51" spans="2:2" ht="30" customHeight="1">
      <c r="B51" s="27" t="s">
        <v>89</v>
      </c>
    </row>
    <row r="52" spans="2:2" ht="30" customHeight="1">
      <c r="B52" s="24" t="s">
        <v>140</v>
      </c>
    </row>
    <row r="53" spans="2:2" ht="30" customHeight="1">
      <c r="B53" s="24" t="s">
        <v>141</v>
      </c>
    </row>
    <row r="54" spans="2:2" ht="30" customHeight="1">
      <c r="B54" s="24" t="s">
        <v>142</v>
      </c>
    </row>
    <row r="55" spans="2:2" ht="30" customHeight="1">
      <c r="B55" s="27" t="s">
        <v>83</v>
      </c>
    </row>
  </sheetData>
  <dataValidations count="3">
    <dataValidation allowBlank="1" showInputMessage="1" showErrorMessage="1" prompt="Add employees in this worksheet. Entries in this table are used for selection in Calendar View and Employee Leave Tracker worksheets" sqref="A1" xr:uid="{00000000-0002-0000-0200-000000000000}"/>
    <dataValidation allowBlank="1" showInputMessage="1" showErrorMessage="1" prompt="Worksheet title is in this cell" sqref="B1" xr:uid="{00000000-0002-0000-0200-000001000000}"/>
    <dataValidation allowBlank="1" showInputMessage="1" showErrorMessage="1" prompt="Employee names are in this column under this heading" sqref="B3" xr:uid="{00000000-0002-0000-0200-000002000000}"/>
  </dataValidations>
  <pageMargins left="0.7" right="0.7" top="0.75" bottom="0.75" header="0.3" footer="0.3"/>
  <pageSetup fitToHeight="0" orientation="portrait" r:id="rId1"/>
  <headerFooter>
    <oddFooter>&amp;C_x000D_&amp;1#&amp;"Arial"&amp;8&amp;K2E404D Sensitivity Label: General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pageSetUpPr fitToPage="1"/>
  </sheetPr>
  <dimension ref="B1:B15"/>
  <sheetViews>
    <sheetView showGridLines="0" topLeftCell="A6" workbookViewId="0">
      <selection activeCell="B16" sqref="B16"/>
    </sheetView>
  </sheetViews>
  <sheetFormatPr defaultRowHeight="30" customHeight="1"/>
  <cols>
    <col min="1" max="1" width="2.5" customWidth="1"/>
    <col min="2" max="2" width="26.5" customWidth="1"/>
    <col min="3" max="3" width="3.25" customWidth="1"/>
  </cols>
  <sheetData>
    <row r="1" spans="2:2" ht="40.15" customHeight="1">
      <c r="B1" s="18" t="s">
        <v>143</v>
      </c>
    </row>
    <row r="2" spans="2:2" ht="15" customHeight="1"/>
    <row r="3" spans="2:2" ht="30" customHeight="1">
      <c r="B3" s="9" t="s">
        <v>144</v>
      </c>
    </row>
    <row r="4" spans="2:2" ht="30" customHeight="1">
      <c r="B4" s="8" t="s">
        <v>88</v>
      </c>
    </row>
    <row r="5" spans="2:2" ht="30" customHeight="1">
      <c r="B5" s="8" t="s">
        <v>63</v>
      </c>
    </row>
    <row r="6" spans="2:2" ht="30" customHeight="1">
      <c r="B6" s="8" t="s">
        <v>79</v>
      </c>
    </row>
    <row r="7" spans="2:2" ht="30" customHeight="1">
      <c r="B7" s="8" t="s">
        <v>95</v>
      </c>
    </row>
    <row r="8" spans="2:2" ht="30" customHeight="1">
      <c r="B8" s="8" t="s">
        <v>94</v>
      </c>
    </row>
    <row r="9" spans="2:2" ht="30" customHeight="1">
      <c r="B9" s="8" t="s">
        <v>67</v>
      </c>
    </row>
    <row r="10" spans="2:2" ht="30" customHeight="1">
      <c r="B10" s="8" t="s">
        <v>68</v>
      </c>
    </row>
    <row r="11" spans="2:2" ht="30" customHeight="1">
      <c r="B11" s="8" t="s">
        <v>69</v>
      </c>
    </row>
    <row r="12" spans="2:2" ht="30" customHeight="1">
      <c r="B12" s="8" t="s">
        <v>70</v>
      </c>
    </row>
    <row r="13" spans="2:2" ht="30" customHeight="1">
      <c r="B13" s="8" t="s">
        <v>109</v>
      </c>
    </row>
    <row r="14" spans="2:2" ht="30" customHeight="1">
      <c r="B14" s="8" t="s">
        <v>71</v>
      </c>
    </row>
    <row r="15" spans="2:2" ht="30" customHeight="1">
      <c r="B15" s="8" t="s">
        <v>93</v>
      </c>
    </row>
  </sheetData>
  <dataValidations count="3">
    <dataValidation allowBlank="1" showInputMessage="1" showErrorMessage="1" prompt="Enter leave types in this column under this heading" sqref="B3" xr:uid="{00000000-0002-0000-0300-000000000000}"/>
    <dataValidation allowBlank="1" showInputMessage="1" showErrorMessage="1" prompt="Enter leave types in the table in this worksheet. Entries will be used for selection in Leave Tracker table in Employee Leave Tracker worksheet" sqref="A1" xr:uid="{00000000-0002-0000-0300-000001000000}"/>
    <dataValidation allowBlank="1" showInputMessage="1" showErrorMessage="1" prompt="Worksheet title is in this cell" sqref="B1" xr:uid="{00000000-0002-0000-0300-000002000000}"/>
  </dataValidations>
  <pageMargins left="0.7" right="0.7" top="0.75" bottom="0.75" header="0.3" footer="0.3"/>
  <pageSetup fitToHeight="0" orientation="portrait" r:id="rId1"/>
  <headerFooter>
    <oddFooter>&amp;C_x000D_&amp;1#&amp;"Arial"&amp;8&amp;K2E404D Sensitivity Label: General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pageSetUpPr fitToPage="1"/>
  </sheetPr>
  <dimension ref="B1:C16"/>
  <sheetViews>
    <sheetView showGridLines="0" workbookViewId="0">
      <selection activeCell="A14" sqref="A14"/>
    </sheetView>
  </sheetViews>
  <sheetFormatPr defaultRowHeight="30" customHeight="1"/>
  <cols>
    <col min="1" max="1" width="2.5" customWidth="1"/>
    <col min="2" max="2" width="26.5" customWidth="1"/>
    <col min="3" max="3" width="26.375" bestFit="1" customWidth="1"/>
    <col min="4" max="4" width="2.5" customWidth="1"/>
  </cols>
  <sheetData>
    <row r="1" spans="2:3" ht="40.15" customHeight="1">
      <c r="B1" s="18" t="s">
        <v>145</v>
      </c>
    </row>
    <row r="2" spans="2:3" ht="15" customHeight="1"/>
    <row r="3" spans="2:3" ht="30" customHeight="1">
      <c r="B3" s="9" t="s">
        <v>145</v>
      </c>
      <c r="C3" s="9" t="s">
        <v>146</v>
      </c>
    </row>
    <row r="4" spans="2:3" ht="30" customHeight="1">
      <c r="B4" s="11">
        <f ca="1">DATE(YEAR(TODAY()),1,1)</f>
        <v>46023</v>
      </c>
      <c r="C4" s="8" t="s">
        <v>147</v>
      </c>
    </row>
    <row r="5" spans="2:3" ht="30" customHeight="1">
      <c r="B5" s="11">
        <f ca="1">DATE(YEAR(TODAY()),2,17)</f>
        <v>46070</v>
      </c>
      <c r="C5" s="8" t="s">
        <v>148</v>
      </c>
    </row>
    <row r="6" spans="2:3" ht="30" customHeight="1">
      <c r="B6" s="11">
        <f ca="1">DATE(YEAR(TODAY()),4,17)</f>
        <v>46129</v>
      </c>
      <c r="C6" s="8" t="s">
        <v>149</v>
      </c>
    </row>
    <row r="7" spans="2:3" ht="30" customHeight="1">
      <c r="B7" s="11">
        <f ca="1">DATE(YEAR(TODAY()),4,18)</f>
        <v>46130</v>
      </c>
      <c r="C7" s="8" t="s">
        <v>150</v>
      </c>
    </row>
    <row r="8" spans="2:3" ht="30" customHeight="1">
      <c r="B8" s="11">
        <f ca="1">DATE(YEAR(TODAY()),5,1)</f>
        <v>46143</v>
      </c>
      <c r="C8" s="8" t="s">
        <v>151</v>
      </c>
    </row>
    <row r="9" spans="2:3" ht="30" customHeight="1">
      <c r="B9" s="11">
        <f ca="1">DATE(YEAR(TODAY()),6,12)</f>
        <v>46185</v>
      </c>
      <c r="C9" s="8" t="s">
        <v>152</v>
      </c>
    </row>
    <row r="10" spans="2:3" ht="30" customHeight="1">
      <c r="B10" s="11">
        <f ca="1">DATE(YEAR(TODAY()),7,1)</f>
        <v>46204</v>
      </c>
      <c r="C10" s="8" t="s">
        <v>153</v>
      </c>
    </row>
    <row r="11" spans="2:3" ht="30" customHeight="1">
      <c r="B11" s="11">
        <f ca="1">DATE(YEAR(TODAY()),9,1)</f>
        <v>46266</v>
      </c>
      <c r="C11" s="8" t="s">
        <v>154</v>
      </c>
    </row>
    <row r="12" spans="2:3" ht="30" customHeight="1">
      <c r="B12" s="11">
        <f ca="1">DATE(YEAR(TODAY()),10,13)</f>
        <v>46308</v>
      </c>
      <c r="C12" s="8" t="s">
        <v>155</v>
      </c>
    </row>
    <row r="13" spans="2:3" ht="30" customHeight="1">
      <c r="B13" s="11">
        <f ca="1">DATE(YEAR(TODAY()),11,1)</f>
        <v>46327</v>
      </c>
      <c r="C13" s="8" t="s">
        <v>156</v>
      </c>
    </row>
    <row r="14" spans="2:3" ht="30" customHeight="1">
      <c r="B14" s="11">
        <f ca="1">DATE(YEAR(TODAY()),12,24)</f>
        <v>46380</v>
      </c>
      <c r="C14" s="8" t="s">
        <v>157</v>
      </c>
    </row>
    <row r="15" spans="2:3" ht="30" customHeight="1">
      <c r="B15" s="11">
        <f ca="1">DATE(YEAR(TODAY()),12,25)</f>
        <v>46381</v>
      </c>
      <c r="C15" s="8" t="s">
        <v>158</v>
      </c>
    </row>
    <row r="16" spans="2:3" ht="30" customHeight="1">
      <c r="B16" s="11">
        <f ca="1">DATE(YEAR(TODAY()),12,31)</f>
        <v>46387</v>
      </c>
      <c r="C16" s="8" t="s">
        <v>159</v>
      </c>
    </row>
  </sheetData>
  <dataValidations count="4">
    <dataValidation allowBlank="1" showInputMessage="1" showErrorMessage="1" prompt="Enter Holiday date in this column under this heading" sqref="B3" xr:uid="{00000000-0002-0000-0400-000000000000}"/>
    <dataValidation allowBlank="1" showInputMessage="1" showErrorMessage="1" prompt="Enter description in this column under this heading" sqref="C3" xr:uid="{00000000-0002-0000-0400-000001000000}"/>
    <dataValidation allowBlank="1" showInputMessage="1" showErrorMessage="1" prompt="Enter company holidays in the table in this worksheet" sqref="A1" xr:uid="{00000000-0002-0000-0400-000002000000}"/>
    <dataValidation allowBlank="1" showInputMessage="1" showErrorMessage="1" prompt="Worksheet title is in this cell" sqref="B1" xr:uid="{00000000-0002-0000-0400-000003000000}"/>
  </dataValidations>
  <pageMargins left="0.7" right="0.7" top="0.75" bottom="0.75" header="0.3" footer="0.3"/>
  <pageSetup fitToHeight="0" orientation="portrait" r:id="rId1"/>
  <headerFooter>
    <oddFooter>&amp;C_x000D_&amp;1#&amp;"Arial"&amp;8&amp;K2E404D Sensitivity Label: General</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981572050E6F4BBD129C2AA2DED0A0" ma:contentTypeVersion="6" ma:contentTypeDescription="Create a new document." ma:contentTypeScope="" ma:versionID="53276b7be5dfda56dc235f98a0718e39">
  <xsd:schema xmlns:xsd="http://www.w3.org/2001/XMLSchema" xmlns:xs="http://www.w3.org/2001/XMLSchema" xmlns:p="http://schemas.microsoft.com/office/2006/metadata/properties" xmlns:ns2="861adf3d-1412-4842-9367-b5bdf30a3f84" xmlns:ns3="e81dcfd3-bb5b-4c01-b359-5c535f40575b" targetNamespace="http://schemas.microsoft.com/office/2006/metadata/properties" ma:root="true" ma:fieldsID="6392964e17ae9105f0fdcf8baa698ff5" ns2:_="" ns3:_="">
    <xsd:import namespace="861adf3d-1412-4842-9367-b5bdf30a3f84"/>
    <xsd:import namespace="e81dcfd3-bb5b-4c01-b359-5c535f40575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1adf3d-1412-4842-9367-b5bdf30a3f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1dcfd3-bb5b-4c01-b359-5c535f4057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85FB12-DE21-4CDB-8D63-8A9AD5A8048E}"/>
</file>

<file path=customXml/itemProps2.xml><?xml version="1.0" encoding="utf-8"?>
<ds:datastoreItem xmlns:ds="http://schemas.openxmlformats.org/officeDocument/2006/customXml" ds:itemID="{98E32381-11FD-48B6-9732-8BE4AB0B2564}"/>
</file>

<file path=customXml/itemProps3.xml><?xml version="1.0" encoding="utf-8"?>
<ds:datastoreItem xmlns:ds="http://schemas.openxmlformats.org/officeDocument/2006/customXml" ds:itemID="{B3075A7B-F30D-47F1-AEFA-B156454BD28E}"/>
</file>

<file path=docProps/app.xml><?xml version="1.0" encoding="utf-8"?>
<Properties xmlns="http://schemas.openxmlformats.org/officeDocument/2006/extended-properties" xmlns:vt="http://schemas.openxmlformats.org/officeDocument/2006/docPropsVTypes">
  <Template>TM02780235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Gilisa Roberts</cp:lastModifiedBy>
  <cp:revision/>
  <dcterms:created xsi:type="dcterms:W3CDTF">2022-11-06T05:48:25Z</dcterms:created>
  <dcterms:modified xsi:type="dcterms:W3CDTF">2026-01-02T21:34:06Z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0x01010019981572050E6F4BBD129C2AA2DED0A0</vt:lpwstr>
  </property>
  <property fmtid="{D5CDD505-2E9C-101B-9397-08002B2CF9AE}" pid="3" name="MSIP_Label_4637e5cc-ed1f-4ad6-a881-35c0f1c6f3d8_Enabled">
    <vt:lpwstr>true</vt:lpwstr>
  </property>
  <property fmtid="{D5CDD505-2E9C-101B-9397-08002B2CF9AE}" pid="4" name="MSIP_Label_4637e5cc-ed1f-4ad6-a881-35c0f1c6f3d8_SetDate">
    <vt:lpwstr>2025-01-23T15:26:08Z</vt:lpwstr>
  </property>
  <property fmtid="{D5CDD505-2E9C-101B-9397-08002B2CF9AE}" pid="5" name="MSIP_Label_4637e5cc-ed1f-4ad6-a881-35c0f1c6f3d8_Method">
    <vt:lpwstr>Standard</vt:lpwstr>
  </property>
  <property fmtid="{D5CDD505-2E9C-101B-9397-08002B2CF9AE}" pid="6" name="MSIP_Label_4637e5cc-ed1f-4ad6-a881-35c0f1c6f3d8_Name">
    <vt:lpwstr>General</vt:lpwstr>
  </property>
  <property fmtid="{D5CDD505-2E9C-101B-9397-08002B2CF9AE}" pid="7" name="MSIP_Label_4637e5cc-ed1f-4ad6-a881-35c0f1c6f3d8_SiteId">
    <vt:lpwstr>e3cf3c98-a978-465f-8254-9d541eeea73c</vt:lpwstr>
  </property>
  <property fmtid="{D5CDD505-2E9C-101B-9397-08002B2CF9AE}" pid="8" name="MSIP_Label_4637e5cc-ed1f-4ad6-a881-35c0f1c6f3d8_ActionId">
    <vt:lpwstr>41896da0-6717-4274-bbbf-a608f2530575</vt:lpwstr>
  </property>
  <property fmtid="{D5CDD505-2E9C-101B-9397-08002B2CF9AE}" pid="9" name="MSIP_Label_4637e5cc-ed1f-4ad6-a881-35c0f1c6f3d8_ContentBits">
    <vt:lpwstr>2</vt:lpwstr>
  </property>
</Properties>
</file>