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bpontt.sharepoint.com/sites/Training/Training Managers/KPI Tracking/PCB and Enterprise/"/>
    </mc:Choice>
  </mc:AlternateContent>
  <xr:revisionPtr revIDLastSave="2832" documentId="8_{E8574EC2-E373-4D1E-84C1-93AD3430FF25}" xr6:coauthVersionLast="47" xr6:coauthVersionMax="47" xr10:uidLastSave="{C5A77C9A-CFB6-488A-9CD2-89797DD3F2E6}"/>
  <bookViews>
    <workbookView xWindow="-120" yWindow="-18120" windowWidth="29040" windowHeight="17520" activeTab="2" xr2:uid="{00000000-000D-0000-FFFF-FFFF00000000}"/>
  </bookViews>
  <sheets>
    <sheet name="Dashboard" sheetId="1" r:id="rId1"/>
    <sheet name="Q1" sheetId="5" r:id="rId2"/>
    <sheet name="Q2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calcPr calcId="191028"/>
  <pivotCaches>
    <pivotCache cacheId="8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1" i="6" l="1"/>
  <c r="J363" i="6"/>
  <c r="K363" i="6"/>
  <c r="L363" i="6"/>
  <c r="M363" i="6"/>
  <c r="N363" i="6"/>
  <c r="O363" i="6"/>
  <c r="P363" i="6"/>
  <c r="Q363" i="6"/>
  <c r="R363" i="6"/>
  <c r="J364" i="6"/>
  <c r="K364" i="6"/>
  <c r="L364" i="6"/>
  <c r="L361" i="6" s="1"/>
  <c r="M364" i="6"/>
  <c r="N364" i="6"/>
  <c r="O364" i="6"/>
  <c r="P364" i="6"/>
  <c r="Q364" i="6"/>
  <c r="R364" i="6"/>
  <c r="J365" i="6"/>
  <c r="K365" i="6"/>
  <c r="L365" i="6"/>
  <c r="M365" i="6"/>
  <c r="N365" i="6"/>
  <c r="O365" i="6"/>
  <c r="O361" i="6" s="1"/>
  <c r="P365" i="6"/>
  <c r="Q365" i="6"/>
  <c r="R365" i="6"/>
  <c r="J366" i="6"/>
  <c r="K366" i="6"/>
  <c r="L366" i="6"/>
  <c r="M366" i="6"/>
  <c r="N366" i="6"/>
  <c r="O366" i="6"/>
  <c r="P366" i="6"/>
  <c r="Q366" i="6"/>
  <c r="R366" i="6"/>
  <c r="R361" i="6" s="1"/>
  <c r="J367" i="6"/>
  <c r="K367" i="6"/>
  <c r="L367" i="6"/>
  <c r="M367" i="6"/>
  <c r="N367" i="6"/>
  <c r="O367" i="6"/>
  <c r="P367" i="6"/>
  <c r="Q367" i="6"/>
  <c r="R367" i="6"/>
  <c r="J368" i="6"/>
  <c r="K368" i="6"/>
  <c r="L368" i="6"/>
  <c r="M368" i="6"/>
  <c r="N368" i="6"/>
  <c r="O368" i="6"/>
  <c r="P368" i="6"/>
  <c r="Q368" i="6"/>
  <c r="R368" i="6"/>
  <c r="J369" i="6"/>
  <c r="K369" i="6"/>
  <c r="L369" i="6"/>
  <c r="M369" i="6"/>
  <c r="N369" i="6"/>
  <c r="O369" i="6"/>
  <c r="P369" i="6"/>
  <c r="Q369" i="6"/>
  <c r="R369" i="6"/>
  <c r="J370" i="6"/>
  <c r="K370" i="6"/>
  <c r="L370" i="6"/>
  <c r="M370" i="6"/>
  <c r="N370" i="6"/>
  <c r="O370" i="6"/>
  <c r="P370" i="6"/>
  <c r="Q370" i="6"/>
  <c r="R370" i="6"/>
  <c r="J371" i="6"/>
  <c r="K371" i="6"/>
  <c r="L371" i="6"/>
  <c r="M371" i="6"/>
  <c r="N371" i="6"/>
  <c r="O371" i="6"/>
  <c r="P371" i="6"/>
  <c r="Q371" i="6"/>
  <c r="R371" i="6"/>
  <c r="J372" i="6"/>
  <c r="K372" i="6"/>
  <c r="L372" i="6"/>
  <c r="M372" i="6"/>
  <c r="N372" i="6"/>
  <c r="O372" i="6"/>
  <c r="P372" i="6"/>
  <c r="Q372" i="6"/>
  <c r="R372" i="6"/>
  <c r="J373" i="6"/>
  <c r="K373" i="6"/>
  <c r="L373" i="6"/>
  <c r="M373" i="6"/>
  <c r="N373" i="6"/>
  <c r="O373" i="6"/>
  <c r="P373" i="6"/>
  <c r="Q373" i="6"/>
  <c r="R373" i="6"/>
  <c r="J374" i="6"/>
  <c r="K374" i="6"/>
  <c r="L374" i="6"/>
  <c r="M374" i="6"/>
  <c r="N374" i="6"/>
  <c r="O374" i="6"/>
  <c r="P374" i="6"/>
  <c r="Q374" i="6"/>
  <c r="R374" i="6"/>
  <c r="J375" i="6"/>
  <c r="K375" i="6"/>
  <c r="L375" i="6"/>
  <c r="M375" i="6"/>
  <c r="N375" i="6"/>
  <c r="O375" i="6"/>
  <c r="P375" i="6"/>
  <c r="Q375" i="6"/>
  <c r="R375" i="6"/>
  <c r="J376" i="6"/>
  <c r="K376" i="6"/>
  <c r="L376" i="6"/>
  <c r="M376" i="6"/>
  <c r="M361" i="6" s="1"/>
  <c r="N376" i="6"/>
  <c r="O376" i="6"/>
  <c r="P376" i="6"/>
  <c r="Q376" i="6"/>
  <c r="R376" i="6"/>
  <c r="J377" i="6"/>
  <c r="K377" i="6"/>
  <c r="L377" i="6"/>
  <c r="M377" i="6"/>
  <c r="N377" i="6"/>
  <c r="O377" i="6"/>
  <c r="P377" i="6"/>
  <c r="P361" i="6" s="1"/>
  <c r="Q377" i="6"/>
  <c r="R377" i="6"/>
  <c r="K362" i="6"/>
  <c r="L362" i="6"/>
  <c r="M362" i="6"/>
  <c r="N362" i="6"/>
  <c r="O362" i="6"/>
  <c r="P362" i="6"/>
  <c r="Q362" i="6"/>
  <c r="R362" i="6"/>
  <c r="J362" i="6"/>
  <c r="E363" i="6"/>
  <c r="F363" i="6"/>
  <c r="G363" i="6"/>
  <c r="H363" i="6"/>
  <c r="I363" i="6"/>
  <c r="E364" i="6"/>
  <c r="F364" i="6"/>
  <c r="G364" i="6"/>
  <c r="H364" i="6"/>
  <c r="I364" i="6"/>
  <c r="E365" i="6"/>
  <c r="F365" i="6"/>
  <c r="G365" i="6"/>
  <c r="H365" i="6"/>
  <c r="I365" i="6"/>
  <c r="E366" i="6"/>
  <c r="F366" i="6"/>
  <c r="G366" i="6"/>
  <c r="H366" i="6"/>
  <c r="I366" i="6"/>
  <c r="E367" i="6"/>
  <c r="F367" i="6"/>
  <c r="G367" i="6"/>
  <c r="H367" i="6"/>
  <c r="I367" i="6"/>
  <c r="E368" i="6"/>
  <c r="F368" i="6"/>
  <c r="G368" i="6"/>
  <c r="H368" i="6"/>
  <c r="I368" i="6"/>
  <c r="E369" i="6"/>
  <c r="F369" i="6"/>
  <c r="G369" i="6"/>
  <c r="H369" i="6"/>
  <c r="I369" i="6"/>
  <c r="E370" i="6"/>
  <c r="E361" i="6" s="1"/>
  <c r="F370" i="6"/>
  <c r="G370" i="6"/>
  <c r="H370" i="6"/>
  <c r="I370" i="6"/>
  <c r="E371" i="6"/>
  <c r="F371" i="6"/>
  <c r="G371" i="6"/>
  <c r="H371" i="6"/>
  <c r="I371" i="6"/>
  <c r="E372" i="6"/>
  <c r="F372" i="6"/>
  <c r="G372" i="6"/>
  <c r="H372" i="6"/>
  <c r="I372" i="6"/>
  <c r="E373" i="6"/>
  <c r="F373" i="6"/>
  <c r="G373" i="6"/>
  <c r="H373" i="6"/>
  <c r="I373" i="6"/>
  <c r="E374" i="6"/>
  <c r="F374" i="6"/>
  <c r="G374" i="6"/>
  <c r="H374" i="6"/>
  <c r="I374" i="6"/>
  <c r="E375" i="6"/>
  <c r="F375" i="6"/>
  <c r="G375" i="6"/>
  <c r="H375" i="6"/>
  <c r="I375" i="6"/>
  <c r="E376" i="6"/>
  <c r="F376" i="6"/>
  <c r="G376" i="6"/>
  <c r="H376" i="6"/>
  <c r="I376" i="6"/>
  <c r="E377" i="6"/>
  <c r="F377" i="6"/>
  <c r="G377" i="6"/>
  <c r="H377" i="6"/>
  <c r="I377" i="6"/>
  <c r="F362" i="6"/>
  <c r="G362" i="6"/>
  <c r="H362" i="6"/>
  <c r="I362" i="6"/>
  <c r="E362" i="6"/>
  <c r="C362" i="6"/>
  <c r="D363" i="6" a="1"/>
  <c r="D363" i="6" s="1"/>
  <c r="D364" i="6" a="1"/>
  <c r="D364" i="6" s="1"/>
  <c r="D365" i="6" a="1"/>
  <c r="D365" i="6" s="1"/>
  <c r="D366" i="6" a="1"/>
  <c r="D366" i="6" s="1"/>
  <c r="D367" i="6" a="1"/>
  <c r="D367" i="6" s="1"/>
  <c r="D368" i="6" a="1"/>
  <c r="D368" i="6" s="1"/>
  <c r="D369" i="6" a="1"/>
  <c r="D369" i="6" s="1"/>
  <c r="D370" i="6" a="1"/>
  <c r="D370" i="6" s="1"/>
  <c r="D371" i="6" a="1"/>
  <c r="D371" i="6"/>
  <c r="D372" i="6" a="1"/>
  <c r="D372" i="6"/>
  <c r="D373" i="6" a="1"/>
  <c r="D373" i="6" s="1"/>
  <c r="D374" i="6" a="1"/>
  <c r="D374" i="6" s="1"/>
  <c r="D375" i="6" a="1"/>
  <c r="D375" i="6" s="1"/>
  <c r="D376" i="6" a="1"/>
  <c r="D376" i="6"/>
  <c r="D377" i="6" a="1"/>
  <c r="D377" i="6" s="1"/>
  <c r="D362" i="6" a="1"/>
  <c r="D362" i="6" s="1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62" i="6"/>
  <c r="Q361" i="6"/>
  <c r="N361" i="6"/>
  <c r="K361" i="6"/>
  <c r="J361" i="6"/>
  <c r="J346" i="6"/>
  <c r="K346" i="6"/>
  <c r="L346" i="6"/>
  <c r="M346" i="6"/>
  <c r="N346" i="6"/>
  <c r="O346" i="6"/>
  <c r="P346" i="6"/>
  <c r="Q346" i="6"/>
  <c r="R346" i="6"/>
  <c r="J347" i="6"/>
  <c r="K347" i="6"/>
  <c r="L347" i="6"/>
  <c r="M347" i="6"/>
  <c r="N347" i="6"/>
  <c r="O347" i="6"/>
  <c r="P347" i="6"/>
  <c r="Q347" i="6"/>
  <c r="R347" i="6"/>
  <c r="J348" i="6"/>
  <c r="K348" i="6"/>
  <c r="L348" i="6"/>
  <c r="M348" i="6"/>
  <c r="N348" i="6"/>
  <c r="O348" i="6"/>
  <c r="P348" i="6"/>
  <c r="Q348" i="6"/>
  <c r="R348" i="6"/>
  <c r="J349" i="6"/>
  <c r="K349" i="6"/>
  <c r="L349" i="6"/>
  <c r="M349" i="6"/>
  <c r="N349" i="6"/>
  <c r="O349" i="6"/>
  <c r="P349" i="6"/>
  <c r="Q349" i="6"/>
  <c r="R349" i="6"/>
  <c r="J350" i="6"/>
  <c r="K350" i="6"/>
  <c r="L350" i="6"/>
  <c r="M350" i="6"/>
  <c r="N350" i="6"/>
  <c r="O350" i="6"/>
  <c r="P350" i="6"/>
  <c r="Q350" i="6"/>
  <c r="R350" i="6"/>
  <c r="J351" i="6"/>
  <c r="K351" i="6"/>
  <c r="L351" i="6"/>
  <c r="M351" i="6"/>
  <c r="N351" i="6"/>
  <c r="O351" i="6"/>
  <c r="P351" i="6"/>
  <c r="Q351" i="6"/>
  <c r="R351" i="6"/>
  <c r="J352" i="6"/>
  <c r="K352" i="6"/>
  <c r="L352" i="6"/>
  <c r="M352" i="6"/>
  <c r="N352" i="6"/>
  <c r="O352" i="6"/>
  <c r="P352" i="6"/>
  <c r="Q352" i="6"/>
  <c r="R352" i="6"/>
  <c r="J353" i="6"/>
  <c r="K353" i="6"/>
  <c r="L353" i="6"/>
  <c r="M353" i="6"/>
  <c r="N353" i="6"/>
  <c r="O353" i="6"/>
  <c r="P353" i="6"/>
  <c r="Q353" i="6"/>
  <c r="R353" i="6"/>
  <c r="J354" i="6"/>
  <c r="K354" i="6"/>
  <c r="L354" i="6"/>
  <c r="M354" i="6"/>
  <c r="N354" i="6"/>
  <c r="O354" i="6"/>
  <c r="P354" i="6"/>
  <c r="Q354" i="6"/>
  <c r="R354" i="6"/>
  <c r="J355" i="6"/>
  <c r="K355" i="6"/>
  <c r="L355" i="6"/>
  <c r="M355" i="6"/>
  <c r="N355" i="6"/>
  <c r="O355" i="6"/>
  <c r="P355" i="6"/>
  <c r="Q355" i="6"/>
  <c r="R355" i="6"/>
  <c r="J356" i="6"/>
  <c r="K356" i="6"/>
  <c r="L356" i="6"/>
  <c r="M356" i="6"/>
  <c r="N356" i="6"/>
  <c r="O356" i="6"/>
  <c r="P356" i="6"/>
  <c r="Q356" i="6"/>
  <c r="R356" i="6"/>
  <c r="J357" i="6"/>
  <c r="K357" i="6"/>
  <c r="L357" i="6"/>
  <c r="M357" i="6"/>
  <c r="N357" i="6"/>
  <c r="O357" i="6"/>
  <c r="P357" i="6"/>
  <c r="Q357" i="6"/>
  <c r="R357" i="6"/>
  <c r="J358" i="6"/>
  <c r="K358" i="6"/>
  <c r="L358" i="6"/>
  <c r="M358" i="6"/>
  <c r="N358" i="6"/>
  <c r="O358" i="6"/>
  <c r="P358" i="6"/>
  <c r="Q358" i="6"/>
  <c r="R358" i="6"/>
  <c r="J359" i="6"/>
  <c r="K359" i="6"/>
  <c r="L359" i="6"/>
  <c r="M359" i="6"/>
  <c r="N359" i="6"/>
  <c r="O359" i="6"/>
  <c r="P359" i="6"/>
  <c r="Q359" i="6"/>
  <c r="R359" i="6"/>
  <c r="J360" i="6"/>
  <c r="K360" i="6"/>
  <c r="L360" i="6"/>
  <c r="M360" i="6"/>
  <c r="N360" i="6"/>
  <c r="O360" i="6"/>
  <c r="P360" i="6"/>
  <c r="Q360" i="6"/>
  <c r="R360" i="6"/>
  <c r="K345" i="6"/>
  <c r="K344" i="6" s="1"/>
  <c r="L345" i="6"/>
  <c r="L344" i="6" s="1"/>
  <c r="M345" i="6"/>
  <c r="N345" i="6"/>
  <c r="N344" i="6" s="1"/>
  <c r="O345" i="6"/>
  <c r="O344" i="6" s="1"/>
  <c r="P345" i="6"/>
  <c r="Q345" i="6"/>
  <c r="Q344" i="6" s="1"/>
  <c r="R345" i="6"/>
  <c r="R344" i="6" s="1"/>
  <c r="J345" i="6"/>
  <c r="I345" i="6"/>
  <c r="E346" i="6"/>
  <c r="F346" i="6"/>
  <c r="G346" i="6"/>
  <c r="H346" i="6"/>
  <c r="I346" i="6"/>
  <c r="E347" i="6"/>
  <c r="F347" i="6"/>
  <c r="G347" i="6"/>
  <c r="H347" i="6"/>
  <c r="I347" i="6"/>
  <c r="E348" i="6"/>
  <c r="F348" i="6"/>
  <c r="G348" i="6"/>
  <c r="H348" i="6"/>
  <c r="I348" i="6"/>
  <c r="E349" i="6"/>
  <c r="F349" i="6"/>
  <c r="G349" i="6"/>
  <c r="H349" i="6"/>
  <c r="I349" i="6"/>
  <c r="E350" i="6"/>
  <c r="F350" i="6"/>
  <c r="G350" i="6"/>
  <c r="H350" i="6"/>
  <c r="I350" i="6"/>
  <c r="E351" i="6"/>
  <c r="F351" i="6"/>
  <c r="G351" i="6"/>
  <c r="H351" i="6"/>
  <c r="I351" i="6"/>
  <c r="E352" i="6"/>
  <c r="F352" i="6"/>
  <c r="G352" i="6"/>
  <c r="H352" i="6"/>
  <c r="I352" i="6"/>
  <c r="E353" i="6"/>
  <c r="F353" i="6"/>
  <c r="G353" i="6"/>
  <c r="H353" i="6"/>
  <c r="I353" i="6"/>
  <c r="E354" i="6"/>
  <c r="F354" i="6"/>
  <c r="G354" i="6"/>
  <c r="H354" i="6"/>
  <c r="I354" i="6"/>
  <c r="E355" i="6"/>
  <c r="F355" i="6"/>
  <c r="G355" i="6"/>
  <c r="H355" i="6"/>
  <c r="I355" i="6"/>
  <c r="E356" i="6"/>
  <c r="F356" i="6"/>
  <c r="G356" i="6"/>
  <c r="H356" i="6"/>
  <c r="I356" i="6"/>
  <c r="E357" i="6"/>
  <c r="F357" i="6"/>
  <c r="G357" i="6"/>
  <c r="H357" i="6"/>
  <c r="I357" i="6"/>
  <c r="E358" i="6"/>
  <c r="F358" i="6"/>
  <c r="G358" i="6"/>
  <c r="H358" i="6"/>
  <c r="I358" i="6"/>
  <c r="E359" i="6"/>
  <c r="F359" i="6"/>
  <c r="G359" i="6"/>
  <c r="H359" i="6"/>
  <c r="I359" i="6"/>
  <c r="E360" i="6"/>
  <c r="F360" i="6"/>
  <c r="G360" i="6"/>
  <c r="H360" i="6"/>
  <c r="I360" i="6"/>
  <c r="F345" i="6"/>
  <c r="G345" i="6"/>
  <c r="H345" i="6"/>
  <c r="H344" i="6" s="1"/>
  <c r="E345" i="6"/>
  <c r="C345" i="6"/>
  <c r="D256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B345" i="6"/>
  <c r="D345" i="6" s="1" a="1"/>
  <c r="D345" i="6" s="1"/>
  <c r="B346" i="6"/>
  <c r="D346" i="6" s="1" a="1"/>
  <c r="D346" i="6" s="1"/>
  <c r="B347" i="6"/>
  <c r="D347" i="6" s="1" a="1"/>
  <c r="D347" i="6" s="1"/>
  <c r="B348" i="6"/>
  <c r="D348" i="6" s="1" a="1"/>
  <c r="D348" i="6" s="1"/>
  <c r="B349" i="6"/>
  <c r="D349" i="6" s="1" a="1"/>
  <c r="D349" i="6" s="1"/>
  <c r="B350" i="6"/>
  <c r="D350" i="6" s="1" a="1"/>
  <c r="D350" i="6" s="1"/>
  <c r="B351" i="6"/>
  <c r="D351" i="6" s="1" a="1"/>
  <c r="D351" i="6" s="1"/>
  <c r="B352" i="6"/>
  <c r="D352" i="6" s="1" a="1"/>
  <c r="D352" i="6" s="1"/>
  <c r="B353" i="6"/>
  <c r="D353" i="6" s="1" a="1"/>
  <c r="D353" i="6" s="1"/>
  <c r="B354" i="6"/>
  <c r="D354" i="6" s="1" a="1"/>
  <c r="D354" i="6" s="1"/>
  <c r="B355" i="6"/>
  <c r="D355" i="6" s="1" a="1"/>
  <c r="D355" i="6" s="1"/>
  <c r="B356" i="6"/>
  <c r="D356" i="6" s="1" a="1"/>
  <c r="D356" i="6" s="1"/>
  <c r="B357" i="6"/>
  <c r="D357" i="6" s="1" a="1"/>
  <c r="D357" i="6" s="1"/>
  <c r="B358" i="6"/>
  <c r="D358" i="6" s="1" a="1"/>
  <c r="D358" i="6" s="1"/>
  <c r="B359" i="6"/>
  <c r="D359" i="6" s="1" a="1"/>
  <c r="D359" i="6" s="1"/>
  <c r="B360" i="6"/>
  <c r="D360" i="6" s="1" a="1"/>
  <c r="D360" i="6" s="1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B59" i="1"/>
  <c r="B58" i="1"/>
  <c r="J326" i="6"/>
  <c r="K326" i="6"/>
  <c r="L326" i="6"/>
  <c r="M326" i="6"/>
  <c r="N326" i="6"/>
  <c r="O326" i="6"/>
  <c r="P326" i="6"/>
  <c r="Q326" i="6"/>
  <c r="R326" i="6"/>
  <c r="J327" i="6"/>
  <c r="K327" i="6"/>
  <c r="L327" i="6"/>
  <c r="M327" i="6"/>
  <c r="N327" i="6"/>
  <c r="O327" i="6"/>
  <c r="P327" i="6"/>
  <c r="Q327" i="6"/>
  <c r="R327" i="6"/>
  <c r="R324" i="6" s="1"/>
  <c r="Q59" i="1" s="1"/>
  <c r="J328" i="6"/>
  <c r="K328" i="6"/>
  <c r="L328" i="6"/>
  <c r="M328" i="6"/>
  <c r="N328" i="6"/>
  <c r="O328" i="6"/>
  <c r="P328" i="6"/>
  <c r="Q328" i="6"/>
  <c r="R328" i="6"/>
  <c r="J329" i="6"/>
  <c r="K329" i="6"/>
  <c r="L329" i="6"/>
  <c r="M329" i="6"/>
  <c r="N329" i="6"/>
  <c r="N324" i="6" s="1"/>
  <c r="M59" i="1" s="1"/>
  <c r="O329" i="6"/>
  <c r="P329" i="6"/>
  <c r="Q329" i="6"/>
  <c r="R329" i="6"/>
  <c r="J330" i="6"/>
  <c r="K330" i="6"/>
  <c r="L330" i="6"/>
  <c r="M330" i="6"/>
  <c r="N330" i="6"/>
  <c r="O330" i="6"/>
  <c r="P330" i="6"/>
  <c r="Q330" i="6"/>
  <c r="R330" i="6"/>
  <c r="J331" i="6"/>
  <c r="K331" i="6"/>
  <c r="L331" i="6"/>
  <c r="M331" i="6"/>
  <c r="N331" i="6"/>
  <c r="O331" i="6"/>
  <c r="P331" i="6"/>
  <c r="Q331" i="6"/>
  <c r="R331" i="6"/>
  <c r="J332" i="6"/>
  <c r="K332" i="6"/>
  <c r="L332" i="6"/>
  <c r="M332" i="6"/>
  <c r="N332" i="6"/>
  <c r="O332" i="6"/>
  <c r="P332" i="6"/>
  <c r="Q332" i="6"/>
  <c r="R332" i="6"/>
  <c r="J333" i="6"/>
  <c r="K333" i="6"/>
  <c r="L333" i="6"/>
  <c r="M333" i="6"/>
  <c r="N333" i="6"/>
  <c r="O333" i="6"/>
  <c r="P333" i="6"/>
  <c r="Q333" i="6"/>
  <c r="R333" i="6"/>
  <c r="J334" i="6"/>
  <c r="K334" i="6"/>
  <c r="L334" i="6"/>
  <c r="M334" i="6"/>
  <c r="N334" i="6"/>
  <c r="O334" i="6"/>
  <c r="P334" i="6"/>
  <c r="Q334" i="6"/>
  <c r="R334" i="6"/>
  <c r="J335" i="6"/>
  <c r="K335" i="6"/>
  <c r="L335" i="6"/>
  <c r="M335" i="6"/>
  <c r="N335" i="6"/>
  <c r="O335" i="6"/>
  <c r="P335" i="6"/>
  <c r="Q335" i="6"/>
  <c r="R335" i="6"/>
  <c r="J336" i="6"/>
  <c r="K336" i="6"/>
  <c r="L336" i="6"/>
  <c r="M336" i="6"/>
  <c r="N336" i="6"/>
  <c r="O336" i="6"/>
  <c r="P336" i="6"/>
  <c r="Q336" i="6"/>
  <c r="R336" i="6"/>
  <c r="J337" i="6"/>
  <c r="K337" i="6"/>
  <c r="L337" i="6"/>
  <c r="M337" i="6"/>
  <c r="N337" i="6"/>
  <c r="O337" i="6"/>
  <c r="P337" i="6"/>
  <c r="Q337" i="6"/>
  <c r="R337" i="6"/>
  <c r="J338" i="6"/>
  <c r="K338" i="6"/>
  <c r="L338" i="6"/>
  <c r="M338" i="6"/>
  <c r="N338" i="6"/>
  <c r="O338" i="6"/>
  <c r="P338" i="6"/>
  <c r="Q338" i="6"/>
  <c r="R338" i="6"/>
  <c r="J339" i="6"/>
  <c r="K339" i="6"/>
  <c r="L339" i="6"/>
  <c r="M339" i="6"/>
  <c r="N339" i="6"/>
  <c r="O339" i="6"/>
  <c r="P339" i="6"/>
  <c r="Q339" i="6"/>
  <c r="R339" i="6"/>
  <c r="J340" i="6"/>
  <c r="K340" i="6"/>
  <c r="L340" i="6"/>
  <c r="M340" i="6"/>
  <c r="N340" i="6"/>
  <c r="O340" i="6"/>
  <c r="P340" i="6"/>
  <c r="Q340" i="6"/>
  <c r="R340" i="6"/>
  <c r="J341" i="6"/>
  <c r="K341" i="6"/>
  <c r="L341" i="6"/>
  <c r="M341" i="6"/>
  <c r="N341" i="6"/>
  <c r="O341" i="6"/>
  <c r="P341" i="6"/>
  <c r="Q341" i="6"/>
  <c r="R341" i="6"/>
  <c r="J342" i="6"/>
  <c r="K342" i="6"/>
  <c r="L342" i="6"/>
  <c r="M342" i="6"/>
  <c r="N342" i="6"/>
  <c r="O342" i="6"/>
  <c r="P342" i="6"/>
  <c r="Q342" i="6"/>
  <c r="R342" i="6"/>
  <c r="J343" i="6"/>
  <c r="K343" i="6"/>
  <c r="L343" i="6"/>
  <c r="M343" i="6"/>
  <c r="N343" i="6"/>
  <c r="O343" i="6"/>
  <c r="P343" i="6"/>
  <c r="Q343" i="6"/>
  <c r="R343" i="6"/>
  <c r="K325" i="6"/>
  <c r="K324" i="6" s="1"/>
  <c r="J58" i="1" s="1"/>
  <c r="L325" i="6"/>
  <c r="L324" i="6" s="1"/>
  <c r="K59" i="1" s="1"/>
  <c r="M325" i="6"/>
  <c r="N325" i="6"/>
  <c r="O325" i="6"/>
  <c r="P325" i="6"/>
  <c r="Q325" i="6"/>
  <c r="R325" i="6"/>
  <c r="J325" i="6"/>
  <c r="E326" i="6"/>
  <c r="F326" i="6"/>
  <c r="G326" i="6"/>
  <c r="H326" i="6"/>
  <c r="I326" i="6"/>
  <c r="E327" i="6"/>
  <c r="F327" i="6"/>
  <c r="G327" i="6"/>
  <c r="H327" i="6"/>
  <c r="I327" i="6"/>
  <c r="E328" i="6"/>
  <c r="F328" i="6"/>
  <c r="G328" i="6"/>
  <c r="H328" i="6"/>
  <c r="I328" i="6"/>
  <c r="E329" i="6"/>
  <c r="F329" i="6"/>
  <c r="G329" i="6"/>
  <c r="H329" i="6"/>
  <c r="I329" i="6"/>
  <c r="E330" i="6"/>
  <c r="F330" i="6"/>
  <c r="G330" i="6"/>
  <c r="H330" i="6"/>
  <c r="I330" i="6"/>
  <c r="E331" i="6"/>
  <c r="F331" i="6"/>
  <c r="G331" i="6"/>
  <c r="H331" i="6"/>
  <c r="I331" i="6"/>
  <c r="E332" i="6"/>
  <c r="F332" i="6"/>
  <c r="G332" i="6"/>
  <c r="H332" i="6"/>
  <c r="I332" i="6"/>
  <c r="E333" i="6"/>
  <c r="F333" i="6"/>
  <c r="G333" i="6"/>
  <c r="H333" i="6"/>
  <c r="I333" i="6"/>
  <c r="E334" i="6"/>
  <c r="F334" i="6"/>
  <c r="G334" i="6"/>
  <c r="H334" i="6"/>
  <c r="I334" i="6"/>
  <c r="E335" i="6"/>
  <c r="F335" i="6"/>
  <c r="G335" i="6"/>
  <c r="H335" i="6"/>
  <c r="I335" i="6"/>
  <c r="E336" i="6"/>
  <c r="F336" i="6"/>
  <c r="G336" i="6"/>
  <c r="H336" i="6"/>
  <c r="I336" i="6"/>
  <c r="E337" i="6"/>
  <c r="F337" i="6"/>
  <c r="G337" i="6"/>
  <c r="H337" i="6"/>
  <c r="I337" i="6"/>
  <c r="E338" i="6"/>
  <c r="F338" i="6"/>
  <c r="G338" i="6"/>
  <c r="H338" i="6"/>
  <c r="I338" i="6"/>
  <c r="E339" i="6"/>
  <c r="F339" i="6"/>
  <c r="G339" i="6"/>
  <c r="H339" i="6"/>
  <c r="I339" i="6"/>
  <c r="E340" i="6"/>
  <c r="F340" i="6"/>
  <c r="G340" i="6"/>
  <c r="H340" i="6"/>
  <c r="I340" i="6"/>
  <c r="E341" i="6"/>
  <c r="F341" i="6"/>
  <c r="G341" i="6"/>
  <c r="H341" i="6"/>
  <c r="I341" i="6"/>
  <c r="E342" i="6"/>
  <c r="F342" i="6"/>
  <c r="G342" i="6"/>
  <c r="H342" i="6"/>
  <c r="I342" i="6"/>
  <c r="E343" i="6"/>
  <c r="F343" i="6"/>
  <c r="G343" i="6"/>
  <c r="H343" i="6"/>
  <c r="I343" i="6"/>
  <c r="F325" i="6"/>
  <c r="G325" i="6"/>
  <c r="H325" i="6"/>
  <c r="I325" i="6"/>
  <c r="E325" i="6"/>
  <c r="O324" i="6"/>
  <c r="N59" i="1" s="1"/>
  <c r="Q324" i="6"/>
  <c r="P59" i="1" s="1"/>
  <c r="A339" i="6"/>
  <c r="B339" i="6"/>
  <c r="D339" i="6" s="1" a="1"/>
  <c r="D339" i="6" s="1"/>
  <c r="A340" i="6"/>
  <c r="B340" i="6"/>
  <c r="D340" i="6" s="1" a="1"/>
  <c r="D340" i="6" s="1"/>
  <c r="A341" i="6"/>
  <c r="B341" i="6"/>
  <c r="D341" i="6" s="1" a="1"/>
  <c r="D341" i="6" s="1"/>
  <c r="A342" i="6"/>
  <c r="B342" i="6"/>
  <c r="D342" i="6" s="1" a="1"/>
  <c r="D342" i="6" s="1"/>
  <c r="A343" i="6"/>
  <c r="B343" i="6"/>
  <c r="D343" i="6" s="1" a="1"/>
  <c r="D343" i="6" s="1"/>
  <c r="C343" i="6"/>
  <c r="C341" i="6"/>
  <c r="C342" i="6"/>
  <c r="C339" i="6"/>
  <c r="C340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25" i="6"/>
  <c r="B326" i="6"/>
  <c r="D326" i="6" s="1" a="1"/>
  <c r="D326" i="6" s="1"/>
  <c r="B327" i="6"/>
  <c r="D327" i="6" s="1" a="1"/>
  <c r="D327" i="6" s="1"/>
  <c r="B328" i="6"/>
  <c r="D328" i="6" s="1" a="1"/>
  <c r="D328" i="6" s="1"/>
  <c r="B329" i="6"/>
  <c r="D329" i="6" s="1" a="1"/>
  <c r="D329" i="6" s="1"/>
  <c r="B330" i="6"/>
  <c r="D330" i="6" s="1" a="1"/>
  <c r="D330" i="6" s="1"/>
  <c r="B331" i="6"/>
  <c r="D331" i="6" s="1" a="1"/>
  <c r="D331" i="6" s="1"/>
  <c r="B332" i="6"/>
  <c r="D332" i="6" s="1" a="1"/>
  <c r="D332" i="6" s="1"/>
  <c r="B333" i="6"/>
  <c r="D333" i="6" s="1" a="1"/>
  <c r="D333" i="6" s="1"/>
  <c r="B334" i="6"/>
  <c r="D334" i="6" s="1" a="1"/>
  <c r="D334" i="6" s="1"/>
  <c r="B335" i="6"/>
  <c r="D335" i="6" s="1" a="1"/>
  <c r="D335" i="6" s="1"/>
  <c r="B336" i="6"/>
  <c r="D336" i="6" s="1" a="1"/>
  <c r="D336" i="6" s="1"/>
  <c r="B337" i="6"/>
  <c r="D337" i="6" s="1" a="1"/>
  <c r="D337" i="6" s="1"/>
  <c r="B338" i="6"/>
  <c r="D338" i="6" s="1" a="1"/>
  <c r="D338" i="6" s="1"/>
  <c r="B325" i="6"/>
  <c r="D325" i="6" s="1" a="1"/>
  <c r="D325" i="6" s="1"/>
  <c r="D324" i="6" s="1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25" i="6"/>
  <c r="D344" i="6" l="1"/>
  <c r="I344" i="6"/>
  <c r="J344" i="6"/>
  <c r="P344" i="6"/>
  <c r="E344" i="6"/>
  <c r="G344" i="6"/>
  <c r="M344" i="6"/>
  <c r="F344" i="6"/>
  <c r="I361" i="6"/>
  <c r="H361" i="6"/>
  <c r="G361" i="6"/>
  <c r="F361" i="6"/>
  <c r="G324" i="6"/>
  <c r="F59" i="1" s="1"/>
  <c r="E324" i="6"/>
  <c r="D59" i="1" s="1"/>
  <c r="H324" i="6"/>
  <c r="G59" i="1" s="1"/>
  <c r="I324" i="6"/>
  <c r="G58" i="1"/>
  <c r="J59" i="1"/>
  <c r="P324" i="6"/>
  <c r="M324" i="6"/>
  <c r="J324" i="6"/>
  <c r="F58" i="1"/>
  <c r="F324" i="6"/>
  <c r="Q58" i="1"/>
  <c r="P58" i="1"/>
  <c r="D58" i="1"/>
  <c r="N58" i="1"/>
  <c r="M58" i="1"/>
  <c r="K58" i="1"/>
  <c r="I58" i="1" l="1"/>
  <c r="I59" i="1"/>
  <c r="O59" i="1"/>
  <c r="O58" i="1"/>
  <c r="L59" i="1"/>
  <c r="L58" i="1"/>
  <c r="E59" i="1"/>
  <c r="R59" i="1" s="1"/>
  <c r="E58" i="1"/>
  <c r="R58" i="1" s="1"/>
  <c r="C59" i="1"/>
  <c r="C58" i="1"/>
  <c r="H58" i="1"/>
  <c r="H59" i="1"/>
  <c r="J307" i="6"/>
  <c r="K307" i="6"/>
  <c r="L307" i="6"/>
  <c r="M307" i="6"/>
  <c r="N307" i="6"/>
  <c r="O307" i="6"/>
  <c r="P307" i="6"/>
  <c r="Q307" i="6"/>
  <c r="R307" i="6"/>
  <c r="J308" i="6"/>
  <c r="K308" i="6"/>
  <c r="L308" i="6"/>
  <c r="M308" i="6"/>
  <c r="N308" i="6"/>
  <c r="O308" i="6"/>
  <c r="P308" i="6"/>
  <c r="Q308" i="6"/>
  <c r="R308" i="6"/>
  <c r="J309" i="6"/>
  <c r="K309" i="6"/>
  <c r="L309" i="6"/>
  <c r="M309" i="6"/>
  <c r="N309" i="6"/>
  <c r="O309" i="6"/>
  <c r="P309" i="6"/>
  <c r="Q309" i="6"/>
  <c r="R309" i="6"/>
  <c r="J310" i="6"/>
  <c r="K310" i="6"/>
  <c r="L310" i="6"/>
  <c r="M310" i="6"/>
  <c r="N310" i="6"/>
  <c r="O310" i="6"/>
  <c r="P310" i="6"/>
  <c r="Q310" i="6"/>
  <c r="R310" i="6"/>
  <c r="J311" i="6"/>
  <c r="K311" i="6"/>
  <c r="L311" i="6"/>
  <c r="M311" i="6"/>
  <c r="N311" i="6"/>
  <c r="O311" i="6"/>
  <c r="P311" i="6"/>
  <c r="Q311" i="6"/>
  <c r="R311" i="6"/>
  <c r="J312" i="6"/>
  <c r="K312" i="6"/>
  <c r="L312" i="6"/>
  <c r="M312" i="6"/>
  <c r="N312" i="6"/>
  <c r="O312" i="6"/>
  <c r="P312" i="6"/>
  <c r="Q312" i="6"/>
  <c r="R312" i="6"/>
  <c r="J313" i="6"/>
  <c r="K313" i="6"/>
  <c r="L313" i="6"/>
  <c r="M313" i="6"/>
  <c r="N313" i="6"/>
  <c r="O313" i="6"/>
  <c r="P313" i="6"/>
  <c r="Q313" i="6"/>
  <c r="R313" i="6"/>
  <c r="J314" i="6"/>
  <c r="K314" i="6"/>
  <c r="L314" i="6"/>
  <c r="M314" i="6"/>
  <c r="N314" i="6"/>
  <c r="O314" i="6"/>
  <c r="P314" i="6"/>
  <c r="Q314" i="6"/>
  <c r="R314" i="6"/>
  <c r="J315" i="6"/>
  <c r="K315" i="6"/>
  <c r="L315" i="6"/>
  <c r="M315" i="6"/>
  <c r="N315" i="6"/>
  <c r="O315" i="6"/>
  <c r="P315" i="6"/>
  <c r="Q315" i="6"/>
  <c r="R315" i="6"/>
  <c r="J316" i="6"/>
  <c r="K316" i="6"/>
  <c r="L316" i="6"/>
  <c r="M316" i="6"/>
  <c r="N316" i="6"/>
  <c r="O316" i="6"/>
  <c r="P316" i="6"/>
  <c r="Q316" i="6"/>
  <c r="R316" i="6"/>
  <c r="J317" i="6"/>
  <c r="K317" i="6"/>
  <c r="L317" i="6"/>
  <c r="M317" i="6"/>
  <c r="N317" i="6"/>
  <c r="O317" i="6"/>
  <c r="P317" i="6"/>
  <c r="Q317" i="6"/>
  <c r="R317" i="6"/>
  <c r="J318" i="6"/>
  <c r="K318" i="6"/>
  <c r="L318" i="6"/>
  <c r="M318" i="6"/>
  <c r="N318" i="6"/>
  <c r="O318" i="6"/>
  <c r="P318" i="6"/>
  <c r="Q318" i="6"/>
  <c r="R318" i="6"/>
  <c r="J319" i="6"/>
  <c r="K319" i="6"/>
  <c r="L319" i="6"/>
  <c r="M319" i="6"/>
  <c r="N319" i="6"/>
  <c r="O319" i="6"/>
  <c r="P319" i="6"/>
  <c r="Q319" i="6"/>
  <c r="R319" i="6"/>
  <c r="J320" i="6"/>
  <c r="K320" i="6"/>
  <c r="L320" i="6"/>
  <c r="M320" i="6"/>
  <c r="N320" i="6"/>
  <c r="O320" i="6"/>
  <c r="P320" i="6"/>
  <c r="Q320" i="6"/>
  <c r="R320" i="6"/>
  <c r="J321" i="6"/>
  <c r="K321" i="6"/>
  <c r="L321" i="6"/>
  <c r="M321" i="6"/>
  <c r="N321" i="6"/>
  <c r="O321" i="6"/>
  <c r="P321" i="6"/>
  <c r="Q321" i="6"/>
  <c r="R321" i="6"/>
  <c r="J322" i="6"/>
  <c r="K322" i="6"/>
  <c r="L322" i="6"/>
  <c r="M322" i="6"/>
  <c r="N322" i="6"/>
  <c r="O322" i="6"/>
  <c r="P322" i="6"/>
  <c r="Q322" i="6"/>
  <c r="R322" i="6"/>
  <c r="J323" i="6"/>
  <c r="K323" i="6"/>
  <c r="L323" i="6"/>
  <c r="M323" i="6"/>
  <c r="N323" i="6"/>
  <c r="O323" i="6"/>
  <c r="P323" i="6"/>
  <c r="Q323" i="6"/>
  <c r="R323" i="6"/>
  <c r="K306" i="6"/>
  <c r="L306" i="6"/>
  <c r="M306" i="6"/>
  <c r="N306" i="6"/>
  <c r="O306" i="6"/>
  <c r="P306" i="6"/>
  <c r="Q306" i="6"/>
  <c r="R306" i="6"/>
  <c r="J306" i="6"/>
  <c r="E307" i="6"/>
  <c r="F307" i="6"/>
  <c r="G307" i="6"/>
  <c r="H307" i="6"/>
  <c r="I307" i="6"/>
  <c r="E308" i="6"/>
  <c r="F308" i="6"/>
  <c r="G308" i="6"/>
  <c r="H308" i="6"/>
  <c r="I308" i="6"/>
  <c r="E309" i="6"/>
  <c r="F309" i="6"/>
  <c r="G309" i="6"/>
  <c r="H309" i="6"/>
  <c r="I309" i="6"/>
  <c r="E310" i="6"/>
  <c r="F310" i="6"/>
  <c r="G310" i="6"/>
  <c r="H310" i="6"/>
  <c r="I310" i="6"/>
  <c r="E311" i="6"/>
  <c r="F311" i="6"/>
  <c r="G311" i="6"/>
  <c r="H311" i="6"/>
  <c r="I311" i="6"/>
  <c r="E312" i="6"/>
  <c r="F312" i="6"/>
  <c r="G312" i="6"/>
  <c r="H312" i="6"/>
  <c r="I312" i="6"/>
  <c r="E313" i="6"/>
  <c r="F313" i="6"/>
  <c r="G313" i="6"/>
  <c r="H313" i="6"/>
  <c r="I313" i="6"/>
  <c r="E314" i="6"/>
  <c r="F314" i="6"/>
  <c r="G314" i="6"/>
  <c r="H314" i="6"/>
  <c r="I314" i="6"/>
  <c r="E315" i="6"/>
  <c r="F315" i="6"/>
  <c r="G315" i="6"/>
  <c r="H315" i="6"/>
  <c r="I315" i="6"/>
  <c r="E316" i="6"/>
  <c r="F316" i="6"/>
  <c r="G316" i="6"/>
  <c r="H316" i="6"/>
  <c r="I316" i="6"/>
  <c r="E317" i="6"/>
  <c r="F317" i="6"/>
  <c r="G317" i="6"/>
  <c r="H317" i="6"/>
  <c r="I317" i="6"/>
  <c r="E318" i="6"/>
  <c r="F318" i="6"/>
  <c r="G318" i="6"/>
  <c r="H318" i="6"/>
  <c r="I318" i="6"/>
  <c r="E319" i="6"/>
  <c r="F319" i="6"/>
  <c r="G319" i="6"/>
  <c r="H319" i="6"/>
  <c r="I319" i="6"/>
  <c r="E320" i="6"/>
  <c r="F320" i="6"/>
  <c r="G320" i="6"/>
  <c r="H320" i="6"/>
  <c r="I320" i="6"/>
  <c r="E321" i="6"/>
  <c r="F321" i="6"/>
  <c r="G321" i="6"/>
  <c r="H321" i="6"/>
  <c r="I321" i="6"/>
  <c r="E322" i="6"/>
  <c r="F322" i="6"/>
  <c r="G322" i="6"/>
  <c r="H322" i="6"/>
  <c r="I322" i="6"/>
  <c r="E323" i="6"/>
  <c r="F323" i="6"/>
  <c r="G323" i="6"/>
  <c r="H323" i="6"/>
  <c r="I323" i="6"/>
  <c r="F306" i="6"/>
  <c r="G306" i="6"/>
  <c r="H306" i="6"/>
  <c r="I306" i="6"/>
  <c r="E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06" i="6"/>
  <c r="B307" i="6"/>
  <c r="D307" i="6" s="1" a="1"/>
  <c r="D307" i="6" s="1"/>
  <c r="B308" i="6"/>
  <c r="D308" i="6" s="1" a="1"/>
  <c r="D308" i="6" s="1"/>
  <c r="B309" i="6"/>
  <c r="D309" i="6" s="1" a="1"/>
  <c r="D309" i="6" s="1"/>
  <c r="B310" i="6"/>
  <c r="D310" i="6" s="1" a="1"/>
  <c r="D310" i="6" s="1"/>
  <c r="B311" i="6"/>
  <c r="D311" i="6" s="1" a="1"/>
  <c r="D311" i="6" s="1"/>
  <c r="B312" i="6"/>
  <c r="D312" i="6" s="1" a="1"/>
  <c r="D312" i="6" s="1"/>
  <c r="B313" i="6"/>
  <c r="D313" i="6" s="1" a="1"/>
  <c r="D313" i="6" s="1"/>
  <c r="B314" i="6"/>
  <c r="D314" i="6" s="1" a="1"/>
  <c r="D314" i="6" s="1"/>
  <c r="B315" i="6"/>
  <c r="D315" i="6" s="1" a="1"/>
  <c r="D315" i="6" s="1"/>
  <c r="B316" i="6"/>
  <c r="D316" i="6" s="1" a="1"/>
  <c r="D316" i="6" s="1"/>
  <c r="B317" i="6"/>
  <c r="D317" i="6" s="1" a="1"/>
  <c r="D317" i="6" s="1"/>
  <c r="B318" i="6"/>
  <c r="D318" i="6" s="1" a="1"/>
  <c r="D318" i="6" s="1"/>
  <c r="B319" i="6"/>
  <c r="D319" i="6" s="1" a="1"/>
  <c r="D319" i="6" s="1"/>
  <c r="B320" i="6"/>
  <c r="D320" i="6" s="1" a="1"/>
  <c r="D320" i="6" s="1"/>
  <c r="B321" i="6"/>
  <c r="D321" i="6" s="1" a="1"/>
  <c r="D321" i="6" s="1"/>
  <c r="B322" i="6"/>
  <c r="D322" i="6" s="1" a="1"/>
  <c r="D322" i="6" s="1"/>
  <c r="B323" i="6"/>
  <c r="D323" i="6" s="1" a="1"/>
  <c r="D323" i="6" s="1"/>
  <c r="B306" i="6"/>
  <c r="D306" i="6" s="1" a="1"/>
  <c r="D306" i="6" s="1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06" i="6"/>
  <c r="H305" i="6" l="1"/>
  <c r="G57" i="1"/>
  <c r="G56" i="1"/>
  <c r="G305" i="6"/>
  <c r="F305" i="6"/>
  <c r="J305" i="6"/>
  <c r="R305" i="6"/>
  <c r="P305" i="6"/>
  <c r="O305" i="6"/>
  <c r="N305" i="6"/>
  <c r="M305" i="6"/>
  <c r="L305" i="6"/>
  <c r="K305" i="6"/>
  <c r="Q305" i="6"/>
  <c r="E305" i="6"/>
  <c r="I305" i="6"/>
  <c r="H57" i="1" l="1"/>
  <c r="H56" i="1"/>
  <c r="D57" i="1"/>
  <c r="D56" i="1"/>
  <c r="P57" i="1"/>
  <c r="P56" i="1"/>
  <c r="J57" i="1"/>
  <c r="J56" i="1"/>
  <c r="K57" i="1"/>
  <c r="K56" i="1"/>
  <c r="L57" i="1"/>
  <c r="L56" i="1"/>
  <c r="M57" i="1"/>
  <c r="M56" i="1"/>
  <c r="N57" i="1"/>
  <c r="N56" i="1"/>
  <c r="O57" i="1"/>
  <c r="O56" i="1"/>
  <c r="Q57" i="1"/>
  <c r="Q56" i="1"/>
  <c r="I57" i="1"/>
  <c r="I56" i="1"/>
  <c r="E57" i="1"/>
  <c r="E56" i="1"/>
  <c r="F57" i="1"/>
  <c r="F56" i="1"/>
  <c r="D305" i="6"/>
  <c r="J291" i="6"/>
  <c r="K291" i="6"/>
  <c r="L291" i="6"/>
  <c r="M291" i="6"/>
  <c r="N291" i="6"/>
  <c r="O291" i="6"/>
  <c r="P291" i="6"/>
  <c r="Q291" i="6"/>
  <c r="R291" i="6"/>
  <c r="J292" i="6"/>
  <c r="K292" i="6"/>
  <c r="L292" i="6"/>
  <c r="M292" i="6"/>
  <c r="N292" i="6"/>
  <c r="O292" i="6"/>
  <c r="P292" i="6"/>
  <c r="Q292" i="6"/>
  <c r="R292" i="6"/>
  <c r="J293" i="6"/>
  <c r="K293" i="6"/>
  <c r="L293" i="6"/>
  <c r="M293" i="6"/>
  <c r="N293" i="6"/>
  <c r="O293" i="6"/>
  <c r="P293" i="6"/>
  <c r="Q293" i="6"/>
  <c r="R293" i="6"/>
  <c r="J294" i="6"/>
  <c r="K294" i="6"/>
  <c r="L294" i="6"/>
  <c r="M294" i="6"/>
  <c r="N294" i="6"/>
  <c r="O294" i="6"/>
  <c r="P294" i="6"/>
  <c r="Q294" i="6"/>
  <c r="R294" i="6"/>
  <c r="J295" i="6"/>
  <c r="K295" i="6"/>
  <c r="L295" i="6"/>
  <c r="M295" i="6"/>
  <c r="N295" i="6"/>
  <c r="O295" i="6"/>
  <c r="P295" i="6"/>
  <c r="Q295" i="6"/>
  <c r="R295" i="6"/>
  <c r="J296" i="6"/>
  <c r="K296" i="6"/>
  <c r="L296" i="6"/>
  <c r="M296" i="6"/>
  <c r="N296" i="6"/>
  <c r="O296" i="6"/>
  <c r="P296" i="6"/>
  <c r="Q296" i="6"/>
  <c r="R296" i="6"/>
  <c r="J297" i="6"/>
  <c r="K297" i="6"/>
  <c r="L297" i="6"/>
  <c r="M297" i="6"/>
  <c r="N297" i="6"/>
  <c r="O297" i="6"/>
  <c r="P297" i="6"/>
  <c r="Q297" i="6"/>
  <c r="R297" i="6"/>
  <c r="J298" i="6"/>
  <c r="K298" i="6"/>
  <c r="L298" i="6"/>
  <c r="M298" i="6"/>
  <c r="N298" i="6"/>
  <c r="O298" i="6"/>
  <c r="P298" i="6"/>
  <c r="Q298" i="6"/>
  <c r="R298" i="6"/>
  <c r="J299" i="6"/>
  <c r="K299" i="6"/>
  <c r="L299" i="6"/>
  <c r="M299" i="6"/>
  <c r="N299" i="6"/>
  <c r="O299" i="6"/>
  <c r="P299" i="6"/>
  <c r="Q299" i="6"/>
  <c r="R299" i="6"/>
  <c r="J300" i="6"/>
  <c r="K300" i="6"/>
  <c r="L300" i="6"/>
  <c r="M300" i="6"/>
  <c r="N300" i="6"/>
  <c r="O300" i="6"/>
  <c r="P300" i="6"/>
  <c r="Q300" i="6"/>
  <c r="R300" i="6"/>
  <c r="J301" i="6"/>
  <c r="K301" i="6"/>
  <c r="L301" i="6"/>
  <c r="M301" i="6"/>
  <c r="N301" i="6"/>
  <c r="O301" i="6"/>
  <c r="P301" i="6"/>
  <c r="Q301" i="6"/>
  <c r="R301" i="6"/>
  <c r="J302" i="6"/>
  <c r="K302" i="6"/>
  <c r="L302" i="6"/>
  <c r="M302" i="6"/>
  <c r="N302" i="6"/>
  <c r="O302" i="6"/>
  <c r="P302" i="6"/>
  <c r="Q302" i="6"/>
  <c r="R302" i="6"/>
  <c r="J303" i="6"/>
  <c r="K303" i="6"/>
  <c r="L303" i="6"/>
  <c r="M303" i="6"/>
  <c r="N303" i="6"/>
  <c r="O303" i="6"/>
  <c r="P303" i="6"/>
  <c r="Q303" i="6"/>
  <c r="R303" i="6"/>
  <c r="J304" i="6"/>
  <c r="K304" i="6"/>
  <c r="L304" i="6"/>
  <c r="M304" i="6"/>
  <c r="N304" i="6"/>
  <c r="O304" i="6"/>
  <c r="P304" i="6"/>
  <c r="Q304" i="6"/>
  <c r="R304" i="6"/>
  <c r="K290" i="6"/>
  <c r="L290" i="6"/>
  <c r="M290" i="6"/>
  <c r="N290" i="6"/>
  <c r="O290" i="6"/>
  <c r="P290" i="6"/>
  <c r="Q290" i="6"/>
  <c r="R290" i="6"/>
  <c r="J290" i="6"/>
  <c r="E291" i="6"/>
  <c r="F291" i="6"/>
  <c r="G291" i="6"/>
  <c r="H291" i="6"/>
  <c r="I291" i="6"/>
  <c r="E292" i="6"/>
  <c r="F292" i="6"/>
  <c r="G292" i="6"/>
  <c r="H292" i="6"/>
  <c r="I292" i="6"/>
  <c r="E293" i="6"/>
  <c r="F293" i="6"/>
  <c r="G293" i="6"/>
  <c r="H293" i="6"/>
  <c r="I293" i="6"/>
  <c r="E294" i="6"/>
  <c r="F294" i="6"/>
  <c r="G294" i="6"/>
  <c r="H294" i="6"/>
  <c r="I294" i="6"/>
  <c r="E295" i="6"/>
  <c r="F295" i="6"/>
  <c r="G295" i="6"/>
  <c r="H295" i="6"/>
  <c r="I295" i="6"/>
  <c r="E296" i="6"/>
  <c r="F296" i="6"/>
  <c r="G296" i="6"/>
  <c r="H296" i="6"/>
  <c r="I296" i="6"/>
  <c r="E297" i="6"/>
  <c r="F297" i="6"/>
  <c r="G297" i="6"/>
  <c r="H297" i="6"/>
  <c r="I297" i="6"/>
  <c r="E298" i="6"/>
  <c r="F298" i="6"/>
  <c r="G298" i="6"/>
  <c r="H298" i="6"/>
  <c r="I298" i="6"/>
  <c r="E299" i="6"/>
  <c r="F299" i="6"/>
  <c r="G299" i="6"/>
  <c r="H299" i="6"/>
  <c r="I299" i="6"/>
  <c r="E300" i="6"/>
  <c r="F300" i="6"/>
  <c r="G300" i="6"/>
  <c r="H300" i="6"/>
  <c r="I300" i="6"/>
  <c r="E301" i="6"/>
  <c r="F301" i="6"/>
  <c r="G301" i="6"/>
  <c r="H301" i="6"/>
  <c r="I301" i="6"/>
  <c r="E302" i="6"/>
  <c r="F302" i="6"/>
  <c r="G302" i="6"/>
  <c r="H302" i="6"/>
  <c r="I302" i="6"/>
  <c r="E303" i="6"/>
  <c r="F303" i="6"/>
  <c r="G303" i="6"/>
  <c r="H303" i="6"/>
  <c r="I303" i="6"/>
  <c r="E304" i="6"/>
  <c r="F304" i="6"/>
  <c r="G304" i="6"/>
  <c r="H304" i="6"/>
  <c r="I304" i="6"/>
  <c r="F290" i="6"/>
  <c r="G290" i="6"/>
  <c r="H290" i="6"/>
  <c r="I290" i="6"/>
  <c r="E290" i="6"/>
  <c r="P289" i="6"/>
  <c r="O55" i="1" s="1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290" i="6"/>
  <c r="B291" i="6"/>
  <c r="D291" i="6" s="1" a="1"/>
  <c r="D291" i="6" s="1"/>
  <c r="B292" i="6"/>
  <c r="D292" i="6" s="1" a="1"/>
  <c r="D292" i="6" s="1"/>
  <c r="B293" i="6"/>
  <c r="D293" i="6" s="1" a="1"/>
  <c r="D293" i="6" s="1"/>
  <c r="B294" i="6"/>
  <c r="D294" i="6" s="1" a="1"/>
  <c r="D294" i="6" s="1"/>
  <c r="B295" i="6"/>
  <c r="D295" i="6" s="1" a="1"/>
  <c r="D295" i="6" s="1"/>
  <c r="B296" i="6"/>
  <c r="D296" i="6" s="1" a="1"/>
  <c r="D296" i="6" s="1"/>
  <c r="B297" i="6"/>
  <c r="D297" i="6" s="1" a="1"/>
  <c r="D297" i="6" s="1"/>
  <c r="B298" i="6"/>
  <c r="D298" i="6" s="1" a="1"/>
  <c r="D298" i="6" s="1"/>
  <c r="B299" i="6"/>
  <c r="D299" i="6" s="1" a="1"/>
  <c r="D299" i="6" s="1"/>
  <c r="B300" i="6"/>
  <c r="D300" i="6" s="1" a="1"/>
  <c r="D300" i="6" s="1"/>
  <c r="B301" i="6"/>
  <c r="D301" i="6" s="1" a="1"/>
  <c r="D301" i="6" s="1"/>
  <c r="B302" i="6"/>
  <c r="D302" i="6" s="1" a="1"/>
  <c r="D302" i="6" s="1"/>
  <c r="B303" i="6"/>
  <c r="D303" i="6" s="1" a="1"/>
  <c r="D303" i="6" s="1"/>
  <c r="B304" i="6"/>
  <c r="D304" i="6" s="1" a="1"/>
  <c r="D304" i="6" s="1"/>
  <c r="B290" i="6"/>
  <c r="D290" i="6" s="1" a="1"/>
  <c r="D290" i="6" s="1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290" i="6"/>
  <c r="L53" i="1"/>
  <c r="M53" i="1"/>
  <c r="N53" i="1"/>
  <c r="P53" i="1"/>
  <c r="L52" i="1"/>
  <c r="M52" i="1"/>
  <c r="N52" i="1"/>
  <c r="P52" i="1"/>
  <c r="B53" i="1"/>
  <c r="B52" i="1"/>
  <c r="J274" i="6"/>
  <c r="K274" i="6"/>
  <c r="L274" i="6"/>
  <c r="M274" i="6"/>
  <c r="N274" i="6"/>
  <c r="O274" i="6"/>
  <c r="P274" i="6"/>
  <c r="Q274" i="6"/>
  <c r="R274" i="6"/>
  <c r="J275" i="6"/>
  <c r="K275" i="6"/>
  <c r="L275" i="6"/>
  <c r="M275" i="6"/>
  <c r="N275" i="6"/>
  <c r="O275" i="6"/>
  <c r="P275" i="6"/>
  <c r="Q275" i="6"/>
  <c r="R275" i="6"/>
  <c r="J276" i="6"/>
  <c r="K276" i="6"/>
  <c r="L276" i="6"/>
  <c r="M276" i="6"/>
  <c r="N276" i="6"/>
  <c r="O276" i="6"/>
  <c r="P276" i="6"/>
  <c r="Q276" i="6"/>
  <c r="R276" i="6"/>
  <c r="J277" i="6"/>
  <c r="K277" i="6"/>
  <c r="L277" i="6"/>
  <c r="M277" i="6"/>
  <c r="N277" i="6"/>
  <c r="O277" i="6"/>
  <c r="P277" i="6"/>
  <c r="Q277" i="6"/>
  <c r="R277" i="6"/>
  <c r="J278" i="6"/>
  <c r="K278" i="6"/>
  <c r="L278" i="6"/>
  <c r="M278" i="6"/>
  <c r="N278" i="6"/>
  <c r="O278" i="6"/>
  <c r="P278" i="6"/>
  <c r="Q278" i="6"/>
  <c r="R278" i="6"/>
  <c r="J279" i="6"/>
  <c r="K279" i="6"/>
  <c r="L279" i="6"/>
  <c r="M279" i="6"/>
  <c r="N279" i="6"/>
  <c r="O279" i="6"/>
  <c r="P279" i="6"/>
  <c r="Q279" i="6"/>
  <c r="R279" i="6"/>
  <c r="J280" i="6"/>
  <c r="K280" i="6"/>
  <c r="L280" i="6"/>
  <c r="M280" i="6"/>
  <c r="N280" i="6"/>
  <c r="O280" i="6"/>
  <c r="P280" i="6"/>
  <c r="Q280" i="6"/>
  <c r="R280" i="6"/>
  <c r="J281" i="6"/>
  <c r="K281" i="6"/>
  <c r="L281" i="6"/>
  <c r="M281" i="6"/>
  <c r="N281" i="6"/>
  <c r="O281" i="6"/>
  <c r="P281" i="6"/>
  <c r="Q281" i="6"/>
  <c r="R281" i="6"/>
  <c r="J282" i="6"/>
  <c r="K282" i="6"/>
  <c r="L282" i="6"/>
  <c r="M282" i="6"/>
  <c r="N282" i="6"/>
  <c r="O282" i="6"/>
  <c r="P282" i="6"/>
  <c r="Q282" i="6"/>
  <c r="R282" i="6"/>
  <c r="J283" i="6"/>
  <c r="K283" i="6"/>
  <c r="L283" i="6"/>
  <c r="M283" i="6"/>
  <c r="N283" i="6"/>
  <c r="O283" i="6"/>
  <c r="P283" i="6"/>
  <c r="Q283" i="6"/>
  <c r="R283" i="6"/>
  <c r="J284" i="6"/>
  <c r="K284" i="6"/>
  <c r="L284" i="6"/>
  <c r="M284" i="6"/>
  <c r="N284" i="6"/>
  <c r="O284" i="6"/>
  <c r="P284" i="6"/>
  <c r="Q284" i="6"/>
  <c r="R284" i="6"/>
  <c r="J285" i="6"/>
  <c r="K285" i="6"/>
  <c r="L285" i="6"/>
  <c r="M285" i="6"/>
  <c r="N285" i="6"/>
  <c r="O285" i="6"/>
  <c r="P285" i="6"/>
  <c r="Q285" i="6"/>
  <c r="R285" i="6"/>
  <c r="J286" i="6"/>
  <c r="K286" i="6"/>
  <c r="L286" i="6"/>
  <c r="M286" i="6"/>
  <c r="N286" i="6"/>
  <c r="O286" i="6"/>
  <c r="P286" i="6"/>
  <c r="Q286" i="6"/>
  <c r="R286" i="6"/>
  <c r="J287" i="6"/>
  <c r="K287" i="6"/>
  <c r="L287" i="6"/>
  <c r="M287" i="6"/>
  <c r="N287" i="6"/>
  <c r="O287" i="6"/>
  <c r="P287" i="6"/>
  <c r="Q287" i="6"/>
  <c r="R287" i="6"/>
  <c r="J288" i="6"/>
  <c r="K288" i="6"/>
  <c r="L288" i="6"/>
  <c r="M288" i="6"/>
  <c r="N288" i="6"/>
  <c r="O288" i="6"/>
  <c r="P288" i="6"/>
  <c r="Q288" i="6"/>
  <c r="R288" i="6"/>
  <c r="K273" i="6"/>
  <c r="L273" i="6"/>
  <c r="M273" i="6"/>
  <c r="N273" i="6"/>
  <c r="O273" i="6"/>
  <c r="P273" i="6"/>
  <c r="Q273" i="6"/>
  <c r="R273" i="6"/>
  <c r="J273" i="6"/>
  <c r="E274" i="6"/>
  <c r="F274" i="6"/>
  <c r="G274" i="6"/>
  <c r="H274" i="6"/>
  <c r="I274" i="6"/>
  <c r="E275" i="6"/>
  <c r="F275" i="6"/>
  <c r="G275" i="6"/>
  <c r="H275" i="6"/>
  <c r="I275" i="6"/>
  <c r="E276" i="6"/>
  <c r="F276" i="6"/>
  <c r="G276" i="6"/>
  <c r="H276" i="6"/>
  <c r="I276" i="6"/>
  <c r="E277" i="6"/>
  <c r="F277" i="6"/>
  <c r="G277" i="6"/>
  <c r="H277" i="6"/>
  <c r="I277" i="6"/>
  <c r="E278" i="6"/>
  <c r="F278" i="6"/>
  <c r="G278" i="6"/>
  <c r="H278" i="6"/>
  <c r="I278" i="6"/>
  <c r="E279" i="6"/>
  <c r="F279" i="6"/>
  <c r="G279" i="6"/>
  <c r="H279" i="6"/>
  <c r="I279" i="6"/>
  <c r="E280" i="6"/>
  <c r="F280" i="6"/>
  <c r="G280" i="6"/>
  <c r="H280" i="6"/>
  <c r="I280" i="6"/>
  <c r="E281" i="6"/>
  <c r="F281" i="6"/>
  <c r="G281" i="6"/>
  <c r="H281" i="6"/>
  <c r="I281" i="6"/>
  <c r="E282" i="6"/>
  <c r="F282" i="6"/>
  <c r="G282" i="6"/>
  <c r="H282" i="6"/>
  <c r="I282" i="6"/>
  <c r="E283" i="6"/>
  <c r="F283" i="6"/>
  <c r="G283" i="6"/>
  <c r="H283" i="6"/>
  <c r="I283" i="6"/>
  <c r="E284" i="6"/>
  <c r="F284" i="6"/>
  <c r="G284" i="6"/>
  <c r="H284" i="6"/>
  <c r="I284" i="6"/>
  <c r="E285" i="6"/>
  <c r="F285" i="6"/>
  <c r="G285" i="6"/>
  <c r="H285" i="6"/>
  <c r="I285" i="6"/>
  <c r="E286" i="6"/>
  <c r="F286" i="6"/>
  <c r="G286" i="6"/>
  <c r="H286" i="6"/>
  <c r="I286" i="6"/>
  <c r="E287" i="6"/>
  <c r="F287" i="6"/>
  <c r="G287" i="6"/>
  <c r="H287" i="6"/>
  <c r="I287" i="6"/>
  <c r="E288" i="6"/>
  <c r="F288" i="6"/>
  <c r="G288" i="6"/>
  <c r="H288" i="6"/>
  <c r="I288" i="6"/>
  <c r="F273" i="6"/>
  <c r="G273" i="6"/>
  <c r="H273" i="6"/>
  <c r="I273" i="6"/>
  <c r="E273" i="6"/>
  <c r="D280" i="6" a="1"/>
  <c r="D280" i="6" s="1"/>
  <c r="D282" i="6" a="1"/>
  <c r="D282" i="6" s="1"/>
  <c r="D287" i="6" a="1"/>
  <c r="D287" i="6" s="1"/>
  <c r="D288" i="6" a="1"/>
  <c r="D288" i="6" s="1"/>
  <c r="D273" i="6" a="1"/>
  <c r="D273" i="6" s="1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C275" i="6"/>
  <c r="C276" i="6"/>
  <c r="C283" i="6"/>
  <c r="C284" i="6"/>
  <c r="C285" i="6"/>
  <c r="C287" i="6"/>
  <c r="C288" i="6"/>
  <c r="C274" i="6"/>
  <c r="C277" i="6"/>
  <c r="C278" i="6"/>
  <c r="C279" i="6"/>
  <c r="C280" i="6"/>
  <c r="C281" i="6"/>
  <c r="C282" i="6"/>
  <c r="C286" i="6"/>
  <c r="C273" i="6"/>
  <c r="B274" i="6"/>
  <c r="D274" i="6" s="1" a="1"/>
  <c r="D274" i="6" s="1"/>
  <c r="B275" i="6"/>
  <c r="D275" i="6" s="1" a="1"/>
  <c r="D275" i="6" s="1"/>
  <c r="B276" i="6"/>
  <c r="D276" i="6" s="1" a="1"/>
  <c r="D276" i="6" s="1"/>
  <c r="B277" i="6"/>
  <c r="D277" i="6" s="1" a="1"/>
  <c r="D277" i="6" s="1"/>
  <c r="B278" i="6"/>
  <c r="D278" i="6" s="1" a="1"/>
  <c r="D278" i="6" s="1"/>
  <c r="B279" i="6"/>
  <c r="D279" i="6" s="1" a="1"/>
  <c r="D279" i="6" s="1"/>
  <c r="B280" i="6"/>
  <c r="B281" i="6"/>
  <c r="D281" i="6" s="1" a="1"/>
  <c r="D281" i="6" s="1"/>
  <c r="B282" i="6"/>
  <c r="B283" i="6"/>
  <c r="D283" i="6" s="1" a="1"/>
  <c r="D283" i="6" s="1"/>
  <c r="B284" i="6"/>
  <c r="D284" i="6" s="1" a="1"/>
  <c r="D284" i="6" s="1"/>
  <c r="B285" i="6"/>
  <c r="D285" i="6" s="1" a="1"/>
  <c r="D285" i="6" s="1"/>
  <c r="B286" i="6"/>
  <c r="D286" i="6" s="1" a="1"/>
  <c r="D286" i="6" s="1"/>
  <c r="B287" i="6"/>
  <c r="B288" i="6"/>
  <c r="B273" i="6"/>
  <c r="A273" i="6"/>
  <c r="E289" i="6" l="1"/>
  <c r="D55" i="1" s="1"/>
  <c r="N289" i="6"/>
  <c r="K289" i="6"/>
  <c r="M289" i="6"/>
  <c r="J289" i="6"/>
  <c r="O289" i="6"/>
  <c r="N55" i="1" s="1"/>
  <c r="L289" i="6"/>
  <c r="L55" i="1"/>
  <c r="L54" i="1"/>
  <c r="I54" i="1"/>
  <c r="I55" i="1"/>
  <c r="M55" i="1"/>
  <c r="M54" i="1"/>
  <c r="J54" i="1"/>
  <c r="J55" i="1"/>
  <c r="I289" i="6"/>
  <c r="O54" i="1"/>
  <c r="N54" i="1"/>
  <c r="Q289" i="6"/>
  <c r="R289" i="6"/>
  <c r="G289" i="6"/>
  <c r="H289" i="6"/>
  <c r="F289" i="6"/>
  <c r="C57" i="1"/>
  <c r="C56" i="1"/>
  <c r="R56" i="1"/>
  <c r="R57" i="1"/>
  <c r="D289" i="6"/>
  <c r="K54" i="1" l="1"/>
  <c r="K55" i="1"/>
  <c r="D54" i="1"/>
  <c r="G55" i="1"/>
  <c r="G54" i="1"/>
  <c r="H54" i="1"/>
  <c r="H55" i="1"/>
  <c r="Q54" i="1"/>
  <c r="Q55" i="1"/>
  <c r="C55" i="1"/>
  <c r="C54" i="1"/>
  <c r="F55" i="1"/>
  <c r="F54" i="1"/>
  <c r="E55" i="1"/>
  <c r="E54" i="1"/>
  <c r="R54" i="1" s="1"/>
  <c r="P55" i="1"/>
  <c r="P54" i="1"/>
  <c r="R272" i="6"/>
  <c r="P272" i="6"/>
  <c r="L272" i="6"/>
  <c r="K272" i="6"/>
  <c r="J272" i="6"/>
  <c r="I272" i="6"/>
  <c r="H272" i="6"/>
  <c r="G272" i="6"/>
  <c r="F272" i="6"/>
  <c r="E272" i="6"/>
  <c r="D272" i="6"/>
  <c r="Y27" i="1"/>
  <c r="X27" i="1"/>
  <c r="L51" i="1"/>
  <c r="M51" i="1"/>
  <c r="N51" i="1"/>
  <c r="P51" i="1"/>
  <c r="L50" i="1"/>
  <c r="M50" i="1"/>
  <c r="N50" i="1"/>
  <c r="P50" i="1"/>
  <c r="I49" i="1"/>
  <c r="L49" i="1"/>
  <c r="M49" i="1"/>
  <c r="N49" i="1"/>
  <c r="P49" i="1"/>
  <c r="I48" i="1"/>
  <c r="L48" i="1"/>
  <c r="M48" i="1"/>
  <c r="N48" i="1"/>
  <c r="P48" i="1"/>
  <c r="I47" i="1"/>
  <c r="L47" i="1"/>
  <c r="M47" i="1"/>
  <c r="N47" i="1"/>
  <c r="P47" i="1"/>
  <c r="I46" i="1"/>
  <c r="L46" i="1"/>
  <c r="M46" i="1"/>
  <c r="N46" i="1"/>
  <c r="P46" i="1"/>
  <c r="I45" i="1"/>
  <c r="L45" i="1"/>
  <c r="M45" i="1"/>
  <c r="N45" i="1"/>
  <c r="P45" i="1"/>
  <c r="I44" i="1"/>
  <c r="L44" i="1"/>
  <c r="M44" i="1"/>
  <c r="N44" i="1"/>
  <c r="P44" i="1"/>
  <c r="I43" i="1"/>
  <c r="L43" i="1"/>
  <c r="M43" i="1"/>
  <c r="N43" i="1"/>
  <c r="P43" i="1"/>
  <c r="I42" i="1"/>
  <c r="L42" i="1"/>
  <c r="M42" i="1"/>
  <c r="N42" i="1"/>
  <c r="P42" i="1"/>
  <c r="I41" i="1"/>
  <c r="L41" i="1"/>
  <c r="M41" i="1"/>
  <c r="N41" i="1"/>
  <c r="P41" i="1"/>
  <c r="I40" i="1"/>
  <c r="L40" i="1"/>
  <c r="M40" i="1"/>
  <c r="N40" i="1"/>
  <c r="P40" i="1"/>
  <c r="I37" i="1"/>
  <c r="L37" i="1"/>
  <c r="M37" i="1"/>
  <c r="N37" i="1"/>
  <c r="P37" i="1"/>
  <c r="I36" i="1"/>
  <c r="L36" i="1"/>
  <c r="M36" i="1"/>
  <c r="N36" i="1"/>
  <c r="P36" i="1"/>
  <c r="I33" i="1"/>
  <c r="L33" i="1"/>
  <c r="M33" i="1"/>
  <c r="N33" i="1"/>
  <c r="P33" i="1"/>
  <c r="J118" i="6"/>
  <c r="K118" i="6"/>
  <c r="L118" i="6"/>
  <c r="M118" i="6"/>
  <c r="N118" i="6"/>
  <c r="O118" i="6"/>
  <c r="P118" i="6"/>
  <c r="Q118" i="6"/>
  <c r="R118" i="6"/>
  <c r="J119" i="6"/>
  <c r="K119" i="6"/>
  <c r="L119" i="6"/>
  <c r="M119" i="6"/>
  <c r="N119" i="6"/>
  <c r="O119" i="6"/>
  <c r="P119" i="6"/>
  <c r="Q119" i="6"/>
  <c r="R119" i="6"/>
  <c r="J120" i="6"/>
  <c r="K120" i="6"/>
  <c r="L120" i="6"/>
  <c r="M120" i="6"/>
  <c r="N120" i="6"/>
  <c r="O120" i="6"/>
  <c r="P120" i="6"/>
  <c r="Q120" i="6"/>
  <c r="R120" i="6"/>
  <c r="J121" i="6"/>
  <c r="K121" i="6"/>
  <c r="L121" i="6"/>
  <c r="M121" i="6"/>
  <c r="N121" i="6"/>
  <c r="O121" i="6"/>
  <c r="P121" i="6"/>
  <c r="Q121" i="6"/>
  <c r="R121" i="6"/>
  <c r="J122" i="6"/>
  <c r="K122" i="6"/>
  <c r="L122" i="6"/>
  <c r="M122" i="6"/>
  <c r="N122" i="6"/>
  <c r="O122" i="6"/>
  <c r="P122" i="6"/>
  <c r="Q122" i="6"/>
  <c r="R122" i="6"/>
  <c r="J123" i="6"/>
  <c r="K123" i="6"/>
  <c r="L123" i="6"/>
  <c r="M123" i="6"/>
  <c r="N123" i="6"/>
  <c r="O123" i="6"/>
  <c r="P123" i="6"/>
  <c r="Q123" i="6"/>
  <c r="R123" i="6"/>
  <c r="J124" i="6"/>
  <c r="K124" i="6"/>
  <c r="L124" i="6"/>
  <c r="M124" i="6"/>
  <c r="N124" i="6"/>
  <c r="O124" i="6"/>
  <c r="P124" i="6"/>
  <c r="Q124" i="6"/>
  <c r="R124" i="6"/>
  <c r="J125" i="6"/>
  <c r="K125" i="6"/>
  <c r="L125" i="6"/>
  <c r="M125" i="6"/>
  <c r="N125" i="6"/>
  <c r="O125" i="6"/>
  <c r="P125" i="6"/>
  <c r="Q125" i="6"/>
  <c r="R125" i="6"/>
  <c r="J126" i="6"/>
  <c r="K126" i="6"/>
  <c r="L126" i="6"/>
  <c r="M126" i="6"/>
  <c r="N126" i="6"/>
  <c r="O126" i="6"/>
  <c r="P126" i="6"/>
  <c r="Q126" i="6"/>
  <c r="R126" i="6"/>
  <c r="J127" i="6"/>
  <c r="K127" i="6"/>
  <c r="L127" i="6"/>
  <c r="M127" i="6"/>
  <c r="N127" i="6"/>
  <c r="O127" i="6"/>
  <c r="P127" i="6"/>
  <c r="Q127" i="6"/>
  <c r="R127" i="6"/>
  <c r="J128" i="6"/>
  <c r="K128" i="6"/>
  <c r="L128" i="6"/>
  <c r="M128" i="6"/>
  <c r="N128" i="6"/>
  <c r="O128" i="6"/>
  <c r="P128" i="6"/>
  <c r="Q128" i="6"/>
  <c r="R128" i="6"/>
  <c r="J129" i="6"/>
  <c r="K129" i="6"/>
  <c r="L129" i="6"/>
  <c r="M129" i="6"/>
  <c r="N129" i="6"/>
  <c r="O129" i="6"/>
  <c r="P129" i="6"/>
  <c r="Q129" i="6"/>
  <c r="R129" i="6"/>
  <c r="J130" i="6"/>
  <c r="K130" i="6"/>
  <c r="L130" i="6"/>
  <c r="M130" i="6"/>
  <c r="N130" i="6"/>
  <c r="O130" i="6"/>
  <c r="P130" i="6"/>
  <c r="Q130" i="6"/>
  <c r="R130" i="6"/>
  <c r="J131" i="6"/>
  <c r="K131" i="6"/>
  <c r="L131" i="6"/>
  <c r="M131" i="6"/>
  <c r="N131" i="6"/>
  <c r="O131" i="6"/>
  <c r="P131" i="6"/>
  <c r="Q131" i="6"/>
  <c r="R131" i="6"/>
  <c r="J132" i="6"/>
  <c r="K132" i="6"/>
  <c r="L132" i="6"/>
  <c r="M132" i="6"/>
  <c r="N132" i="6"/>
  <c r="O132" i="6"/>
  <c r="P132" i="6"/>
  <c r="Q132" i="6"/>
  <c r="R132" i="6"/>
  <c r="J133" i="6"/>
  <c r="K133" i="6"/>
  <c r="L133" i="6"/>
  <c r="M133" i="6"/>
  <c r="N133" i="6"/>
  <c r="O133" i="6"/>
  <c r="P133" i="6"/>
  <c r="Q133" i="6"/>
  <c r="R133" i="6"/>
  <c r="J134" i="6"/>
  <c r="K134" i="6"/>
  <c r="L134" i="6"/>
  <c r="M134" i="6"/>
  <c r="N134" i="6"/>
  <c r="O134" i="6"/>
  <c r="P134" i="6"/>
  <c r="Q134" i="6"/>
  <c r="R134" i="6"/>
  <c r="K117" i="6"/>
  <c r="L117" i="6"/>
  <c r="M117" i="6"/>
  <c r="N117" i="6"/>
  <c r="O117" i="6"/>
  <c r="P117" i="6"/>
  <c r="Q117" i="6"/>
  <c r="R117" i="6"/>
  <c r="J117" i="6"/>
  <c r="E118" i="6"/>
  <c r="F118" i="6"/>
  <c r="G118" i="6"/>
  <c r="H118" i="6"/>
  <c r="I118" i="6"/>
  <c r="E119" i="6"/>
  <c r="F119" i="6"/>
  <c r="G119" i="6"/>
  <c r="H119" i="6"/>
  <c r="I119" i="6"/>
  <c r="E120" i="6"/>
  <c r="F120" i="6"/>
  <c r="G120" i="6"/>
  <c r="H120" i="6"/>
  <c r="I120" i="6"/>
  <c r="E121" i="6"/>
  <c r="F121" i="6"/>
  <c r="G121" i="6"/>
  <c r="H121" i="6"/>
  <c r="I121" i="6"/>
  <c r="E122" i="6"/>
  <c r="F122" i="6"/>
  <c r="G122" i="6"/>
  <c r="H122" i="6"/>
  <c r="I122" i="6"/>
  <c r="E123" i="6"/>
  <c r="F123" i="6"/>
  <c r="G123" i="6"/>
  <c r="H123" i="6"/>
  <c r="I123" i="6"/>
  <c r="E124" i="6"/>
  <c r="F124" i="6"/>
  <c r="G124" i="6"/>
  <c r="H124" i="6"/>
  <c r="I124" i="6"/>
  <c r="E125" i="6"/>
  <c r="F125" i="6"/>
  <c r="G125" i="6"/>
  <c r="H125" i="6"/>
  <c r="I125" i="6"/>
  <c r="E126" i="6"/>
  <c r="F126" i="6"/>
  <c r="G126" i="6"/>
  <c r="H126" i="6"/>
  <c r="I126" i="6"/>
  <c r="E127" i="6"/>
  <c r="F127" i="6"/>
  <c r="G127" i="6"/>
  <c r="H127" i="6"/>
  <c r="I127" i="6"/>
  <c r="E128" i="6"/>
  <c r="F128" i="6"/>
  <c r="G128" i="6"/>
  <c r="H128" i="6"/>
  <c r="I128" i="6"/>
  <c r="E129" i="6"/>
  <c r="F129" i="6"/>
  <c r="G129" i="6"/>
  <c r="H129" i="6"/>
  <c r="I129" i="6"/>
  <c r="E130" i="6"/>
  <c r="F130" i="6"/>
  <c r="G130" i="6"/>
  <c r="H130" i="6"/>
  <c r="I130" i="6"/>
  <c r="E131" i="6"/>
  <c r="F131" i="6"/>
  <c r="G131" i="6"/>
  <c r="H131" i="6"/>
  <c r="I131" i="6"/>
  <c r="E132" i="6"/>
  <c r="F132" i="6"/>
  <c r="G132" i="6"/>
  <c r="H132" i="6"/>
  <c r="I132" i="6"/>
  <c r="E133" i="6"/>
  <c r="F133" i="6"/>
  <c r="G133" i="6"/>
  <c r="H133" i="6"/>
  <c r="I133" i="6"/>
  <c r="E134" i="6"/>
  <c r="F134" i="6"/>
  <c r="G134" i="6"/>
  <c r="H134" i="6"/>
  <c r="I134" i="6"/>
  <c r="F117" i="6"/>
  <c r="G117" i="6"/>
  <c r="H117" i="6"/>
  <c r="I117" i="6"/>
  <c r="E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17" i="6"/>
  <c r="B20" i="1"/>
  <c r="B31" i="1"/>
  <c r="I29" i="1"/>
  <c r="L29" i="1"/>
  <c r="M29" i="1"/>
  <c r="N29" i="1"/>
  <c r="P29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3" i="1"/>
  <c r="X3" i="1"/>
  <c r="G52" i="1" l="1"/>
  <c r="G53" i="1"/>
  <c r="J53" i="1"/>
  <c r="J52" i="1"/>
  <c r="O53" i="1"/>
  <c r="O52" i="1"/>
  <c r="Q52" i="1"/>
  <c r="Q53" i="1"/>
  <c r="K53" i="1"/>
  <c r="K52" i="1"/>
  <c r="H53" i="1"/>
  <c r="H52" i="1"/>
  <c r="C52" i="1"/>
  <c r="C53" i="1"/>
  <c r="D52" i="1"/>
  <c r="D53" i="1"/>
  <c r="I53" i="1"/>
  <c r="I52" i="1"/>
  <c r="E53" i="1"/>
  <c r="E52" i="1"/>
  <c r="F52" i="1"/>
  <c r="F53" i="1"/>
  <c r="R55" i="1"/>
  <c r="X19" i="1"/>
  <c r="X26" i="1"/>
  <c r="X20" i="1"/>
  <c r="X21" i="1"/>
  <c r="X22" i="1"/>
  <c r="X23" i="1"/>
  <c r="X24" i="1"/>
  <c r="X25" i="1"/>
  <c r="R53" i="1" l="1"/>
  <c r="R52" i="1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36" i="6"/>
  <c r="J137" i="6"/>
  <c r="K137" i="6"/>
  <c r="L137" i="6"/>
  <c r="M137" i="6"/>
  <c r="N137" i="6"/>
  <c r="O137" i="6"/>
  <c r="P137" i="6"/>
  <c r="Q137" i="6"/>
  <c r="R137" i="6"/>
  <c r="J138" i="6"/>
  <c r="K138" i="6"/>
  <c r="L138" i="6"/>
  <c r="M138" i="6"/>
  <c r="N138" i="6"/>
  <c r="O138" i="6"/>
  <c r="P138" i="6"/>
  <c r="Q138" i="6"/>
  <c r="R138" i="6"/>
  <c r="J139" i="6"/>
  <c r="K139" i="6"/>
  <c r="L139" i="6"/>
  <c r="M139" i="6"/>
  <c r="N139" i="6"/>
  <c r="O139" i="6"/>
  <c r="P139" i="6"/>
  <c r="Q139" i="6"/>
  <c r="R139" i="6"/>
  <c r="J140" i="6"/>
  <c r="K140" i="6"/>
  <c r="L140" i="6"/>
  <c r="M140" i="6"/>
  <c r="N140" i="6"/>
  <c r="O140" i="6"/>
  <c r="P140" i="6"/>
  <c r="Q140" i="6"/>
  <c r="R140" i="6"/>
  <c r="J141" i="6"/>
  <c r="K141" i="6"/>
  <c r="L141" i="6"/>
  <c r="M141" i="6"/>
  <c r="N141" i="6"/>
  <c r="O141" i="6"/>
  <c r="P141" i="6"/>
  <c r="Q141" i="6"/>
  <c r="R141" i="6"/>
  <c r="J142" i="6"/>
  <c r="K142" i="6"/>
  <c r="L142" i="6"/>
  <c r="M142" i="6"/>
  <c r="N142" i="6"/>
  <c r="O142" i="6"/>
  <c r="P142" i="6"/>
  <c r="Q142" i="6"/>
  <c r="R142" i="6"/>
  <c r="J143" i="6"/>
  <c r="K143" i="6"/>
  <c r="L143" i="6"/>
  <c r="M143" i="6"/>
  <c r="N143" i="6"/>
  <c r="O143" i="6"/>
  <c r="P143" i="6"/>
  <c r="Q143" i="6"/>
  <c r="R143" i="6"/>
  <c r="J144" i="6"/>
  <c r="K144" i="6"/>
  <c r="L144" i="6"/>
  <c r="M144" i="6"/>
  <c r="N144" i="6"/>
  <c r="O144" i="6"/>
  <c r="P144" i="6"/>
  <c r="Q144" i="6"/>
  <c r="R144" i="6"/>
  <c r="J145" i="6"/>
  <c r="K145" i="6"/>
  <c r="L145" i="6"/>
  <c r="M145" i="6"/>
  <c r="N145" i="6"/>
  <c r="O145" i="6"/>
  <c r="P145" i="6"/>
  <c r="Q145" i="6"/>
  <c r="R145" i="6"/>
  <c r="J146" i="6"/>
  <c r="K146" i="6"/>
  <c r="L146" i="6"/>
  <c r="M146" i="6"/>
  <c r="N146" i="6"/>
  <c r="O146" i="6"/>
  <c r="P146" i="6"/>
  <c r="Q146" i="6"/>
  <c r="R146" i="6"/>
  <c r="J147" i="6"/>
  <c r="K147" i="6"/>
  <c r="L147" i="6"/>
  <c r="M147" i="6"/>
  <c r="N147" i="6"/>
  <c r="O147" i="6"/>
  <c r="P147" i="6"/>
  <c r="Q147" i="6"/>
  <c r="R147" i="6"/>
  <c r="J148" i="6"/>
  <c r="K148" i="6"/>
  <c r="L148" i="6"/>
  <c r="M148" i="6"/>
  <c r="N148" i="6"/>
  <c r="O148" i="6"/>
  <c r="P148" i="6"/>
  <c r="Q148" i="6"/>
  <c r="R148" i="6"/>
  <c r="J149" i="6"/>
  <c r="K149" i="6"/>
  <c r="L149" i="6"/>
  <c r="M149" i="6"/>
  <c r="N149" i="6"/>
  <c r="O149" i="6"/>
  <c r="P149" i="6"/>
  <c r="Q149" i="6"/>
  <c r="R149" i="6"/>
  <c r="J150" i="6"/>
  <c r="K150" i="6"/>
  <c r="L150" i="6"/>
  <c r="M150" i="6"/>
  <c r="N150" i="6"/>
  <c r="O150" i="6"/>
  <c r="P150" i="6"/>
  <c r="Q150" i="6"/>
  <c r="R150" i="6"/>
  <c r="J151" i="6"/>
  <c r="K151" i="6"/>
  <c r="L151" i="6"/>
  <c r="M151" i="6"/>
  <c r="N151" i="6"/>
  <c r="O151" i="6"/>
  <c r="P151" i="6"/>
  <c r="Q151" i="6"/>
  <c r="R151" i="6"/>
  <c r="J152" i="6"/>
  <c r="K152" i="6"/>
  <c r="L152" i="6"/>
  <c r="M152" i="6"/>
  <c r="N152" i="6"/>
  <c r="O152" i="6"/>
  <c r="P152" i="6"/>
  <c r="Q152" i="6"/>
  <c r="R152" i="6"/>
  <c r="J153" i="6"/>
  <c r="K153" i="6"/>
  <c r="L153" i="6"/>
  <c r="M153" i="6"/>
  <c r="N153" i="6"/>
  <c r="O153" i="6"/>
  <c r="P153" i="6"/>
  <c r="Q153" i="6"/>
  <c r="R153" i="6"/>
  <c r="K136" i="6"/>
  <c r="L136" i="6"/>
  <c r="M136" i="6"/>
  <c r="M135" i="6" s="1"/>
  <c r="N136" i="6"/>
  <c r="O136" i="6"/>
  <c r="P136" i="6"/>
  <c r="P135" i="6" s="1"/>
  <c r="Q136" i="6"/>
  <c r="R136" i="6"/>
  <c r="J136" i="6"/>
  <c r="J135" i="6" s="1"/>
  <c r="E137" i="6"/>
  <c r="F137" i="6"/>
  <c r="G137" i="6"/>
  <c r="H137" i="6"/>
  <c r="I137" i="6"/>
  <c r="E138" i="6"/>
  <c r="F138" i="6"/>
  <c r="G138" i="6"/>
  <c r="H138" i="6"/>
  <c r="I138" i="6"/>
  <c r="E139" i="6"/>
  <c r="F139" i="6"/>
  <c r="G139" i="6"/>
  <c r="H139" i="6"/>
  <c r="I139" i="6"/>
  <c r="E140" i="6"/>
  <c r="F140" i="6"/>
  <c r="G140" i="6"/>
  <c r="H140" i="6"/>
  <c r="I140" i="6"/>
  <c r="E141" i="6"/>
  <c r="F141" i="6"/>
  <c r="G141" i="6"/>
  <c r="H141" i="6"/>
  <c r="I141" i="6"/>
  <c r="E142" i="6"/>
  <c r="F142" i="6"/>
  <c r="G142" i="6"/>
  <c r="H142" i="6"/>
  <c r="I142" i="6"/>
  <c r="E143" i="6"/>
  <c r="F143" i="6"/>
  <c r="G143" i="6"/>
  <c r="H143" i="6"/>
  <c r="I143" i="6"/>
  <c r="E144" i="6"/>
  <c r="F144" i="6"/>
  <c r="G144" i="6"/>
  <c r="H144" i="6"/>
  <c r="I144" i="6"/>
  <c r="E145" i="6"/>
  <c r="F145" i="6"/>
  <c r="G145" i="6"/>
  <c r="H145" i="6"/>
  <c r="I145" i="6"/>
  <c r="E146" i="6"/>
  <c r="F146" i="6"/>
  <c r="G146" i="6"/>
  <c r="H146" i="6"/>
  <c r="I146" i="6"/>
  <c r="E147" i="6"/>
  <c r="F147" i="6"/>
  <c r="G147" i="6"/>
  <c r="H147" i="6"/>
  <c r="I147" i="6"/>
  <c r="E148" i="6"/>
  <c r="F148" i="6"/>
  <c r="G148" i="6"/>
  <c r="H148" i="6"/>
  <c r="I148" i="6"/>
  <c r="E149" i="6"/>
  <c r="F149" i="6"/>
  <c r="G149" i="6"/>
  <c r="H149" i="6"/>
  <c r="I149" i="6"/>
  <c r="E150" i="6"/>
  <c r="F150" i="6"/>
  <c r="G150" i="6"/>
  <c r="H150" i="6"/>
  <c r="I150" i="6"/>
  <c r="E151" i="6"/>
  <c r="F151" i="6"/>
  <c r="G151" i="6"/>
  <c r="H151" i="6"/>
  <c r="I151" i="6"/>
  <c r="E152" i="6"/>
  <c r="F152" i="6"/>
  <c r="G152" i="6"/>
  <c r="H152" i="6"/>
  <c r="I152" i="6"/>
  <c r="E153" i="6"/>
  <c r="F153" i="6"/>
  <c r="G153" i="6"/>
  <c r="H153" i="6"/>
  <c r="I153" i="6"/>
  <c r="F136" i="6"/>
  <c r="G136" i="6"/>
  <c r="H136" i="6"/>
  <c r="I136" i="6"/>
  <c r="E136" i="6"/>
  <c r="J258" i="6"/>
  <c r="K258" i="6"/>
  <c r="L258" i="6"/>
  <c r="M258" i="6"/>
  <c r="N258" i="6"/>
  <c r="O258" i="6"/>
  <c r="P258" i="6"/>
  <c r="Q258" i="6"/>
  <c r="R258" i="6"/>
  <c r="J259" i="6"/>
  <c r="K259" i="6"/>
  <c r="L259" i="6"/>
  <c r="M259" i="6"/>
  <c r="N259" i="6"/>
  <c r="O259" i="6"/>
  <c r="P259" i="6"/>
  <c r="Q259" i="6"/>
  <c r="R259" i="6"/>
  <c r="J260" i="6"/>
  <c r="K260" i="6"/>
  <c r="L260" i="6"/>
  <c r="M260" i="6"/>
  <c r="N260" i="6"/>
  <c r="O260" i="6"/>
  <c r="P260" i="6"/>
  <c r="Q260" i="6"/>
  <c r="R260" i="6"/>
  <c r="J261" i="6"/>
  <c r="K261" i="6"/>
  <c r="L261" i="6"/>
  <c r="M261" i="6"/>
  <c r="N261" i="6"/>
  <c r="O261" i="6"/>
  <c r="P261" i="6"/>
  <c r="Q261" i="6"/>
  <c r="R261" i="6"/>
  <c r="J262" i="6"/>
  <c r="K262" i="6"/>
  <c r="L262" i="6"/>
  <c r="M262" i="6"/>
  <c r="N262" i="6"/>
  <c r="O262" i="6"/>
  <c r="P262" i="6"/>
  <c r="Q262" i="6"/>
  <c r="R262" i="6"/>
  <c r="J263" i="6"/>
  <c r="K263" i="6"/>
  <c r="L263" i="6"/>
  <c r="M263" i="6"/>
  <c r="N263" i="6"/>
  <c r="O263" i="6"/>
  <c r="P263" i="6"/>
  <c r="Q263" i="6"/>
  <c r="R263" i="6"/>
  <c r="J264" i="6"/>
  <c r="K264" i="6"/>
  <c r="L264" i="6"/>
  <c r="M264" i="6"/>
  <c r="N264" i="6"/>
  <c r="O264" i="6"/>
  <c r="P264" i="6"/>
  <c r="Q264" i="6"/>
  <c r="R264" i="6"/>
  <c r="J265" i="6"/>
  <c r="K265" i="6"/>
  <c r="L265" i="6"/>
  <c r="M265" i="6"/>
  <c r="N265" i="6"/>
  <c r="O265" i="6"/>
  <c r="P265" i="6"/>
  <c r="Q265" i="6"/>
  <c r="R265" i="6"/>
  <c r="J266" i="6"/>
  <c r="K266" i="6"/>
  <c r="L266" i="6"/>
  <c r="M266" i="6"/>
  <c r="N266" i="6"/>
  <c r="O266" i="6"/>
  <c r="P266" i="6"/>
  <c r="Q266" i="6"/>
  <c r="R266" i="6"/>
  <c r="J267" i="6"/>
  <c r="K267" i="6"/>
  <c r="L267" i="6"/>
  <c r="M267" i="6"/>
  <c r="N267" i="6"/>
  <c r="O267" i="6"/>
  <c r="P267" i="6"/>
  <c r="Q267" i="6"/>
  <c r="R267" i="6"/>
  <c r="J268" i="6"/>
  <c r="K268" i="6"/>
  <c r="L268" i="6"/>
  <c r="M268" i="6"/>
  <c r="N268" i="6"/>
  <c r="O268" i="6"/>
  <c r="P268" i="6"/>
  <c r="Q268" i="6"/>
  <c r="R268" i="6"/>
  <c r="J269" i="6"/>
  <c r="K269" i="6"/>
  <c r="L269" i="6"/>
  <c r="M269" i="6"/>
  <c r="N269" i="6"/>
  <c r="O269" i="6"/>
  <c r="P269" i="6"/>
  <c r="Q269" i="6"/>
  <c r="R269" i="6"/>
  <c r="J270" i="6"/>
  <c r="K270" i="6"/>
  <c r="L270" i="6"/>
  <c r="M270" i="6"/>
  <c r="N270" i="6"/>
  <c r="O270" i="6"/>
  <c r="P270" i="6"/>
  <c r="Q270" i="6"/>
  <c r="R270" i="6"/>
  <c r="J271" i="6"/>
  <c r="K271" i="6"/>
  <c r="L271" i="6"/>
  <c r="M271" i="6"/>
  <c r="N271" i="6"/>
  <c r="O271" i="6"/>
  <c r="P271" i="6"/>
  <c r="Q271" i="6"/>
  <c r="R271" i="6"/>
  <c r="K257" i="6"/>
  <c r="L257" i="6"/>
  <c r="M257" i="6"/>
  <c r="N257" i="6"/>
  <c r="O257" i="6"/>
  <c r="P257" i="6"/>
  <c r="Q257" i="6"/>
  <c r="R257" i="6"/>
  <c r="J257" i="6"/>
  <c r="E258" i="6"/>
  <c r="F258" i="6"/>
  <c r="G258" i="6"/>
  <c r="H258" i="6"/>
  <c r="I258" i="6"/>
  <c r="E259" i="6"/>
  <c r="F259" i="6"/>
  <c r="G259" i="6"/>
  <c r="H259" i="6"/>
  <c r="I259" i="6"/>
  <c r="E260" i="6"/>
  <c r="F260" i="6"/>
  <c r="G260" i="6"/>
  <c r="H260" i="6"/>
  <c r="I260" i="6"/>
  <c r="E261" i="6"/>
  <c r="F261" i="6"/>
  <c r="G261" i="6"/>
  <c r="H261" i="6"/>
  <c r="I261" i="6"/>
  <c r="E262" i="6"/>
  <c r="F262" i="6"/>
  <c r="G262" i="6"/>
  <c r="H262" i="6"/>
  <c r="I262" i="6"/>
  <c r="E263" i="6"/>
  <c r="F263" i="6"/>
  <c r="G263" i="6"/>
  <c r="H263" i="6"/>
  <c r="I263" i="6"/>
  <c r="E264" i="6"/>
  <c r="F264" i="6"/>
  <c r="G264" i="6"/>
  <c r="H264" i="6"/>
  <c r="I264" i="6"/>
  <c r="E265" i="6"/>
  <c r="F265" i="6"/>
  <c r="G265" i="6"/>
  <c r="H265" i="6"/>
  <c r="I265" i="6"/>
  <c r="E266" i="6"/>
  <c r="F266" i="6"/>
  <c r="G266" i="6"/>
  <c r="H266" i="6"/>
  <c r="I266" i="6"/>
  <c r="E267" i="6"/>
  <c r="F267" i="6"/>
  <c r="G267" i="6"/>
  <c r="H267" i="6"/>
  <c r="I267" i="6"/>
  <c r="E268" i="6"/>
  <c r="F268" i="6"/>
  <c r="G268" i="6"/>
  <c r="H268" i="6"/>
  <c r="I268" i="6"/>
  <c r="E269" i="6"/>
  <c r="F269" i="6"/>
  <c r="G269" i="6"/>
  <c r="H269" i="6"/>
  <c r="I269" i="6"/>
  <c r="E270" i="6"/>
  <c r="F270" i="6"/>
  <c r="G270" i="6"/>
  <c r="H270" i="6"/>
  <c r="I270" i="6"/>
  <c r="E271" i="6"/>
  <c r="F271" i="6"/>
  <c r="G271" i="6"/>
  <c r="H271" i="6"/>
  <c r="I271" i="6"/>
  <c r="F257" i="6"/>
  <c r="G257" i="6"/>
  <c r="H257" i="6"/>
  <c r="I257" i="6"/>
  <c r="E257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B258" i="6"/>
  <c r="D258" i="6" s="1" a="1"/>
  <c r="D258" i="6" s="1"/>
  <c r="B259" i="6"/>
  <c r="D259" i="6" s="1" a="1"/>
  <c r="D259" i="6" s="1"/>
  <c r="B260" i="6"/>
  <c r="D260" i="6" s="1" a="1"/>
  <c r="D260" i="6" s="1"/>
  <c r="B261" i="6"/>
  <c r="D261" i="6" s="1" a="1"/>
  <c r="D261" i="6" s="1"/>
  <c r="B262" i="6"/>
  <c r="D262" i="6" s="1" a="1"/>
  <c r="D262" i="6" s="1"/>
  <c r="B263" i="6"/>
  <c r="D263" i="6" s="1" a="1"/>
  <c r="D263" i="6" s="1"/>
  <c r="B264" i="6"/>
  <c r="D264" i="6" s="1" a="1"/>
  <c r="D264" i="6" s="1"/>
  <c r="B265" i="6"/>
  <c r="D265" i="6" s="1" a="1"/>
  <c r="D265" i="6" s="1"/>
  <c r="B266" i="6"/>
  <c r="D266" i="6" s="1" a="1"/>
  <c r="D266" i="6" s="1"/>
  <c r="B267" i="6"/>
  <c r="D267" i="6" s="1" a="1"/>
  <c r="D267" i="6" s="1"/>
  <c r="B268" i="6"/>
  <c r="D268" i="6" s="1" a="1"/>
  <c r="D268" i="6" s="1"/>
  <c r="B269" i="6"/>
  <c r="D269" i="6" s="1" a="1"/>
  <c r="D269" i="6" s="1"/>
  <c r="B270" i="6"/>
  <c r="D270" i="6" s="1" a="1"/>
  <c r="D270" i="6" s="1"/>
  <c r="B271" i="6"/>
  <c r="D271" i="6" s="1" a="1"/>
  <c r="D271" i="6" s="1"/>
  <c r="B257" i="6"/>
  <c r="D257" i="6" s="1" a="1"/>
  <c r="D257" i="6" s="1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B256" i="6"/>
  <c r="B50" i="1" s="1"/>
  <c r="C256" i="6"/>
  <c r="B51" i="1" s="1"/>
  <c r="J239" i="6"/>
  <c r="K239" i="6"/>
  <c r="L239" i="6"/>
  <c r="M239" i="6"/>
  <c r="N239" i="6"/>
  <c r="O239" i="6"/>
  <c r="P239" i="6"/>
  <c r="Q239" i="6"/>
  <c r="R239" i="6"/>
  <c r="J240" i="6"/>
  <c r="K240" i="6"/>
  <c r="L240" i="6"/>
  <c r="M240" i="6"/>
  <c r="N240" i="6"/>
  <c r="O240" i="6"/>
  <c r="P240" i="6"/>
  <c r="Q240" i="6"/>
  <c r="R240" i="6"/>
  <c r="J241" i="6"/>
  <c r="K241" i="6"/>
  <c r="L241" i="6"/>
  <c r="M241" i="6"/>
  <c r="N241" i="6"/>
  <c r="O241" i="6"/>
  <c r="P241" i="6"/>
  <c r="Q241" i="6"/>
  <c r="R241" i="6"/>
  <c r="J242" i="6"/>
  <c r="K242" i="6"/>
  <c r="L242" i="6"/>
  <c r="M242" i="6"/>
  <c r="N242" i="6"/>
  <c r="O242" i="6"/>
  <c r="P242" i="6"/>
  <c r="Q242" i="6"/>
  <c r="R242" i="6"/>
  <c r="J243" i="6"/>
  <c r="K243" i="6"/>
  <c r="L243" i="6"/>
  <c r="M243" i="6"/>
  <c r="N243" i="6"/>
  <c r="O243" i="6"/>
  <c r="P243" i="6"/>
  <c r="Q243" i="6"/>
  <c r="R243" i="6"/>
  <c r="J244" i="6"/>
  <c r="K244" i="6"/>
  <c r="L244" i="6"/>
  <c r="M244" i="6"/>
  <c r="N244" i="6"/>
  <c r="O244" i="6"/>
  <c r="P244" i="6"/>
  <c r="Q244" i="6"/>
  <c r="R244" i="6"/>
  <c r="J245" i="6"/>
  <c r="K245" i="6"/>
  <c r="L245" i="6"/>
  <c r="M245" i="6"/>
  <c r="N245" i="6"/>
  <c r="O245" i="6"/>
  <c r="P245" i="6"/>
  <c r="Q245" i="6"/>
  <c r="R245" i="6"/>
  <c r="J246" i="6"/>
  <c r="K246" i="6"/>
  <c r="L246" i="6"/>
  <c r="M246" i="6"/>
  <c r="N246" i="6"/>
  <c r="O246" i="6"/>
  <c r="P246" i="6"/>
  <c r="Q246" i="6"/>
  <c r="R246" i="6"/>
  <c r="J247" i="6"/>
  <c r="K247" i="6"/>
  <c r="L247" i="6"/>
  <c r="M247" i="6"/>
  <c r="N247" i="6"/>
  <c r="O247" i="6"/>
  <c r="P247" i="6"/>
  <c r="Q247" i="6"/>
  <c r="R247" i="6"/>
  <c r="J248" i="6"/>
  <c r="K248" i="6"/>
  <c r="L248" i="6"/>
  <c r="M248" i="6"/>
  <c r="N248" i="6"/>
  <c r="O248" i="6"/>
  <c r="P248" i="6"/>
  <c r="Q248" i="6"/>
  <c r="R248" i="6"/>
  <c r="J249" i="6"/>
  <c r="K249" i="6"/>
  <c r="L249" i="6"/>
  <c r="M249" i="6"/>
  <c r="N249" i="6"/>
  <c r="O249" i="6"/>
  <c r="P249" i="6"/>
  <c r="Q249" i="6"/>
  <c r="R249" i="6"/>
  <c r="J250" i="6"/>
  <c r="K250" i="6"/>
  <c r="L250" i="6"/>
  <c r="M250" i="6"/>
  <c r="N250" i="6"/>
  <c r="O250" i="6"/>
  <c r="P250" i="6"/>
  <c r="Q250" i="6"/>
  <c r="R250" i="6"/>
  <c r="J251" i="6"/>
  <c r="K251" i="6"/>
  <c r="L251" i="6"/>
  <c r="M251" i="6"/>
  <c r="N251" i="6"/>
  <c r="O251" i="6"/>
  <c r="P251" i="6"/>
  <c r="Q251" i="6"/>
  <c r="R251" i="6"/>
  <c r="J252" i="6"/>
  <c r="K252" i="6"/>
  <c r="L252" i="6"/>
  <c r="M252" i="6"/>
  <c r="N252" i="6"/>
  <c r="O252" i="6"/>
  <c r="P252" i="6"/>
  <c r="Q252" i="6"/>
  <c r="R252" i="6"/>
  <c r="J253" i="6"/>
  <c r="K253" i="6"/>
  <c r="L253" i="6"/>
  <c r="M253" i="6"/>
  <c r="N253" i="6"/>
  <c r="O253" i="6"/>
  <c r="P253" i="6"/>
  <c r="Q253" i="6"/>
  <c r="R253" i="6"/>
  <c r="J254" i="6"/>
  <c r="K254" i="6"/>
  <c r="L254" i="6"/>
  <c r="M254" i="6"/>
  <c r="N254" i="6"/>
  <c r="O254" i="6"/>
  <c r="P254" i="6"/>
  <c r="Q254" i="6"/>
  <c r="R254" i="6"/>
  <c r="J255" i="6"/>
  <c r="K255" i="6"/>
  <c r="L255" i="6"/>
  <c r="M255" i="6"/>
  <c r="N255" i="6"/>
  <c r="O255" i="6"/>
  <c r="P255" i="6"/>
  <c r="Q255" i="6"/>
  <c r="R255" i="6"/>
  <c r="M238" i="6"/>
  <c r="N238" i="6"/>
  <c r="O238" i="6"/>
  <c r="P238" i="6"/>
  <c r="Q238" i="6"/>
  <c r="R238" i="6"/>
  <c r="K238" i="6"/>
  <c r="L238" i="6"/>
  <c r="J238" i="6"/>
  <c r="E239" i="6"/>
  <c r="F239" i="6"/>
  <c r="G239" i="6"/>
  <c r="H239" i="6"/>
  <c r="I239" i="6"/>
  <c r="E240" i="6"/>
  <c r="F240" i="6"/>
  <c r="G240" i="6"/>
  <c r="H240" i="6"/>
  <c r="I240" i="6"/>
  <c r="E241" i="6"/>
  <c r="F241" i="6"/>
  <c r="G241" i="6"/>
  <c r="H241" i="6"/>
  <c r="I241" i="6"/>
  <c r="E242" i="6"/>
  <c r="F242" i="6"/>
  <c r="G242" i="6"/>
  <c r="H242" i="6"/>
  <c r="I242" i="6"/>
  <c r="E243" i="6"/>
  <c r="F243" i="6"/>
  <c r="G243" i="6"/>
  <c r="H243" i="6"/>
  <c r="I243" i="6"/>
  <c r="E244" i="6"/>
  <c r="F244" i="6"/>
  <c r="G244" i="6"/>
  <c r="H244" i="6"/>
  <c r="I244" i="6"/>
  <c r="E245" i="6"/>
  <c r="F245" i="6"/>
  <c r="G245" i="6"/>
  <c r="H245" i="6"/>
  <c r="I245" i="6"/>
  <c r="E246" i="6"/>
  <c r="F246" i="6"/>
  <c r="G246" i="6"/>
  <c r="H246" i="6"/>
  <c r="I246" i="6"/>
  <c r="E247" i="6"/>
  <c r="F247" i="6"/>
  <c r="G247" i="6"/>
  <c r="H247" i="6"/>
  <c r="I247" i="6"/>
  <c r="E248" i="6"/>
  <c r="F248" i="6"/>
  <c r="G248" i="6"/>
  <c r="H248" i="6"/>
  <c r="I248" i="6"/>
  <c r="E249" i="6"/>
  <c r="F249" i="6"/>
  <c r="G249" i="6"/>
  <c r="H249" i="6"/>
  <c r="I249" i="6"/>
  <c r="E250" i="6"/>
  <c r="F250" i="6"/>
  <c r="G250" i="6"/>
  <c r="H250" i="6"/>
  <c r="I250" i="6"/>
  <c r="E251" i="6"/>
  <c r="F251" i="6"/>
  <c r="G251" i="6"/>
  <c r="H251" i="6"/>
  <c r="I251" i="6"/>
  <c r="E252" i="6"/>
  <c r="F252" i="6"/>
  <c r="G252" i="6"/>
  <c r="H252" i="6"/>
  <c r="I252" i="6"/>
  <c r="E253" i="6"/>
  <c r="F253" i="6"/>
  <c r="G253" i="6"/>
  <c r="H253" i="6"/>
  <c r="I253" i="6"/>
  <c r="E254" i="6"/>
  <c r="F254" i="6"/>
  <c r="G254" i="6"/>
  <c r="H254" i="6"/>
  <c r="I254" i="6"/>
  <c r="E255" i="6"/>
  <c r="F255" i="6"/>
  <c r="G255" i="6"/>
  <c r="H255" i="6"/>
  <c r="I255" i="6"/>
  <c r="F238" i="6"/>
  <c r="G238" i="6"/>
  <c r="H238" i="6"/>
  <c r="I238" i="6"/>
  <c r="E238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B238" i="6"/>
  <c r="D238" i="6" s="1" a="1"/>
  <c r="D238" i="6" s="1"/>
  <c r="B239" i="6"/>
  <c r="D239" i="6" s="1" a="1"/>
  <c r="D239" i="6" s="1"/>
  <c r="B240" i="6"/>
  <c r="D240" i="6" s="1" a="1"/>
  <c r="D240" i="6" s="1"/>
  <c r="B241" i="6"/>
  <c r="D241" i="6" s="1" a="1"/>
  <c r="D241" i="6" s="1"/>
  <c r="B242" i="6"/>
  <c r="D242" i="6" s="1" a="1"/>
  <c r="D242" i="6" s="1"/>
  <c r="B243" i="6"/>
  <c r="D243" i="6" s="1" a="1"/>
  <c r="D243" i="6" s="1"/>
  <c r="B244" i="6"/>
  <c r="D244" i="6" s="1" a="1"/>
  <c r="D244" i="6" s="1"/>
  <c r="B245" i="6"/>
  <c r="D245" i="6" s="1" a="1"/>
  <c r="D245" i="6" s="1"/>
  <c r="B246" i="6"/>
  <c r="D246" i="6" s="1" a="1"/>
  <c r="D246" i="6" s="1"/>
  <c r="B247" i="6"/>
  <c r="D247" i="6" s="1" a="1"/>
  <c r="D247" i="6" s="1"/>
  <c r="B248" i="6"/>
  <c r="D248" i="6" s="1" a="1"/>
  <c r="D248" i="6" s="1"/>
  <c r="B249" i="6"/>
  <c r="D249" i="6" s="1" a="1"/>
  <c r="D249" i="6" s="1"/>
  <c r="B250" i="6"/>
  <c r="D250" i="6" s="1" a="1"/>
  <c r="D250" i="6" s="1"/>
  <c r="B251" i="6"/>
  <c r="D251" i="6" s="1" a="1"/>
  <c r="D251" i="6" s="1"/>
  <c r="B252" i="6"/>
  <c r="D252" i="6" s="1" a="1"/>
  <c r="D252" i="6" s="1"/>
  <c r="B253" i="6"/>
  <c r="D253" i="6" s="1" a="1"/>
  <c r="D253" i="6" s="1"/>
  <c r="B254" i="6"/>
  <c r="D254" i="6" s="1" a="1"/>
  <c r="D254" i="6" s="1"/>
  <c r="B255" i="6"/>
  <c r="D255" i="6" s="1" a="1"/>
  <c r="D255" i="6" s="1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B237" i="6"/>
  <c r="C237" i="6"/>
  <c r="B49" i="1" s="1"/>
  <c r="J219" i="6"/>
  <c r="K219" i="6"/>
  <c r="L219" i="6"/>
  <c r="M219" i="6"/>
  <c r="N219" i="6"/>
  <c r="O219" i="6"/>
  <c r="P219" i="6"/>
  <c r="Q219" i="6"/>
  <c r="R219" i="6"/>
  <c r="J220" i="6"/>
  <c r="K220" i="6"/>
  <c r="L220" i="6"/>
  <c r="M220" i="6"/>
  <c r="N220" i="6"/>
  <c r="O220" i="6"/>
  <c r="P220" i="6"/>
  <c r="Q220" i="6"/>
  <c r="R220" i="6"/>
  <c r="J221" i="6"/>
  <c r="K221" i="6"/>
  <c r="L221" i="6"/>
  <c r="M221" i="6"/>
  <c r="N221" i="6"/>
  <c r="O221" i="6"/>
  <c r="P221" i="6"/>
  <c r="Q221" i="6"/>
  <c r="R221" i="6"/>
  <c r="J222" i="6"/>
  <c r="K222" i="6"/>
  <c r="L222" i="6"/>
  <c r="M222" i="6"/>
  <c r="N222" i="6"/>
  <c r="O222" i="6"/>
  <c r="P222" i="6"/>
  <c r="Q222" i="6"/>
  <c r="R222" i="6"/>
  <c r="J223" i="6"/>
  <c r="K223" i="6"/>
  <c r="L223" i="6"/>
  <c r="M223" i="6"/>
  <c r="N223" i="6"/>
  <c r="O223" i="6"/>
  <c r="P223" i="6"/>
  <c r="Q223" i="6"/>
  <c r="R223" i="6"/>
  <c r="J224" i="6"/>
  <c r="K224" i="6"/>
  <c r="L224" i="6"/>
  <c r="M224" i="6"/>
  <c r="N224" i="6"/>
  <c r="O224" i="6"/>
  <c r="P224" i="6"/>
  <c r="Q224" i="6"/>
  <c r="R224" i="6"/>
  <c r="J225" i="6"/>
  <c r="K225" i="6"/>
  <c r="L225" i="6"/>
  <c r="M225" i="6"/>
  <c r="N225" i="6"/>
  <c r="O225" i="6"/>
  <c r="P225" i="6"/>
  <c r="Q225" i="6"/>
  <c r="R225" i="6"/>
  <c r="J226" i="6"/>
  <c r="K226" i="6"/>
  <c r="L226" i="6"/>
  <c r="M226" i="6"/>
  <c r="N226" i="6"/>
  <c r="O226" i="6"/>
  <c r="P226" i="6"/>
  <c r="Q226" i="6"/>
  <c r="R226" i="6"/>
  <c r="J227" i="6"/>
  <c r="K227" i="6"/>
  <c r="L227" i="6"/>
  <c r="M227" i="6"/>
  <c r="N227" i="6"/>
  <c r="O227" i="6"/>
  <c r="P227" i="6"/>
  <c r="Q227" i="6"/>
  <c r="R227" i="6"/>
  <c r="J228" i="6"/>
  <c r="K228" i="6"/>
  <c r="L228" i="6"/>
  <c r="M228" i="6"/>
  <c r="N228" i="6"/>
  <c r="O228" i="6"/>
  <c r="P228" i="6"/>
  <c r="Q228" i="6"/>
  <c r="R228" i="6"/>
  <c r="J229" i="6"/>
  <c r="K229" i="6"/>
  <c r="L229" i="6"/>
  <c r="M229" i="6"/>
  <c r="N229" i="6"/>
  <c r="O229" i="6"/>
  <c r="P229" i="6"/>
  <c r="Q229" i="6"/>
  <c r="R229" i="6"/>
  <c r="J230" i="6"/>
  <c r="K230" i="6"/>
  <c r="L230" i="6"/>
  <c r="M230" i="6"/>
  <c r="N230" i="6"/>
  <c r="O230" i="6"/>
  <c r="P230" i="6"/>
  <c r="Q230" i="6"/>
  <c r="R230" i="6"/>
  <c r="J231" i="6"/>
  <c r="K231" i="6"/>
  <c r="L231" i="6"/>
  <c r="M231" i="6"/>
  <c r="N231" i="6"/>
  <c r="O231" i="6"/>
  <c r="P231" i="6"/>
  <c r="Q231" i="6"/>
  <c r="R231" i="6"/>
  <c r="J232" i="6"/>
  <c r="K232" i="6"/>
  <c r="L232" i="6"/>
  <c r="M232" i="6"/>
  <c r="N232" i="6"/>
  <c r="O232" i="6"/>
  <c r="P232" i="6"/>
  <c r="Q232" i="6"/>
  <c r="R232" i="6"/>
  <c r="J233" i="6"/>
  <c r="K233" i="6"/>
  <c r="L233" i="6"/>
  <c r="M233" i="6"/>
  <c r="N233" i="6"/>
  <c r="O233" i="6"/>
  <c r="P233" i="6"/>
  <c r="Q233" i="6"/>
  <c r="R233" i="6"/>
  <c r="J234" i="6"/>
  <c r="K234" i="6"/>
  <c r="L234" i="6"/>
  <c r="M234" i="6"/>
  <c r="N234" i="6"/>
  <c r="O234" i="6"/>
  <c r="P234" i="6"/>
  <c r="Q234" i="6"/>
  <c r="R234" i="6"/>
  <c r="J235" i="6"/>
  <c r="K235" i="6"/>
  <c r="L235" i="6"/>
  <c r="M235" i="6"/>
  <c r="N235" i="6"/>
  <c r="O235" i="6"/>
  <c r="P235" i="6"/>
  <c r="Q235" i="6"/>
  <c r="R235" i="6"/>
  <c r="J236" i="6"/>
  <c r="K236" i="6"/>
  <c r="L236" i="6"/>
  <c r="M236" i="6"/>
  <c r="N236" i="6"/>
  <c r="O236" i="6"/>
  <c r="P236" i="6"/>
  <c r="Q236" i="6"/>
  <c r="R236" i="6"/>
  <c r="K218" i="6"/>
  <c r="L218" i="6"/>
  <c r="M218" i="6"/>
  <c r="N218" i="6"/>
  <c r="O218" i="6"/>
  <c r="P218" i="6"/>
  <c r="Q218" i="6"/>
  <c r="R218" i="6"/>
  <c r="J218" i="6"/>
  <c r="E219" i="6"/>
  <c r="F219" i="6"/>
  <c r="G219" i="6"/>
  <c r="H219" i="6"/>
  <c r="I219" i="6"/>
  <c r="E220" i="6"/>
  <c r="F220" i="6"/>
  <c r="G220" i="6"/>
  <c r="H220" i="6"/>
  <c r="I220" i="6"/>
  <c r="E221" i="6"/>
  <c r="F221" i="6"/>
  <c r="G221" i="6"/>
  <c r="H221" i="6"/>
  <c r="I221" i="6"/>
  <c r="E222" i="6"/>
  <c r="F222" i="6"/>
  <c r="G222" i="6"/>
  <c r="H222" i="6"/>
  <c r="I222" i="6"/>
  <c r="E223" i="6"/>
  <c r="F223" i="6"/>
  <c r="G223" i="6"/>
  <c r="H223" i="6"/>
  <c r="I223" i="6"/>
  <c r="E224" i="6"/>
  <c r="F224" i="6"/>
  <c r="G224" i="6"/>
  <c r="H224" i="6"/>
  <c r="I224" i="6"/>
  <c r="E225" i="6"/>
  <c r="F225" i="6"/>
  <c r="G225" i="6"/>
  <c r="H225" i="6"/>
  <c r="I225" i="6"/>
  <c r="E226" i="6"/>
  <c r="F226" i="6"/>
  <c r="G226" i="6"/>
  <c r="H226" i="6"/>
  <c r="I226" i="6"/>
  <c r="E227" i="6"/>
  <c r="F227" i="6"/>
  <c r="G227" i="6"/>
  <c r="H227" i="6"/>
  <c r="I227" i="6"/>
  <c r="E228" i="6"/>
  <c r="F228" i="6"/>
  <c r="G228" i="6"/>
  <c r="H228" i="6"/>
  <c r="I228" i="6"/>
  <c r="E229" i="6"/>
  <c r="F229" i="6"/>
  <c r="G229" i="6"/>
  <c r="H229" i="6"/>
  <c r="I229" i="6"/>
  <c r="E230" i="6"/>
  <c r="F230" i="6"/>
  <c r="G230" i="6"/>
  <c r="H230" i="6"/>
  <c r="I230" i="6"/>
  <c r="E231" i="6"/>
  <c r="F231" i="6"/>
  <c r="G231" i="6"/>
  <c r="H231" i="6"/>
  <c r="I231" i="6"/>
  <c r="E232" i="6"/>
  <c r="F232" i="6"/>
  <c r="G232" i="6"/>
  <c r="H232" i="6"/>
  <c r="I232" i="6"/>
  <c r="E233" i="6"/>
  <c r="F233" i="6"/>
  <c r="G233" i="6"/>
  <c r="H233" i="6"/>
  <c r="I233" i="6"/>
  <c r="E234" i="6"/>
  <c r="F234" i="6"/>
  <c r="G234" i="6"/>
  <c r="H234" i="6"/>
  <c r="I234" i="6"/>
  <c r="E235" i="6"/>
  <c r="F235" i="6"/>
  <c r="G235" i="6"/>
  <c r="H235" i="6"/>
  <c r="I235" i="6"/>
  <c r="E236" i="6"/>
  <c r="F236" i="6"/>
  <c r="G236" i="6"/>
  <c r="H236" i="6"/>
  <c r="I236" i="6"/>
  <c r="F218" i="6"/>
  <c r="G218" i="6"/>
  <c r="H218" i="6"/>
  <c r="I218" i="6"/>
  <c r="E218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B219" i="6"/>
  <c r="D219" i="6" s="1" a="1"/>
  <c r="D219" i="6" s="1"/>
  <c r="B220" i="6"/>
  <c r="D220" i="6" s="1" a="1"/>
  <c r="D220" i="6" s="1"/>
  <c r="B221" i="6"/>
  <c r="D221" i="6" s="1" a="1"/>
  <c r="D221" i="6" s="1"/>
  <c r="B222" i="6"/>
  <c r="D222" i="6" s="1" a="1"/>
  <c r="D222" i="6" s="1"/>
  <c r="B223" i="6"/>
  <c r="D223" i="6" s="1" a="1"/>
  <c r="D223" i="6" s="1"/>
  <c r="B224" i="6"/>
  <c r="D224" i="6" s="1" a="1"/>
  <c r="D224" i="6" s="1"/>
  <c r="B225" i="6"/>
  <c r="D225" i="6" s="1" a="1"/>
  <c r="D225" i="6" s="1"/>
  <c r="B226" i="6"/>
  <c r="D226" i="6" s="1" a="1"/>
  <c r="D226" i="6" s="1"/>
  <c r="B227" i="6"/>
  <c r="D227" i="6" s="1" a="1"/>
  <c r="D227" i="6" s="1"/>
  <c r="B228" i="6"/>
  <c r="D228" i="6" s="1" a="1"/>
  <c r="D228" i="6" s="1"/>
  <c r="B229" i="6"/>
  <c r="D229" i="6" s="1" a="1"/>
  <c r="D229" i="6" s="1"/>
  <c r="B230" i="6"/>
  <c r="D230" i="6" s="1" a="1"/>
  <c r="D230" i="6" s="1"/>
  <c r="B231" i="6"/>
  <c r="D231" i="6" s="1" a="1"/>
  <c r="D231" i="6" s="1"/>
  <c r="B232" i="6"/>
  <c r="D232" i="6" s="1" a="1"/>
  <c r="D232" i="6" s="1"/>
  <c r="B233" i="6"/>
  <c r="D233" i="6" s="1" a="1"/>
  <c r="D233" i="6" s="1"/>
  <c r="B234" i="6"/>
  <c r="D234" i="6" s="1" a="1"/>
  <c r="D234" i="6" s="1"/>
  <c r="B235" i="6"/>
  <c r="D235" i="6" s="1" a="1"/>
  <c r="D235" i="6" s="1"/>
  <c r="B236" i="6"/>
  <c r="D236" i="6" s="1" a="1"/>
  <c r="D236" i="6" s="1"/>
  <c r="B218" i="6"/>
  <c r="D218" i="6" s="1" a="1"/>
  <c r="D218" i="6" s="1"/>
  <c r="A218" i="6"/>
  <c r="A235" i="6"/>
  <c r="A236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B217" i="6"/>
  <c r="B46" i="1" s="1"/>
  <c r="C217" i="6"/>
  <c r="B47" i="1" s="1"/>
  <c r="J205" i="6"/>
  <c r="K205" i="6"/>
  <c r="L205" i="6"/>
  <c r="M205" i="6"/>
  <c r="N205" i="6"/>
  <c r="O205" i="6"/>
  <c r="P205" i="6"/>
  <c r="Q205" i="6"/>
  <c r="R205" i="6"/>
  <c r="J206" i="6"/>
  <c r="K206" i="6"/>
  <c r="L206" i="6"/>
  <c r="M206" i="6"/>
  <c r="N206" i="6"/>
  <c r="O206" i="6"/>
  <c r="P206" i="6"/>
  <c r="Q206" i="6"/>
  <c r="R206" i="6"/>
  <c r="J207" i="6"/>
  <c r="K207" i="6"/>
  <c r="L207" i="6"/>
  <c r="M207" i="6"/>
  <c r="N207" i="6"/>
  <c r="O207" i="6"/>
  <c r="P207" i="6"/>
  <c r="Q207" i="6"/>
  <c r="R207" i="6"/>
  <c r="J208" i="6"/>
  <c r="K208" i="6"/>
  <c r="L208" i="6"/>
  <c r="M208" i="6"/>
  <c r="N208" i="6"/>
  <c r="O208" i="6"/>
  <c r="P208" i="6"/>
  <c r="Q208" i="6"/>
  <c r="R208" i="6"/>
  <c r="J209" i="6"/>
  <c r="K209" i="6"/>
  <c r="L209" i="6"/>
  <c r="M209" i="6"/>
  <c r="N209" i="6"/>
  <c r="O209" i="6"/>
  <c r="P209" i="6"/>
  <c r="Q209" i="6"/>
  <c r="R209" i="6"/>
  <c r="J210" i="6"/>
  <c r="K210" i="6"/>
  <c r="L210" i="6"/>
  <c r="M210" i="6"/>
  <c r="N210" i="6"/>
  <c r="O210" i="6"/>
  <c r="P210" i="6"/>
  <c r="Q210" i="6"/>
  <c r="R210" i="6"/>
  <c r="J211" i="6"/>
  <c r="K211" i="6"/>
  <c r="L211" i="6"/>
  <c r="M211" i="6"/>
  <c r="N211" i="6"/>
  <c r="O211" i="6"/>
  <c r="P211" i="6"/>
  <c r="Q211" i="6"/>
  <c r="R211" i="6"/>
  <c r="J212" i="6"/>
  <c r="K212" i="6"/>
  <c r="L212" i="6"/>
  <c r="M212" i="6"/>
  <c r="N212" i="6"/>
  <c r="O212" i="6"/>
  <c r="P212" i="6"/>
  <c r="Q212" i="6"/>
  <c r="R212" i="6"/>
  <c r="J213" i="6"/>
  <c r="K213" i="6"/>
  <c r="L213" i="6"/>
  <c r="M213" i="6"/>
  <c r="N213" i="6"/>
  <c r="O213" i="6"/>
  <c r="P213" i="6"/>
  <c r="Q213" i="6"/>
  <c r="R213" i="6"/>
  <c r="J214" i="6"/>
  <c r="K214" i="6"/>
  <c r="L214" i="6"/>
  <c r="M214" i="6"/>
  <c r="N214" i="6"/>
  <c r="O214" i="6"/>
  <c r="P214" i="6"/>
  <c r="Q214" i="6"/>
  <c r="R214" i="6"/>
  <c r="J215" i="6"/>
  <c r="K215" i="6"/>
  <c r="L215" i="6"/>
  <c r="M215" i="6"/>
  <c r="N215" i="6"/>
  <c r="O215" i="6"/>
  <c r="P215" i="6"/>
  <c r="Q215" i="6"/>
  <c r="R215" i="6"/>
  <c r="J216" i="6"/>
  <c r="K216" i="6"/>
  <c r="L216" i="6"/>
  <c r="M216" i="6"/>
  <c r="N216" i="6"/>
  <c r="O216" i="6"/>
  <c r="P216" i="6"/>
  <c r="Q216" i="6"/>
  <c r="R216" i="6"/>
  <c r="K204" i="6"/>
  <c r="L204" i="6"/>
  <c r="M204" i="6"/>
  <c r="N204" i="6"/>
  <c r="O204" i="6"/>
  <c r="P204" i="6"/>
  <c r="Q204" i="6"/>
  <c r="R204" i="6"/>
  <c r="J204" i="6"/>
  <c r="E205" i="6"/>
  <c r="F205" i="6"/>
  <c r="G205" i="6"/>
  <c r="H205" i="6"/>
  <c r="I205" i="6"/>
  <c r="E206" i="6"/>
  <c r="F206" i="6"/>
  <c r="G206" i="6"/>
  <c r="H206" i="6"/>
  <c r="I206" i="6"/>
  <c r="E207" i="6"/>
  <c r="F207" i="6"/>
  <c r="G207" i="6"/>
  <c r="H207" i="6"/>
  <c r="I207" i="6"/>
  <c r="E208" i="6"/>
  <c r="F208" i="6"/>
  <c r="G208" i="6"/>
  <c r="H208" i="6"/>
  <c r="I208" i="6"/>
  <c r="E209" i="6"/>
  <c r="F209" i="6"/>
  <c r="G209" i="6"/>
  <c r="H209" i="6"/>
  <c r="I209" i="6"/>
  <c r="E210" i="6"/>
  <c r="F210" i="6"/>
  <c r="G210" i="6"/>
  <c r="H210" i="6"/>
  <c r="I210" i="6"/>
  <c r="E211" i="6"/>
  <c r="F211" i="6"/>
  <c r="G211" i="6"/>
  <c r="H211" i="6"/>
  <c r="I211" i="6"/>
  <c r="E212" i="6"/>
  <c r="F212" i="6"/>
  <c r="G212" i="6"/>
  <c r="H212" i="6"/>
  <c r="I212" i="6"/>
  <c r="E213" i="6"/>
  <c r="F213" i="6"/>
  <c r="G213" i="6"/>
  <c r="H213" i="6"/>
  <c r="I213" i="6"/>
  <c r="E214" i="6"/>
  <c r="F214" i="6"/>
  <c r="G214" i="6"/>
  <c r="H214" i="6"/>
  <c r="I214" i="6"/>
  <c r="E215" i="6"/>
  <c r="F215" i="6"/>
  <c r="G215" i="6"/>
  <c r="H215" i="6"/>
  <c r="I215" i="6"/>
  <c r="E216" i="6"/>
  <c r="F216" i="6"/>
  <c r="G216" i="6"/>
  <c r="H216" i="6"/>
  <c r="I216" i="6"/>
  <c r="F204" i="6"/>
  <c r="G204" i="6"/>
  <c r="H204" i="6"/>
  <c r="I204" i="6"/>
  <c r="E204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B205" i="6"/>
  <c r="D205" i="6" s="1" a="1"/>
  <c r="D205" i="6" s="1"/>
  <c r="B206" i="6"/>
  <c r="D206" i="6" s="1" a="1"/>
  <c r="D206" i="6" s="1"/>
  <c r="B207" i="6"/>
  <c r="D207" i="6" s="1" a="1"/>
  <c r="D207" i="6" s="1"/>
  <c r="B208" i="6"/>
  <c r="D208" i="6" s="1" a="1"/>
  <c r="D208" i="6" s="1"/>
  <c r="B209" i="6"/>
  <c r="D209" i="6" s="1" a="1"/>
  <c r="D209" i="6" s="1"/>
  <c r="B210" i="6"/>
  <c r="D210" i="6" s="1" a="1"/>
  <c r="D210" i="6" s="1"/>
  <c r="B211" i="6"/>
  <c r="D211" i="6" s="1" a="1"/>
  <c r="D211" i="6" s="1"/>
  <c r="B212" i="6"/>
  <c r="D212" i="6" s="1" a="1"/>
  <c r="D212" i="6" s="1"/>
  <c r="B213" i="6"/>
  <c r="D213" i="6" s="1" a="1"/>
  <c r="D213" i="6" s="1"/>
  <c r="B214" i="6"/>
  <c r="D214" i="6" s="1" a="1"/>
  <c r="D214" i="6" s="1"/>
  <c r="B215" i="6"/>
  <c r="D215" i="6" s="1" a="1"/>
  <c r="D215" i="6" s="1"/>
  <c r="B216" i="6"/>
  <c r="D216" i="6" s="1" a="1"/>
  <c r="D216" i="6" s="1"/>
  <c r="B204" i="6"/>
  <c r="D204" i="6" s="1" a="1"/>
  <c r="D204" i="6" s="1"/>
  <c r="A205" i="6"/>
  <c r="A206" i="6"/>
  <c r="A207" i="6"/>
  <c r="A208" i="6"/>
  <c r="A209" i="6"/>
  <c r="A210" i="6"/>
  <c r="A211" i="6"/>
  <c r="A212" i="6"/>
  <c r="A213" i="6"/>
  <c r="A214" i="6"/>
  <c r="A215" i="6"/>
  <c r="A216" i="6"/>
  <c r="A204" i="6"/>
  <c r="C203" i="6"/>
  <c r="B203" i="6"/>
  <c r="K192" i="6"/>
  <c r="J189" i="6"/>
  <c r="K189" i="6"/>
  <c r="L189" i="6"/>
  <c r="M189" i="6"/>
  <c r="N189" i="6"/>
  <c r="O189" i="6"/>
  <c r="P189" i="6"/>
  <c r="Q189" i="6"/>
  <c r="R189" i="6"/>
  <c r="J190" i="6"/>
  <c r="K190" i="6"/>
  <c r="L190" i="6"/>
  <c r="M190" i="6"/>
  <c r="N190" i="6"/>
  <c r="O190" i="6"/>
  <c r="P190" i="6"/>
  <c r="Q190" i="6"/>
  <c r="R190" i="6"/>
  <c r="J191" i="6"/>
  <c r="K191" i="6"/>
  <c r="L191" i="6"/>
  <c r="M191" i="6"/>
  <c r="N191" i="6"/>
  <c r="O191" i="6"/>
  <c r="P191" i="6"/>
  <c r="Q191" i="6"/>
  <c r="R191" i="6"/>
  <c r="J192" i="6"/>
  <c r="L192" i="6"/>
  <c r="M192" i="6"/>
  <c r="N192" i="6"/>
  <c r="O192" i="6"/>
  <c r="P192" i="6"/>
  <c r="Q192" i="6"/>
  <c r="R192" i="6"/>
  <c r="J193" i="6"/>
  <c r="K193" i="6"/>
  <c r="L193" i="6"/>
  <c r="M193" i="6"/>
  <c r="N193" i="6"/>
  <c r="O193" i="6"/>
  <c r="P193" i="6"/>
  <c r="Q193" i="6"/>
  <c r="R193" i="6"/>
  <c r="J194" i="6"/>
  <c r="K194" i="6"/>
  <c r="L194" i="6"/>
  <c r="M194" i="6"/>
  <c r="N194" i="6"/>
  <c r="O194" i="6"/>
  <c r="P194" i="6"/>
  <c r="Q194" i="6"/>
  <c r="R194" i="6"/>
  <c r="J195" i="6"/>
  <c r="K195" i="6"/>
  <c r="L195" i="6"/>
  <c r="M195" i="6"/>
  <c r="N195" i="6"/>
  <c r="O195" i="6"/>
  <c r="P195" i="6"/>
  <c r="Q195" i="6"/>
  <c r="R195" i="6"/>
  <c r="J196" i="6"/>
  <c r="K196" i="6"/>
  <c r="L196" i="6"/>
  <c r="M196" i="6"/>
  <c r="N196" i="6"/>
  <c r="O196" i="6"/>
  <c r="P196" i="6"/>
  <c r="Q196" i="6"/>
  <c r="R196" i="6"/>
  <c r="J197" i="6"/>
  <c r="K197" i="6"/>
  <c r="L197" i="6"/>
  <c r="M197" i="6"/>
  <c r="N197" i="6"/>
  <c r="O197" i="6"/>
  <c r="P197" i="6"/>
  <c r="Q197" i="6"/>
  <c r="R197" i="6"/>
  <c r="J198" i="6"/>
  <c r="K198" i="6"/>
  <c r="L198" i="6"/>
  <c r="M198" i="6"/>
  <c r="N198" i="6"/>
  <c r="O198" i="6"/>
  <c r="P198" i="6"/>
  <c r="Q198" i="6"/>
  <c r="R198" i="6"/>
  <c r="J199" i="6"/>
  <c r="K199" i="6"/>
  <c r="L199" i="6"/>
  <c r="M199" i="6"/>
  <c r="N199" i="6"/>
  <c r="O199" i="6"/>
  <c r="P199" i="6"/>
  <c r="Q199" i="6"/>
  <c r="R199" i="6"/>
  <c r="J200" i="6"/>
  <c r="K200" i="6"/>
  <c r="L200" i="6"/>
  <c r="M200" i="6"/>
  <c r="N200" i="6"/>
  <c r="O200" i="6"/>
  <c r="P200" i="6"/>
  <c r="Q200" i="6"/>
  <c r="R200" i="6"/>
  <c r="J201" i="6"/>
  <c r="K201" i="6"/>
  <c r="L201" i="6"/>
  <c r="M201" i="6"/>
  <c r="N201" i="6"/>
  <c r="O201" i="6"/>
  <c r="P201" i="6"/>
  <c r="Q201" i="6"/>
  <c r="R201" i="6"/>
  <c r="J202" i="6"/>
  <c r="K202" i="6"/>
  <c r="L202" i="6"/>
  <c r="M202" i="6"/>
  <c r="N202" i="6"/>
  <c r="O202" i="6"/>
  <c r="P202" i="6"/>
  <c r="Q202" i="6"/>
  <c r="R202" i="6"/>
  <c r="K188" i="6"/>
  <c r="L188" i="6"/>
  <c r="M188" i="6"/>
  <c r="N188" i="6"/>
  <c r="O188" i="6"/>
  <c r="P188" i="6"/>
  <c r="Q188" i="6"/>
  <c r="R188" i="6"/>
  <c r="J174" i="6"/>
  <c r="K174" i="6"/>
  <c r="L174" i="6"/>
  <c r="M174" i="6"/>
  <c r="N174" i="6"/>
  <c r="O174" i="6"/>
  <c r="P174" i="6"/>
  <c r="Q174" i="6"/>
  <c r="R174" i="6"/>
  <c r="J175" i="6"/>
  <c r="K175" i="6"/>
  <c r="L175" i="6"/>
  <c r="M175" i="6"/>
  <c r="N175" i="6"/>
  <c r="O175" i="6"/>
  <c r="P175" i="6"/>
  <c r="Q175" i="6"/>
  <c r="R175" i="6"/>
  <c r="J176" i="6"/>
  <c r="K176" i="6"/>
  <c r="L176" i="6"/>
  <c r="M176" i="6"/>
  <c r="N176" i="6"/>
  <c r="O176" i="6"/>
  <c r="P176" i="6"/>
  <c r="Q176" i="6"/>
  <c r="R176" i="6"/>
  <c r="J177" i="6"/>
  <c r="K177" i="6"/>
  <c r="L177" i="6"/>
  <c r="M177" i="6"/>
  <c r="N177" i="6"/>
  <c r="O177" i="6"/>
  <c r="P177" i="6"/>
  <c r="Q177" i="6"/>
  <c r="R177" i="6"/>
  <c r="J178" i="6"/>
  <c r="K178" i="6"/>
  <c r="L178" i="6"/>
  <c r="M178" i="6"/>
  <c r="N178" i="6"/>
  <c r="O178" i="6"/>
  <c r="P178" i="6"/>
  <c r="Q178" i="6"/>
  <c r="R178" i="6"/>
  <c r="J179" i="6"/>
  <c r="K179" i="6"/>
  <c r="L179" i="6"/>
  <c r="M179" i="6"/>
  <c r="N179" i="6"/>
  <c r="O179" i="6"/>
  <c r="P179" i="6"/>
  <c r="Q179" i="6"/>
  <c r="R179" i="6"/>
  <c r="J180" i="6"/>
  <c r="K180" i="6"/>
  <c r="L180" i="6"/>
  <c r="M180" i="6"/>
  <c r="N180" i="6"/>
  <c r="O180" i="6"/>
  <c r="P180" i="6"/>
  <c r="Q180" i="6"/>
  <c r="R180" i="6"/>
  <c r="J181" i="6"/>
  <c r="K181" i="6"/>
  <c r="L181" i="6"/>
  <c r="M181" i="6"/>
  <c r="N181" i="6"/>
  <c r="O181" i="6"/>
  <c r="P181" i="6"/>
  <c r="Q181" i="6"/>
  <c r="R181" i="6"/>
  <c r="J182" i="6"/>
  <c r="K182" i="6"/>
  <c r="L182" i="6"/>
  <c r="M182" i="6"/>
  <c r="N182" i="6"/>
  <c r="O182" i="6"/>
  <c r="P182" i="6"/>
  <c r="Q182" i="6"/>
  <c r="R182" i="6"/>
  <c r="J183" i="6"/>
  <c r="K183" i="6"/>
  <c r="L183" i="6"/>
  <c r="M183" i="6"/>
  <c r="N183" i="6"/>
  <c r="O183" i="6"/>
  <c r="P183" i="6"/>
  <c r="Q183" i="6"/>
  <c r="R183" i="6"/>
  <c r="J184" i="6"/>
  <c r="K184" i="6"/>
  <c r="L184" i="6"/>
  <c r="M184" i="6"/>
  <c r="N184" i="6"/>
  <c r="O184" i="6"/>
  <c r="P184" i="6"/>
  <c r="Q184" i="6"/>
  <c r="R184" i="6"/>
  <c r="J185" i="6"/>
  <c r="K185" i="6"/>
  <c r="L185" i="6"/>
  <c r="M185" i="6"/>
  <c r="N185" i="6"/>
  <c r="O185" i="6"/>
  <c r="P185" i="6"/>
  <c r="Q185" i="6"/>
  <c r="R185" i="6"/>
  <c r="J186" i="6"/>
  <c r="K186" i="6"/>
  <c r="L186" i="6"/>
  <c r="M186" i="6"/>
  <c r="N186" i="6"/>
  <c r="O186" i="6"/>
  <c r="P186" i="6"/>
  <c r="Q186" i="6"/>
  <c r="R186" i="6"/>
  <c r="J188" i="6"/>
  <c r="E189" i="6"/>
  <c r="F189" i="6"/>
  <c r="G189" i="6"/>
  <c r="H189" i="6"/>
  <c r="I189" i="6"/>
  <c r="E190" i="6"/>
  <c r="F190" i="6"/>
  <c r="G190" i="6"/>
  <c r="H190" i="6"/>
  <c r="I190" i="6"/>
  <c r="E191" i="6"/>
  <c r="F191" i="6"/>
  <c r="G191" i="6"/>
  <c r="H191" i="6"/>
  <c r="I191" i="6"/>
  <c r="E192" i="6"/>
  <c r="F192" i="6"/>
  <c r="G192" i="6"/>
  <c r="H192" i="6"/>
  <c r="I192" i="6"/>
  <c r="E193" i="6"/>
  <c r="F193" i="6"/>
  <c r="G193" i="6"/>
  <c r="H193" i="6"/>
  <c r="I193" i="6"/>
  <c r="E194" i="6"/>
  <c r="F194" i="6"/>
  <c r="G194" i="6"/>
  <c r="H194" i="6"/>
  <c r="I194" i="6"/>
  <c r="E195" i="6"/>
  <c r="F195" i="6"/>
  <c r="G195" i="6"/>
  <c r="H195" i="6"/>
  <c r="I195" i="6"/>
  <c r="E196" i="6"/>
  <c r="F196" i="6"/>
  <c r="G196" i="6"/>
  <c r="H196" i="6"/>
  <c r="I196" i="6"/>
  <c r="E197" i="6"/>
  <c r="F197" i="6"/>
  <c r="G197" i="6"/>
  <c r="H197" i="6"/>
  <c r="I197" i="6"/>
  <c r="E198" i="6"/>
  <c r="F198" i="6"/>
  <c r="G198" i="6"/>
  <c r="H198" i="6"/>
  <c r="I198" i="6"/>
  <c r="E199" i="6"/>
  <c r="F199" i="6"/>
  <c r="G199" i="6"/>
  <c r="H199" i="6"/>
  <c r="I199" i="6"/>
  <c r="E200" i="6"/>
  <c r="F200" i="6"/>
  <c r="G200" i="6"/>
  <c r="H200" i="6"/>
  <c r="I200" i="6"/>
  <c r="E201" i="6"/>
  <c r="F201" i="6"/>
  <c r="G201" i="6"/>
  <c r="H201" i="6"/>
  <c r="I201" i="6"/>
  <c r="E202" i="6"/>
  <c r="F202" i="6"/>
  <c r="G202" i="6"/>
  <c r="H202" i="6"/>
  <c r="I202" i="6"/>
  <c r="F188" i="6"/>
  <c r="G188" i="6"/>
  <c r="H188" i="6"/>
  <c r="I188" i="6"/>
  <c r="E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188" i="6"/>
  <c r="B189" i="6"/>
  <c r="D189" i="6" s="1" a="1"/>
  <c r="D189" i="6" s="1"/>
  <c r="B190" i="6"/>
  <c r="D190" i="6" s="1" a="1"/>
  <c r="D190" i="6" s="1"/>
  <c r="B191" i="6"/>
  <c r="D191" i="6" s="1" a="1"/>
  <c r="D191" i="6" s="1"/>
  <c r="B192" i="6"/>
  <c r="D192" i="6" s="1" a="1"/>
  <c r="D192" i="6" s="1"/>
  <c r="B193" i="6"/>
  <c r="D193" i="6" s="1" a="1"/>
  <c r="D193" i="6" s="1"/>
  <c r="B194" i="6"/>
  <c r="D194" i="6" s="1" a="1"/>
  <c r="D194" i="6" s="1"/>
  <c r="B195" i="6"/>
  <c r="D195" i="6" s="1" a="1"/>
  <c r="D195" i="6" s="1"/>
  <c r="B196" i="6"/>
  <c r="D196" i="6" s="1" a="1"/>
  <c r="D196" i="6" s="1"/>
  <c r="B197" i="6"/>
  <c r="D197" i="6" s="1" a="1"/>
  <c r="D197" i="6" s="1"/>
  <c r="B198" i="6"/>
  <c r="D198" i="6" s="1" a="1"/>
  <c r="D198" i="6" s="1"/>
  <c r="B199" i="6"/>
  <c r="D199" i="6" s="1" a="1"/>
  <c r="D199" i="6" s="1"/>
  <c r="B200" i="6"/>
  <c r="D200" i="6" s="1" a="1"/>
  <c r="D200" i="6" s="1"/>
  <c r="B201" i="6"/>
  <c r="D201" i="6" s="1" a="1"/>
  <c r="D201" i="6" s="1"/>
  <c r="B202" i="6"/>
  <c r="D202" i="6" s="1" a="1"/>
  <c r="D202" i="6" s="1"/>
  <c r="B188" i="6"/>
  <c r="D188" i="6" s="1" a="1"/>
  <c r="D188" i="6" s="1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188" i="6"/>
  <c r="C187" i="6"/>
  <c r="B187" i="6"/>
  <c r="J171" i="6"/>
  <c r="K171" i="6"/>
  <c r="L171" i="6"/>
  <c r="M171" i="6"/>
  <c r="N171" i="6"/>
  <c r="O171" i="6"/>
  <c r="P171" i="6"/>
  <c r="Q171" i="6"/>
  <c r="R171" i="6"/>
  <c r="J172" i="6"/>
  <c r="K172" i="6"/>
  <c r="L172" i="6"/>
  <c r="M172" i="6"/>
  <c r="N172" i="6"/>
  <c r="O172" i="6"/>
  <c r="P172" i="6"/>
  <c r="Q172" i="6"/>
  <c r="R172" i="6"/>
  <c r="J173" i="6"/>
  <c r="K173" i="6"/>
  <c r="L173" i="6"/>
  <c r="M173" i="6"/>
  <c r="N173" i="6"/>
  <c r="O173" i="6"/>
  <c r="P173" i="6"/>
  <c r="Q173" i="6"/>
  <c r="R173" i="6"/>
  <c r="K170" i="6"/>
  <c r="L170" i="6"/>
  <c r="M170" i="6"/>
  <c r="N170" i="6"/>
  <c r="O170" i="6"/>
  <c r="P170" i="6"/>
  <c r="Q170" i="6"/>
  <c r="R170" i="6"/>
  <c r="J170" i="6"/>
  <c r="E171" i="6"/>
  <c r="F171" i="6"/>
  <c r="G171" i="6"/>
  <c r="H171" i="6"/>
  <c r="I171" i="6"/>
  <c r="E172" i="6"/>
  <c r="F172" i="6"/>
  <c r="G172" i="6"/>
  <c r="H172" i="6"/>
  <c r="I172" i="6"/>
  <c r="E173" i="6"/>
  <c r="F173" i="6"/>
  <c r="G173" i="6"/>
  <c r="H173" i="6"/>
  <c r="I173" i="6"/>
  <c r="E174" i="6"/>
  <c r="F174" i="6"/>
  <c r="G174" i="6"/>
  <c r="H174" i="6"/>
  <c r="I174" i="6"/>
  <c r="E175" i="6"/>
  <c r="F175" i="6"/>
  <c r="G175" i="6"/>
  <c r="H175" i="6"/>
  <c r="I175" i="6"/>
  <c r="E176" i="6"/>
  <c r="F176" i="6"/>
  <c r="G176" i="6"/>
  <c r="H176" i="6"/>
  <c r="I176" i="6"/>
  <c r="E177" i="6"/>
  <c r="F177" i="6"/>
  <c r="G177" i="6"/>
  <c r="H177" i="6"/>
  <c r="I177" i="6"/>
  <c r="E178" i="6"/>
  <c r="F178" i="6"/>
  <c r="G178" i="6"/>
  <c r="H178" i="6"/>
  <c r="I178" i="6"/>
  <c r="E179" i="6"/>
  <c r="F179" i="6"/>
  <c r="G179" i="6"/>
  <c r="H179" i="6"/>
  <c r="I179" i="6"/>
  <c r="E180" i="6"/>
  <c r="F180" i="6"/>
  <c r="G180" i="6"/>
  <c r="H180" i="6"/>
  <c r="I180" i="6"/>
  <c r="E181" i="6"/>
  <c r="F181" i="6"/>
  <c r="G181" i="6"/>
  <c r="H181" i="6"/>
  <c r="I181" i="6"/>
  <c r="E182" i="6"/>
  <c r="F182" i="6"/>
  <c r="G182" i="6"/>
  <c r="H182" i="6"/>
  <c r="I182" i="6"/>
  <c r="E183" i="6"/>
  <c r="F183" i="6"/>
  <c r="G183" i="6"/>
  <c r="H183" i="6"/>
  <c r="I183" i="6"/>
  <c r="E184" i="6"/>
  <c r="F184" i="6"/>
  <c r="G184" i="6"/>
  <c r="H184" i="6"/>
  <c r="I184" i="6"/>
  <c r="E185" i="6"/>
  <c r="F185" i="6"/>
  <c r="G185" i="6"/>
  <c r="H185" i="6"/>
  <c r="I185" i="6"/>
  <c r="E186" i="6"/>
  <c r="F186" i="6"/>
  <c r="G186" i="6"/>
  <c r="H186" i="6"/>
  <c r="I186" i="6"/>
  <c r="F170" i="6"/>
  <c r="G170" i="6"/>
  <c r="H170" i="6"/>
  <c r="I170" i="6"/>
  <c r="E170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B171" i="6"/>
  <c r="D171" i="6" s="1" a="1"/>
  <c r="D171" i="6" s="1"/>
  <c r="B172" i="6"/>
  <c r="D172" i="6" s="1" a="1"/>
  <c r="D172" i="6" s="1"/>
  <c r="B173" i="6"/>
  <c r="D173" i="6" s="1" a="1"/>
  <c r="D173" i="6" s="1"/>
  <c r="B174" i="6"/>
  <c r="D174" i="6" s="1" a="1"/>
  <c r="D174" i="6" s="1"/>
  <c r="B175" i="6"/>
  <c r="D175" i="6" s="1" a="1"/>
  <c r="D175" i="6" s="1"/>
  <c r="B176" i="6"/>
  <c r="D176" i="6" s="1" a="1"/>
  <c r="D176" i="6" s="1"/>
  <c r="B177" i="6"/>
  <c r="D177" i="6" s="1" a="1"/>
  <c r="D177" i="6" s="1"/>
  <c r="B178" i="6"/>
  <c r="D178" i="6" s="1" a="1"/>
  <c r="D178" i="6" s="1"/>
  <c r="B179" i="6"/>
  <c r="D179" i="6" s="1" a="1"/>
  <c r="D179" i="6" s="1"/>
  <c r="B180" i="6"/>
  <c r="D180" i="6" s="1" a="1"/>
  <c r="D180" i="6" s="1"/>
  <c r="B181" i="6"/>
  <c r="D181" i="6" s="1" a="1"/>
  <c r="D181" i="6" s="1"/>
  <c r="B182" i="6"/>
  <c r="D182" i="6" s="1" a="1"/>
  <c r="D182" i="6" s="1"/>
  <c r="B183" i="6"/>
  <c r="D183" i="6" s="1" a="1"/>
  <c r="D183" i="6" s="1"/>
  <c r="B184" i="6"/>
  <c r="D184" i="6" s="1" a="1"/>
  <c r="D184" i="6" s="1"/>
  <c r="B185" i="6"/>
  <c r="D185" i="6" s="1" a="1"/>
  <c r="D185" i="6" s="1"/>
  <c r="B186" i="6"/>
  <c r="D186" i="6" s="1" a="1"/>
  <c r="D186" i="6" s="1"/>
  <c r="B170" i="6"/>
  <c r="D170" i="6" s="1" a="1"/>
  <c r="D170" i="6" s="1"/>
  <c r="B169" i="6"/>
  <c r="B38" i="1" s="1"/>
  <c r="B155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70" i="6"/>
  <c r="C169" i="6"/>
  <c r="B39" i="1" s="1"/>
  <c r="K256" i="6" l="1"/>
  <c r="J50" i="1" s="1"/>
  <c r="L217" i="6"/>
  <c r="K46" i="1" s="1"/>
  <c r="K135" i="6"/>
  <c r="O135" i="6"/>
  <c r="R135" i="6"/>
  <c r="N135" i="6"/>
  <c r="M35" i="1" s="1"/>
  <c r="Q135" i="6"/>
  <c r="P34" i="1" s="1"/>
  <c r="L135" i="6"/>
  <c r="K34" i="1" s="1"/>
  <c r="P237" i="6"/>
  <c r="O49" i="1" s="1"/>
  <c r="N35" i="1"/>
  <c r="N34" i="1"/>
  <c r="Q35" i="1"/>
  <c r="Q34" i="1"/>
  <c r="L34" i="1"/>
  <c r="L35" i="1"/>
  <c r="J34" i="1"/>
  <c r="J35" i="1"/>
  <c r="I35" i="1"/>
  <c r="I34" i="1"/>
  <c r="O35" i="1"/>
  <c r="O34" i="1"/>
  <c r="P217" i="6"/>
  <c r="R217" i="6"/>
  <c r="J51" i="1"/>
  <c r="E256" i="6"/>
  <c r="R256" i="6"/>
  <c r="P203" i="6"/>
  <c r="L256" i="6"/>
  <c r="F256" i="6"/>
  <c r="I256" i="6"/>
  <c r="G256" i="6"/>
  <c r="J256" i="6"/>
  <c r="H256" i="6"/>
  <c r="P256" i="6"/>
  <c r="E217" i="6"/>
  <c r="R237" i="6"/>
  <c r="L237" i="6"/>
  <c r="K203" i="6"/>
  <c r="I217" i="6"/>
  <c r="K237" i="6"/>
  <c r="F187" i="6"/>
  <c r="H217" i="6"/>
  <c r="G217" i="6"/>
  <c r="F217" i="6"/>
  <c r="I237" i="6"/>
  <c r="H237" i="6"/>
  <c r="F237" i="6"/>
  <c r="K217" i="6"/>
  <c r="G237" i="6"/>
  <c r="E237" i="6"/>
  <c r="D237" i="6"/>
  <c r="D217" i="6"/>
  <c r="G187" i="6"/>
  <c r="I187" i="6"/>
  <c r="E187" i="6"/>
  <c r="H187" i="6"/>
  <c r="P187" i="6"/>
  <c r="K187" i="6"/>
  <c r="H203" i="6"/>
  <c r="R187" i="6"/>
  <c r="R203" i="6"/>
  <c r="L203" i="6"/>
  <c r="E203" i="6"/>
  <c r="P169" i="6"/>
  <c r="L187" i="6"/>
  <c r="I203" i="6"/>
  <c r="G203" i="6"/>
  <c r="F203" i="6"/>
  <c r="D203" i="6"/>
  <c r="D169" i="6"/>
  <c r="M169" i="6"/>
  <c r="E169" i="6"/>
  <c r="I169" i="6"/>
  <c r="J169" i="6"/>
  <c r="H169" i="6"/>
  <c r="R169" i="6"/>
  <c r="G169" i="6"/>
  <c r="L169" i="6"/>
  <c r="F169" i="6"/>
  <c r="K169" i="6"/>
  <c r="O169" i="6"/>
  <c r="Q169" i="6"/>
  <c r="N169" i="6"/>
  <c r="D187" i="6"/>
  <c r="K47" i="1" l="1"/>
  <c r="P35" i="1"/>
  <c r="O48" i="1"/>
  <c r="K35" i="1"/>
  <c r="M34" i="1"/>
  <c r="N39" i="1"/>
  <c r="N38" i="1"/>
  <c r="O51" i="1"/>
  <c r="O50" i="1"/>
  <c r="O47" i="1"/>
  <c r="O46" i="1"/>
  <c r="E39" i="1"/>
  <c r="E38" i="1"/>
  <c r="K38" i="1"/>
  <c r="K39" i="1"/>
  <c r="H51" i="1"/>
  <c r="H50" i="1"/>
  <c r="O39" i="1"/>
  <c r="O38" i="1"/>
  <c r="K50" i="1"/>
  <c r="K51" i="1"/>
  <c r="D48" i="1"/>
  <c r="D49" i="1"/>
  <c r="J45" i="1"/>
  <c r="J44" i="1"/>
  <c r="J43" i="1"/>
  <c r="O45" i="1"/>
  <c r="O43" i="1"/>
  <c r="O44" i="1"/>
  <c r="C45" i="1"/>
  <c r="C44" i="1"/>
  <c r="C43" i="1"/>
  <c r="J39" i="1"/>
  <c r="J38" i="1"/>
  <c r="G40" i="1"/>
  <c r="G42" i="1"/>
  <c r="G41" i="1"/>
  <c r="D41" i="1"/>
  <c r="D42" i="1"/>
  <c r="R42" i="1" s="1"/>
  <c r="D40" i="1"/>
  <c r="F50" i="1"/>
  <c r="F51" i="1"/>
  <c r="E40" i="1"/>
  <c r="E42" i="1"/>
  <c r="E41" i="1"/>
  <c r="C46" i="1"/>
  <c r="C47" i="1"/>
  <c r="H47" i="1"/>
  <c r="H46" i="1"/>
  <c r="H39" i="1"/>
  <c r="H38" i="1"/>
  <c r="Q44" i="1"/>
  <c r="Q43" i="1"/>
  <c r="Q45" i="1"/>
  <c r="F48" i="1"/>
  <c r="F49" i="1"/>
  <c r="K49" i="1"/>
  <c r="K48" i="1"/>
  <c r="Q51" i="1"/>
  <c r="Q50" i="1"/>
  <c r="Q47" i="1"/>
  <c r="Q46" i="1"/>
  <c r="E43" i="1"/>
  <c r="E44" i="1"/>
  <c r="E45" i="1"/>
  <c r="F44" i="1"/>
  <c r="F43" i="1"/>
  <c r="F45" i="1"/>
  <c r="G47" i="1"/>
  <c r="G46" i="1"/>
  <c r="F42" i="1"/>
  <c r="F40" i="1"/>
  <c r="F41" i="1"/>
  <c r="J49" i="1"/>
  <c r="J48" i="1"/>
  <c r="C48" i="1"/>
  <c r="C49" i="1"/>
  <c r="D39" i="1"/>
  <c r="D38" i="1"/>
  <c r="J47" i="1"/>
  <c r="J46" i="1"/>
  <c r="Q48" i="1"/>
  <c r="Q49" i="1"/>
  <c r="D51" i="1"/>
  <c r="D50" i="1"/>
  <c r="O42" i="1"/>
  <c r="O41" i="1"/>
  <c r="O40" i="1"/>
  <c r="G51" i="1"/>
  <c r="G50" i="1"/>
  <c r="F46" i="1"/>
  <c r="F47" i="1"/>
  <c r="H45" i="1"/>
  <c r="H44" i="1"/>
  <c r="H43" i="1"/>
  <c r="F38" i="1"/>
  <c r="F39" i="1"/>
  <c r="Q39" i="1"/>
  <c r="Q38" i="1"/>
  <c r="D45" i="1"/>
  <c r="D43" i="1"/>
  <c r="D44" i="1"/>
  <c r="I39" i="1"/>
  <c r="I38" i="1"/>
  <c r="C40" i="1"/>
  <c r="C42" i="1"/>
  <c r="C41" i="1"/>
  <c r="M38" i="1"/>
  <c r="M39" i="1"/>
  <c r="L38" i="1"/>
  <c r="L39" i="1"/>
  <c r="G44" i="1"/>
  <c r="G43" i="1"/>
  <c r="G45" i="1"/>
  <c r="E48" i="1"/>
  <c r="E49" i="1"/>
  <c r="D47" i="1"/>
  <c r="D46" i="1"/>
  <c r="H49" i="1"/>
  <c r="H48" i="1"/>
  <c r="E47" i="1"/>
  <c r="E46" i="1"/>
  <c r="I51" i="1"/>
  <c r="I50" i="1"/>
  <c r="H40" i="1"/>
  <c r="H42" i="1"/>
  <c r="H41" i="1"/>
  <c r="K42" i="1"/>
  <c r="K41" i="1"/>
  <c r="K40" i="1"/>
  <c r="E51" i="1"/>
  <c r="E50" i="1"/>
  <c r="G38" i="1"/>
  <c r="G39" i="1"/>
  <c r="K45" i="1"/>
  <c r="K44" i="1"/>
  <c r="K43" i="1"/>
  <c r="Q40" i="1"/>
  <c r="Q41" i="1"/>
  <c r="Q42" i="1"/>
  <c r="P39" i="1"/>
  <c r="P38" i="1"/>
  <c r="C38" i="1"/>
  <c r="C39" i="1"/>
  <c r="J41" i="1"/>
  <c r="J42" i="1"/>
  <c r="J40" i="1"/>
  <c r="G48" i="1"/>
  <c r="G49" i="1"/>
  <c r="C50" i="1"/>
  <c r="C51" i="1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Q168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Q155" i="6"/>
  <c r="R155" i="6"/>
  <c r="L155" i="6"/>
  <c r="M155" i="6"/>
  <c r="N155" i="6"/>
  <c r="O155" i="6"/>
  <c r="P155" i="6"/>
  <c r="K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55" i="6"/>
  <c r="I168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55" i="6"/>
  <c r="F168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55" i="6"/>
  <c r="C155" i="6"/>
  <c r="D157" i="6" a="1"/>
  <c r="D157" i="6" s="1"/>
  <c r="D155" i="6" a="1"/>
  <c r="D155" i="6" s="1"/>
  <c r="E102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B156" i="6"/>
  <c r="D156" i="6" s="1" a="1"/>
  <c r="D156" i="6" s="1"/>
  <c r="B157" i="6"/>
  <c r="B158" i="6"/>
  <c r="D158" i="6" s="1" a="1"/>
  <c r="D158" i="6" s="1"/>
  <c r="B159" i="6"/>
  <c r="D159" i="6" s="1" a="1"/>
  <c r="D159" i="6" s="1"/>
  <c r="B160" i="6"/>
  <c r="D160" i="6" s="1" a="1"/>
  <c r="D160" i="6" s="1"/>
  <c r="B161" i="6"/>
  <c r="D161" i="6" s="1" a="1"/>
  <c r="D161" i="6" s="1"/>
  <c r="B162" i="6"/>
  <c r="D162" i="6" s="1" a="1"/>
  <c r="D162" i="6" s="1"/>
  <c r="B163" i="6"/>
  <c r="D163" i="6" s="1" a="1"/>
  <c r="D163" i="6" s="1"/>
  <c r="B164" i="6"/>
  <c r="D164" i="6" s="1" a="1"/>
  <c r="D164" i="6" s="1"/>
  <c r="B165" i="6"/>
  <c r="D165" i="6" s="1" a="1"/>
  <c r="D165" i="6" s="1"/>
  <c r="B166" i="6"/>
  <c r="D166" i="6" s="1" a="1"/>
  <c r="D166" i="6" s="1"/>
  <c r="B167" i="6"/>
  <c r="D167" i="6" s="1" a="1"/>
  <c r="D167" i="6" s="1"/>
  <c r="B168" i="6"/>
  <c r="D168" i="6" s="1" a="1"/>
  <c r="D168" i="6" s="1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C154" i="6"/>
  <c r="B37" i="1" s="1"/>
  <c r="B154" i="6"/>
  <c r="B36" i="1" s="1"/>
  <c r="R51" i="1" l="1"/>
  <c r="R50" i="1"/>
  <c r="R49" i="1"/>
  <c r="R43" i="1"/>
  <c r="R45" i="1"/>
  <c r="R40" i="1"/>
  <c r="R47" i="1"/>
  <c r="R38" i="1"/>
  <c r="R41" i="1"/>
  <c r="R46" i="1"/>
  <c r="R48" i="1"/>
  <c r="R44" i="1"/>
  <c r="R39" i="1"/>
  <c r="E154" i="6"/>
  <c r="R154" i="6"/>
  <c r="P154" i="6"/>
  <c r="L154" i="6"/>
  <c r="K154" i="6"/>
  <c r="I154" i="6"/>
  <c r="H154" i="6"/>
  <c r="G154" i="6"/>
  <c r="F154" i="6"/>
  <c r="D154" i="6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F113" i="6"/>
  <c r="G113" i="6"/>
  <c r="H113" i="6"/>
  <c r="I113" i="6"/>
  <c r="B35" i="1"/>
  <c r="B34" i="1"/>
  <c r="D137" i="6" a="1"/>
  <c r="D137" i="6" s="1"/>
  <c r="D138" i="6" a="1"/>
  <c r="D138" i="6" s="1"/>
  <c r="D139" i="6" a="1"/>
  <c r="D139" i="6" s="1"/>
  <c r="D140" i="6" a="1"/>
  <c r="D140" i="6" s="1"/>
  <c r="D141" i="6" a="1"/>
  <c r="D141" i="6" s="1"/>
  <c r="D142" i="6" a="1"/>
  <c r="D142" i="6" s="1"/>
  <c r="D143" i="6" a="1"/>
  <c r="D143" i="6" s="1"/>
  <c r="D144" i="6" a="1"/>
  <c r="D144" i="6" s="1"/>
  <c r="D145" i="6" a="1"/>
  <c r="D145" i="6" s="1"/>
  <c r="D146" i="6" a="1"/>
  <c r="D146" i="6" s="1"/>
  <c r="D147" i="6" a="1"/>
  <c r="D147" i="6" s="1"/>
  <c r="D148" i="6" a="1"/>
  <c r="D148" i="6" s="1"/>
  <c r="D149" i="6" a="1"/>
  <c r="D149" i="6" s="1"/>
  <c r="D150" i="6" a="1"/>
  <c r="D150" i="6" s="1"/>
  <c r="D151" i="6" a="1"/>
  <c r="D151" i="6" s="1"/>
  <c r="D152" i="6" a="1"/>
  <c r="D152" i="6" s="1"/>
  <c r="D153" i="6" a="1"/>
  <c r="D153" i="6" s="1"/>
  <c r="D136" i="6" a="1"/>
  <c r="D136" i="6" s="1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36" i="6"/>
  <c r="C135" i="6"/>
  <c r="B135" i="6"/>
  <c r="G37" i="1" l="1"/>
  <c r="G36" i="1"/>
  <c r="H37" i="1"/>
  <c r="H36" i="1"/>
  <c r="O37" i="1"/>
  <c r="O36" i="1"/>
  <c r="C36" i="1"/>
  <c r="C37" i="1"/>
  <c r="F36" i="1"/>
  <c r="F37" i="1"/>
  <c r="J37" i="1"/>
  <c r="J36" i="1"/>
  <c r="K37" i="1"/>
  <c r="K36" i="1"/>
  <c r="Q36" i="1"/>
  <c r="Q37" i="1"/>
  <c r="D37" i="1"/>
  <c r="D36" i="1"/>
  <c r="E36" i="1"/>
  <c r="E37" i="1"/>
  <c r="E135" i="6"/>
  <c r="I135" i="6"/>
  <c r="F135" i="6"/>
  <c r="H135" i="6"/>
  <c r="G135" i="6"/>
  <c r="D135" i="6"/>
  <c r="G35" i="1" l="1"/>
  <c r="G34" i="1"/>
  <c r="H35" i="1"/>
  <c r="H34" i="1"/>
  <c r="R37" i="1"/>
  <c r="D35" i="1"/>
  <c r="D34" i="1"/>
  <c r="R36" i="1"/>
  <c r="C34" i="1"/>
  <c r="C35" i="1"/>
  <c r="E35" i="1"/>
  <c r="E34" i="1"/>
  <c r="F34" i="1"/>
  <c r="F35" i="1"/>
  <c r="I32" i="1"/>
  <c r="L32" i="1"/>
  <c r="M32" i="1"/>
  <c r="N32" i="1"/>
  <c r="P32" i="1"/>
  <c r="B33" i="1"/>
  <c r="B32" i="1"/>
  <c r="D131" i="6" a="1"/>
  <c r="D131" i="6" s="1"/>
  <c r="D132" i="6" a="1"/>
  <c r="D132" i="6" s="1"/>
  <c r="D133" i="6" a="1"/>
  <c r="D133" i="6" s="1"/>
  <c r="D134" i="6" a="1"/>
  <c r="D134" i="6" s="1"/>
  <c r="D118" i="6" a="1"/>
  <c r="D118" i="6" s="1"/>
  <c r="D119" i="6" a="1"/>
  <c r="D119" i="6" s="1"/>
  <c r="D120" i="6" a="1"/>
  <c r="D120" i="6" s="1"/>
  <c r="D121" i="6" a="1"/>
  <c r="D121" i="6" s="1"/>
  <c r="D122" i="6" a="1"/>
  <c r="D122" i="6" s="1"/>
  <c r="D123" i="6" a="1"/>
  <c r="D123" i="6" s="1"/>
  <c r="D124" i="6" a="1"/>
  <c r="D124" i="6" s="1"/>
  <c r="D125" i="6" a="1"/>
  <c r="D125" i="6" s="1"/>
  <c r="D126" i="6" a="1"/>
  <c r="D126" i="6" s="1"/>
  <c r="D127" i="6" a="1"/>
  <c r="D127" i="6" s="1"/>
  <c r="D128" i="6" a="1"/>
  <c r="D128" i="6" s="1"/>
  <c r="D129" i="6" a="1"/>
  <c r="D129" i="6" s="1"/>
  <c r="D130" i="6" a="1"/>
  <c r="D130" i="6" s="1"/>
  <c r="D117" i="6" a="1"/>
  <c r="D117" i="6" s="1"/>
  <c r="R35" i="1" l="1"/>
  <c r="R34" i="1"/>
  <c r="L116" i="6"/>
  <c r="D116" i="6"/>
  <c r="E116" i="6"/>
  <c r="I116" i="6"/>
  <c r="H116" i="6"/>
  <c r="K116" i="6"/>
  <c r="G116" i="6"/>
  <c r="F116" i="6"/>
  <c r="R116" i="6"/>
  <c r="P116" i="6"/>
  <c r="O33" i="1" s="1"/>
  <c r="T116" i="6"/>
  <c r="R31" i="1"/>
  <c r="I30" i="1"/>
  <c r="L30" i="1"/>
  <c r="M30" i="1"/>
  <c r="N30" i="1"/>
  <c r="P30" i="1"/>
  <c r="A31" i="1"/>
  <c r="B30" i="1"/>
  <c r="A30" i="1"/>
  <c r="J100" i="6"/>
  <c r="K100" i="6"/>
  <c r="L100" i="6"/>
  <c r="M100" i="6"/>
  <c r="N100" i="6"/>
  <c r="O100" i="6"/>
  <c r="P100" i="6"/>
  <c r="Q100" i="6"/>
  <c r="R100" i="6"/>
  <c r="J101" i="6"/>
  <c r="K101" i="6"/>
  <c r="L101" i="6"/>
  <c r="M101" i="6"/>
  <c r="N101" i="6"/>
  <c r="O101" i="6"/>
  <c r="P101" i="6"/>
  <c r="Q101" i="6"/>
  <c r="R101" i="6"/>
  <c r="J102" i="6"/>
  <c r="K102" i="6"/>
  <c r="L102" i="6"/>
  <c r="M102" i="6"/>
  <c r="N102" i="6"/>
  <c r="O102" i="6"/>
  <c r="P102" i="6"/>
  <c r="Q102" i="6"/>
  <c r="R102" i="6"/>
  <c r="J103" i="6"/>
  <c r="K103" i="6"/>
  <c r="L103" i="6"/>
  <c r="M103" i="6"/>
  <c r="N103" i="6"/>
  <c r="O103" i="6"/>
  <c r="P103" i="6"/>
  <c r="Q103" i="6"/>
  <c r="R103" i="6"/>
  <c r="J104" i="6"/>
  <c r="K104" i="6"/>
  <c r="L104" i="6"/>
  <c r="M104" i="6"/>
  <c r="N104" i="6"/>
  <c r="O104" i="6"/>
  <c r="P104" i="6"/>
  <c r="Q104" i="6"/>
  <c r="R104" i="6"/>
  <c r="J105" i="6"/>
  <c r="K105" i="6"/>
  <c r="L105" i="6"/>
  <c r="M105" i="6"/>
  <c r="N105" i="6"/>
  <c r="O105" i="6"/>
  <c r="P105" i="6"/>
  <c r="Q105" i="6"/>
  <c r="R105" i="6"/>
  <c r="J106" i="6"/>
  <c r="K106" i="6"/>
  <c r="L106" i="6"/>
  <c r="M106" i="6"/>
  <c r="N106" i="6"/>
  <c r="O106" i="6"/>
  <c r="P106" i="6"/>
  <c r="Q106" i="6"/>
  <c r="R106" i="6"/>
  <c r="J107" i="6"/>
  <c r="K107" i="6"/>
  <c r="L107" i="6"/>
  <c r="M107" i="6"/>
  <c r="N107" i="6"/>
  <c r="O107" i="6"/>
  <c r="P107" i="6"/>
  <c r="Q107" i="6"/>
  <c r="R107" i="6"/>
  <c r="J108" i="6"/>
  <c r="K108" i="6"/>
  <c r="L108" i="6"/>
  <c r="M108" i="6"/>
  <c r="N108" i="6"/>
  <c r="O108" i="6"/>
  <c r="P108" i="6"/>
  <c r="Q108" i="6"/>
  <c r="R108" i="6"/>
  <c r="J109" i="6"/>
  <c r="K109" i="6"/>
  <c r="L109" i="6"/>
  <c r="M109" i="6"/>
  <c r="N109" i="6"/>
  <c r="O109" i="6"/>
  <c r="P109" i="6"/>
  <c r="Q109" i="6"/>
  <c r="R109" i="6"/>
  <c r="J110" i="6"/>
  <c r="K110" i="6"/>
  <c r="L110" i="6"/>
  <c r="M110" i="6"/>
  <c r="N110" i="6"/>
  <c r="O110" i="6"/>
  <c r="P110" i="6"/>
  <c r="Q110" i="6"/>
  <c r="R110" i="6"/>
  <c r="J111" i="6"/>
  <c r="K111" i="6"/>
  <c r="L111" i="6"/>
  <c r="M111" i="6"/>
  <c r="N111" i="6"/>
  <c r="O111" i="6"/>
  <c r="P111" i="6"/>
  <c r="Q111" i="6"/>
  <c r="R111" i="6"/>
  <c r="J112" i="6"/>
  <c r="K112" i="6"/>
  <c r="L112" i="6"/>
  <c r="M112" i="6"/>
  <c r="N112" i="6"/>
  <c r="O112" i="6"/>
  <c r="P112" i="6"/>
  <c r="Q112" i="6"/>
  <c r="R112" i="6"/>
  <c r="J113" i="6"/>
  <c r="K113" i="6"/>
  <c r="L113" i="6"/>
  <c r="M113" i="6"/>
  <c r="N113" i="6"/>
  <c r="O113" i="6"/>
  <c r="P113" i="6"/>
  <c r="Q113" i="6"/>
  <c r="R113" i="6"/>
  <c r="J114" i="6"/>
  <c r="K114" i="6"/>
  <c r="L114" i="6"/>
  <c r="M114" i="6"/>
  <c r="N114" i="6"/>
  <c r="O114" i="6"/>
  <c r="P114" i="6"/>
  <c r="Q114" i="6"/>
  <c r="R114" i="6"/>
  <c r="J115" i="6"/>
  <c r="K115" i="6"/>
  <c r="L115" i="6"/>
  <c r="M115" i="6"/>
  <c r="N115" i="6"/>
  <c r="O115" i="6"/>
  <c r="P115" i="6"/>
  <c r="Q115" i="6"/>
  <c r="R115" i="6"/>
  <c r="K99" i="6"/>
  <c r="L99" i="6"/>
  <c r="M99" i="6"/>
  <c r="N99" i="6"/>
  <c r="O99" i="6"/>
  <c r="P99" i="6"/>
  <c r="Q99" i="6"/>
  <c r="R99" i="6"/>
  <c r="J99" i="6"/>
  <c r="E100" i="6"/>
  <c r="F100" i="6"/>
  <c r="G100" i="6"/>
  <c r="H100" i="6"/>
  <c r="I100" i="6"/>
  <c r="E101" i="6"/>
  <c r="F101" i="6"/>
  <c r="G101" i="6"/>
  <c r="H101" i="6"/>
  <c r="I101" i="6"/>
  <c r="F102" i="6"/>
  <c r="G102" i="6"/>
  <c r="H102" i="6"/>
  <c r="I102" i="6"/>
  <c r="E103" i="6"/>
  <c r="F103" i="6"/>
  <c r="G103" i="6"/>
  <c r="H103" i="6"/>
  <c r="I103" i="6"/>
  <c r="E104" i="6"/>
  <c r="F104" i="6"/>
  <c r="G104" i="6"/>
  <c r="H104" i="6"/>
  <c r="I104" i="6"/>
  <c r="E105" i="6"/>
  <c r="F105" i="6"/>
  <c r="G105" i="6"/>
  <c r="H105" i="6"/>
  <c r="I105" i="6"/>
  <c r="E106" i="6"/>
  <c r="F106" i="6"/>
  <c r="G106" i="6"/>
  <c r="H106" i="6"/>
  <c r="I106" i="6"/>
  <c r="E107" i="6"/>
  <c r="F107" i="6"/>
  <c r="G107" i="6"/>
  <c r="H107" i="6"/>
  <c r="I107" i="6"/>
  <c r="E108" i="6"/>
  <c r="F108" i="6"/>
  <c r="G108" i="6"/>
  <c r="H108" i="6"/>
  <c r="I108" i="6"/>
  <c r="E109" i="6"/>
  <c r="F109" i="6"/>
  <c r="G109" i="6"/>
  <c r="H109" i="6"/>
  <c r="I109" i="6"/>
  <c r="E110" i="6"/>
  <c r="F110" i="6"/>
  <c r="G110" i="6"/>
  <c r="H110" i="6"/>
  <c r="I110" i="6"/>
  <c r="E111" i="6"/>
  <c r="F111" i="6"/>
  <c r="G111" i="6"/>
  <c r="H111" i="6"/>
  <c r="I111" i="6"/>
  <c r="E112" i="6"/>
  <c r="F112" i="6"/>
  <c r="G112" i="6"/>
  <c r="H112" i="6"/>
  <c r="I112" i="6"/>
  <c r="E113" i="6"/>
  <c r="E114" i="6"/>
  <c r="F114" i="6"/>
  <c r="G114" i="6"/>
  <c r="H114" i="6"/>
  <c r="I114" i="6"/>
  <c r="E115" i="6"/>
  <c r="F115" i="6"/>
  <c r="G115" i="6"/>
  <c r="H115" i="6"/>
  <c r="I115" i="6"/>
  <c r="F99" i="6"/>
  <c r="G99" i="6"/>
  <c r="H99" i="6"/>
  <c r="I99" i="6"/>
  <c r="E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99" i="6"/>
  <c r="B100" i="6"/>
  <c r="D100" i="6" s="1" a="1"/>
  <c r="D100" i="6" s="1"/>
  <c r="B101" i="6"/>
  <c r="D101" i="6" s="1" a="1"/>
  <c r="D101" i="6" s="1"/>
  <c r="B102" i="6"/>
  <c r="D102" i="6" s="1" a="1"/>
  <c r="D102" i="6" s="1"/>
  <c r="B103" i="6"/>
  <c r="D103" i="6" s="1" a="1"/>
  <c r="D103" i="6" s="1"/>
  <c r="B104" i="6"/>
  <c r="D104" i="6" s="1" a="1"/>
  <c r="D104" i="6" s="1"/>
  <c r="B105" i="6"/>
  <c r="D105" i="6" s="1" a="1"/>
  <c r="D105" i="6" s="1"/>
  <c r="B106" i="6"/>
  <c r="D106" i="6" s="1" a="1"/>
  <c r="D106" i="6" s="1"/>
  <c r="B107" i="6"/>
  <c r="D107" i="6" s="1" a="1"/>
  <c r="D107" i="6" s="1"/>
  <c r="B108" i="6"/>
  <c r="D108" i="6" s="1" a="1"/>
  <c r="D108" i="6" s="1"/>
  <c r="B109" i="6"/>
  <c r="D109" i="6" s="1" a="1"/>
  <c r="D109" i="6" s="1"/>
  <c r="B110" i="6"/>
  <c r="D110" i="6" s="1" a="1"/>
  <c r="D110" i="6" s="1"/>
  <c r="B111" i="6"/>
  <c r="D111" i="6" s="1" a="1"/>
  <c r="D111" i="6" s="1"/>
  <c r="B112" i="6"/>
  <c r="D112" i="6" s="1" a="1"/>
  <c r="D112" i="6" s="1"/>
  <c r="B113" i="6"/>
  <c r="D113" i="6" s="1" a="1"/>
  <c r="D113" i="6" s="1"/>
  <c r="B114" i="6"/>
  <c r="D114" i="6" s="1" a="1"/>
  <c r="D114" i="6" s="1"/>
  <c r="B115" i="6"/>
  <c r="D115" i="6" s="1" a="1"/>
  <c r="D115" i="6" s="1"/>
  <c r="B99" i="6"/>
  <c r="D99" i="6" s="1" a="1"/>
  <c r="D99" i="6" s="1"/>
  <c r="A115" i="6"/>
  <c r="A113" i="6"/>
  <c r="A114" i="6"/>
  <c r="A110" i="6"/>
  <c r="A111" i="6"/>
  <c r="A112" i="6"/>
  <c r="A100" i="6"/>
  <c r="A101" i="6"/>
  <c r="A102" i="6"/>
  <c r="A103" i="6"/>
  <c r="A104" i="6"/>
  <c r="A105" i="6"/>
  <c r="A106" i="6"/>
  <c r="A107" i="6"/>
  <c r="A108" i="6"/>
  <c r="A109" i="6"/>
  <c r="A99" i="6"/>
  <c r="Q32" i="1" l="1"/>
  <c r="Q33" i="1"/>
  <c r="F32" i="1"/>
  <c r="F33" i="1"/>
  <c r="H32" i="1"/>
  <c r="H33" i="1"/>
  <c r="D32" i="1"/>
  <c r="D33" i="1"/>
  <c r="G32" i="1"/>
  <c r="G33" i="1"/>
  <c r="C32" i="1"/>
  <c r="C33" i="1"/>
  <c r="E32" i="1"/>
  <c r="E33" i="1"/>
  <c r="J32" i="1"/>
  <c r="J33" i="1"/>
  <c r="K32" i="1"/>
  <c r="K33" i="1"/>
  <c r="R98" i="6"/>
  <c r="E98" i="6"/>
  <c r="P98" i="6"/>
  <c r="I98" i="6"/>
  <c r="H98" i="6"/>
  <c r="G98" i="6"/>
  <c r="F98" i="6"/>
  <c r="L98" i="6"/>
  <c r="K98" i="6"/>
  <c r="D98" i="6"/>
  <c r="C30" i="1" s="1"/>
  <c r="R33" i="1" l="1"/>
  <c r="Q30" i="1"/>
  <c r="O30" i="1"/>
  <c r="K30" i="1"/>
  <c r="J30" i="1"/>
  <c r="H30" i="1"/>
  <c r="G30" i="1"/>
  <c r="F30" i="1"/>
  <c r="E30" i="1"/>
  <c r="M82" i="6"/>
  <c r="I28" i="1"/>
  <c r="L28" i="1"/>
  <c r="M28" i="1"/>
  <c r="N28" i="1"/>
  <c r="P28" i="1"/>
  <c r="B28" i="1"/>
  <c r="J24" i="6"/>
  <c r="K24" i="6"/>
  <c r="L24" i="6"/>
  <c r="M24" i="6"/>
  <c r="N24" i="6"/>
  <c r="O24" i="6"/>
  <c r="P24" i="6"/>
  <c r="Q24" i="6"/>
  <c r="R24" i="6"/>
  <c r="J25" i="6"/>
  <c r="K25" i="6"/>
  <c r="L25" i="6"/>
  <c r="M25" i="6"/>
  <c r="N25" i="6"/>
  <c r="O25" i="6"/>
  <c r="P25" i="6"/>
  <c r="Q25" i="6"/>
  <c r="R25" i="6"/>
  <c r="J26" i="6"/>
  <c r="K26" i="6"/>
  <c r="L26" i="6"/>
  <c r="M26" i="6"/>
  <c r="N26" i="6"/>
  <c r="O26" i="6"/>
  <c r="P26" i="6"/>
  <c r="Q26" i="6"/>
  <c r="R26" i="6"/>
  <c r="J27" i="6"/>
  <c r="K27" i="6"/>
  <c r="L27" i="6"/>
  <c r="M27" i="6"/>
  <c r="N27" i="6"/>
  <c r="O27" i="6"/>
  <c r="P27" i="6"/>
  <c r="Q27" i="6"/>
  <c r="R27" i="6"/>
  <c r="J28" i="6"/>
  <c r="K28" i="6"/>
  <c r="L28" i="6"/>
  <c r="M28" i="6"/>
  <c r="N28" i="6"/>
  <c r="O28" i="6"/>
  <c r="P28" i="6"/>
  <c r="Q28" i="6"/>
  <c r="R28" i="6"/>
  <c r="J29" i="6"/>
  <c r="K29" i="6"/>
  <c r="L29" i="6"/>
  <c r="M29" i="6"/>
  <c r="N29" i="6"/>
  <c r="O29" i="6"/>
  <c r="P29" i="6"/>
  <c r="Q29" i="6"/>
  <c r="R29" i="6"/>
  <c r="J30" i="6"/>
  <c r="K30" i="6"/>
  <c r="L30" i="6"/>
  <c r="M30" i="6"/>
  <c r="N30" i="6"/>
  <c r="O30" i="6"/>
  <c r="P30" i="6"/>
  <c r="Q30" i="6"/>
  <c r="R30" i="6"/>
  <c r="J31" i="6"/>
  <c r="K31" i="6"/>
  <c r="L31" i="6"/>
  <c r="M31" i="6"/>
  <c r="N31" i="6"/>
  <c r="O31" i="6"/>
  <c r="P31" i="6"/>
  <c r="Q31" i="6"/>
  <c r="R31" i="6"/>
  <c r="J32" i="6"/>
  <c r="K32" i="6"/>
  <c r="L32" i="6"/>
  <c r="M32" i="6"/>
  <c r="N32" i="6"/>
  <c r="O32" i="6"/>
  <c r="P32" i="6"/>
  <c r="Q32" i="6"/>
  <c r="R32" i="6"/>
  <c r="J33" i="6"/>
  <c r="K33" i="6"/>
  <c r="L33" i="6"/>
  <c r="M33" i="6"/>
  <c r="N33" i="6"/>
  <c r="O33" i="6"/>
  <c r="P33" i="6"/>
  <c r="Q33" i="6"/>
  <c r="R33" i="6"/>
  <c r="J34" i="6"/>
  <c r="K34" i="6"/>
  <c r="L34" i="6"/>
  <c r="M34" i="6"/>
  <c r="N34" i="6"/>
  <c r="O34" i="6"/>
  <c r="P34" i="6"/>
  <c r="Q34" i="6"/>
  <c r="R34" i="6"/>
  <c r="J35" i="6"/>
  <c r="K35" i="6"/>
  <c r="L35" i="6"/>
  <c r="M35" i="6"/>
  <c r="N35" i="6"/>
  <c r="O35" i="6"/>
  <c r="P35" i="6"/>
  <c r="Q35" i="6"/>
  <c r="R35" i="6"/>
  <c r="K23" i="6"/>
  <c r="L23" i="6"/>
  <c r="M23" i="6"/>
  <c r="N23" i="6"/>
  <c r="O23" i="6"/>
  <c r="P23" i="6"/>
  <c r="Q23" i="6"/>
  <c r="R23" i="6"/>
  <c r="J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F23" i="6"/>
  <c r="G23" i="6"/>
  <c r="H23" i="6"/>
  <c r="I23" i="6"/>
  <c r="E23" i="6"/>
  <c r="B24" i="6"/>
  <c r="B25" i="6"/>
  <c r="B26" i="6"/>
  <c r="B27" i="6"/>
  <c r="B28" i="6"/>
  <c r="B29" i="6"/>
  <c r="B30" i="6"/>
  <c r="B31" i="6"/>
  <c r="B32" i="6"/>
  <c r="B33" i="6"/>
  <c r="B34" i="6"/>
  <c r="B35" i="6"/>
  <c r="B23" i="6"/>
  <c r="A24" i="6"/>
  <c r="A25" i="6"/>
  <c r="A26" i="6"/>
  <c r="A27" i="6"/>
  <c r="A28" i="6"/>
  <c r="A29" i="6"/>
  <c r="A30" i="6"/>
  <c r="A31" i="6"/>
  <c r="A32" i="6"/>
  <c r="A33" i="6"/>
  <c r="A34" i="6"/>
  <c r="A35" i="6"/>
  <c r="A23" i="6"/>
  <c r="J83" i="6"/>
  <c r="K83" i="6"/>
  <c r="L83" i="6"/>
  <c r="M83" i="6"/>
  <c r="N83" i="6"/>
  <c r="O83" i="6"/>
  <c r="P83" i="6"/>
  <c r="Q83" i="6"/>
  <c r="R83" i="6"/>
  <c r="J84" i="6"/>
  <c r="K84" i="6"/>
  <c r="L84" i="6"/>
  <c r="M84" i="6"/>
  <c r="N84" i="6"/>
  <c r="O84" i="6"/>
  <c r="P84" i="6"/>
  <c r="Q84" i="6"/>
  <c r="R84" i="6"/>
  <c r="J85" i="6"/>
  <c r="K85" i="6"/>
  <c r="L85" i="6"/>
  <c r="M85" i="6"/>
  <c r="N85" i="6"/>
  <c r="O85" i="6"/>
  <c r="P85" i="6"/>
  <c r="Q85" i="6"/>
  <c r="R85" i="6"/>
  <c r="J86" i="6"/>
  <c r="K86" i="6"/>
  <c r="L86" i="6"/>
  <c r="M86" i="6"/>
  <c r="N86" i="6"/>
  <c r="O86" i="6"/>
  <c r="P86" i="6"/>
  <c r="Q86" i="6"/>
  <c r="R86" i="6"/>
  <c r="J87" i="6"/>
  <c r="K87" i="6"/>
  <c r="L87" i="6"/>
  <c r="M87" i="6"/>
  <c r="N87" i="6"/>
  <c r="O87" i="6"/>
  <c r="P87" i="6"/>
  <c r="Q87" i="6"/>
  <c r="R87" i="6"/>
  <c r="J88" i="6"/>
  <c r="K88" i="6"/>
  <c r="L88" i="6"/>
  <c r="M88" i="6"/>
  <c r="N88" i="6"/>
  <c r="O88" i="6"/>
  <c r="P88" i="6"/>
  <c r="Q88" i="6"/>
  <c r="R88" i="6"/>
  <c r="J89" i="6"/>
  <c r="K89" i="6"/>
  <c r="L89" i="6"/>
  <c r="M89" i="6"/>
  <c r="N89" i="6"/>
  <c r="O89" i="6"/>
  <c r="P89" i="6"/>
  <c r="Q89" i="6"/>
  <c r="R89" i="6"/>
  <c r="J90" i="6"/>
  <c r="K90" i="6"/>
  <c r="L90" i="6"/>
  <c r="M90" i="6"/>
  <c r="N90" i="6"/>
  <c r="O90" i="6"/>
  <c r="P90" i="6"/>
  <c r="Q90" i="6"/>
  <c r="R90" i="6"/>
  <c r="J91" i="6"/>
  <c r="K91" i="6"/>
  <c r="L91" i="6"/>
  <c r="M91" i="6"/>
  <c r="N91" i="6"/>
  <c r="O91" i="6"/>
  <c r="P91" i="6"/>
  <c r="Q91" i="6"/>
  <c r="R91" i="6"/>
  <c r="J92" i="6"/>
  <c r="K92" i="6"/>
  <c r="L92" i="6"/>
  <c r="M92" i="6"/>
  <c r="N92" i="6"/>
  <c r="O92" i="6"/>
  <c r="P92" i="6"/>
  <c r="Q92" i="6"/>
  <c r="R92" i="6"/>
  <c r="J93" i="6"/>
  <c r="K93" i="6"/>
  <c r="L93" i="6"/>
  <c r="M93" i="6"/>
  <c r="N93" i="6"/>
  <c r="O93" i="6"/>
  <c r="P93" i="6"/>
  <c r="Q93" i="6"/>
  <c r="R93" i="6"/>
  <c r="J94" i="6"/>
  <c r="K94" i="6"/>
  <c r="L94" i="6"/>
  <c r="M94" i="6"/>
  <c r="N94" i="6"/>
  <c r="O94" i="6"/>
  <c r="P94" i="6"/>
  <c r="Q94" i="6"/>
  <c r="R94" i="6"/>
  <c r="J95" i="6"/>
  <c r="K95" i="6"/>
  <c r="L95" i="6"/>
  <c r="M95" i="6"/>
  <c r="N95" i="6"/>
  <c r="O95" i="6"/>
  <c r="P95" i="6"/>
  <c r="Q95" i="6"/>
  <c r="R95" i="6"/>
  <c r="J96" i="6"/>
  <c r="K96" i="6"/>
  <c r="L96" i="6"/>
  <c r="M96" i="6"/>
  <c r="N96" i="6"/>
  <c r="O96" i="6"/>
  <c r="P96" i="6"/>
  <c r="Q96" i="6"/>
  <c r="R96" i="6"/>
  <c r="J97" i="6"/>
  <c r="K97" i="6"/>
  <c r="L97" i="6"/>
  <c r="M97" i="6"/>
  <c r="N97" i="6"/>
  <c r="O97" i="6"/>
  <c r="P97" i="6"/>
  <c r="Q97" i="6"/>
  <c r="R97" i="6"/>
  <c r="K82" i="6"/>
  <c r="L82" i="6"/>
  <c r="N82" i="6"/>
  <c r="O82" i="6"/>
  <c r="P82" i="6"/>
  <c r="Q82" i="6"/>
  <c r="R82" i="6"/>
  <c r="J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82" i="6"/>
  <c r="E83" i="6"/>
  <c r="F83" i="6"/>
  <c r="G83" i="6"/>
  <c r="H83" i="6"/>
  <c r="E84" i="6"/>
  <c r="F84" i="6"/>
  <c r="G84" i="6"/>
  <c r="H84" i="6"/>
  <c r="E85" i="6"/>
  <c r="F85" i="6"/>
  <c r="G85" i="6"/>
  <c r="H85" i="6"/>
  <c r="E86" i="6"/>
  <c r="F86" i="6"/>
  <c r="G86" i="6"/>
  <c r="H86" i="6"/>
  <c r="E87" i="6"/>
  <c r="F87" i="6"/>
  <c r="G87" i="6"/>
  <c r="H87" i="6"/>
  <c r="E88" i="6"/>
  <c r="F88" i="6"/>
  <c r="G88" i="6"/>
  <c r="H88" i="6"/>
  <c r="E89" i="6"/>
  <c r="F89" i="6"/>
  <c r="G89" i="6"/>
  <c r="H89" i="6"/>
  <c r="E90" i="6"/>
  <c r="F90" i="6"/>
  <c r="G90" i="6"/>
  <c r="H90" i="6"/>
  <c r="E91" i="6"/>
  <c r="F91" i="6"/>
  <c r="G91" i="6"/>
  <c r="H91" i="6"/>
  <c r="E92" i="6"/>
  <c r="F92" i="6"/>
  <c r="G92" i="6"/>
  <c r="H92" i="6"/>
  <c r="E93" i="6"/>
  <c r="F93" i="6"/>
  <c r="G93" i="6"/>
  <c r="H93" i="6"/>
  <c r="E94" i="6"/>
  <c r="F94" i="6"/>
  <c r="G94" i="6"/>
  <c r="H94" i="6"/>
  <c r="E95" i="6"/>
  <c r="F95" i="6"/>
  <c r="G95" i="6"/>
  <c r="H95" i="6"/>
  <c r="E96" i="6"/>
  <c r="F96" i="6"/>
  <c r="G96" i="6"/>
  <c r="H96" i="6"/>
  <c r="E97" i="6"/>
  <c r="F97" i="6"/>
  <c r="G97" i="6"/>
  <c r="H97" i="6"/>
  <c r="F82" i="6"/>
  <c r="G82" i="6"/>
  <c r="H82" i="6"/>
  <c r="E82" i="6"/>
  <c r="B83" i="6"/>
  <c r="B84" i="6"/>
  <c r="B85" i="6"/>
  <c r="B86" i="6"/>
  <c r="D86" i="6" s="1" a="1"/>
  <c r="D86" i="6" s="1"/>
  <c r="B87" i="6"/>
  <c r="D87" i="6" s="1" a="1"/>
  <c r="D87" i="6" s="1"/>
  <c r="B88" i="6"/>
  <c r="D88" i="6" s="1" a="1"/>
  <c r="D88" i="6" s="1"/>
  <c r="B89" i="6"/>
  <c r="D89" i="6" s="1" a="1"/>
  <c r="D89" i="6" s="1"/>
  <c r="B90" i="6"/>
  <c r="D90" i="6" s="1" a="1"/>
  <c r="D90" i="6" s="1"/>
  <c r="B91" i="6"/>
  <c r="D91" i="6" s="1" a="1"/>
  <c r="D91" i="6" s="1"/>
  <c r="B92" i="6"/>
  <c r="D92" i="6" s="1" a="1"/>
  <c r="D92" i="6" s="1"/>
  <c r="B93" i="6"/>
  <c r="D93" i="6" s="1" a="1"/>
  <c r="D93" i="6" s="1"/>
  <c r="B94" i="6"/>
  <c r="D94" i="6" s="1" a="1"/>
  <c r="D94" i="6" s="1"/>
  <c r="B95" i="6"/>
  <c r="D95" i="6" s="1" a="1"/>
  <c r="D95" i="6" s="1"/>
  <c r="B96" i="6"/>
  <c r="D96" i="6" s="1" a="1"/>
  <c r="D96" i="6" s="1"/>
  <c r="B97" i="6"/>
  <c r="D97" i="6" s="1" a="1"/>
  <c r="D97" i="6" s="1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82" i="6"/>
  <c r="B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82" i="6"/>
  <c r="B19" i="1" l="1"/>
  <c r="A19" i="1"/>
  <c r="B18" i="1"/>
  <c r="A18" i="1"/>
  <c r="B16" i="1"/>
  <c r="A16" i="1"/>
  <c r="B14" i="1"/>
  <c r="A14" i="1"/>
  <c r="B12" i="1"/>
  <c r="A12" i="1"/>
  <c r="B10" i="1"/>
  <c r="A10" i="1"/>
  <c r="B8" i="1"/>
  <c r="A8" i="1"/>
  <c r="B6" i="1"/>
  <c r="A6" i="1"/>
  <c r="B4" i="1"/>
  <c r="A4" i="1"/>
  <c r="B27" i="1"/>
  <c r="A27" i="1"/>
  <c r="B26" i="1"/>
  <c r="A26" i="1"/>
  <c r="B25" i="1"/>
  <c r="A25" i="1"/>
  <c r="B24" i="1"/>
  <c r="A24" i="1"/>
  <c r="B23" i="1"/>
  <c r="A23" i="1"/>
  <c r="B22" i="1"/>
  <c r="A22" i="1"/>
  <c r="A21" i="1"/>
  <c r="B21" i="1"/>
  <c r="A20" i="1"/>
  <c r="T81" i="6"/>
  <c r="D82" i="6" a="1"/>
  <c r="D82" i="6" s="1"/>
  <c r="D83" i="6" a="1"/>
  <c r="D83" i="6" s="1"/>
  <c r="D84" i="6" a="1"/>
  <c r="D84" i="6" s="1"/>
  <c r="D85" i="6" a="1"/>
  <c r="D85" i="6" s="1"/>
  <c r="A69" i="6"/>
  <c r="B69" i="6"/>
  <c r="D69" i="6" s="1" a="1"/>
  <c r="D69" i="6" s="1"/>
  <c r="C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A70" i="6"/>
  <c r="B70" i="6"/>
  <c r="D70" i="6" s="1" a="1"/>
  <c r="D70" i="6" s="1"/>
  <c r="C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A71" i="6"/>
  <c r="B71" i="6"/>
  <c r="D71" i="6" s="1" a="1"/>
  <c r="D71" i="6" s="1"/>
  <c r="C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A72" i="6"/>
  <c r="B72" i="6"/>
  <c r="D72" i="6" s="1" a="1"/>
  <c r="D72" i="6" s="1"/>
  <c r="C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A73" i="6"/>
  <c r="B73" i="6"/>
  <c r="D73" i="6" s="1" a="1"/>
  <c r="D73" i="6" s="1"/>
  <c r="C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A74" i="6"/>
  <c r="B74" i="6"/>
  <c r="D74" i="6" s="1" a="1"/>
  <c r="D74" i="6" s="1"/>
  <c r="C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A75" i="6"/>
  <c r="B75" i="6"/>
  <c r="D75" i="6" s="1" a="1"/>
  <c r="D75" i="6" s="1"/>
  <c r="C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A76" i="6"/>
  <c r="B76" i="6"/>
  <c r="D76" i="6" s="1" a="1"/>
  <c r="D76" i="6" s="1"/>
  <c r="C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A77" i="6"/>
  <c r="B77" i="6"/>
  <c r="D77" i="6" s="1" a="1"/>
  <c r="D77" i="6" s="1"/>
  <c r="C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A78" i="6"/>
  <c r="B78" i="6"/>
  <c r="D78" i="6" s="1" a="1"/>
  <c r="D78" i="6" s="1"/>
  <c r="C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A79" i="6"/>
  <c r="B79" i="6"/>
  <c r="D79" i="6" s="1" a="1"/>
  <c r="D79" i="6" s="1"/>
  <c r="C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A80" i="6"/>
  <c r="B80" i="6"/>
  <c r="D80" i="6" s="1" a="1"/>
  <c r="D80" i="6" s="1"/>
  <c r="C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A58" i="6"/>
  <c r="B58" i="6"/>
  <c r="D58" i="6" s="1" a="1"/>
  <c r="D58" i="6" s="1"/>
  <c r="C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A59" i="6"/>
  <c r="B59" i="6"/>
  <c r="D59" i="6" s="1" a="1"/>
  <c r="D59" i="6" s="1"/>
  <c r="C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A60" i="6"/>
  <c r="B60" i="6"/>
  <c r="D60" i="6" s="1" a="1"/>
  <c r="D60" i="6" s="1"/>
  <c r="C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A61" i="6"/>
  <c r="B61" i="6"/>
  <c r="D61" i="6" s="1" a="1"/>
  <c r="D61" i="6" s="1"/>
  <c r="C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A62" i="6"/>
  <c r="B62" i="6"/>
  <c r="D62" i="6" s="1" a="1"/>
  <c r="D62" i="6" s="1"/>
  <c r="C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A63" i="6"/>
  <c r="B63" i="6"/>
  <c r="D63" i="6" s="1" a="1"/>
  <c r="D63" i="6" s="1"/>
  <c r="C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A64" i="6"/>
  <c r="B64" i="6"/>
  <c r="D64" i="6" s="1" a="1"/>
  <c r="D64" i="6" s="1"/>
  <c r="C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A65" i="6"/>
  <c r="B65" i="6"/>
  <c r="D65" i="6" s="1" a="1"/>
  <c r="D65" i="6" s="1"/>
  <c r="C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A66" i="6"/>
  <c r="B66" i="6"/>
  <c r="D66" i="6" s="1" a="1"/>
  <c r="D66" i="6" s="1"/>
  <c r="C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A67" i="6"/>
  <c r="B67" i="6"/>
  <c r="D67" i="6" s="1" a="1"/>
  <c r="D67" i="6" s="1"/>
  <c r="C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A68" i="6"/>
  <c r="B68" i="6"/>
  <c r="D68" i="6" s="1" a="1"/>
  <c r="D68" i="6" s="1"/>
  <c r="C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A38" i="6"/>
  <c r="B38" i="6"/>
  <c r="D38" i="6" s="1" a="1"/>
  <c r="D38" i="6" s="1"/>
  <c r="C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A39" i="6"/>
  <c r="B39" i="6"/>
  <c r="D39" i="6" s="1" a="1"/>
  <c r="D39" i="6" s="1"/>
  <c r="C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A40" i="6"/>
  <c r="B40" i="6"/>
  <c r="D40" i="6" s="1" a="1"/>
  <c r="D40" i="6" s="1"/>
  <c r="C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A41" i="6"/>
  <c r="B41" i="6"/>
  <c r="D41" i="6" s="1" a="1"/>
  <c r="D41" i="6" s="1"/>
  <c r="C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A42" i="6"/>
  <c r="B42" i="6"/>
  <c r="D42" i="6" s="1" a="1"/>
  <c r="D42" i="6" s="1"/>
  <c r="C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A43" i="6"/>
  <c r="B43" i="6"/>
  <c r="D43" i="6" s="1" a="1"/>
  <c r="D43" i="6" s="1"/>
  <c r="C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A44" i="6"/>
  <c r="B44" i="6"/>
  <c r="D44" i="6" s="1" a="1"/>
  <c r="D44" i="6" s="1"/>
  <c r="C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A45" i="6"/>
  <c r="B45" i="6"/>
  <c r="D45" i="6" s="1" a="1"/>
  <c r="D45" i="6" s="1"/>
  <c r="C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A46" i="6"/>
  <c r="B46" i="6"/>
  <c r="D46" i="6" s="1" a="1"/>
  <c r="D46" i="6" s="1"/>
  <c r="C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A47" i="6"/>
  <c r="B47" i="6"/>
  <c r="D47" i="6" s="1" a="1"/>
  <c r="D47" i="6" s="1"/>
  <c r="C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A48" i="6"/>
  <c r="B48" i="6"/>
  <c r="D48" i="6" s="1" a="1"/>
  <c r="D48" i="6" s="1"/>
  <c r="C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A49" i="6"/>
  <c r="B49" i="6"/>
  <c r="D49" i="6" s="1" a="1"/>
  <c r="D49" i="6" s="1"/>
  <c r="C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A50" i="6"/>
  <c r="B50" i="6"/>
  <c r="D50" i="6" s="1" a="1"/>
  <c r="D50" i="6" s="1"/>
  <c r="C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A51" i="6"/>
  <c r="B51" i="6"/>
  <c r="D51" i="6" s="1" a="1"/>
  <c r="D51" i="6" s="1"/>
  <c r="C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A52" i="6"/>
  <c r="B52" i="6"/>
  <c r="D52" i="6" s="1" a="1"/>
  <c r="D52" i="6" s="1"/>
  <c r="C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A53" i="6"/>
  <c r="B53" i="6"/>
  <c r="D53" i="6" s="1" a="1"/>
  <c r="D53" i="6" s="1"/>
  <c r="C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A54" i="6"/>
  <c r="B54" i="6"/>
  <c r="D54" i="6" s="1" a="1"/>
  <c r="D54" i="6" s="1"/>
  <c r="C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A55" i="6"/>
  <c r="B55" i="6"/>
  <c r="D55" i="6" s="1" a="1"/>
  <c r="D55" i="6" s="1"/>
  <c r="C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A56" i="6"/>
  <c r="B56" i="6"/>
  <c r="D56" i="6" s="1" a="1"/>
  <c r="D56" i="6" s="1"/>
  <c r="C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A57" i="6"/>
  <c r="B57" i="6"/>
  <c r="D57" i="6" s="1" a="1"/>
  <c r="D57" i="6" s="1"/>
  <c r="C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O22" i="6"/>
  <c r="T36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C37" i="6"/>
  <c r="B37" i="6"/>
  <c r="D37" i="6" s="1" a="1"/>
  <c r="D37" i="6" s="1"/>
  <c r="A37" i="6"/>
  <c r="C24" i="6"/>
  <c r="D24" i="6" a="1"/>
  <c r="D24" i="6" s="1"/>
  <c r="C25" i="6"/>
  <c r="D25" i="6" a="1"/>
  <c r="D25" i="6" s="1"/>
  <c r="C26" i="6"/>
  <c r="D26" i="6" a="1"/>
  <c r="D26" i="6" s="1"/>
  <c r="C27" i="6"/>
  <c r="D27" i="6" a="1"/>
  <c r="D27" i="6" s="1"/>
  <c r="C28" i="6"/>
  <c r="D28" i="6" a="1"/>
  <c r="D28" i="6" s="1"/>
  <c r="C29" i="6"/>
  <c r="D29" i="6" a="1"/>
  <c r="D29" i="6" s="1"/>
  <c r="C30" i="6"/>
  <c r="D30" i="6" a="1"/>
  <c r="D30" i="6" s="1"/>
  <c r="C31" i="6"/>
  <c r="D31" i="6" a="1"/>
  <c r="D31" i="6" s="1"/>
  <c r="C32" i="6"/>
  <c r="D32" i="6" a="1"/>
  <c r="D32" i="6" s="1"/>
  <c r="C33" i="6"/>
  <c r="D33" i="6" a="1"/>
  <c r="D33" i="6" s="1"/>
  <c r="C34" i="6"/>
  <c r="D34" i="6" a="1"/>
  <c r="D34" i="6" s="1"/>
  <c r="C35" i="6"/>
  <c r="D35" i="6" a="1"/>
  <c r="D35" i="6" s="1"/>
  <c r="T22" i="6"/>
  <c r="R22" i="6"/>
  <c r="Q22" i="6"/>
  <c r="P22" i="6"/>
  <c r="N22" i="6"/>
  <c r="M22" i="6"/>
  <c r="L22" i="6"/>
  <c r="K22" i="6"/>
  <c r="J22" i="6"/>
  <c r="I22" i="6"/>
  <c r="H22" i="6"/>
  <c r="G22" i="6"/>
  <c r="F22" i="6"/>
  <c r="E22" i="6"/>
  <c r="C23" i="6"/>
  <c r="A4" i="6"/>
  <c r="B4" i="6"/>
  <c r="D4" i="6" s="1" a="1"/>
  <c r="D4" i="6" s="1"/>
  <c r="C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A5" i="6"/>
  <c r="B5" i="6"/>
  <c r="D5" i="6" s="1" a="1"/>
  <c r="D5" i="6" s="1"/>
  <c r="C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A6" i="6"/>
  <c r="B6" i="6"/>
  <c r="D6" i="6" s="1" a="1"/>
  <c r="D6" i="6" s="1"/>
  <c r="C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A7" i="6"/>
  <c r="B7" i="6"/>
  <c r="D7" i="6" s="1" a="1"/>
  <c r="D7" i="6" s="1"/>
  <c r="C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A8" i="6"/>
  <c r="B8" i="6"/>
  <c r="D8" i="6" s="1" a="1"/>
  <c r="D8" i="6" s="1"/>
  <c r="C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A9" i="6"/>
  <c r="B9" i="6"/>
  <c r="D9" i="6" s="1" a="1"/>
  <c r="D9" i="6" s="1"/>
  <c r="C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A10" i="6"/>
  <c r="B10" i="6"/>
  <c r="D10" i="6" s="1" a="1"/>
  <c r="D10" i="6" s="1"/>
  <c r="C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A11" i="6"/>
  <c r="B11" i="6"/>
  <c r="D11" i="6" s="1" a="1"/>
  <c r="D11" i="6" s="1"/>
  <c r="C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A12" i="6"/>
  <c r="B12" i="6"/>
  <c r="D12" i="6" s="1" a="1"/>
  <c r="D12" i="6" s="1"/>
  <c r="C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A13" i="6"/>
  <c r="B13" i="6"/>
  <c r="D13" i="6" s="1" a="1"/>
  <c r="D13" i="6" s="1"/>
  <c r="C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A14" i="6"/>
  <c r="B14" i="6"/>
  <c r="D14" i="6" s="1" a="1"/>
  <c r="D14" i="6" s="1"/>
  <c r="C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A15" i="6"/>
  <c r="B15" i="6"/>
  <c r="D15" i="6" s="1" a="1"/>
  <c r="D15" i="6" s="1"/>
  <c r="C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A16" i="6"/>
  <c r="B16" i="6"/>
  <c r="D16" i="6" s="1" a="1"/>
  <c r="D16" i="6" s="1"/>
  <c r="C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A17" i="6"/>
  <c r="B17" i="6"/>
  <c r="D17" i="6" s="1" a="1"/>
  <c r="D17" i="6" s="1"/>
  <c r="C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A18" i="6"/>
  <c r="B18" i="6"/>
  <c r="D18" i="6" s="1" a="1"/>
  <c r="D18" i="6" s="1"/>
  <c r="C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A19" i="6"/>
  <c r="B19" i="6"/>
  <c r="D19" i="6" s="1" a="1"/>
  <c r="D19" i="6" s="1"/>
  <c r="C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A20" i="6"/>
  <c r="B20" i="6"/>
  <c r="D20" i="6" s="1" a="1"/>
  <c r="D20" i="6" s="1"/>
  <c r="C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A21" i="6"/>
  <c r="B21" i="6"/>
  <c r="D21" i="6" s="1" a="1"/>
  <c r="D21" i="6" s="1"/>
  <c r="C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D23" i="6" a="1"/>
  <c r="D23" i="6" s="1"/>
  <c r="T2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C3" i="6"/>
  <c r="B3" i="6"/>
  <c r="D3" i="6" s="1" a="1"/>
  <c r="D3" i="6" s="1"/>
  <c r="A3" i="6"/>
  <c r="S139" i="5"/>
  <c r="J36" i="6" l="1"/>
  <c r="L36" i="6"/>
  <c r="M36" i="6"/>
  <c r="L26" i="1" s="1"/>
  <c r="O36" i="6"/>
  <c r="N25" i="1" s="1"/>
  <c r="P36" i="6"/>
  <c r="O24" i="1" s="1"/>
  <c r="N36" i="6"/>
  <c r="M24" i="1" s="1"/>
  <c r="K36" i="6"/>
  <c r="J25" i="1" s="1"/>
  <c r="Q36" i="6"/>
  <c r="P27" i="1" s="1"/>
  <c r="R36" i="6"/>
  <c r="Q25" i="1" s="1"/>
  <c r="I2" i="6"/>
  <c r="H21" i="1" s="1"/>
  <c r="D36" i="6"/>
  <c r="C27" i="1" s="1"/>
  <c r="D22" i="6"/>
  <c r="C22" i="1" s="1"/>
  <c r="D2" i="6"/>
  <c r="C21" i="1" s="1"/>
  <c r="N2" i="6"/>
  <c r="E36" i="6"/>
  <c r="D26" i="1" s="1"/>
  <c r="F36" i="6"/>
  <c r="E25" i="1" s="1"/>
  <c r="J2" i="6"/>
  <c r="P2" i="6"/>
  <c r="O21" i="1" s="1"/>
  <c r="G36" i="6"/>
  <c r="F27" i="1" s="1"/>
  <c r="Q2" i="6"/>
  <c r="H36" i="6"/>
  <c r="G27" i="1" s="1"/>
  <c r="O2" i="6"/>
  <c r="F2" i="6"/>
  <c r="E21" i="1" s="1"/>
  <c r="R2" i="6"/>
  <c r="Q20" i="1" s="1"/>
  <c r="I36" i="6"/>
  <c r="H27" i="1" s="1"/>
  <c r="E2" i="6"/>
  <c r="G2" i="6"/>
  <c r="F21" i="1" s="1"/>
  <c r="H2" i="6"/>
  <c r="G21" i="1" s="1"/>
  <c r="K2" i="6"/>
  <c r="J20" i="1" s="1"/>
  <c r="M27" i="1"/>
  <c r="L2" i="6"/>
  <c r="K21" i="1" s="1"/>
  <c r="M2" i="6"/>
  <c r="I27" i="1"/>
  <c r="I26" i="1"/>
  <c r="I25" i="1"/>
  <c r="I24" i="1"/>
  <c r="K27" i="1"/>
  <c r="K26" i="1"/>
  <c r="K25" i="1"/>
  <c r="K24" i="1"/>
  <c r="L27" i="1"/>
  <c r="N26" i="1"/>
  <c r="D23" i="1"/>
  <c r="D22" i="1"/>
  <c r="E23" i="1"/>
  <c r="E22" i="1"/>
  <c r="F23" i="1"/>
  <c r="F22" i="1"/>
  <c r="G23" i="1"/>
  <c r="G22" i="1"/>
  <c r="H23" i="1"/>
  <c r="H22" i="1"/>
  <c r="I23" i="1"/>
  <c r="I22" i="1"/>
  <c r="J23" i="1"/>
  <c r="J22" i="1"/>
  <c r="K23" i="1"/>
  <c r="K22" i="1"/>
  <c r="L23" i="1"/>
  <c r="L22" i="1"/>
  <c r="M23" i="1"/>
  <c r="M22" i="1"/>
  <c r="O23" i="1"/>
  <c r="O22" i="1"/>
  <c r="P23" i="1"/>
  <c r="P22" i="1"/>
  <c r="Q23" i="1"/>
  <c r="Q22" i="1"/>
  <c r="N23" i="1"/>
  <c r="N22" i="1"/>
  <c r="D21" i="1"/>
  <c r="D20" i="1"/>
  <c r="R81" i="6"/>
  <c r="P81" i="6"/>
  <c r="L81" i="6"/>
  <c r="K81" i="6"/>
  <c r="I81" i="6"/>
  <c r="H81" i="6"/>
  <c r="G81" i="6"/>
  <c r="F81" i="6"/>
  <c r="D81" i="6"/>
  <c r="B17" i="1"/>
  <c r="A17" i="1"/>
  <c r="T195" i="5"/>
  <c r="S195" i="5"/>
  <c r="A180" i="5"/>
  <c r="B180" i="5"/>
  <c r="D180" i="5" s="1" a="1"/>
  <c r="D180" i="5" s="1"/>
  <c r="C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A181" i="5"/>
  <c r="B181" i="5"/>
  <c r="D181" i="5" s="1" a="1"/>
  <c r="D181" i="5" s="1"/>
  <c r="C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A182" i="5"/>
  <c r="B182" i="5"/>
  <c r="D182" i="5" s="1" a="1"/>
  <c r="D182" i="5" s="1"/>
  <c r="C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A183" i="5"/>
  <c r="B183" i="5"/>
  <c r="D183" i="5" s="1" a="1"/>
  <c r="D183" i="5" s="1"/>
  <c r="C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A184" i="5"/>
  <c r="B184" i="5"/>
  <c r="D184" i="5" s="1" a="1"/>
  <c r="D184" i="5" s="1"/>
  <c r="C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A185" i="5"/>
  <c r="B185" i="5"/>
  <c r="D185" i="5" s="1" a="1"/>
  <c r="D185" i="5" s="1"/>
  <c r="C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A186" i="5"/>
  <c r="B186" i="5"/>
  <c r="D186" i="5" s="1" a="1"/>
  <c r="D186" i="5" s="1"/>
  <c r="C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A187" i="5"/>
  <c r="B187" i="5"/>
  <c r="D187" i="5" s="1" a="1"/>
  <c r="D187" i="5" s="1"/>
  <c r="C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A188" i="5"/>
  <c r="B188" i="5"/>
  <c r="D188" i="5" s="1" a="1"/>
  <c r="D188" i="5" s="1"/>
  <c r="C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A189" i="5"/>
  <c r="B189" i="5"/>
  <c r="D189" i="5" s="1" a="1"/>
  <c r="D189" i="5" s="1"/>
  <c r="C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A190" i="5"/>
  <c r="B190" i="5"/>
  <c r="D190" i="5" s="1" a="1"/>
  <c r="D190" i="5" s="1"/>
  <c r="C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A191" i="5"/>
  <c r="B191" i="5"/>
  <c r="D191" i="5" s="1" a="1"/>
  <c r="D191" i="5" s="1"/>
  <c r="C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A192" i="5"/>
  <c r="B192" i="5"/>
  <c r="D192" i="5" s="1" a="1"/>
  <c r="D192" i="5" s="1"/>
  <c r="C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A193" i="5"/>
  <c r="B193" i="5"/>
  <c r="D193" i="5" s="1" a="1"/>
  <c r="D193" i="5" s="1"/>
  <c r="C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A194" i="5"/>
  <c r="B194" i="5"/>
  <c r="D194" i="5" s="1" a="1"/>
  <c r="D194" i="5" s="1"/>
  <c r="C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A196" i="5"/>
  <c r="B196" i="5"/>
  <c r="D196" i="5" s="1" a="1"/>
  <c r="D196" i="5" s="1"/>
  <c r="D195" i="5" s="1"/>
  <c r="C196" i="5"/>
  <c r="E196" i="5"/>
  <c r="E195" i="5" s="1"/>
  <c r="F196" i="5"/>
  <c r="F195" i="5" s="1"/>
  <c r="G196" i="5"/>
  <c r="G195" i="5" s="1"/>
  <c r="H196" i="5"/>
  <c r="H195" i="5" s="1"/>
  <c r="I196" i="5"/>
  <c r="I195" i="5" s="1"/>
  <c r="J196" i="5"/>
  <c r="J195" i="5" s="1"/>
  <c r="K196" i="5"/>
  <c r="K195" i="5" s="1"/>
  <c r="L196" i="5"/>
  <c r="L195" i="5" s="1"/>
  <c r="M196" i="5"/>
  <c r="M195" i="5" s="1"/>
  <c r="N196" i="5"/>
  <c r="N195" i="5" s="1"/>
  <c r="O196" i="5"/>
  <c r="O195" i="5" s="1"/>
  <c r="P196" i="5"/>
  <c r="P195" i="5" s="1"/>
  <c r="Q196" i="5"/>
  <c r="Q195" i="5" s="1"/>
  <c r="R196" i="5"/>
  <c r="R195" i="5" s="1"/>
  <c r="T178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C179" i="5"/>
  <c r="B179" i="5"/>
  <c r="D179" i="5" s="1" a="1"/>
  <c r="D179" i="5" s="1"/>
  <c r="A179" i="5"/>
  <c r="B15" i="1"/>
  <c r="A15" i="1"/>
  <c r="S178" i="5"/>
  <c r="A165" i="5"/>
  <c r="B165" i="5"/>
  <c r="D165" i="5" s="1" a="1"/>
  <c r="D165" i="5" s="1"/>
  <c r="C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A166" i="5"/>
  <c r="B166" i="5"/>
  <c r="D166" i="5" s="1" a="1"/>
  <c r="D166" i="5" s="1"/>
  <c r="C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A167" i="5"/>
  <c r="B167" i="5"/>
  <c r="D167" i="5" s="1" a="1"/>
  <c r="D167" i="5" s="1"/>
  <c r="C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A168" i="5"/>
  <c r="C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A169" i="5"/>
  <c r="B169" i="5"/>
  <c r="D169" i="5" s="1" a="1"/>
  <c r="D169" i="5" s="1"/>
  <c r="C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A170" i="5"/>
  <c r="B170" i="5"/>
  <c r="D170" i="5" s="1" a="1"/>
  <c r="D170" i="5" s="1"/>
  <c r="C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A171" i="5"/>
  <c r="B171" i="5"/>
  <c r="D171" i="5" s="1" a="1"/>
  <c r="D171" i="5" s="1"/>
  <c r="C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A172" i="5"/>
  <c r="B172" i="5"/>
  <c r="D172" i="5" s="1" a="1"/>
  <c r="D172" i="5" s="1"/>
  <c r="C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A173" i="5"/>
  <c r="B173" i="5"/>
  <c r="D173" i="5" s="1" a="1"/>
  <c r="D173" i="5" s="1"/>
  <c r="C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A174" i="5"/>
  <c r="B174" i="5"/>
  <c r="D174" i="5" s="1" a="1"/>
  <c r="D174" i="5" s="1"/>
  <c r="C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A175" i="5"/>
  <c r="B175" i="5"/>
  <c r="D175" i="5" s="1" a="1"/>
  <c r="D175" i="5" s="1"/>
  <c r="C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A176" i="5"/>
  <c r="B176" i="5"/>
  <c r="D176" i="5" s="1" a="1"/>
  <c r="D176" i="5" s="1"/>
  <c r="C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A177" i="5"/>
  <c r="B177" i="5"/>
  <c r="D177" i="5" s="1" a="1"/>
  <c r="D177" i="5" s="1"/>
  <c r="C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T163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C164" i="5"/>
  <c r="B164" i="5"/>
  <c r="D164" i="5" s="1" a="1"/>
  <c r="D164" i="5" s="1"/>
  <c r="A164" i="5"/>
  <c r="B13" i="1"/>
  <c r="A13" i="1"/>
  <c r="S163" i="5"/>
  <c r="A159" i="5"/>
  <c r="B159" i="5"/>
  <c r="D159" i="5" s="1" a="1"/>
  <c r="D159" i="5" s="1"/>
  <c r="C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A160" i="5"/>
  <c r="B160" i="5"/>
  <c r="D160" i="5" s="1" a="1"/>
  <c r="D160" i="5" s="1"/>
  <c r="C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A161" i="5"/>
  <c r="B161" i="5"/>
  <c r="D161" i="5" s="1" a="1"/>
  <c r="D161" i="5" s="1"/>
  <c r="C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A162" i="5"/>
  <c r="B162" i="5"/>
  <c r="D162" i="5" s="1" a="1"/>
  <c r="D162" i="5" s="1"/>
  <c r="C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A141" i="5"/>
  <c r="B141" i="5"/>
  <c r="D141" i="5" s="1" a="1"/>
  <c r="D141" i="5" s="1"/>
  <c r="C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A142" i="5"/>
  <c r="B142" i="5"/>
  <c r="D142" i="5" s="1" a="1"/>
  <c r="D142" i="5" s="1"/>
  <c r="C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A143" i="5"/>
  <c r="B143" i="5"/>
  <c r="D143" i="5" s="1" a="1"/>
  <c r="D143" i="5" s="1"/>
  <c r="C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A144" i="5"/>
  <c r="B144" i="5"/>
  <c r="D144" i="5" s="1" a="1"/>
  <c r="D144" i="5" s="1"/>
  <c r="C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A145" i="5"/>
  <c r="B145" i="5"/>
  <c r="D145" i="5" s="1" a="1"/>
  <c r="D145" i="5" s="1"/>
  <c r="C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A146" i="5"/>
  <c r="B146" i="5"/>
  <c r="D146" i="5" s="1" a="1"/>
  <c r="D146" i="5" s="1"/>
  <c r="C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A147" i="5"/>
  <c r="B147" i="5"/>
  <c r="D147" i="5" s="1" a="1"/>
  <c r="D147" i="5" s="1"/>
  <c r="C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A148" i="5"/>
  <c r="B148" i="5"/>
  <c r="D148" i="5" s="1" a="1"/>
  <c r="D148" i="5" s="1"/>
  <c r="C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A149" i="5"/>
  <c r="B149" i="5"/>
  <c r="D149" i="5" s="1" a="1"/>
  <c r="D149" i="5" s="1"/>
  <c r="C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A150" i="5"/>
  <c r="B150" i="5"/>
  <c r="D150" i="5" s="1" a="1"/>
  <c r="D150" i="5" s="1"/>
  <c r="C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A151" i="5"/>
  <c r="B151" i="5"/>
  <c r="D151" i="5" s="1" a="1"/>
  <c r="D151" i="5" s="1"/>
  <c r="C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A152" i="5"/>
  <c r="B152" i="5"/>
  <c r="D152" i="5" s="1" a="1"/>
  <c r="D152" i="5" s="1"/>
  <c r="C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A153" i="5"/>
  <c r="B153" i="5"/>
  <c r="D153" i="5" s="1" a="1"/>
  <c r="D153" i="5" s="1"/>
  <c r="C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A154" i="5"/>
  <c r="B154" i="5"/>
  <c r="D154" i="5" s="1" a="1"/>
  <c r="D154" i="5" s="1"/>
  <c r="C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A155" i="5"/>
  <c r="B155" i="5"/>
  <c r="D155" i="5" s="1" a="1"/>
  <c r="D155" i="5" s="1"/>
  <c r="C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A156" i="5"/>
  <c r="B156" i="5"/>
  <c r="D156" i="5" s="1" a="1"/>
  <c r="D156" i="5" s="1"/>
  <c r="C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A157" i="5"/>
  <c r="B157" i="5"/>
  <c r="D157" i="5" s="1" a="1"/>
  <c r="D157" i="5" s="1"/>
  <c r="C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A158" i="5"/>
  <c r="B158" i="5"/>
  <c r="D158" i="5" s="1" a="1"/>
  <c r="D158" i="5" s="1"/>
  <c r="C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T139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C140" i="5"/>
  <c r="B140" i="5"/>
  <c r="D140" i="5" s="1" a="1"/>
  <c r="D140" i="5" s="1"/>
  <c r="A140" i="5"/>
  <c r="B11" i="1"/>
  <c r="A11" i="1"/>
  <c r="J121" i="5"/>
  <c r="K121" i="5"/>
  <c r="L121" i="5"/>
  <c r="M121" i="5"/>
  <c r="N121" i="5"/>
  <c r="O121" i="5"/>
  <c r="P121" i="5"/>
  <c r="Q121" i="5"/>
  <c r="R121" i="5"/>
  <c r="J122" i="5"/>
  <c r="K122" i="5"/>
  <c r="L122" i="5"/>
  <c r="M122" i="5"/>
  <c r="N122" i="5"/>
  <c r="O122" i="5"/>
  <c r="P122" i="5"/>
  <c r="Q122" i="5"/>
  <c r="R122" i="5"/>
  <c r="J123" i="5"/>
  <c r="K123" i="5"/>
  <c r="L123" i="5"/>
  <c r="M123" i="5"/>
  <c r="N123" i="5"/>
  <c r="O123" i="5"/>
  <c r="P123" i="5"/>
  <c r="Q123" i="5"/>
  <c r="R123" i="5"/>
  <c r="J124" i="5"/>
  <c r="K124" i="5"/>
  <c r="L124" i="5"/>
  <c r="M124" i="5"/>
  <c r="N124" i="5"/>
  <c r="O124" i="5"/>
  <c r="P124" i="5"/>
  <c r="Q124" i="5"/>
  <c r="R124" i="5"/>
  <c r="J125" i="5"/>
  <c r="K125" i="5"/>
  <c r="L125" i="5"/>
  <c r="M125" i="5"/>
  <c r="N125" i="5"/>
  <c r="O125" i="5"/>
  <c r="P125" i="5"/>
  <c r="Q125" i="5"/>
  <c r="R125" i="5"/>
  <c r="J126" i="5"/>
  <c r="K126" i="5"/>
  <c r="L126" i="5"/>
  <c r="M126" i="5"/>
  <c r="N126" i="5"/>
  <c r="O126" i="5"/>
  <c r="P126" i="5"/>
  <c r="Q126" i="5"/>
  <c r="R126" i="5"/>
  <c r="J127" i="5"/>
  <c r="K127" i="5"/>
  <c r="L127" i="5"/>
  <c r="M127" i="5"/>
  <c r="N127" i="5"/>
  <c r="O127" i="5"/>
  <c r="P127" i="5"/>
  <c r="Q127" i="5"/>
  <c r="R127" i="5"/>
  <c r="J128" i="5"/>
  <c r="K128" i="5"/>
  <c r="L128" i="5"/>
  <c r="M128" i="5"/>
  <c r="N128" i="5"/>
  <c r="O128" i="5"/>
  <c r="P128" i="5"/>
  <c r="Q128" i="5"/>
  <c r="R128" i="5"/>
  <c r="J129" i="5"/>
  <c r="K129" i="5"/>
  <c r="L129" i="5"/>
  <c r="M129" i="5"/>
  <c r="N129" i="5"/>
  <c r="O129" i="5"/>
  <c r="P129" i="5"/>
  <c r="Q129" i="5"/>
  <c r="R129" i="5"/>
  <c r="J130" i="5"/>
  <c r="K130" i="5"/>
  <c r="L130" i="5"/>
  <c r="M130" i="5"/>
  <c r="N130" i="5"/>
  <c r="O130" i="5"/>
  <c r="P130" i="5"/>
  <c r="Q130" i="5"/>
  <c r="R130" i="5"/>
  <c r="J131" i="5"/>
  <c r="K131" i="5"/>
  <c r="L131" i="5"/>
  <c r="M131" i="5"/>
  <c r="N131" i="5"/>
  <c r="O131" i="5"/>
  <c r="P131" i="5"/>
  <c r="Q131" i="5"/>
  <c r="R131" i="5"/>
  <c r="J132" i="5"/>
  <c r="K132" i="5"/>
  <c r="L132" i="5"/>
  <c r="M132" i="5"/>
  <c r="N132" i="5"/>
  <c r="O132" i="5"/>
  <c r="P132" i="5"/>
  <c r="Q132" i="5"/>
  <c r="R132" i="5"/>
  <c r="J133" i="5"/>
  <c r="K133" i="5"/>
  <c r="L133" i="5"/>
  <c r="M133" i="5"/>
  <c r="N133" i="5"/>
  <c r="O133" i="5"/>
  <c r="P133" i="5"/>
  <c r="Q133" i="5"/>
  <c r="R133" i="5"/>
  <c r="J134" i="5"/>
  <c r="K134" i="5"/>
  <c r="L134" i="5"/>
  <c r="M134" i="5"/>
  <c r="N134" i="5"/>
  <c r="O134" i="5"/>
  <c r="P134" i="5"/>
  <c r="Q134" i="5"/>
  <c r="R134" i="5"/>
  <c r="J135" i="5"/>
  <c r="K135" i="5"/>
  <c r="L135" i="5"/>
  <c r="M135" i="5"/>
  <c r="N135" i="5"/>
  <c r="O135" i="5"/>
  <c r="P135" i="5"/>
  <c r="Q135" i="5"/>
  <c r="R135" i="5"/>
  <c r="J136" i="5"/>
  <c r="K136" i="5"/>
  <c r="L136" i="5"/>
  <c r="M136" i="5"/>
  <c r="N136" i="5"/>
  <c r="O136" i="5"/>
  <c r="P136" i="5"/>
  <c r="Q136" i="5"/>
  <c r="R136" i="5"/>
  <c r="J137" i="5"/>
  <c r="K137" i="5"/>
  <c r="L137" i="5"/>
  <c r="M137" i="5"/>
  <c r="N137" i="5"/>
  <c r="O137" i="5"/>
  <c r="P137" i="5"/>
  <c r="Q137" i="5"/>
  <c r="R137" i="5"/>
  <c r="J138" i="5"/>
  <c r="K138" i="5"/>
  <c r="L138" i="5"/>
  <c r="M138" i="5"/>
  <c r="N138" i="5"/>
  <c r="O138" i="5"/>
  <c r="P138" i="5"/>
  <c r="Q138" i="5"/>
  <c r="R138" i="5"/>
  <c r="K120" i="5"/>
  <c r="L120" i="5"/>
  <c r="M120" i="5"/>
  <c r="N120" i="5"/>
  <c r="O120" i="5"/>
  <c r="P120" i="5"/>
  <c r="Q120" i="5"/>
  <c r="R120" i="5"/>
  <c r="J120" i="5"/>
  <c r="E121" i="5"/>
  <c r="F121" i="5"/>
  <c r="G121" i="5"/>
  <c r="H121" i="5"/>
  <c r="I121" i="5"/>
  <c r="E122" i="5"/>
  <c r="F122" i="5"/>
  <c r="G122" i="5"/>
  <c r="H122" i="5"/>
  <c r="I122" i="5"/>
  <c r="E123" i="5"/>
  <c r="F123" i="5"/>
  <c r="G123" i="5"/>
  <c r="H123" i="5"/>
  <c r="I123" i="5"/>
  <c r="E124" i="5"/>
  <c r="F124" i="5"/>
  <c r="G124" i="5"/>
  <c r="H124" i="5"/>
  <c r="I124" i="5"/>
  <c r="E125" i="5"/>
  <c r="F125" i="5"/>
  <c r="G125" i="5"/>
  <c r="H125" i="5"/>
  <c r="I125" i="5"/>
  <c r="E126" i="5"/>
  <c r="F126" i="5"/>
  <c r="G126" i="5"/>
  <c r="H126" i="5"/>
  <c r="I126" i="5"/>
  <c r="E127" i="5"/>
  <c r="F127" i="5"/>
  <c r="G127" i="5"/>
  <c r="H127" i="5"/>
  <c r="I127" i="5"/>
  <c r="E128" i="5"/>
  <c r="F128" i="5"/>
  <c r="G128" i="5"/>
  <c r="H128" i="5"/>
  <c r="I128" i="5"/>
  <c r="E129" i="5"/>
  <c r="F129" i="5"/>
  <c r="G129" i="5"/>
  <c r="H129" i="5"/>
  <c r="I129" i="5"/>
  <c r="E130" i="5"/>
  <c r="F130" i="5"/>
  <c r="G130" i="5"/>
  <c r="H130" i="5"/>
  <c r="I130" i="5"/>
  <c r="E131" i="5"/>
  <c r="F131" i="5"/>
  <c r="G131" i="5"/>
  <c r="H131" i="5"/>
  <c r="I131" i="5"/>
  <c r="E132" i="5"/>
  <c r="F132" i="5"/>
  <c r="G132" i="5"/>
  <c r="H132" i="5"/>
  <c r="I132" i="5"/>
  <c r="E133" i="5"/>
  <c r="F133" i="5"/>
  <c r="G133" i="5"/>
  <c r="H133" i="5"/>
  <c r="I133" i="5"/>
  <c r="E134" i="5"/>
  <c r="F134" i="5"/>
  <c r="G134" i="5"/>
  <c r="H134" i="5"/>
  <c r="I134" i="5"/>
  <c r="E135" i="5"/>
  <c r="F135" i="5"/>
  <c r="G135" i="5"/>
  <c r="H135" i="5"/>
  <c r="I135" i="5"/>
  <c r="E136" i="5"/>
  <c r="F136" i="5"/>
  <c r="G136" i="5"/>
  <c r="H136" i="5"/>
  <c r="I136" i="5"/>
  <c r="E137" i="5"/>
  <c r="F137" i="5"/>
  <c r="G137" i="5"/>
  <c r="H137" i="5"/>
  <c r="I137" i="5"/>
  <c r="E138" i="5"/>
  <c r="F138" i="5"/>
  <c r="G138" i="5"/>
  <c r="H138" i="5"/>
  <c r="I138" i="5"/>
  <c r="F120" i="5"/>
  <c r="G120" i="5"/>
  <c r="H120" i="5"/>
  <c r="I120" i="5"/>
  <c r="E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20" i="5"/>
  <c r="B121" i="5"/>
  <c r="D121" i="5" s="1" a="1"/>
  <c r="D121" i="5" s="1"/>
  <c r="B122" i="5"/>
  <c r="D122" i="5" s="1" a="1"/>
  <c r="D122" i="5" s="1"/>
  <c r="B123" i="5"/>
  <c r="D123" i="5" s="1" a="1"/>
  <c r="D123" i="5" s="1"/>
  <c r="B124" i="5"/>
  <c r="D124" i="5" s="1" a="1"/>
  <c r="D124" i="5" s="1"/>
  <c r="B125" i="5"/>
  <c r="D125" i="5" s="1" a="1"/>
  <c r="D125" i="5" s="1"/>
  <c r="B126" i="5"/>
  <c r="D126" i="5" s="1" a="1"/>
  <c r="D126" i="5" s="1"/>
  <c r="B127" i="5"/>
  <c r="D127" i="5" s="1" a="1"/>
  <c r="D127" i="5" s="1"/>
  <c r="B128" i="5"/>
  <c r="D128" i="5" s="1" a="1"/>
  <c r="D128" i="5" s="1"/>
  <c r="B129" i="5"/>
  <c r="D129" i="5" s="1" a="1"/>
  <c r="D129" i="5" s="1"/>
  <c r="B130" i="5"/>
  <c r="D130" i="5" s="1" a="1"/>
  <c r="D130" i="5" s="1"/>
  <c r="B131" i="5"/>
  <c r="D131" i="5" s="1" a="1"/>
  <c r="D131" i="5" s="1"/>
  <c r="B132" i="5"/>
  <c r="D132" i="5" s="1" a="1"/>
  <c r="D132" i="5" s="1"/>
  <c r="B133" i="5"/>
  <c r="D133" i="5" s="1" a="1"/>
  <c r="D133" i="5" s="1"/>
  <c r="B134" i="5"/>
  <c r="D134" i="5" s="1" a="1"/>
  <c r="D134" i="5" s="1"/>
  <c r="B135" i="5"/>
  <c r="D135" i="5" s="1" a="1"/>
  <c r="D135" i="5" s="1"/>
  <c r="B136" i="5"/>
  <c r="D136" i="5" s="1" a="1"/>
  <c r="D136" i="5" s="1"/>
  <c r="B137" i="5"/>
  <c r="D137" i="5" s="1" a="1"/>
  <c r="D137" i="5" s="1"/>
  <c r="B138" i="5"/>
  <c r="D138" i="5" s="1" a="1"/>
  <c r="D138" i="5" s="1"/>
  <c r="B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20" i="5"/>
  <c r="B9" i="1"/>
  <c r="A9" i="1"/>
  <c r="S119" i="5"/>
  <c r="J101" i="5"/>
  <c r="K101" i="5"/>
  <c r="L101" i="5"/>
  <c r="M101" i="5"/>
  <c r="N101" i="5"/>
  <c r="O101" i="5"/>
  <c r="P101" i="5"/>
  <c r="Q101" i="5"/>
  <c r="R101" i="5"/>
  <c r="J102" i="5"/>
  <c r="K102" i="5"/>
  <c r="L102" i="5"/>
  <c r="M102" i="5"/>
  <c r="N102" i="5"/>
  <c r="O102" i="5"/>
  <c r="P102" i="5"/>
  <c r="Q102" i="5"/>
  <c r="R102" i="5"/>
  <c r="J103" i="5"/>
  <c r="K103" i="5"/>
  <c r="L103" i="5"/>
  <c r="M103" i="5"/>
  <c r="N103" i="5"/>
  <c r="O103" i="5"/>
  <c r="P103" i="5"/>
  <c r="Q103" i="5"/>
  <c r="R103" i="5"/>
  <c r="J104" i="5"/>
  <c r="K104" i="5"/>
  <c r="L104" i="5"/>
  <c r="M104" i="5"/>
  <c r="N104" i="5"/>
  <c r="O104" i="5"/>
  <c r="P104" i="5"/>
  <c r="Q104" i="5"/>
  <c r="R104" i="5"/>
  <c r="J105" i="5"/>
  <c r="K105" i="5"/>
  <c r="L105" i="5"/>
  <c r="M105" i="5"/>
  <c r="N105" i="5"/>
  <c r="O105" i="5"/>
  <c r="P105" i="5"/>
  <c r="Q105" i="5"/>
  <c r="R105" i="5"/>
  <c r="J106" i="5"/>
  <c r="K106" i="5"/>
  <c r="L106" i="5"/>
  <c r="M106" i="5"/>
  <c r="N106" i="5"/>
  <c r="O106" i="5"/>
  <c r="P106" i="5"/>
  <c r="Q106" i="5"/>
  <c r="R106" i="5"/>
  <c r="J107" i="5"/>
  <c r="K107" i="5"/>
  <c r="L107" i="5"/>
  <c r="M107" i="5"/>
  <c r="N107" i="5"/>
  <c r="O107" i="5"/>
  <c r="P107" i="5"/>
  <c r="Q107" i="5"/>
  <c r="R107" i="5"/>
  <c r="J108" i="5"/>
  <c r="K108" i="5"/>
  <c r="L108" i="5"/>
  <c r="M108" i="5"/>
  <c r="N108" i="5"/>
  <c r="O108" i="5"/>
  <c r="P108" i="5"/>
  <c r="Q108" i="5"/>
  <c r="R108" i="5"/>
  <c r="J109" i="5"/>
  <c r="K109" i="5"/>
  <c r="L109" i="5"/>
  <c r="M109" i="5"/>
  <c r="N109" i="5"/>
  <c r="O109" i="5"/>
  <c r="P109" i="5"/>
  <c r="Q109" i="5"/>
  <c r="R109" i="5"/>
  <c r="J110" i="5"/>
  <c r="K110" i="5"/>
  <c r="L110" i="5"/>
  <c r="M110" i="5"/>
  <c r="N110" i="5"/>
  <c r="O110" i="5"/>
  <c r="P110" i="5"/>
  <c r="Q110" i="5"/>
  <c r="R110" i="5"/>
  <c r="J111" i="5"/>
  <c r="K111" i="5"/>
  <c r="L111" i="5"/>
  <c r="M111" i="5"/>
  <c r="N111" i="5"/>
  <c r="O111" i="5"/>
  <c r="P111" i="5"/>
  <c r="Q111" i="5"/>
  <c r="R111" i="5"/>
  <c r="J112" i="5"/>
  <c r="K112" i="5"/>
  <c r="L112" i="5"/>
  <c r="M112" i="5"/>
  <c r="N112" i="5"/>
  <c r="O112" i="5"/>
  <c r="P112" i="5"/>
  <c r="Q112" i="5"/>
  <c r="R112" i="5"/>
  <c r="J113" i="5"/>
  <c r="K113" i="5"/>
  <c r="L113" i="5"/>
  <c r="M113" i="5"/>
  <c r="N113" i="5"/>
  <c r="O113" i="5"/>
  <c r="P113" i="5"/>
  <c r="Q113" i="5"/>
  <c r="R113" i="5"/>
  <c r="J114" i="5"/>
  <c r="K114" i="5"/>
  <c r="L114" i="5"/>
  <c r="M114" i="5"/>
  <c r="N114" i="5"/>
  <c r="O114" i="5"/>
  <c r="P114" i="5"/>
  <c r="Q114" i="5"/>
  <c r="R114" i="5"/>
  <c r="J115" i="5"/>
  <c r="K115" i="5"/>
  <c r="L115" i="5"/>
  <c r="M115" i="5"/>
  <c r="N115" i="5"/>
  <c r="O115" i="5"/>
  <c r="P115" i="5"/>
  <c r="Q115" i="5"/>
  <c r="R115" i="5"/>
  <c r="J116" i="5"/>
  <c r="K116" i="5"/>
  <c r="L116" i="5"/>
  <c r="M116" i="5"/>
  <c r="N116" i="5"/>
  <c r="O116" i="5"/>
  <c r="P116" i="5"/>
  <c r="Q116" i="5"/>
  <c r="R116" i="5"/>
  <c r="J117" i="5"/>
  <c r="K117" i="5"/>
  <c r="L117" i="5"/>
  <c r="M117" i="5"/>
  <c r="N117" i="5"/>
  <c r="O117" i="5"/>
  <c r="P117" i="5"/>
  <c r="Q117" i="5"/>
  <c r="R117" i="5"/>
  <c r="J118" i="5"/>
  <c r="K118" i="5"/>
  <c r="L118" i="5"/>
  <c r="M118" i="5"/>
  <c r="N118" i="5"/>
  <c r="O118" i="5"/>
  <c r="P118" i="5"/>
  <c r="Q118" i="5"/>
  <c r="R118" i="5"/>
  <c r="K100" i="5"/>
  <c r="L100" i="5"/>
  <c r="M100" i="5"/>
  <c r="N100" i="5"/>
  <c r="O100" i="5"/>
  <c r="P100" i="5"/>
  <c r="Q100" i="5"/>
  <c r="R100" i="5"/>
  <c r="J100" i="5"/>
  <c r="E101" i="5"/>
  <c r="F101" i="5"/>
  <c r="G101" i="5"/>
  <c r="H101" i="5"/>
  <c r="I101" i="5"/>
  <c r="E102" i="5"/>
  <c r="F102" i="5"/>
  <c r="G102" i="5"/>
  <c r="H102" i="5"/>
  <c r="I102" i="5"/>
  <c r="E103" i="5"/>
  <c r="F103" i="5"/>
  <c r="G103" i="5"/>
  <c r="H103" i="5"/>
  <c r="I103" i="5"/>
  <c r="E104" i="5"/>
  <c r="F104" i="5"/>
  <c r="G104" i="5"/>
  <c r="H104" i="5"/>
  <c r="I104" i="5"/>
  <c r="E105" i="5"/>
  <c r="F105" i="5"/>
  <c r="G105" i="5"/>
  <c r="H105" i="5"/>
  <c r="I105" i="5"/>
  <c r="E106" i="5"/>
  <c r="F106" i="5"/>
  <c r="G106" i="5"/>
  <c r="H106" i="5"/>
  <c r="I106" i="5"/>
  <c r="E107" i="5"/>
  <c r="F107" i="5"/>
  <c r="G107" i="5"/>
  <c r="H107" i="5"/>
  <c r="I107" i="5"/>
  <c r="E108" i="5"/>
  <c r="F108" i="5"/>
  <c r="G108" i="5"/>
  <c r="H108" i="5"/>
  <c r="I108" i="5"/>
  <c r="E109" i="5"/>
  <c r="F109" i="5"/>
  <c r="G109" i="5"/>
  <c r="H109" i="5"/>
  <c r="I109" i="5"/>
  <c r="E110" i="5"/>
  <c r="F110" i="5"/>
  <c r="G110" i="5"/>
  <c r="H110" i="5"/>
  <c r="I110" i="5"/>
  <c r="E111" i="5"/>
  <c r="F111" i="5"/>
  <c r="G111" i="5"/>
  <c r="H111" i="5"/>
  <c r="I111" i="5"/>
  <c r="E112" i="5"/>
  <c r="F112" i="5"/>
  <c r="G112" i="5"/>
  <c r="H112" i="5"/>
  <c r="I112" i="5"/>
  <c r="E113" i="5"/>
  <c r="F113" i="5"/>
  <c r="G113" i="5"/>
  <c r="H113" i="5"/>
  <c r="I113" i="5"/>
  <c r="E114" i="5"/>
  <c r="F114" i="5"/>
  <c r="G114" i="5"/>
  <c r="H114" i="5"/>
  <c r="I114" i="5"/>
  <c r="E115" i="5"/>
  <c r="F115" i="5"/>
  <c r="G115" i="5"/>
  <c r="H115" i="5"/>
  <c r="I115" i="5"/>
  <c r="E116" i="5"/>
  <c r="F116" i="5"/>
  <c r="G116" i="5"/>
  <c r="H116" i="5"/>
  <c r="I116" i="5"/>
  <c r="E117" i="5"/>
  <c r="F117" i="5"/>
  <c r="G117" i="5"/>
  <c r="H117" i="5"/>
  <c r="I117" i="5"/>
  <c r="E118" i="5"/>
  <c r="F118" i="5"/>
  <c r="G118" i="5"/>
  <c r="H118" i="5"/>
  <c r="I118" i="5"/>
  <c r="F100" i="5"/>
  <c r="G100" i="5"/>
  <c r="H100" i="5"/>
  <c r="I100" i="5"/>
  <c r="E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00" i="5"/>
  <c r="B101" i="5"/>
  <c r="D101" i="5" s="1" a="1"/>
  <c r="D101" i="5" s="1"/>
  <c r="B102" i="5"/>
  <c r="D102" i="5" s="1" a="1"/>
  <c r="D102" i="5" s="1"/>
  <c r="B103" i="5"/>
  <c r="D103" i="5" s="1" a="1"/>
  <c r="D103" i="5" s="1"/>
  <c r="B104" i="5"/>
  <c r="D104" i="5" s="1" a="1"/>
  <c r="D104" i="5" s="1"/>
  <c r="B105" i="5"/>
  <c r="D105" i="5" s="1" a="1"/>
  <c r="D105" i="5" s="1"/>
  <c r="B106" i="5"/>
  <c r="D106" i="5" s="1" a="1"/>
  <c r="D106" i="5" s="1"/>
  <c r="B107" i="5"/>
  <c r="D107" i="5" s="1" a="1"/>
  <c r="D107" i="5" s="1"/>
  <c r="B108" i="5"/>
  <c r="D108" i="5" s="1" a="1"/>
  <c r="D108" i="5" s="1"/>
  <c r="B109" i="5"/>
  <c r="D109" i="5" s="1" a="1"/>
  <c r="D109" i="5" s="1"/>
  <c r="B110" i="5"/>
  <c r="D110" i="5" s="1" a="1"/>
  <c r="D110" i="5" s="1"/>
  <c r="B111" i="5"/>
  <c r="D111" i="5" s="1" a="1"/>
  <c r="D111" i="5" s="1"/>
  <c r="B112" i="5"/>
  <c r="D112" i="5" s="1" a="1"/>
  <c r="D112" i="5" s="1"/>
  <c r="B113" i="5"/>
  <c r="D113" i="5" s="1" a="1"/>
  <c r="D113" i="5" s="1"/>
  <c r="B114" i="5"/>
  <c r="D114" i="5" s="1" a="1"/>
  <c r="D114" i="5" s="1"/>
  <c r="B115" i="5"/>
  <c r="D115" i="5" s="1" a="1"/>
  <c r="D115" i="5" s="1"/>
  <c r="B117" i="5"/>
  <c r="D117" i="5" s="1" a="1"/>
  <c r="D117" i="5" s="1"/>
  <c r="B118" i="5"/>
  <c r="D118" i="5" s="1" a="1"/>
  <c r="D118" i="5" s="1"/>
  <c r="B100" i="5"/>
  <c r="D100" i="5" s="1" a="1"/>
  <c r="D100" i="5" s="1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00" i="5"/>
  <c r="S99" i="5"/>
  <c r="S78" i="5" s="1"/>
  <c r="B7" i="1"/>
  <c r="A7" i="1"/>
  <c r="J80" i="5"/>
  <c r="K80" i="5"/>
  <c r="L80" i="5"/>
  <c r="M80" i="5"/>
  <c r="N80" i="5"/>
  <c r="O80" i="5"/>
  <c r="P80" i="5"/>
  <c r="Q80" i="5"/>
  <c r="R80" i="5"/>
  <c r="J81" i="5"/>
  <c r="K81" i="5"/>
  <c r="L81" i="5"/>
  <c r="M81" i="5"/>
  <c r="N81" i="5"/>
  <c r="O81" i="5"/>
  <c r="P81" i="5"/>
  <c r="Q81" i="5"/>
  <c r="R81" i="5"/>
  <c r="J82" i="5"/>
  <c r="K82" i="5"/>
  <c r="L82" i="5"/>
  <c r="M82" i="5"/>
  <c r="N82" i="5"/>
  <c r="O82" i="5"/>
  <c r="P82" i="5"/>
  <c r="Q82" i="5"/>
  <c r="R82" i="5"/>
  <c r="J83" i="5"/>
  <c r="K83" i="5"/>
  <c r="L83" i="5"/>
  <c r="M83" i="5"/>
  <c r="N83" i="5"/>
  <c r="O83" i="5"/>
  <c r="P83" i="5"/>
  <c r="Q83" i="5"/>
  <c r="R83" i="5"/>
  <c r="J84" i="5"/>
  <c r="K84" i="5"/>
  <c r="L84" i="5"/>
  <c r="M84" i="5"/>
  <c r="N84" i="5"/>
  <c r="O84" i="5"/>
  <c r="P84" i="5"/>
  <c r="Q84" i="5"/>
  <c r="R84" i="5"/>
  <c r="J85" i="5"/>
  <c r="K85" i="5"/>
  <c r="L85" i="5"/>
  <c r="M85" i="5"/>
  <c r="N85" i="5"/>
  <c r="O85" i="5"/>
  <c r="P85" i="5"/>
  <c r="Q85" i="5"/>
  <c r="R85" i="5"/>
  <c r="J86" i="5"/>
  <c r="K86" i="5"/>
  <c r="L86" i="5"/>
  <c r="M86" i="5"/>
  <c r="N86" i="5"/>
  <c r="O86" i="5"/>
  <c r="P86" i="5"/>
  <c r="Q86" i="5"/>
  <c r="R86" i="5"/>
  <c r="J87" i="5"/>
  <c r="K87" i="5"/>
  <c r="L87" i="5"/>
  <c r="M87" i="5"/>
  <c r="N87" i="5"/>
  <c r="O87" i="5"/>
  <c r="P87" i="5"/>
  <c r="Q87" i="5"/>
  <c r="R87" i="5"/>
  <c r="J88" i="5"/>
  <c r="K88" i="5"/>
  <c r="L88" i="5"/>
  <c r="M88" i="5"/>
  <c r="N88" i="5"/>
  <c r="O88" i="5"/>
  <c r="P88" i="5"/>
  <c r="Q88" i="5"/>
  <c r="R88" i="5"/>
  <c r="J89" i="5"/>
  <c r="K89" i="5"/>
  <c r="L89" i="5"/>
  <c r="M89" i="5"/>
  <c r="N89" i="5"/>
  <c r="O89" i="5"/>
  <c r="P89" i="5"/>
  <c r="Q89" i="5"/>
  <c r="R89" i="5"/>
  <c r="J90" i="5"/>
  <c r="K90" i="5"/>
  <c r="L90" i="5"/>
  <c r="M90" i="5"/>
  <c r="N90" i="5"/>
  <c r="O90" i="5"/>
  <c r="P90" i="5"/>
  <c r="Q90" i="5"/>
  <c r="R90" i="5"/>
  <c r="J91" i="5"/>
  <c r="K91" i="5"/>
  <c r="L91" i="5"/>
  <c r="M91" i="5"/>
  <c r="N91" i="5"/>
  <c r="O91" i="5"/>
  <c r="P91" i="5"/>
  <c r="Q91" i="5"/>
  <c r="R91" i="5"/>
  <c r="J92" i="5"/>
  <c r="K92" i="5"/>
  <c r="L92" i="5"/>
  <c r="M92" i="5"/>
  <c r="N92" i="5"/>
  <c r="O92" i="5"/>
  <c r="P92" i="5"/>
  <c r="Q92" i="5"/>
  <c r="R92" i="5"/>
  <c r="J93" i="5"/>
  <c r="K93" i="5"/>
  <c r="L93" i="5"/>
  <c r="M93" i="5"/>
  <c r="N93" i="5"/>
  <c r="O93" i="5"/>
  <c r="P93" i="5"/>
  <c r="Q93" i="5"/>
  <c r="R93" i="5"/>
  <c r="J94" i="5"/>
  <c r="K94" i="5"/>
  <c r="L94" i="5"/>
  <c r="M94" i="5"/>
  <c r="N94" i="5"/>
  <c r="O94" i="5"/>
  <c r="P94" i="5"/>
  <c r="Q94" i="5"/>
  <c r="R94" i="5"/>
  <c r="J95" i="5"/>
  <c r="K95" i="5"/>
  <c r="L95" i="5"/>
  <c r="M95" i="5"/>
  <c r="N95" i="5"/>
  <c r="O95" i="5"/>
  <c r="P95" i="5"/>
  <c r="Q95" i="5"/>
  <c r="R95" i="5"/>
  <c r="J96" i="5"/>
  <c r="K96" i="5"/>
  <c r="L96" i="5"/>
  <c r="M96" i="5"/>
  <c r="N96" i="5"/>
  <c r="O96" i="5"/>
  <c r="P96" i="5"/>
  <c r="Q96" i="5"/>
  <c r="R96" i="5"/>
  <c r="J97" i="5"/>
  <c r="K97" i="5"/>
  <c r="L97" i="5"/>
  <c r="M97" i="5"/>
  <c r="N97" i="5"/>
  <c r="O97" i="5"/>
  <c r="P97" i="5"/>
  <c r="Q97" i="5"/>
  <c r="R97" i="5"/>
  <c r="J98" i="5"/>
  <c r="K98" i="5"/>
  <c r="L98" i="5"/>
  <c r="M98" i="5"/>
  <c r="N98" i="5"/>
  <c r="O98" i="5"/>
  <c r="P98" i="5"/>
  <c r="Q98" i="5"/>
  <c r="R98" i="5"/>
  <c r="K79" i="5"/>
  <c r="L79" i="5"/>
  <c r="M79" i="5"/>
  <c r="N79" i="5"/>
  <c r="O79" i="5"/>
  <c r="P79" i="5"/>
  <c r="Q79" i="5"/>
  <c r="R79" i="5"/>
  <c r="J79" i="5"/>
  <c r="E80" i="5"/>
  <c r="F80" i="5"/>
  <c r="G80" i="5"/>
  <c r="H80" i="5"/>
  <c r="I80" i="5"/>
  <c r="E81" i="5"/>
  <c r="F81" i="5"/>
  <c r="G81" i="5"/>
  <c r="H81" i="5"/>
  <c r="I81" i="5"/>
  <c r="E82" i="5"/>
  <c r="F82" i="5"/>
  <c r="G82" i="5"/>
  <c r="H82" i="5"/>
  <c r="I82" i="5"/>
  <c r="E83" i="5"/>
  <c r="F83" i="5"/>
  <c r="G83" i="5"/>
  <c r="H83" i="5"/>
  <c r="I83" i="5"/>
  <c r="E84" i="5"/>
  <c r="F84" i="5"/>
  <c r="G84" i="5"/>
  <c r="H84" i="5"/>
  <c r="I84" i="5"/>
  <c r="E85" i="5"/>
  <c r="F85" i="5"/>
  <c r="G85" i="5"/>
  <c r="H85" i="5"/>
  <c r="I85" i="5"/>
  <c r="E86" i="5"/>
  <c r="F86" i="5"/>
  <c r="G86" i="5"/>
  <c r="H86" i="5"/>
  <c r="I86" i="5"/>
  <c r="E87" i="5"/>
  <c r="F87" i="5"/>
  <c r="G87" i="5"/>
  <c r="H87" i="5"/>
  <c r="I87" i="5"/>
  <c r="E88" i="5"/>
  <c r="F88" i="5"/>
  <c r="G88" i="5"/>
  <c r="H88" i="5"/>
  <c r="I88" i="5"/>
  <c r="E89" i="5"/>
  <c r="F89" i="5"/>
  <c r="G89" i="5"/>
  <c r="H89" i="5"/>
  <c r="I89" i="5"/>
  <c r="E90" i="5"/>
  <c r="F90" i="5"/>
  <c r="G90" i="5"/>
  <c r="H90" i="5"/>
  <c r="I90" i="5"/>
  <c r="E91" i="5"/>
  <c r="F91" i="5"/>
  <c r="G91" i="5"/>
  <c r="H91" i="5"/>
  <c r="I91" i="5"/>
  <c r="E92" i="5"/>
  <c r="F92" i="5"/>
  <c r="G92" i="5"/>
  <c r="H92" i="5"/>
  <c r="I92" i="5"/>
  <c r="E93" i="5"/>
  <c r="F93" i="5"/>
  <c r="G93" i="5"/>
  <c r="H93" i="5"/>
  <c r="I93" i="5"/>
  <c r="E94" i="5"/>
  <c r="F94" i="5"/>
  <c r="G94" i="5"/>
  <c r="H94" i="5"/>
  <c r="I94" i="5"/>
  <c r="E95" i="5"/>
  <c r="F95" i="5"/>
  <c r="G95" i="5"/>
  <c r="H95" i="5"/>
  <c r="I95" i="5"/>
  <c r="E96" i="5"/>
  <c r="F96" i="5"/>
  <c r="G96" i="5"/>
  <c r="H96" i="5"/>
  <c r="I96" i="5"/>
  <c r="E97" i="5"/>
  <c r="F97" i="5"/>
  <c r="G97" i="5"/>
  <c r="H97" i="5"/>
  <c r="I97" i="5"/>
  <c r="E98" i="5"/>
  <c r="F98" i="5"/>
  <c r="G98" i="5"/>
  <c r="H98" i="5"/>
  <c r="I98" i="5"/>
  <c r="F79" i="5"/>
  <c r="G79" i="5"/>
  <c r="H79" i="5"/>
  <c r="I79" i="5"/>
  <c r="E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79" i="5"/>
  <c r="B80" i="5"/>
  <c r="D80" i="5" s="1" a="1"/>
  <c r="D80" i="5" s="1"/>
  <c r="B81" i="5"/>
  <c r="D81" i="5" s="1" a="1"/>
  <c r="D81" i="5" s="1"/>
  <c r="B82" i="5"/>
  <c r="D82" i="5" s="1" a="1"/>
  <c r="D82" i="5" s="1"/>
  <c r="B83" i="5"/>
  <c r="D83" i="5" s="1" a="1"/>
  <c r="D83" i="5" s="1"/>
  <c r="B84" i="5"/>
  <c r="D84" i="5" s="1" a="1"/>
  <c r="D84" i="5" s="1"/>
  <c r="B85" i="5"/>
  <c r="D85" i="5" s="1" a="1"/>
  <c r="D85" i="5" s="1"/>
  <c r="B86" i="5"/>
  <c r="D86" i="5" s="1" a="1"/>
  <c r="D86" i="5" s="1"/>
  <c r="B87" i="5"/>
  <c r="D87" i="5" s="1" a="1"/>
  <c r="D87" i="5" s="1"/>
  <c r="B88" i="5"/>
  <c r="D88" i="5" s="1" a="1"/>
  <c r="D88" i="5" s="1"/>
  <c r="B89" i="5"/>
  <c r="D89" i="5" s="1" a="1"/>
  <c r="D89" i="5" s="1"/>
  <c r="B90" i="5"/>
  <c r="D90" i="5" s="1" a="1"/>
  <c r="D90" i="5" s="1"/>
  <c r="B91" i="5"/>
  <c r="D91" i="5" s="1" a="1"/>
  <c r="D91" i="5" s="1"/>
  <c r="B92" i="5"/>
  <c r="D92" i="5" s="1" a="1"/>
  <c r="D92" i="5" s="1"/>
  <c r="B93" i="5"/>
  <c r="D93" i="5" s="1" a="1"/>
  <c r="D93" i="5" s="1"/>
  <c r="B94" i="5"/>
  <c r="D94" i="5" s="1" a="1"/>
  <c r="D94" i="5" s="1"/>
  <c r="B95" i="5"/>
  <c r="D95" i="5" s="1" a="1"/>
  <c r="D95" i="5" s="1"/>
  <c r="B96" i="5"/>
  <c r="D96" i="5" s="1" a="1"/>
  <c r="D96" i="5" s="1"/>
  <c r="B97" i="5"/>
  <c r="D97" i="5" s="1" a="1"/>
  <c r="D97" i="5" s="1"/>
  <c r="B98" i="5"/>
  <c r="D98" i="5" s="1" a="1"/>
  <c r="D98" i="5" s="1"/>
  <c r="B79" i="5"/>
  <c r="D79" i="5" s="1" a="1"/>
  <c r="D79" i="5" s="1"/>
  <c r="A96" i="5"/>
  <c r="A97" i="5"/>
  <c r="A98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80" i="5"/>
  <c r="A81" i="5"/>
  <c r="A79" i="5"/>
  <c r="T78" i="5"/>
  <c r="O25" i="1" l="1"/>
  <c r="O27" i="1"/>
  <c r="C28" i="1"/>
  <c r="C29" i="1"/>
  <c r="E28" i="1"/>
  <c r="E29" i="1"/>
  <c r="F28" i="1"/>
  <c r="F29" i="1"/>
  <c r="G28" i="1"/>
  <c r="G29" i="1"/>
  <c r="H28" i="1"/>
  <c r="H29" i="1"/>
  <c r="J28" i="1"/>
  <c r="J29" i="1"/>
  <c r="K28" i="1"/>
  <c r="K29" i="1"/>
  <c r="O28" i="1"/>
  <c r="O29" i="1"/>
  <c r="E78" i="5"/>
  <c r="D8" i="1" s="1"/>
  <c r="K78" i="5"/>
  <c r="J8" i="1" s="1"/>
  <c r="Q28" i="1"/>
  <c r="Q29" i="1"/>
  <c r="O20" i="1"/>
  <c r="O26" i="1"/>
  <c r="E27" i="1"/>
  <c r="D24" i="1"/>
  <c r="F20" i="1"/>
  <c r="L25" i="1"/>
  <c r="D25" i="1"/>
  <c r="I78" i="5"/>
  <c r="H8" i="1" s="1"/>
  <c r="N27" i="1"/>
  <c r="J78" i="5"/>
  <c r="Q24" i="1"/>
  <c r="R78" i="5"/>
  <c r="Q8" i="1" s="1"/>
  <c r="H20" i="1"/>
  <c r="P26" i="1"/>
  <c r="Q78" i="5"/>
  <c r="P78" i="5"/>
  <c r="G20" i="1"/>
  <c r="O78" i="5"/>
  <c r="N78" i="5"/>
  <c r="M78" i="5"/>
  <c r="N24" i="1"/>
  <c r="L78" i="5"/>
  <c r="K8" i="1" s="1"/>
  <c r="F163" i="5"/>
  <c r="E16" i="1" s="1"/>
  <c r="O119" i="5"/>
  <c r="N11" i="1" s="1"/>
  <c r="R163" i="5"/>
  <c r="Q16" i="1" s="1"/>
  <c r="K99" i="5"/>
  <c r="J9" i="1" s="1"/>
  <c r="R119" i="5"/>
  <c r="Q11" i="1" s="1"/>
  <c r="N163" i="5"/>
  <c r="M16" i="1" s="1"/>
  <c r="P24" i="1"/>
  <c r="P25" i="1"/>
  <c r="J26" i="1"/>
  <c r="D27" i="1"/>
  <c r="J27" i="1"/>
  <c r="Q26" i="1"/>
  <c r="H24" i="1"/>
  <c r="E26" i="1"/>
  <c r="Q27" i="1"/>
  <c r="C24" i="1"/>
  <c r="E24" i="1"/>
  <c r="J24" i="1"/>
  <c r="C23" i="1"/>
  <c r="H25" i="1"/>
  <c r="E20" i="1"/>
  <c r="Q21" i="1"/>
  <c r="M119" i="5"/>
  <c r="L12" i="1" s="1"/>
  <c r="L119" i="5"/>
  <c r="K11" i="1" s="1"/>
  <c r="C26" i="1"/>
  <c r="H26" i="1"/>
  <c r="N99" i="5"/>
  <c r="M9" i="1" s="1"/>
  <c r="C20" i="1"/>
  <c r="C25" i="1"/>
  <c r="H139" i="5"/>
  <c r="G14" i="1" s="1"/>
  <c r="D78" i="5"/>
  <c r="C8" i="1" s="1"/>
  <c r="G24" i="1"/>
  <c r="H78" i="5"/>
  <c r="G8" i="1" s="1"/>
  <c r="F24" i="1"/>
  <c r="G78" i="5"/>
  <c r="F8" i="1" s="1"/>
  <c r="E139" i="5"/>
  <c r="D14" i="1" s="1"/>
  <c r="Q139" i="5"/>
  <c r="P14" i="1" s="1"/>
  <c r="F25" i="1"/>
  <c r="F78" i="5"/>
  <c r="E8" i="1" s="1"/>
  <c r="F26" i="1"/>
  <c r="E163" i="5"/>
  <c r="D16" i="1" s="1"/>
  <c r="Q163" i="5"/>
  <c r="P16" i="1" s="1"/>
  <c r="J21" i="1"/>
  <c r="M25" i="1"/>
  <c r="G25" i="1"/>
  <c r="H163" i="5"/>
  <c r="G16" i="1" s="1"/>
  <c r="M26" i="1"/>
  <c r="G26" i="1"/>
  <c r="L139" i="5"/>
  <c r="K14" i="1" s="1"/>
  <c r="I163" i="5"/>
  <c r="H16" i="1" s="1"/>
  <c r="D139" i="5"/>
  <c r="C14" i="1" s="1"/>
  <c r="J163" i="5"/>
  <c r="I16" i="1" s="1"/>
  <c r="L24" i="1"/>
  <c r="F99" i="5"/>
  <c r="E10" i="1" s="1"/>
  <c r="I139" i="5"/>
  <c r="H14" i="1" s="1"/>
  <c r="K163" i="5"/>
  <c r="J16" i="1" s="1"/>
  <c r="G163" i="5"/>
  <c r="F16" i="1" s="1"/>
  <c r="J99" i="5"/>
  <c r="I9" i="1" s="1"/>
  <c r="H99" i="5"/>
  <c r="G9" i="1" s="1"/>
  <c r="P99" i="5"/>
  <c r="O9" i="1" s="1"/>
  <c r="O139" i="5"/>
  <c r="N14" i="1" s="1"/>
  <c r="L163" i="5"/>
  <c r="K16" i="1" s="1"/>
  <c r="E99" i="5"/>
  <c r="D10" i="1" s="1"/>
  <c r="R99" i="5"/>
  <c r="Q10" i="1" s="1"/>
  <c r="I99" i="5"/>
  <c r="H9" i="1" s="1"/>
  <c r="Q99" i="5"/>
  <c r="P9" i="1" s="1"/>
  <c r="G99" i="5"/>
  <c r="F10" i="1" s="1"/>
  <c r="O99" i="5"/>
  <c r="N9" i="1" s="1"/>
  <c r="M163" i="5"/>
  <c r="L16" i="1" s="1"/>
  <c r="K20" i="1"/>
  <c r="M99" i="5"/>
  <c r="L9" i="1" s="1"/>
  <c r="F139" i="5"/>
  <c r="E14" i="1" s="1"/>
  <c r="R139" i="5"/>
  <c r="Q14" i="1" s="1"/>
  <c r="O163" i="5"/>
  <c r="N16" i="1" s="1"/>
  <c r="L99" i="5"/>
  <c r="K10" i="1" s="1"/>
  <c r="G139" i="5"/>
  <c r="F14" i="1" s="1"/>
  <c r="P163" i="5"/>
  <c r="O16" i="1" s="1"/>
  <c r="J7" i="1"/>
  <c r="D120" i="5" a="1"/>
  <c r="D120" i="5" s="1"/>
  <c r="D119" i="5" s="1"/>
  <c r="J119" i="5"/>
  <c r="P119" i="5"/>
  <c r="R22" i="1"/>
  <c r="R23" i="1"/>
  <c r="J139" i="5"/>
  <c r="K139" i="5"/>
  <c r="M139" i="5"/>
  <c r="N139" i="5"/>
  <c r="P139" i="5"/>
  <c r="R178" i="5"/>
  <c r="Q19" i="1" s="1"/>
  <c r="Q178" i="5"/>
  <c r="P178" i="5"/>
  <c r="O19" i="1" s="1"/>
  <c r="O178" i="5"/>
  <c r="N178" i="5"/>
  <c r="M178" i="5"/>
  <c r="L178" i="5"/>
  <c r="K19" i="1" s="1"/>
  <c r="K178" i="5"/>
  <c r="J19" i="1" s="1"/>
  <c r="J178" i="5"/>
  <c r="I178" i="5"/>
  <c r="H19" i="1" s="1"/>
  <c r="H178" i="5"/>
  <c r="G19" i="1" s="1"/>
  <c r="G178" i="5"/>
  <c r="F19" i="1" s="1"/>
  <c r="F178" i="5"/>
  <c r="E19" i="1" s="1"/>
  <c r="E178" i="5"/>
  <c r="D19" i="1" s="1"/>
  <c r="D178" i="5"/>
  <c r="C19" i="1" s="1"/>
  <c r="L15" i="1"/>
  <c r="J15" i="1"/>
  <c r="F15" i="1"/>
  <c r="G119" i="5"/>
  <c r="I119" i="5"/>
  <c r="H119" i="5"/>
  <c r="F119" i="5"/>
  <c r="E119" i="5"/>
  <c r="N119" i="5"/>
  <c r="K119" i="5"/>
  <c r="F7" i="1"/>
  <c r="Q119" i="5"/>
  <c r="D7" i="1"/>
  <c r="K7" i="1"/>
  <c r="H7" i="1"/>
  <c r="N12" i="1" l="1"/>
  <c r="Q15" i="1"/>
  <c r="L11" i="1"/>
  <c r="F13" i="1"/>
  <c r="E15" i="1"/>
  <c r="Q7" i="1"/>
  <c r="D15" i="1"/>
  <c r="G15" i="1"/>
  <c r="E7" i="1"/>
  <c r="G7" i="1"/>
  <c r="H15" i="1"/>
  <c r="Q9" i="1"/>
  <c r="J10" i="1"/>
  <c r="E9" i="1"/>
  <c r="Q13" i="1"/>
  <c r="Q12" i="1"/>
  <c r="H13" i="1"/>
  <c r="F9" i="1"/>
  <c r="O8" i="1"/>
  <c r="O7" i="1"/>
  <c r="C7" i="1"/>
  <c r="O15" i="1"/>
  <c r="R26" i="1"/>
  <c r="M15" i="1"/>
  <c r="P15" i="1"/>
  <c r="R27" i="1"/>
  <c r="P10" i="1"/>
  <c r="K12" i="1"/>
  <c r="D13" i="1"/>
  <c r="D9" i="1"/>
  <c r="I15" i="1"/>
  <c r="C13" i="1"/>
  <c r="K9" i="1"/>
  <c r="M10" i="1"/>
  <c r="K15" i="1"/>
  <c r="N15" i="1"/>
  <c r="R24" i="1"/>
  <c r="R21" i="1"/>
  <c r="R25" i="1"/>
  <c r="R20" i="1"/>
  <c r="P13" i="1"/>
  <c r="I10" i="1"/>
  <c r="K13" i="1"/>
  <c r="N13" i="1"/>
  <c r="G13" i="1"/>
  <c r="R19" i="1"/>
  <c r="R8" i="1"/>
  <c r="L10" i="1"/>
  <c r="H10" i="1"/>
  <c r="N10" i="1"/>
  <c r="O10" i="1"/>
  <c r="G10" i="1"/>
  <c r="E13" i="1"/>
  <c r="R16" i="1"/>
  <c r="O13" i="1"/>
  <c r="O14" i="1"/>
  <c r="M13" i="1"/>
  <c r="M14" i="1"/>
  <c r="L13" i="1"/>
  <c r="L14" i="1"/>
  <c r="J13" i="1"/>
  <c r="J14" i="1"/>
  <c r="I13" i="1"/>
  <c r="I14" i="1"/>
  <c r="C17" i="1"/>
  <c r="C18" i="1"/>
  <c r="D17" i="1"/>
  <c r="D18" i="1"/>
  <c r="E17" i="1"/>
  <c r="E18" i="1"/>
  <c r="F17" i="1"/>
  <c r="F18" i="1"/>
  <c r="G17" i="1"/>
  <c r="G18" i="1"/>
  <c r="H17" i="1"/>
  <c r="H18" i="1"/>
  <c r="J17" i="1"/>
  <c r="J18" i="1"/>
  <c r="K17" i="1"/>
  <c r="K18" i="1"/>
  <c r="O17" i="1"/>
  <c r="O18" i="1"/>
  <c r="Q17" i="1"/>
  <c r="Q18" i="1"/>
  <c r="P11" i="1"/>
  <c r="P12" i="1"/>
  <c r="J11" i="1"/>
  <c r="J12" i="1"/>
  <c r="M11" i="1"/>
  <c r="M12" i="1"/>
  <c r="O11" i="1"/>
  <c r="O12" i="1"/>
  <c r="I11" i="1"/>
  <c r="I12" i="1"/>
  <c r="C11" i="1"/>
  <c r="C12" i="1"/>
  <c r="D11" i="1"/>
  <c r="D12" i="1"/>
  <c r="E11" i="1"/>
  <c r="E12" i="1"/>
  <c r="G11" i="1"/>
  <c r="G12" i="1"/>
  <c r="H11" i="1"/>
  <c r="H12" i="1"/>
  <c r="F11" i="1"/>
  <c r="F12" i="1"/>
  <c r="R7" i="1"/>
  <c r="B116" i="5"/>
  <c r="D116" i="5" s="1" a="1"/>
  <c r="D116" i="5" s="1"/>
  <c r="D99" i="5" s="1"/>
  <c r="R9" i="1" l="1"/>
  <c r="R15" i="1"/>
  <c r="R10" i="1"/>
  <c r="R12" i="1"/>
  <c r="R11" i="1"/>
  <c r="R14" i="1"/>
  <c r="R13" i="1"/>
  <c r="R18" i="1"/>
  <c r="R17" i="1"/>
  <c r="C9" i="1"/>
  <c r="C10" i="1"/>
  <c r="J4" i="5"/>
  <c r="K4" i="5"/>
  <c r="L4" i="5"/>
  <c r="M4" i="5"/>
  <c r="N4" i="5"/>
  <c r="O4" i="5"/>
  <c r="P4" i="5"/>
  <c r="Q4" i="5"/>
  <c r="R4" i="5"/>
  <c r="J5" i="5"/>
  <c r="K5" i="5"/>
  <c r="L5" i="5"/>
  <c r="M5" i="5"/>
  <c r="N5" i="5"/>
  <c r="O5" i="5"/>
  <c r="P5" i="5"/>
  <c r="Q5" i="5"/>
  <c r="R5" i="5"/>
  <c r="J6" i="5"/>
  <c r="K6" i="5"/>
  <c r="L6" i="5"/>
  <c r="M6" i="5"/>
  <c r="N6" i="5"/>
  <c r="O6" i="5"/>
  <c r="P6" i="5"/>
  <c r="Q6" i="5"/>
  <c r="R6" i="5"/>
  <c r="J7" i="5"/>
  <c r="K7" i="5"/>
  <c r="L7" i="5"/>
  <c r="M7" i="5"/>
  <c r="N7" i="5"/>
  <c r="O7" i="5"/>
  <c r="P7" i="5"/>
  <c r="Q7" i="5"/>
  <c r="R7" i="5"/>
  <c r="J8" i="5"/>
  <c r="K8" i="5"/>
  <c r="L8" i="5"/>
  <c r="M8" i="5"/>
  <c r="N8" i="5"/>
  <c r="O8" i="5"/>
  <c r="P8" i="5"/>
  <c r="Q8" i="5"/>
  <c r="R8" i="5"/>
  <c r="J9" i="5"/>
  <c r="K9" i="5"/>
  <c r="L9" i="5"/>
  <c r="M9" i="5"/>
  <c r="N9" i="5"/>
  <c r="O9" i="5"/>
  <c r="P9" i="5"/>
  <c r="Q9" i="5"/>
  <c r="R9" i="5"/>
  <c r="J10" i="5"/>
  <c r="K10" i="5"/>
  <c r="L10" i="5"/>
  <c r="M10" i="5"/>
  <c r="N10" i="5"/>
  <c r="O10" i="5"/>
  <c r="P10" i="5"/>
  <c r="Q10" i="5"/>
  <c r="R10" i="5"/>
  <c r="J11" i="5"/>
  <c r="K11" i="5"/>
  <c r="L11" i="5"/>
  <c r="M11" i="5"/>
  <c r="N11" i="5"/>
  <c r="O11" i="5"/>
  <c r="P11" i="5"/>
  <c r="Q11" i="5"/>
  <c r="R11" i="5"/>
  <c r="J12" i="5"/>
  <c r="K12" i="5"/>
  <c r="L12" i="5"/>
  <c r="M12" i="5"/>
  <c r="N12" i="5"/>
  <c r="O12" i="5"/>
  <c r="P12" i="5"/>
  <c r="Q12" i="5"/>
  <c r="R12" i="5"/>
  <c r="J13" i="5"/>
  <c r="K13" i="5"/>
  <c r="L13" i="5"/>
  <c r="M13" i="5"/>
  <c r="N13" i="5"/>
  <c r="O13" i="5"/>
  <c r="P13" i="5"/>
  <c r="Q13" i="5"/>
  <c r="R13" i="5"/>
  <c r="J14" i="5"/>
  <c r="K14" i="5"/>
  <c r="L14" i="5"/>
  <c r="M14" i="5"/>
  <c r="N14" i="5"/>
  <c r="O14" i="5"/>
  <c r="P14" i="5"/>
  <c r="Q14" i="5"/>
  <c r="R14" i="5"/>
  <c r="J15" i="5"/>
  <c r="K15" i="5"/>
  <c r="L15" i="5"/>
  <c r="M15" i="5"/>
  <c r="N15" i="5"/>
  <c r="O15" i="5"/>
  <c r="P15" i="5"/>
  <c r="Q15" i="5"/>
  <c r="R15" i="5"/>
  <c r="J16" i="5"/>
  <c r="K16" i="5"/>
  <c r="L16" i="5"/>
  <c r="M16" i="5"/>
  <c r="N16" i="5"/>
  <c r="O16" i="5"/>
  <c r="P16" i="5"/>
  <c r="Q16" i="5"/>
  <c r="R16" i="5"/>
  <c r="J17" i="5"/>
  <c r="K17" i="5"/>
  <c r="L17" i="5"/>
  <c r="M17" i="5"/>
  <c r="N17" i="5"/>
  <c r="O17" i="5"/>
  <c r="P17" i="5"/>
  <c r="Q17" i="5"/>
  <c r="R17" i="5"/>
  <c r="J18" i="5"/>
  <c r="K18" i="5"/>
  <c r="L18" i="5"/>
  <c r="M18" i="5"/>
  <c r="N18" i="5"/>
  <c r="O18" i="5"/>
  <c r="P18" i="5"/>
  <c r="Q18" i="5"/>
  <c r="R18" i="5"/>
  <c r="J19" i="5"/>
  <c r="K19" i="5"/>
  <c r="L19" i="5"/>
  <c r="M19" i="5"/>
  <c r="N19" i="5"/>
  <c r="O19" i="5"/>
  <c r="P19" i="5"/>
  <c r="Q19" i="5"/>
  <c r="R19" i="5"/>
  <c r="J20" i="5"/>
  <c r="K20" i="5"/>
  <c r="L20" i="5"/>
  <c r="M20" i="5"/>
  <c r="N20" i="5"/>
  <c r="O20" i="5"/>
  <c r="P20" i="5"/>
  <c r="Q20" i="5"/>
  <c r="R20" i="5"/>
  <c r="J21" i="5"/>
  <c r="K21" i="5"/>
  <c r="L21" i="5"/>
  <c r="M21" i="5"/>
  <c r="N21" i="5"/>
  <c r="O21" i="5"/>
  <c r="P21" i="5"/>
  <c r="Q21" i="5"/>
  <c r="R21" i="5"/>
  <c r="J22" i="5"/>
  <c r="K22" i="5"/>
  <c r="L22" i="5"/>
  <c r="M22" i="5"/>
  <c r="N22" i="5"/>
  <c r="O22" i="5"/>
  <c r="P22" i="5"/>
  <c r="Q22" i="5"/>
  <c r="R22" i="5"/>
  <c r="J23" i="5"/>
  <c r="K23" i="5"/>
  <c r="L23" i="5"/>
  <c r="M23" i="5"/>
  <c r="N23" i="5"/>
  <c r="O23" i="5"/>
  <c r="P23" i="5"/>
  <c r="Q23" i="5"/>
  <c r="R23" i="5"/>
  <c r="J24" i="5"/>
  <c r="K24" i="5"/>
  <c r="L24" i="5"/>
  <c r="M24" i="5"/>
  <c r="N24" i="5"/>
  <c r="O24" i="5"/>
  <c r="P24" i="5"/>
  <c r="Q24" i="5"/>
  <c r="R24" i="5"/>
  <c r="J25" i="5"/>
  <c r="K25" i="5"/>
  <c r="L25" i="5"/>
  <c r="M25" i="5"/>
  <c r="N25" i="5"/>
  <c r="O25" i="5"/>
  <c r="P25" i="5"/>
  <c r="Q25" i="5"/>
  <c r="R25" i="5"/>
  <c r="J26" i="5"/>
  <c r="K26" i="5"/>
  <c r="L26" i="5"/>
  <c r="M26" i="5"/>
  <c r="N26" i="5"/>
  <c r="O26" i="5"/>
  <c r="P26" i="5"/>
  <c r="Q26" i="5"/>
  <c r="R26" i="5"/>
  <c r="J27" i="5"/>
  <c r="K27" i="5"/>
  <c r="L27" i="5"/>
  <c r="M27" i="5"/>
  <c r="N27" i="5"/>
  <c r="O27" i="5"/>
  <c r="P27" i="5"/>
  <c r="Q27" i="5"/>
  <c r="R27" i="5"/>
  <c r="J28" i="5"/>
  <c r="K28" i="5"/>
  <c r="L28" i="5"/>
  <c r="M28" i="5"/>
  <c r="N28" i="5"/>
  <c r="O28" i="5"/>
  <c r="P28" i="5"/>
  <c r="Q28" i="5"/>
  <c r="R28" i="5"/>
  <c r="J29" i="5"/>
  <c r="K29" i="5"/>
  <c r="L29" i="5"/>
  <c r="M29" i="5"/>
  <c r="N29" i="5"/>
  <c r="O29" i="5"/>
  <c r="P29" i="5"/>
  <c r="Q29" i="5"/>
  <c r="R29" i="5"/>
  <c r="J30" i="5"/>
  <c r="K30" i="5"/>
  <c r="L30" i="5"/>
  <c r="M30" i="5"/>
  <c r="N30" i="5"/>
  <c r="O30" i="5"/>
  <c r="P30" i="5"/>
  <c r="Q30" i="5"/>
  <c r="R30" i="5"/>
  <c r="J31" i="5"/>
  <c r="K31" i="5"/>
  <c r="L31" i="5"/>
  <c r="M31" i="5"/>
  <c r="N31" i="5"/>
  <c r="O31" i="5"/>
  <c r="P31" i="5"/>
  <c r="Q31" i="5"/>
  <c r="R31" i="5"/>
  <c r="K3" i="5"/>
  <c r="L3" i="5"/>
  <c r="M3" i="5"/>
  <c r="N3" i="5"/>
  <c r="O3" i="5"/>
  <c r="P3" i="5"/>
  <c r="Q3" i="5"/>
  <c r="R3" i="5"/>
  <c r="J3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F3" i="5"/>
  <c r="G3" i="5"/>
  <c r="H3" i="5"/>
  <c r="I3" i="5"/>
  <c r="E3" i="5"/>
  <c r="B5" i="1"/>
  <c r="A5" i="1"/>
  <c r="J34" i="5"/>
  <c r="K34" i="5"/>
  <c r="L34" i="5"/>
  <c r="M34" i="5"/>
  <c r="N34" i="5"/>
  <c r="O34" i="5"/>
  <c r="P34" i="5"/>
  <c r="Q34" i="5"/>
  <c r="R34" i="5"/>
  <c r="J35" i="5"/>
  <c r="K35" i="5"/>
  <c r="L35" i="5"/>
  <c r="M35" i="5"/>
  <c r="N35" i="5"/>
  <c r="O35" i="5"/>
  <c r="P35" i="5"/>
  <c r="Q35" i="5"/>
  <c r="R35" i="5"/>
  <c r="J36" i="5"/>
  <c r="K36" i="5"/>
  <c r="L36" i="5"/>
  <c r="M36" i="5"/>
  <c r="N36" i="5"/>
  <c r="O36" i="5"/>
  <c r="P36" i="5"/>
  <c r="Q36" i="5"/>
  <c r="R36" i="5"/>
  <c r="J37" i="5"/>
  <c r="K37" i="5"/>
  <c r="L37" i="5"/>
  <c r="M37" i="5"/>
  <c r="N37" i="5"/>
  <c r="O37" i="5"/>
  <c r="P37" i="5"/>
  <c r="Q37" i="5"/>
  <c r="R37" i="5"/>
  <c r="J38" i="5"/>
  <c r="K38" i="5"/>
  <c r="L38" i="5"/>
  <c r="M38" i="5"/>
  <c r="N38" i="5"/>
  <c r="O38" i="5"/>
  <c r="P38" i="5"/>
  <c r="Q38" i="5"/>
  <c r="R38" i="5"/>
  <c r="J39" i="5"/>
  <c r="K39" i="5"/>
  <c r="L39" i="5"/>
  <c r="M39" i="5"/>
  <c r="N39" i="5"/>
  <c r="O39" i="5"/>
  <c r="P39" i="5"/>
  <c r="Q39" i="5"/>
  <c r="R39" i="5"/>
  <c r="J40" i="5"/>
  <c r="K40" i="5"/>
  <c r="L40" i="5"/>
  <c r="M40" i="5"/>
  <c r="N40" i="5"/>
  <c r="O40" i="5"/>
  <c r="P40" i="5"/>
  <c r="Q40" i="5"/>
  <c r="R40" i="5"/>
  <c r="J41" i="5"/>
  <c r="K41" i="5"/>
  <c r="L41" i="5"/>
  <c r="M41" i="5"/>
  <c r="N41" i="5"/>
  <c r="O41" i="5"/>
  <c r="P41" i="5"/>
  <c r="Q41" i="5"/>
  <c r="R41" i="5"/>
  <c r="J42" i="5"/>
  <c r="K42" i="5"/>
  <c r="L42" i="5"/>
  <c r="M42" i="5"/>
  <c r="N42" i="5"/>
  <c r="O42" i="5"/>
  <c r="P42" i="5"/>
  <c r="Q42" i="5"/>
  <c r="R42" i="5"/>
  <c r="J43" i="5"/>
  <c r="K43" i="5"/>
  <c r="L43" i="5"/>
  <c r="M43" i="5"/>
  <c r="N43" i="5"/>
  <c r="O43" i="5"/>
  <c r="P43" i="5"/>
  <c r="Q43" i="5"/>
  <c r="R43" i="5"/>
  <c r="J44" i="5"/>
  <c r="K44" i="5"/>
  <c r="L44" i="5"/>
  <c r="M44" i="5"/>
  <c r="N44" i="5"/>
  <c r="O44" i="5"/>
  <c r="P44" i="5"/>
  <c r="Q44" i="5"/>
  <c r="R44" i="5"/>
  <c r="J45" i="5"/>
  <c r="K45" i="5"/>
  <c r="L45" i="5"/>
  <c r="M45" i="5"/>
  <c r="N45" i="5"/>
  <c r="O45" i="5"/>
  <c r="P45" i="5"/>
  <c r="Q45" i="5"/>
  <c r="R45" i="5"/>
  <c r="J46" i="5"/>
  <c r="K46" i="5"/>
  <c r="L46" i="5"/>
  <c r="M46" i="5"/>
  <c r="N46" i="5"/>
  <c r="O46" i="5"/>
  <c r="P46" i="5"/>
  <c r="Q46" i="5"/>
  <c r="R46" i="5"/>
  <c r="J47" i="5"/>
  <c r="K47" i="5"/>
  <c r="L47" i="5"/>
  <c r="M47" i="5"/>
  <c r="N47" i="5"/>
  <c r="O47" i="5"/>
  <c r="P47" i="5"/>
  <c r="Q47" i="5"/>
  <c r="R47" i="5"/>
  <c r="J48" i="5"/>
  <c r="K48" i="5"/>
  <c r="L48" i="5"/>
  <c r="M48" i="5"/>
  <c r="N48" i="5"/>
  <c r="O48" i="5"/>
  <c r="P48" i="5"/>
  <c r="Q48" i="5"/>
  <c r="R48" i="5"/>
  <c r="J49" i="5"/>
  <c r="K49" i="5"/>
  <c r="L49" i="5"/>
  <c r="M49" i="5"/>
  <c r="N49" i="5"/>
  <c r="O49" i="5"/>
  <c r="P49" i="5"/>
  <c r="Q49" i="5"/>
  <c r="R49" i="5"/>
  <c r="J50" i="5"/>
  <c r="K50" i="5"/>
  <c r="L50" i="5"/>
  <c r="M50" i="5"/>
  <c r="N50" i="5"/>
  <c r="O50" i="5"/>
  <c r="P50" i="5"/>
  <c r="Q50" i="5"/>
  <c r="R50" i="5"/>
  <c r="J51" i="5"/>
  <c r="K51" i="5"/>
  <c r="L51" i="5"/>
  <c r="M51" i="5"/>
  <c r="N51" i="5"/>
  <c r="O51" i="5"/>
  <c r="P51" i="5"/>
  <c r="Q51" i="5"/>
  <c r="R51" i="5"/>
  <c r="J52" i="5"/>
  <c r="K52" i="5"/>
  <c r="L52" i="5"/>
  <c r="M52" i="5"/>
  <c r="N52" i="5"/>
  <c r="O52" i="5"/>
  <c r="P52" i="5"/>
  <c r="Q52" i="5"/>
  <c r="R52" i="5"/>
  <c r="J53" i="5"/>
  <c r="K53" i="5"/>
  <c r="L53" i="5"/>
  <c r="M53" i="5"/>
  <c r="N53" i="5"/>
  <c r="O53" i="5"/>
  <c r="P53" i="5"/>
  <c r="Q53" i="5"/>
  <c r="R53" i="5"/>
  <c r="J54" i="5"/>
  <c r="K54" i="5"/>
  <c r="L54" i="5"/>
  <c r="M54" i="5"/>
  <c r="N54" i="5"/>
  <c r="O54" i="5"/>
  <c r="P54" i="5"/>
  <c r="Q54" i="5"/>
  <c r="R54" i="5"/>
  <c r="J55" i="5"/>
  <c r="K55" i="5"/>
  <c r="L55" i="5"/>
  <c r="M55" i="5"/>
  <c r="N55" i="5"/>
  <c r="O55" i="5"/>
  <c r="P55" i="5"/>
  <c r="Q55" i="5"/>
  <c r="R55" i="5"/>
  <c r="J56" i="5"/>
  <c r="K56" i="5"/>
  <c r="L56" i="5"/>
  <c r="M56" i="5"/>
  <c r="N56" i="5"/>
  <c r="O56" i="5"/>
  <c r="P56" i="5"/>
  <c r="Q56" i="5"/>
  <c r="R56" i="5"/>
  <c r="J57" i="5"/>
  <c r="K57" i="5"/>
  <c r="L57" i="5"/>
  <c r="M57" i="5"/>
  <c r="N57" i="5"/>
  <c r="O57" i="5"/>
  <c r="P57" i="5"/>
  <c r="Q57" i="5"/>
  <c r="R57" i="5"/>
  <c r="J58" i="5"/>
  <c r="K58" i="5"/>
  <c r="L58" i="5"/>
  <c r="M58" i="5"/>
  <c r="N58" i="5"/>
  <c r="O58" i="5"/>
  <c r="P58" i="5"/>
  <c r="Q58" i="5"/>
  <c r="R58" i="5"/>
  <c r="J59" i="5"/>
  <c r="K59" i="5"/>
  <c r="L59" i="5"/>
  <c r="M59" i="5"/>
  <c r="N59" i="5"/>
  <c r="O59" i="5"/>
  <c r="P59" i="5"/>
  <c r="Q59" i="5"/>
  <c r="R59" i="5"/>
  <c r="J60" i="5"/>
  <c r="K60" i="5"/>
  <c r="L60" i="5"/>
  <c r="M60" i="5"/>
  <c r="N60" i="5"/>
  <c r="O60" i="5"/>
  <c r="P60" i="5"/>
  <c r="Q60" i="5"/>
  <c r="R60" i="5"/>
  <c r="J61" i="5"/>
  <c r="K61" i="5"/>
  <c r="L61" i="5"/>
  <c r="M61" i="5"/>
  <c r="N61" i="5"/>
  <c r="O61" i="5"/>
  <c r="P61" i="5"/>
  <c r="Q61" i="5"/>
  <c r="R61" i="5"/>
  <c r="J62" i="5"/>
  <c r="K62" i="5"/>
  <c r="L62" i="5"/>
  <c r="M62" i="5"/>
  <c r="N62" i="5"/>
  <c r="O62" i="5"/>
  <c r="P62" i="5"/>
  <c r="Q62" i="5"/>
  <c r="R62" i="5"/>
  <c r="J63" i="5"/>
  <c r="K63" i="5"/>
  <c r="L63" i="5"/>
  <c r="M63" i="5"/>
  <c r="N63" i="5"/>
  <c r="O63" i="5"/>
  <c r="P63" i="5"/>
  <c r="Q63" i="5"/>
  <c r="R63" i="5"/>
  <c r="J64" i="5"/>
  <c r="K64" i="5"/>
  <c r="L64" i="5"/>
  <c r="M64" i="5"/>
  <c r="N64" i="5"/>
  <c r="O64" i="5"/>
  <c r="P64" i="5"/>
  <c r="Q64" i="5"/>
  <c r="R64" i="5"/>
  <c r="J65" i="5"/>
  <c r="K65" i="5"/>
  <c r="L65" i="5"/>
  <c r="M65" i="5"/>
  <c r="N65" i="5"/>
  <c r="O65" i="5"/>
  <c r="P65" i="5"/>
  <c r="Q65" i="5"/>
  <c r="R65" i="5"/>
  <c r="J66" i="5"/>
  <c r="K66" i="5"/>
  <c r="L66" i="5"/>
  <c r="M66" i="5"/>
  <c r="N66" i="5"/>
  <c r="O66" i="5"/>
  <c r="P66" i="5"/>
  <c r="Q66" i="5"/>
  <c r="R66" i="5"/>
  <c r="J67" i="5"/>
  <c r="K67" i="5"/>
  <c r="L67" i="5"/>
  <c r="M67" i="5"/>
  <c r="N67" i="5"/>
  <c r="O67" i="5"/>
  <c r="P67" i="5"/>
  <c r="Q67" i="5"/>
  <c r="R67" i="5"/>
  <c r="J68" i="5"/>
  <c r="K68" i="5"/>
  <c r="L68" i="5"/>
  <c r="M68" i="5"/>
  <c r="N68" i="5"/>
  <c r="O68" i="5"/>
  <c r="P68" i="5"/>
  <c r="Q68" i="5"/>
  <c r="R68" i="5"/>
  <c r="J69" i="5"/>
  <c r="K69" i="5"/>
  <c r="L69" i="5"/>
  <c r="M69" i="5"/>
  <c r="N69" i="5"/>
  <c r="O69" i="5"/>
  <c r="P69" i="5"/>
  <c r="Q69" i="5"/>
  <c r="R69" i="5"/>
  <c r="J70" i="5"/>
  <c r="K70" i="5"/>
  <c r="L70" i="5"/>
  <c r="M70" i="5"/>
  <c r="N70" i="5"/>
  <c r="O70" i="5"/>
  <c r="P70" i="5"/>
  <c r="Q70" i="5"/>
  <c r="R70" i="5"/>
  <c r="J71" i="5"/>
  <c r="K71" i="5"/>
  <c r="L71" i="5"/>
  <c r="M71" i="5"/>
  <c r="N71" i="5"/>
  <c r="O71" i="5"/>
  <c r="P71" i="5"/>
  <c r="Q71" i="5"/>
  <c r="R71" i="5"/>
  <c r="J72" i="5"/>
  <c r="K72" i="5"/>
  <c r="L72" i="5"/>
  <c r="M72" i="5"/>
  <c r="N72" i="5"/>
  <c r="O72" i="5"/>
  <c r="P72" i="5"/>
  <c r="Q72" i="5"/>
  <c r="R72" i="5"/>
  <c r="J73" i="5"/>
  <c r="K73" i="5"/>
  <c r="L73" i="5"/>
  <c r="M73" i="5"/>
  <c r="N73" i="5"/>
  <c r="O73" i="5"/>
  <c r="P73" i="5"/>
  <c r="Q73" i="5"/>
  <c r="R73" i="5"/>
  <c r="J74" i="5"/>
  <c r="K74" i="5"/>
  <c r="L74" i="5"/>
  <c r="M74" i="5"/>
  <c r="N74" i="5"/>
  <c r="O74" i="5"/>
  <c r="P74" i="5"/>
  <c r="Q74" i="5"/>
  <c r="R74" i="5"/>
  <c r="J75" i="5"/>
  <c r="K75" i="5"/>
  <c r="L75" i="5"/>
  <c r="M75" i="5"/>
  <c r="N75" i="5"/>
  <c r="O75" i="5"/>
  <c r="P75" i="5"/>
  <c r="Q75" i="5"/>
  <c r="R75" i="5"/>
  <c r="J76" i="5"/>
  <c r="K76" i="5"/>
  <c r="L76" i="5"/>
  <c r="M76" i="5"/>
  <c r="N76" i="5"/>
  <c r="O76" i="5"/>
  <c r="P76" i="5"/>
  <c r="Q76" i="5"/>
  <c r="R76" i="5"/>
  <c r="J77" i="5"/>
  <c r="K77" i="5"/>
  <c r="L77" i="5"/>
  <c r="M77" i="5"/>
  <c r="N77" i="5"/>
  <c r="O77" i="5"/>
  <c r="P77" i="5"/>
  <c r="Q77" i="5"/>
  <c r="R77" i="5"/>
  <c r="K33" i="5"/>
  <c r="L33" i="5"/>
  <c r="M33" i="5"/>
  <c r="N33" i="5"/>
  <c r="O33" i="5"/>
  <c r="P33" i="5"/>
  <c r="Q33" i="5"/>
  <c r="R33" i="5"/>
  <c r="J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I50" i="5"/>
  <c r="E51" i="5"/>
  <c r="F51" i="5"/>
  <c r="G51" i="5"/>
  <c r="H51" i="5"/>
  <c r="I51" i="5"/>
  <c r="E52" i="5"/>
  <c r="F52" i="5"/>
  <c r="G52" i="5"/>
  <c r="H52" i="5"/>
  <c r="I52" i="5"/>
  <c r="E53" i="5"/>
  <c r="F53" i="5"/>
  <c r="G53" i="5"/>
  <c r="H53" i="5"/>
  <c r="I53" i="5"/>
  <c r="E54" i="5"/>
  <c r="F54" i="5"/>
  <c r="G54" i="5"/>
  <c r="H54" i="5"/>
  <c r="I54" i="5"/>
  <c r="E55" i="5"/>
  <c r="F55" i="5"/>
  <c r="G55" i="5"/>
  <c r="H55" i="5"/>
  <c r="I55" i="5"/>
  <c r="E56" i="5"/>
  <c r="F56" i="5"/>
  <c r="G56" i="5"/>
  <c r="H56" i="5"/>
  <c r="I56" i="5"/>
  <c r="E57" i="5"/>
  <c r="F57" i="5"/>
  <c r="G57" i="5"/>
  <c r="H57" i="5"/>
  <c r="I57" i="5"/>
  <c r="E58" i="5"/>
  <c r="F58" i="5"/>
  <c r="G58" i="5"/>
  <c r="H58" i="5"/>
  <c r="I58" i="5"/>
  <c r="E59" i="5"/>
  <c r="F59" i="5"/>
  <c r="G59" i="5"/>
  <c r="H59" i="5"/>
  <c r="I59" i="5"/>
  <c r="E60" i="5"/>
  <c r="F60" i="5"/>
  <c r="G60" i="5"/>
  <c r="H60" i="5"/>
  <c r="I60" i="5"/>
  <c r="E61" i="5"/>
  <c r="F61" i="5"/>
  <c r="G61" i="5"/>
  <c r="H61" i="5"/>
  <c r="I61" i="5"/>
  <c r="E62" i="5"/>
  <c r="F62" i="5"/>
  <c r="G62" i="5"/>
  <c r="H62" i="5"/>
  <c r="I62" i="5"/>
  <c r="E63" i="5"/>
  <c r="F63" i="5"/>
  <c r="G63" i="5"/>
  <c r="H63" i="5"/>
  <c r="I63" i="5"/>
  <c r="E64" i="5"/>
  <c r="F64" i="5"/>
  <c r="G64" i="5"/>
  <c r="H64" i="5"/>
  <c r="I64" i="5"/>
  <c r="E65" i="5"/>
  <c r="F65" i="5"/>
  <c r="G65" i="5"/>
  <c r="H65" i="5"/>
  <c r="I65" i="5"/>
  <c r="E66" i="5"/>
  <c r="F66" i="5"/>
  <c r="G66" i="5"/>
  <c r="H66" i="5"/>
  <c r="I66" i="5"/>
  <c r="E67" i="5"/>
  <c r="F67" i="5"/>
  <c r="G67" i="5"/>
  <c r="H67" i="5"/>
  <c r="I67" i="5"/>
  <c r="E68" i="5"/>
  <c r="F68" i="5"/>
  <c r="G68" i="5"/>
  <c r="H68" i="5"/>
  <c r="I68" i="5"/>
  <c r="E69" i="5"/>
  <c r="F69" i="5"/>
  <c r="G69" i="5"/>
  <c r="H69" i="5"/>
  <c r="I69" i="5"/>
  <c r="E70" i="5"/>
  <c r="F70" i="5"/>
  <c r="G70" i="5"/>
  <c r="H70" i="5"/>
  <c r="I70" i="5"/>
  <c r="E71" i="5"/>
  <c r="F71" i="5"/>
  <c r="G71" i="5"/>
  <c r="H71" i="5"/>
  <c r="I71" i="5"/>
  <c r="E72" i="5"/>
  <c r="F72" i="5"/>
  <c r="G72" i="5"/>
  <c r="H72" i="5"/>
  <c r="I72" i="5"/>
  <c r="E73" i="5"/>
  <c r="F73" i="5"/>
  <c r="G73" i="5"/>
  <c r="H73" i="5"/>
  <c r="I73" i="5"/>
  <c r="E74" i="5"/>
  <c r="F74" i="5"/>
  <c r="G74" i="5"/>
  <c r="H74" i="5"/>
  <c r="I74" i="5"/>
  <c r="E75" i="5"/>
  <c r="F75" i="5"/>
  <c r="G75" i="5"/>
  <c r="H75" i="5"/>
  <c r="I75" i="5"/>
  <c r="E76" i="5"/>
  <c r="F76" i="5"/>
  <c r="G76" i="5"/>
  <c r="H76" i="5"/>
  <c r="I76" i="5"/>
  <c r="E77" i="5"/>
  <c r="F77" i="5"/>
  <c r="G77" i="5"/>
  <c r="H77" i="5"/>
  <c r="I77" i="5"/>
  <c r="F33" i="5"/>
  <c r="G33" i="5"/>
  <c r="H33" i="5"/>
  <c r="I33" i="5"/>
  <c r="E33" i="5"/>
  <c r="S32" i="5"/>
  <c r="T32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33" i="5"/>
  <c r="B34" i="5"/>
  <c r="D34" i="5" s="1" a="1"/>
  <c r="D34" i="5" s="1"/>
  <c r="B35" i="5"/>
  <c r="D35" i="5" s="1" a="1"/>
  <c r="D35" i="5" s="1"/>
  <c r="B36" i="5"/>
  <c r="D36" i="5" s="1" a="1"/>
  <c r="D36" i="5" s="1"/>
  <c r="B37" i="5"/>
  <c r="D37" i="5" s="1" a="1"/>
  <c r="D37" i="5" s="1"/>
  <c r="B38" i="5"/>
  <c r="D38" i="5" s="1" a="1"/>
  <c r="D38" i="5" s="1"/>
  <c r="B39" i="5"/>
  <c r="D39" i="5" s="1" a="1"/>
  <c r="D39" i="5" s="1"/>
  <c r="B40" i="5"/>
  <c r="D40" i="5" s="1" a="1"/>
  <c r="D40" i="5" s="1"/>
  <c r="B41" i="5"/>
  <c r="D41" i="5" s="1" a="1"/>
  <c r="D41" i="5" s="1"/>
  <c r="B42" i="5"/>
  <c r="D42" i="5" s="1" a="1"/>
  <c r="D42" i="5" s="1"/>
  <c r="B43" i="5"/>
  <c r="D43" i="5" s="1" a="1"/>
  <c r="D43" i="5" s="1"/>
  <c r="B44" i="5"/>
  <c r="D44" i="5" s="1" a="1"/>
  <c r="D44" i="5" s="1"/>
  <c r="B45" i="5"/>
  <c r="D45" i="5" s="1" a="1"/>
  <c r="D45" i="5" s="1"/>
  <c r="B46" i="5"/>
  <c r="D46" i="5" s="1" a="1"/>
  <c r="D46" i="5" s="1"/>
  <c r="B47" i="5"/>
  <c r="D47" i="5" s="1" a="1"/>
  <c r="D47" i="5" s="1"/>
  <c r="B48" i="5"/>
  <c r="D48" i="5" s="1" a="1"/>
  <c r="D48" i="5" s="1"/>
  <c r="B49" i="5"/>
  <c r="D49" i="5" s="1" a="1"/>
  <c r="D49" i="5" s="1"/>
  <c r="B50" i="5"/>
  <c r="D50" i="5" s="1" a="1"/>
  <c r="D50" i="5" s="1"/>
  <c r="B51" i="5"/>
  <c r="D51" i="5" s="1" a="1"/>
  <c r="D51" i="5" s="1"/>
  <c r="B52" i="5"/>
  <c r="D52" i="5" s="1" a="1"/>
  <c r="D52" i="5" s="1"/>
  <c r="B53" i="5"/>
  <c r="D53" i="5" s="1" a="1"/>
  <c r="D53" i="5" s="1"/>
  <c r="B54" i="5"/>
  <c r="D54" i="5" s="1" a="1"/>
  <c r="D54" i="5" s="1"/>
  <c r="B55" i="5"/>
  <c r="D55" i="5" s="1" a="1"/>
  <c r="D55" i="5" s="1"/>
  <c r="B56" i="5"/>
  <c r="D56" i="5" s="1" a="1"/>
  <c r="D56" i="5" s="1"/>
  <c r="B57" i="5"/>
  <c r="D57" i="5" s="1" a="1"/>
  <c r="D57" i="5" s="1"/>
  <c r="B58" i="5"/>
  <c r="D58" i="5" s="1" a="1"/>
  <c r="D58" i="5" s="1"/>
  <c r="B59" i="5"/>
  <c r="D59" i="5" s="1" a="1"/>
  <c r="D59" i="5" s="1"/>
  <c r="B60" i="5"/>
  <c r="D60" i="5" s="1" a="1"/>
  <c r="D60" i="5" s="1"/>
  <c r="B61" i="5"/>
  <c r="D61" i="5" s="1" a="1"/>
  <c r="D61" i="5" s="1"/>
  <c r="B62" i="5"/>
  <c r="D62" i="5" s="1" a="1"/>
  <c r="D62" i="5" s="1"/>
  <c r="B63" i="5"/>
  <c r="D63" i="5" s="1" a="1"/>
  <c r="D63" i="5" s="1"/>
  <c r="B64" i="5"/>
  <c r="D64" i="5" s="1" a="1"/>
  <c r="D64" i="5" s="1"/>
  <c r="B65" i="5"/>
  <c r="D65" i="5" s="1" a="1"/>
  <c r="D65" i="5" s="1"/>
  <c r="B66" i="5"/>
  <c r="D66" i="5" s="1" a="1"/>
  <c r="D66" i="5" s="1"/>
  <c r="B67" i="5"/>
  <c r="D67" i="5" s="1" a="1"/>
  <c r="D67" i="5" s="1"/>
  <c r="B68" i="5"/>
  <c r="D68" i="5" s="1" a="1"/>
  <c r="D68" i="5" s="1"/>
  <c r="B69" i="5"/>
  <c r="D69" i="5" s="1" a="1"/>
  <c r="D69" i="5" s="1"/>
  <c r="B70" i="5"/>
  <c r="D70" i="5" s="1" a="1"/>
  <c r="D70" i="5" s="1"/>
  <c r="B71" i="5"/>
  <c r="D71" i="5" s="1" a="1"/>
  <c r="D71" i="5" s="1"/>
  <c r="B72" i="5"/>
  <c r="D72" i="5" s="1" a="1"/>
  <c r="D72" i="5" s="1"/>
  <c r="B73" i="5"/>
  <c r="D73" i="5" s="1" a="1"/>
  <c r="D73" i="5" s="1"/>
  <c r="B74" i="5"/>
  <c r="D74" i="5" s="1" a="1"/>
  <c r="D74" i="5" s="1"/>
  <c r="B75" i="5"/>
  <c r="D75" i="5" s="1" a="1"/>
  <c r="D75" i="5" s="1"/>
  <c r="B76" i="5"/>
  <c r="D76" i="5" s="1" a="1"/>
  <c r="D76" i="5" s="1"/>
  <c r="B77" i="5"/>
  <c r="D77" i="5" s="1" a="1"/>
  <c r="D77" i="5" s="1"/>
  <c r="B33" i="5"/>
  <c r="D33" i="5" s="1" a="1"/>
  <c r="D33" i="5" s="1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33" i="5"/>
  <c r="B3" i="1"/>
  <c r="A3" i="1"/>
  <c r="J32" i="5" l="1"/>
  <c r="I5" i="1" s="1"/>
  <c r="J2" i="5"/>
  <c r="M2" i="5"/>
  <c r="L4" i="1" s="1"/>
  <c r="P2" i="5"/>
  <c r="O3" i="1" s="1"/>
  <c r="F2" i="5"/>
  <c r="I2" i="5"/>
  <c r="L2" i="5"/>
  <c r="K4" i="1" s="1"/>
  <c r="R2" i="5"/>
  <c r="Q3" i="1" s="1"/>
  <c r="H3" i="1"/>
  <c r="H4" i="1"/>
  <c r="E3" i="1"/>
  <c r="E4" i="1"/>
  <c r="I3" i="1"/>
  <c r="I4" i="1"/>
  <c r="O2" i="5"/>
  <c r="I6" i="1"/>
  <c r="P32" i="5"/>
  <c r="H2" i="5"/>
  <c r="N2" i="5"/>
  <c r="G2" i="5"/>
  <c r="E2" i="5"/>
  <c r="G32" i="5"/>
  <c r="M32" i="5"/>
  <c r="Q2" i="5"/>
  <c r="K2" i="5"/>
  <c r="I32" i="5"/>
  <c r="E32" i="5"/>
  <c r="F32" i="5"/>
  <c r="Q32" i="5"/>
  <c r="H32" i="5"/>
  <c r="N32" i="5"/>
  <c r="K32" i="5"/>
  <c r="L32" i="5"/>
  <c r="R32" i="5"/>
  <c r="O32" i="5"/>
  <c r="D32" i="5"/>
  <c r="L3" i="1" l="1"/>
  <c r="K3" i="1"/>
  <c r="O4" i="1"/>
  <c r="Q4" i="1"/>
  <c r="D3" i="1"/>
  <c r="D4" i="1"/>
  <c r="F3" i="1"/>
  <c r="F4" i="1"/>
  <c r="M3" i="1"/>
  <c r="M4" i="1"/>
  <c r="G3" i="1"/>
  <c r="G4" i="1"/>
  <c r="N3" i="1"/>
  <c r="N4" i="1"/>
  <c r="J3" i="1"/>
  <c r="J4" i="1"/>
  <c r="P3" i="1"/>
  <c r="P4" i="1"/>
  <c r="C5" i="1"/>
  <c r="C6" i="1"/>
  <c r="N5" i="1"/>
  <c r="N6" i="1"/>
  <c r="Q5" i="1"/>
  <c r="Q6" i="1"/>
  <c r="K5" i="1"/>
  <c r="K6" i="1"/>
  <c r="J5" i="1"/>
  <c r="J6" i="1"/>
  <c r="M5" i="1"/>
  <c r="M6" i="1"/>
  <c r="G5" i="1"/>
  <c r="G6" i="1"/>
  <c r="P5" i="1"/>
  <c r="P6" i="1"/>
  <c r="E5" i="1"/>
  <c r="E6" i="1"/>
  <c r="D5" i="1"/>
  <c r="D6" i="1"/>
  <c r="H5" i="1"/>
  <c r="H6" i="1"/>
  <c r="L5" i="1"/>
  <c r="L6" i="1"/>
  <c r="F5" i="1"/>
  <c r="F6" i="1"/>
  <c r="O5" i="1"/>
  <c r="O6" i="1"/>
  <c r="C30" i="5"/>
  <c r="C31" i="5"/>
  <c r="B30" i="5"/>
  <c r="D30" i="5" s="1" a="1"/>
  <c r="D30" i="5" s="1"/>
  <c r="B31" i="5"/>
  <c r="D31" i="5" s="1" a="1"/>
  <c r="D31" i="5" s="1"/>
  <c r="A29" i="5"/>
  <c r="A30" i="5"/>
  <c r="A31" i="5"/>
  <c r="A28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3" i="5"/>
  <c r="R3" i="1" l="1"/>
  <c r="R5" i="1"/>
  <c r="R4" i="1"/>
  <c r="R6" i="1"/>
  <c r="C3" i="5"/>
  <c r="B29" i="5" l="1"/>
  <c r="D29" i="5" s="1" a="1"/>
  <c r="D29" i="5" s="1"/>
  <c r="B28" i="5"/>
  <c r="D28" i="5" s="1" a="1"/>
  <c r="D28" i="5" s="1"/>
  <c r="B27" i="5"/>
  <c r="D27" i="5" s="1" a="1"/>
  <c r="D27" i="5" s="1"/>
  <c r="B26" i="5"/>
  <c r="D26" i="5" s="1" a="1"/>
  <c r="D26" i="5" s="1"/>
  <c r="B25" i="5"/>
  <c r="D25" i="5" s="1" a="1"/>
  <c r="D25" i="5" s="1"/>
  <c r="B24" i="5"/>
  <c r="D24" i="5" s="1" a="1"/>
  <c r="D24" i="5" s="1"/>
  <c r="B23" i="5"/>
  <c r="D23" i="5" s="1" a="1"/>
  <c r="D23" i="5" s="1"/>
  <c r="B22" i="5"/>
  <c r="D22" i="5" s="1" a="1"/>
  <c r="D22" i="5" s="1"/>
  <c r="B21" i="5"/>
  <c r="D21" i="5" s="1" a="1"/>
  <c r="D21" i="5" s="1"/>
  <c r="B20" i="5"/>
  <c r="D20" i="5" s="1" a="1"/>
  <c r="D20" i="5" s="1"/>
  <c r="B19" i="5"/>
  <c r="D19" i="5" s="1" a="1"/>
  <c r="D19" i="5" s="1"/>
  <c r="B18" i="5"/>
  <c r="D18" i="5" s="1" a="1"/>
  <c r="D18" i="5" s="1"/>
  <c r="B17" i="5"/>
  <c r="D17" i="5" s="1" a="1"/>
  <c r="D17" i="5" s="1"/>
  <c r="B16" i="5"/>
  <c r="D16" i="5" s="1" a="1"/>
  <c r="D16" i="5" s="1"/>
  <c r="B15" i="5"/>
  <c r="D15" i="5" s="1" a="1"/>
  <c r="D15" i="5" s="1"/>
  <c r="B14" i="5"/>
  <c r="D14" i="5" s="1" a="1"/>
  <c r="D14" i="5" s="1"/>
  <c r="B13" i="5"/>
  <c r="D13" i="5" s="1" a="1"/>
  <c r="D13" i="5" s="1"/>
  <c r="B12" i="5"/>
  <c r="D12" i="5" s="1" a="1"/>
  <c r="D12" i="5" s="1"/>
  <c r="B11" i="5"/>
  <c r="D11" i="5" s="1" a="1"/>
  <c r="D11" i="5" s="1"/>
  <c r="B10" i="5"/>
  <c r="D10" i="5" s="1" a="1"/>
  <c r="D10" i="5" s="1"/>
  <c r="B9" i="5"/>
  <c r="D9" i="5" s="1" a="1"/>
  <c r="D9" i="5" s="1"/>
  <c r="B8" i="5"/>
  <c r="D8" i="5" s="1" a="1"/>
  <c r="D8" i="5" s="1"/>
  <c r="B7" i="5"/>
  <c r="D7" i="5" s="1" a="1"/>
  <c r="D7" i="5" s="1"/>
  <c r="B6" i="5"/>
  <c r="D6" i="5" s="1" a="1"/>
  <c r="D6" i="5" s="1"/>
  <c r="B5" i="5"/>
  <c r="D5" i="5" s="1" a="1"/>
  <c r="D5" i="5" s="1"/>
  <c r="B4" i="5"/>
  <c r="D4" i="5" s="1" a="1"/>
  <c r="D4" i="5" s="1"/>
  <c r="B3" i="5"/>
  <c r="D3" i="5" s="1" a="1"/>
  <c r="D3" i="5" s="1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D2" i="5" l="1"/>
  <c r="C3" i="1" l="1"/>
  <c r="C4" i="1"/>
  <c r="B168" i="5" l="1"/>
  <c r="D168" i="5" s="1" a="1"/>
  <c r="D168" i="5" s="1"/>
  <c r="D163" i="5" s="1"/>
  <c r="C16" i="1" l="1"/>
  <c r="C15" i="1"/>
  <c r="E81" i="6"/>
  <c r="D30" i="1"/>
  <c r="R30" i="1" s="1"/>
  <c r="O32" i="1"/>
  <c r="R32" i="1" s="1"/>
  <c r="D28" i="1" l="1"/>
  <c r="R28" i="1" s="1"/>
  <c r="D29" i="1"/>
  <c r="R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<sst xmlns="http://schemas.openxmlformats.org/spreadsheetml/2006/main" count="287" uniqueCount="75">
  <si>
    <t>Class Start Date</t>
  </si>
  <si>
    <t>Trainer Name</t>
  </si>
  <si>
    <t>Number of Agent Transition to Nesting</t>
  </si>
  <si>
    <t>Whistleblowing</t>
  </si>
  <si>
    <t>PCB Compliance Coaching Model</t>
  </si>
  <si>
    <t>Complaint Management Theory</t>
  </si>
  <si>
    <t>NTT BPO PCB AML - General</t>
  </si>
  <si>
    <t>Senior's Fraud</t>
  </si>
  <si>
    <t>Corporate Policy and Procedure Employee Sign off</t>
  </si>
  <si>
    <t>NTT BPO CASL</t>
  </si>
  <si>
    <t>NTT BPO AODA</t>
  </si>
  <si>
    <t>NTT BPO Health and Safety - Onshore or Offshore version</t>
  </si>
  <si>
    <t>NTT BPO WHMIS</t>
  </si>
  <si>
    <t>NTT BPO Violence and Harassment in the Workplace Quiz</t>
  </si>
  <si>
    <t xml:space="preserve">NTT BPO Insider Fraud Awareness
</t>
  </si>
  <si>
    <t>NTT BPO Privacy + Security</t>
  </si>
  <si>
    <t>NTT BPO Human Rights Code</t>
  </si>
  <si>
    <t>Total Complete</t>
  </si>
  <si>
    <t>Sum of Number of Agent Transition to Nesting</t>
  </si>
  <si>
    <t>Sum of Total Complete</t>
  </si>
  <si>
    <t>Correct</t>
  </si>
  <si>
    <t>Catherine Cachero</t>
  </si>
  <si>
    <t>Chase Argamosa</t>
  </si>
  <si>
    <t>Donna Caliling</t>
  </si>
  <si>
    <t>Irish Ferreras</t>
  </si>
  <si>
    <t>N/A</t>
  </si>
  <si>
    <t>Jean LuZada</t>
  </si>
  <si>
    <t>Jeff Janda</t>
  </si>
  <si>
    <t>Jennifer Ramirez</t>
  </si>
  <si>
    <t>Kate Postres</t>
  </si>
  <si>
    <t>Kate Saigo</t>
  </si>
  <si>
    <t>Maria Lourdes Tendenilla</t>
  </si>
  <si>
    <t>Maynard Soriano</t>
  </si>
  <si>
    <t>Mel Cajucom</t>
  </si>
  <si>
    <t>Nancy Price</t>
  </si>
  <si>
    <t>Sneha Menda</t>
  </si>
  <si>
    <t>Vera Hibaya</t>
  </si>
  <si>
    <t>Vhea De Fiesta</t>
  </si>
  <si>
    <t>Viena Lacena</t>
  </si>
  <si>
    <t>(blank)</t>
  </si>
  <si>
    <t>Kaylum Jonkers</t>
  </si>
  <si>
    <t>Mary Anne Cruz</t>
  </si>
  <si>
    <t>Patrick James Reosia</t>
  </si>
  <si>
    <t>Jarry Calilung</t>
  </si>
  <si>
    <t>Anabelle Pizon</t>
  </si>
  <si>
    <t>Robin Yasona </t>
  </si>
  <si>
    <t xml:space="preserve">Maynard Soriano </t>
  </si>
  <si>
    <t>06.30.2025</t>
  </si>
  <si>
    <t>Grand Total</t>
  </si>
  <si>
    <t>7.22.2025</t>
  </si>
  <si>
    <t>07.28.2025</t>
  </si>
  <si>
    <t>08.18.2025</t>
  </si>
  <si>
    <t>08.26.2025</t>
  </si>
  <si>
    <t>09.11.2025</t>
  </si>
  <si>
    <t>09.22.2025</t>
  </si>
  <si>
    <t>10.06.2025</t>
  </si>
  <si>
    <t>10.13.2025</t>
  </si>
  <si>
    <t>Surprise Mosehla</t>
  </si>
  <si>
    <t>Tshepo Nkumelini</t>
  </si>
  <si>
    <t>10.20.2025</t>
  </si>
  <si>
    <t>Siyabulele Mvimbi</t>
  </si>
  <si>
    <t>Notes</t>
  </si>
  <si>
    <t>Last day in Training</t>
  </si>
  <si>
    <t>03.10.2025</t>
  </si>
  <si>
    <t>03.24.2025</t>
  </si>
  <si>
    <t>Jean Luzada</t>
  </si>
  <si>
    <t>06.09.2025</t>
  </si>
  <si>
    <t>06.23.2025</t>
  </si>
  <si>
    <t>07.07.2025</t>
  </si>
  <si>
    <t>07.22.2025</t>
  </si>
  <si>
    <t>Jack Malumbelumbe</t>
  </si>
  <si>
    <t>Maleka Legodi</t>
  </si>
  <si>
    <t>Kenneth Vera Hibaya</t>
  </si>
  <si>
    <t>11.03.2025</t>
  </si>
  <si>
    <t>11.10.2025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</si>
</sst>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2" borderId="0" xfId="0" applyFill="1"/>
    <xf numFmtId="16" fontId="0" fillId="0" borderId="0" xfId="0" applyNumberFormat="1"/>
    <xf numFmtId="9" fontId="0" fillId="0" borderId="0" xfId="0" applyNumberFormat="1"/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 applyProtection="1">
      <alignment horizontal="center" vertical="center" wrapText="1"/>
      <protection locked="0"/>
    </xf>
    <xf numFmtId="0" fontId="2" fillId="4" borderId="6" xfId="0" applyFont="1" applyFill="1" applyBorder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center" vertical="center" wrapText="1"/>
      <protection locked="0"/>
    </xf>
    <xf numFmtId="10" fontId="0" fillId="0" borderId="0" xfId="0" applyNumberFormat="1"/>
    <xf numFmtId="0" fontId="0" fillId="5" borderId="2" xfId="0" applyFill="1" applyBorder="1" applyAlignment="1">
      <alignment horizontal="center"/>
    </xf>
    <xf numFmtId="0" fontId="0" fillId="5" borderId="0" xfId="0" applyFill="1"/>
    <xf numFmtId="16" fontId="0" fillId="5" borderId="0" xfId="0" applyNumberFormat="1" applyFill="1"/>
    <xf numFmtId="10" fontId="0" fillId="5" borderId="0" xfId="0" applyNumberFormat="1" applyFill="1"/>
    <xf numFmtId="9" fontId="0" fillId="5" borderId="0" xfId="0" applyNumberFormat="1" applyFill="1"/>
    <xf numFmtId="14" fontId="0" fillId="2" borderId="2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0" xfId="0" applyNumberFormat="1"/>
    <xf numFmtId="0" fontId="0" fillId="6" borderId="0" xfId="0" applyFill="1"/>
    <xf numFmtId="16" fontId="0" fillId="6" borderId="0" xfId="0" applyNumberFormat="1" applyFill="1"/>
    <xf numFmtId="9" fontId="0" fillId="6" borderId="0" xfId="0" applyNumberFormat="1" applyFill="1"/>
    <xf numFmtId="14" fontId="0" fillId="2" borderId="0" xfId="0" applyNumberFormat="1" applyFill="1"/>
    <xf numFmtId="0" fontId="3" fillId="0" borderId="0" xfId="0" applyFont="1"/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7" borderId="0" xfId="0" applyFill="1"/>
    <xf numFmtId="0" fontId="0" fillId="2" borderId="1" xfId="0" applyFill="1" applyBorder="1" applyAlignment="1">
      <alignment horizontal="center"/>
    </xf>
    <xf numFmtId="16" fontId="0" fillId="0" borderId="2" xfId="0" applyNumberFormat="1" applyBorder="1"/>
    <xf numFmtId="10" fontId="0" fillId="0" borderId="2" xfId="0" applyNumberFormat="1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2" borderId="2" xfId="0" applyFill="1" applyBorder="1"/>
    <xf numFmtId="14" fontId="0" fillId="2" borderId="2" xfId="0" applyNumberFormat="1" applyFill="1" applyBorder="1"/>
    <xf numFmtId="14" fontId="0" fillId="0" borderId="2" xfId="0" applyNumberFormat="1" applyBorder="1" applyAlignment="1">
      <alignment horizontal="center"/>
    </xf>
    <xf numFmtId="10" fontId="0" fillId="7" borderId="2" xfId="0" applyNumberFormat="1" applyFill="1" applyBorder="1"/>
    <xf numFmtId="0" fontId="0" fillId="5" borderId="2" xfId="0" applyFill="1" applyBorder="1"/>
    <xf numFmtId="0" fontId="0" fillId="0" borderId="0" xfId="0" pivotButton="1"/>
    <xf numFmtId="10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8.xml"/><Relationship Id="rId34" Type="http://schemas.openxmlformats.org/officeDocument/2006/relationships/pivotCacheDefinition" Target="pivotCache/pivotCacheDefinition1.xml"/><Relationship Id="rId42" Type="http://schemas.openxmlformats.org/officeDocument/2006/relationships/customXml" Target="../customXml/item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4.%20Training%20Progress%20Report%20-%20PCB%20Tier%201_07.28.2025.xlsm" TargetMode="External"/><Relationship Id="rId1" Type="http://schemas.openxmlformats.org/officeDocument/2006/relationships/externalLinkPath" Target="/sites/Training/Shared%20Documents/Training%20Resources/Progress%20Reports/PC%20Mastercard/2025/34.%20Training%20Progress%20Report%20-%20PCB%20Tier%201_07.28.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1.%20Training%20Progress%20Report%20-%20PCB%20Tier%201_03.10.2025%20-%20MAN_Polaris.xlsm.xlsm" TargetMode="External"/><Relationship Id="rId1" Type="http://schemas.openxmlformats.org/officeDocument/2006/relationships/externalLinkPath" Target="/sites/Training/Shared%20Documents/Training%20Resources/Progress%20Reports/PC%20Mastercard/2025/11.%20Training%20Progress%20Report%20-%20PCB%20Tier%201_03.10.2025%20-%20MAN_Polaris.xlsm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2.%20Training%20Progress%20Report%20-%20PCB%20Tier%201_03.24.25.xlsm" TargetMode="External"/><Relationship Id="rId1" Type="http://schemas.openxmlformats.org/officeDocument/2006/relationships/externalLinkPath" Target="/sites/Training/Shared%20Documents/Training%20Resources/Progress%20Reports/PC%20Mastercard/2025/12.%20Training%20Progress%20Report%20-%20PCB%20Tier%201_03.24.25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5.%20Training%20Progress%20Report%20-%20PCB%20Tier%201_04.14.2025%20Eastwood.xlsm" TargetMode="External"/><Relationship Id="rId1" Type="http://schemas.openxmlformats.org/officeDocument/2006/relationships/externalLinkPath" Target="/sites/Training/Shared%20Documents/Training%20Resources/Progress%20Reports/PC%20Mastercard/2025/15.%20Training%20Progress%20Report%20-%20PCB%20Tier%201_04.14.2025%20Eastwood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7.%20Training%20Progress%20Report%20-%20PCB%20Tier%201%20-%2004.21.2025xlsm.xlsm" TargetMode="External"/><Relationship Id="rId1" Type="http://schemas.openxmlformats.org/officeDocument/2006/relationships/externalLinkPath" Target="/sites/Training/Shared%20Documents/Training%20Resources/Progress%20Reports/PC%20Mastercard/2025/17.%20Training%20Progress%20Report%20-%20PCB%20Tier%201%20-%2004.21.2025xlsm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8.%20Training%20Progress%20Report%20-%20PCB%20Tier%201_04.28.2025%20-%20MAN_Polaris.xlsm" TargetMode="External"/><Relationship Id="rId1" Type="http://schemas.openxmlformats.org/officeDocument/2006/relationships/externalLinkPath" Target="/sites/Training/Shared%20Documents/Training%20Resources/Progress%20Reports/PC%20Mastercard/2025/18.%20Training%20Progress%20Report%20-%20PCB%20Tier%201_04.28.2025%20-%20MAN_Polaris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19.%20Training%20Progress%20Report%20-%20PCB%20Tier%201_%2005.12.2025.xlsm" TargetMode="External"/><Relationship Id="rId1" Type="http://schemas.openxmlformats.org/officeDocument/2006/relationships/externalLinkPath" Target="/sites/Training/Shared%20Documents/Training%20Resources/Progress%20Reports/PC%20Mastercard/2025/19.%20Training%20Progress%20Report%20-%20PCB%20Tier%201_%2005.12.2025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23.%20Training%20Progress%20Report%20-%20PCB%20Tier%201_05.20.2025%20.xlsm" TargetMode="External"/><Relationship Id="rId1" Type="http://schemas.openxmlformats.org/officeDocument/2006/relationships/externalLinkPath" Target="/sites/Training/Shared%20Documents/Training%20Resources/Progress%20Reports/PC%20Mastercard/2025/23.%20Training%20Progress%20Report%20-%20PCB%20Tier%201_05.20.2025%20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22.%20Training%20Progress%20Report%20-%20PCB%20Tier%201%20-%2005.26.2025%20Eastwood.xlsm" TargetMode="External"/><Relationship Id="rId1" Type="http://schemas.openxmlformats.org/officeDocument/2006/relationships/externalLinkPath" Target="/sites/Training/Shared%20Documents/Training%20Resources/Progress%20Reports/PC%20Mastercard/2025/22.%20Training%20Progress%20Report%20-%20PCB%20Tier%201%20-%2005.26.2025%20Eastwood.xls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25.%20Training%20Progress%20Report%20-%20PCB%20Tier%201_06.09.2025%20-%20MAN_Polaris.xlsm" TargetMode="External"/><Relationship Id="rId1" Type="http://schemas.openxmlformats.org/officeDocument/2006/relationships/externalLinkPath" Target="/sites/Training/Shared%20Documents/Training%20Resources/Progress%20Reports/PC%20Mastercard/2025/25.%20Training%20Progress%20Report%20-%20PCB%20Tier%201_06.09.2025%20-%20MAN_Polar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Training/Shared%20Documents/Training%20Resources/Progress%20Reports/PC%20Mastercard/2025/28.%20Training%20Progress%20Report%20-%20PCB%20Tier%201_06.17.2025.xlsm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28.%20Training%20Progress%20Report%20-%20PCB%20Tier%201_06.23.2025.xlsm" TargetMode="External"/><Relationship Id="rId1" Type="http://schemas.openxmlformats.org/officeDocument/2006/relationships/externalLinkPath" Target="/sites/Training/Shared%20Documents/Training%20Resources/Progress%20Reports/PC%20Mastercard/2025/28.%20Training%20Progress%20Report%20-%20PCB%20Tier%201_06.23.2025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26.%20Training%20Progress%20Report%20-%20PCB%20Tier%201_06.23.2025%20Onshore.xlsm" TargetMode="External"/><Relationship Id="rId1" Type="http://schemas.openxmlformats.org/officeDocument/2006/relationships/externalLinkPath" Target="/sites/Training/Shared%20Documents/Training%20Resources/Progress%20Reports/PC%20Mastercard/2025/26.%20Training%20Progress%20Report%20-%20PCB%20Tier%201_06.23.2025%20Onshore.xlsm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0.%20Training%20Progress%20Report%20-%20PCB%20Tier%201_06.30.2025%20Eastwood.xlsm" TargetMode="External"/><Relationship Id="rId1" Type="http://schemas.openxmlformats.org/officeDocument/2006/relationships/externalLinkPath" Target="/sites/Training/Shared%20Documents/Training%20Resources/Progress%20Reports/PC%20Mastercard/2025/30.%20Training%20Progress%20Report%20-%20PCB%20Tier%201_06.30.2025%20Eastwood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1.%20Training%20Progress%20Report%20-%20PCB%20Tier%201_07.07.2025%20Eastwood.xlsm" TargetMode="External"/><Relationship Id="rId1" Type="http://schemas.openxmlformats.org/officeDocument/2006/relationships/externalLinkPath" Target="/sites/Training/Shared%20Documents/Training%20Resources/Progress%20Reports/PC%20Mastercard/2025/31.%20Training%20Progress%20Report%20-%20PCB%20Tier%201_07.07.2025%20Eastwood.xlsm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3.%20Training%20Progress%20Report%20-%20PCB%20Tier%201_07.22.2025.PHL.xlsm" TargetMode="External"/><Relationship Id="rId1" Type="http://schemas.openxmlformats.org/officeDocument/2006/relationships/externalLinkPath" Target="/sites/Training/Shared%20Documents/Training%20Resources/Progress%20Reports/PC%20Mastercard/2025/33.%20Training%20Progress%20Report%20-%20PCB%20Tier%201_07.22.2025.PHL.xlsm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4.%20Training%20Progress%20Report%20-%20PCB%20Tier%201_07.28.2025.CAN.xlsm" TargetMode="External"/><Relationship Id="rId1" Type="http://schemas.openxmlformats.org/officeDocument/2006/relationships/externalLinkPath" Target="/sites/Training/Shared%20Documents/Training%20Resources/Progress%20Reports/PC%20Mastercard/2025/34.%20Training%20Progress%20Report%20-%20PCB%20Tier%201_07.28.2025.CAN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7.%20Training%20Progress%20Report%20-%20PCB%20Tier%201_08.05.2025_PHL.xlsm" TargetMode="External"/><Relationship Id="rId1" Type="http://schemas.openxmlformats.org/officeDocument/2006/relationships/externalLinkPath" Target="/sites/Training/Shared%20Documents/Training%20Resources/Progress%20Reports/PC%20Mastercard/2025/37.%20Training%20Progress%20Report%20-%20PCB%20Tier%201_08.05.2025_PHL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39.%20Training%20Progress%20Report%20-%20PCB%20Tier%201_08.18.2025_CAN.xlsm" TargetMode="External"/><Relationship Id="rId1" Type="http://schemas.openxmlformats.org/officeDocument/2006/relationships/externalLinkPath" Target="/sites/Training/Shared%20Documents/Training%20Resources/Progress%20Reports/PC%20Mastercard/2025/39.%20Training%20Progress%20Report%20-%20PCB%20Tier%201_08.18.2025_CAN.xlsm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0.%20Training%20Progress%20Report%20-%20PCB%20Tier%201_08.18.2025_ZAF.xlsm" TargetMode="External"/><Relationship Id="rId1" Type="http://schemas.openxmlformats.org/officeDocument/2006/relationships/externalLinkPath" Target="/sites/Training/Shared%20Documents/Training%20Resources/Progress%20Reports/PC%20Mastercard/2025/40.%20Training%20Progress%20Report%20-%20PCB%20Tier%201_08.18.2025_ZAF.xlsm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1.%20Training%20Progress%20Report%20-%20PCB%20Tier%201_09.05.2025_PHL.xlsm" TargetMode="External"/><Relationship Id="rId1" Type="http://schemas.openxmlformats.org/officeDocument/2006/relationships/externalLinkPath" Target="/sites/Training/Shared%20Documents/Training%20Resources/Progress%20Reports/PC%20Mastercard/2025/41.%20Training%20Progress%20Report%20-%20PCB%20Tier%201_09.05.2025_PHL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2.%20Training%20Progress%20Report%20-%20PCB%20Tier%201_09.11.2025_PHL.xlsm" TargetMode="External"/><Relationship Id="rId1" Type="http://schemas.openxmlformats.org/officeDocument/2006/relationships/externalLinkPath" Target="/sites/Training/Shared%20Documents/Training%20Resources/Progress%20Reports/PC%20Mastercard/2025/42.%20Training%20Progress%20Report%20-%20PCB%20Tier%201_09.11.2025_PHL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4.%20Training%20Progress%20Report%20-%20PCB%20Tier%201_09.22.2025_PHL.xlsm" TargetMode="External"/><Relationship Id="rId1" Type="http://schemas.openxmlformats.org/officeDocument/2006/relationships/externalLinkPath" Target="/sites/Training/Shared%20Documents/Training%20Resources/Progress%20Reports/PC%20Mastercard/2025/44.%20Training%20Progress%20Report%20-%20PCB%20Tier%201_09.22.2025_PHL.xlsm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5.%20Training%20Progress%20Report%20-%20PCB%20Tier%201_10.06.2025_PHL.xlsm" TargetMode="External"/><Relationship Id="rId1" Type="http://schemas.openxmlformats.org/officeDocument/2006/relationships/externalLinkPath" Target="/sites/Training/Shared%20Documents/Training%20Resources/Progress%20Reports/PC%20Mastercard/2025/45.%20Training%20Progress%20Report%20-%20PCB%20Tier%201_10.06.2025_PHL.xlsm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6.%20Training%20Progress%20Report%20-%20PCB%20Tier%201_10.13.2025_ZAF_Class.1.xlsm" TargetMode="External"/><Relationship Id="rId1" Type="http://schemas.openxmlformats.org/officeDocument/2006/relationships/externalLinkPath" Target="/sites/Training/Shared%20Documents/Training%20Resources/Progress%20Reports/PC%20Mastercard/2025/46.%20Training%20Progress%20Report%20-%20PCB%20Tier%201_10.13.2025_ZAF_Class.1.xlsm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7.%20Training%20Progress%20Report%20-%20PCB%20Tier%201_10.13.2025_ZAF_Class.2.xlsm" TargetMode="External"/><Relationship Id="rId1" Type="http://schemas.openxmlformats.org/officeDocument/2006/relationships/externalLinkPath" Target="/sites/Training/Shared%20Documents/Training%20Resources/Progress%20Reports/PC%20Mastercard/2025/47.%20Training%20Progress%20Report%20-%20PCB%20Tier%201_10.13.2025_ZAF_Class.2.xlsm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48.%20Training%20Progress%20Report%20-%20PCB%20Tier%201_10.20.2025_ZAF_Class.1.xlsm" TargetMode="External"/><Relationship Id="rId1" Type="http://schemas.openxmlformats.org/officeDocument/2006/relationships/externalLinkPath" Target="/sites/Training/Shared%20Documents/Training%20Resources/Progress%20Reports/PC%20Mastercard/2025/48.%20Training%20Progress%20Report%20-%20PCB%20Tier%201_10.20.2025_ZAF_Class.1.xlsm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pontt.sharepoint.com/sites/Training/Shared%20Documents/Training%20Resources/Progress%20Reports/PC%20Mastercard/2025/50.%20Training%20Progress%20Report%20-%20PCB%20Tier%201_10.20.2025_PHL.xlsm" TargetMode="External"/><Relationship Id="rId1" Type="http://schemas.openxmlformats.org/officeDocument/2006/relationships/externalLinkPath" Target="/sites/Training/Shared%20Documents/Training%20Resources/Progress%20Reports/PC%20Mastercard/2025/50.%20Training%20Progress%20Report%20-%20PCB%20Tier%201_10.20.2025_PHL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Training/Shared%20Documents/Training%20Resources/Progress%20Reports/PC%20Mastercard/2025/51.%20Training%20Progress%20Report%20-%20PCB%20Tier%201_11.03.2025_PHL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Training/Shared%20Documents/Training%20Resources/Progress%20Reports/PC%20Mastercard/2025/53.%20Training%20Progress%20Report%20-%20PCB%20Tier%201_11.10.2025_ZA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ick Links"/>
      <sheetName val="Daily Checklist"/>
      <sheetName val="One-Time Check List"/>
      <sheetName val="Class Summary"/>
      <sheetName val="Preprocess SWOT"/>
      <sheetName val="Student Data"/>
      <sheetName val="Attendance"/>
      <sheetName val="Day 1 WFH Audit"/>
      <sheetName val="Perform Tier 2"/>
      <sheetName val="Performance RSA"/>
      <sheetName val="Preprocess Training Report"/>
      <sheetName val="Performance"/>
      <sheetName val="Daily Observation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 refreshError="1"/>
      <sheetData sheetId="1" refreshError="1"/>
      <sheetData sheetId="2" refreshError="1"/>
      <sheetData sheetId="3" refreshError="1">
        <row r="11">
          <cell r="B11" t="str">
            <v>Jean Luzada</v>
          </cell>
        </row>
        <row r="12">
          <cell r="B12" t="str">
            <v>Maria Lourdes Tendenilla</v>
          </cell>
        </row>
      </sheetData>
      <sheetData sheetId="4" refreshError="1"/>
      <sheetData sheetId="5" refreshError="1">
        <row r="5">
          <cell r="M5">
            <v>24593</v>
          </cell>
        </row>
        <row r="6">
          <cell r="M6">
            <v>33101</v>
          </cell>
        </row>
        <row r="7">
          <cell r="M7">
            <v>32307</v>
          </cell>
        </row>
        <row r="8">
          <cell r="M8">
            <v>40263</v>
          </cell>
        </row>
        <row r="9">
          <cell r="M9">
            <v>39170</v>
          </cell>
        </row>
        <row r="10">
          <cell r="M10">
            <v>39206</v>
          </cell>
        </row>
        <row r="11">
          <cell r="M11">
            <v>40725</v>
          </cell>
        </row>
        <row r="12">
          <cell r="M12">
            <v>40726</v>
          </cell>
        </row>
        <row r="13">
          <cell r="M13">
            <v>40727</v>
          </cell>
        </row>
        <row r="14">
          <cell r="M14">
            <v>40728</v>
          </cell>
        </row>
        <row r="15">
          <cell r="M15">
            <v>40729</v>
          </cell>
        </row>
        <row r="16">
          <cell r="M16">
            <v>40730</v>
          </cell>
        </row>
        <row r="17">
          <cell r="M17">
            <v>35404</v>
          </cell>
        </row>
        <row r="18">
          <cell r="M18">
            <v>40731</v>
          </cell>
        </row>
        <row r="19">
          <cell r="M19">
            <v>40732</v>
          </cell>
        </row>
        <row r="20">
          <cell r="M20">
            <v>40733</v>
          </cell>
        </row>
        <row r="21">
          <cell r="M21">
            <v>40734</v>
          </cell>
        </row>
        <row r="22">
          <cell r="M22">
            <v>40643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EMYQ6LWYSOI5FYBA4M2IMJLWGD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Perform Tier 2"/>
      <sheetName val="Performance RSA"/>
      <sheetName val="Preprocess Training Report"/>
      <sheetName val="Skill Assessment"/>
      <sheetName val="Attendance"/>
      <sheetName val="Day 1 WFH Audit"/>
      <sheetName val="Performance"/>
      <sheetName val="Daily Observation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5">
          <cell r="M5">
            <v>341480</v>
          </cell>
        </row>
        <row r="6">
          <cell r="M6">
            <v>341515</v>
          </cell>
        </row>
        <row r="7">
          <cell r="M7">
            <v>341511</v>
          </cell>
        </row>
        <row r="8">
          <cell r="M8">
            <v>341492</v>
          </cell>
        </row>
        <row r="9">
          <cell r="M9">
            <v>341481</v>
          </cell>
        </row>
        <row r="10">
          <cell r="M10">
            <v>341520</v>
          </cell>
        </row>
        <row r="11">
          <cell r="M11">
            <v>341517</v>
          </cell>
        </row>
        <row r="12">
          <cell r="M12"/>
        </row>
        <row r="13">
          <cell r="M13"/>
        </row>
        <row r="14">
          <cell r="M14">
            <v>341482</v>
          </cell>
        </row>
        <row r="15">
          <cell r="M15"/>
        </row>
        <row r="16">
          <cell r="M16">
            <v>341489</v>
          </cell>
        </row>
        <row r="17">
          <cell r="M17">
            <v>341512</v>
          </cell>
        </row>
        <row r="18">
          <cell r="M18">
            <v>341487</v>
          </cell>
        </row>
        <row r="19">
          <cell r="M19">
            <v>341477</v>
          </cell>
        </row>
        <row r="20">
          <cell r="M20">
            <v>341508</v>
          </cell>
        </row>
        <row r="21">
          <cell r="M21">
            <v>341484</v>
          </cell>
        </row>
        <row r="22">
          <cell r="M22">
            <v>341476</v>
          </cell>
        </row>
        <row r="23">
          <cell r="M23">
            <v>341518</v>
          </cell>
        </row>
        <row r="24">
          <cell r="M24">
            <v>341504</v>
          </cell>
        </row>
        <row r="25">
          <cell r="M25">
            <v>341501</v>
          </cell>
        </row>
        <row r="26">
          <cell r="M26">
            <v>341522</v>
          </cell>
        </row>
        <row r="27">
          <cell r="M27"/>
        </row>
        <row r="28">
          <cell r="M28">
            <v>341483</v>
          </cell>
        </row>
        <row r="29">
          <cell r="M29">
            <v>341521</v>
          </cell>
        </row>
        <row r="30">
          <cell r="M30">
            <v>341513</v>
          </cell>
        </row>
        <row r="31">
          <cell r="M31" t="str">
            <v> 341557</v>
          </cell>
        </row>
        <row r="32">
          <cell r="M32">
            <v>341499</v>
          </cell>
        </row>
        <row r="33">
          <cell r="M33">
            <v>341021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H5">
            <v>1</v>
          </cell>
          <cell r="I5">
            <v>0.88</v>
          </cell>
          <cell r="J5">
            <v>0.8</v>
          </cell>
          <cell r="K5">
            <v>1</v>
          </cell>
          <cell r="L5" t="str">
            <v>N/A</v>
          </cell>
          <cell r="M5" t="str">
            <v>N/A</v>
          </cell>
          <cell r="N5">
            <v>1</v>
          </cell>
          <cell r="O5">
            <v>1</v>
          </cell>
          <cell r="P5">
            <v>0.91</v>
          </cell>
          <cell r="Q5">
            <v>1</v>
          </cell>
          <cell r="R5">
            <v>1</v>
          </cell>
          <cell r="S5">
            <v>0.9</v>
          </cell>
          <cell r="T5">
            <v>1</v>
          </cell>
          <cell r="U5">
            <v>0.83</v>
          </cell>
        </row>
        <row r="6">
          <cell r="H6">
            <v>1</v>
          </cell>
          <cell r="I6">
            <v>0.88</v>
          </cell>
          <cell r="J6">
            <v>1</v>
          </cell>
          <cell r="K6">
            <v>1</v>
          </cell>
          <cell r="L6" t="str">
            <v>N/A</v>
          </cell>
          <cell r="M6" t="str">
            <v>N/A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0.96</v>
          </cell>
          <cell r="T6">
            <v>1</v>
          </cell>
          <cell r="U6">
            <v>0.86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 t="str">
            <v>N/A</v>
          </cell>
          <cell r="M7" t="str">
            <v>N/A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 t="str">
            <v>n/a</v>
          </cell>
          <cell r="T7">
            <v>0.8</v>
          </cell>
          <cell r="U7" t="str">
            <v>n/a</v>
          </cell>
        </row>
        <row r="8">
          <cell r="H8">
            <v>1</v>
          </cell>
          <cell r="I8">
            <v>1</v>
          </cell>
          <cell r="J8">
            <v>1</v>
          </cell>
          <cell r="K8">
            <v>1</v>
          </cell>
          <cell r="L8" t="str">
            <v>N/A</v>
          </cell>
          <cell r="M8" t="str">
            <v>N/A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0.86</v>
          </cell>
          <cell r="T8">
            <v>1</v>
          </cell>
          <cell r="U8">
            <v>1</v>
          </cell>
        </row>
        <row r="9">
          <cell r="H9">
            <v>1</v>
          </cell>
          <cell r="I9">
            <v>1</v>
          </cell>
          <cell r="J9">
            <v>1</v>
          </cell>
          <cell r="K9">
            <v>1</v>
          </cell>
          <cell r="L9" t="str">
            <v>N/A</v>
          </cell>
          <cell r="M9" t="str">
            <v>N/A</v>
          </cell>
          <cell r="N9">
            <v>1</v>
          </cell>
          <cell r="O9">
            <v>1</v>
          </cell>
          <cell r="P9">
            <v>0.94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</row>
        <row r="10"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 t="str">
            <v>N/A</v>
          </cell>
          <cell r="M10" t="str">
            <v>N/A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0.9</v>
          </cell>
          <cell r="T10">
            <v>1</v>
          </cell>
          <cell r="U10">
            <v>1</v>
          </cell>
        </row>
        <row r="11">
          <cell r="H11">
            <v>1</v>
          </cell>
          <cell r="I11">
            <v>0.88</v>
          </cell>
          <cell r="J11">
            <v>1</v>
          </cell>
          <cell r="K11">
            <v>1</v>
          </cell>
          <cell r="L11" t="str">
            <v>N/A</v>
          </cell>
          <cell r="M11" t="str">
            <v>N/A</v>
          </cell>
          <cell r="N11">
            <v>1</v>
          </cell>
          <cell r="O11">
            <v>1</v>
          </cell>
          <cell r="P11">
            <v>0.86</v>
          </cell>
          <cell r="Q11">
            <v>1</v>
          </cell>
          <cell r="R11">
            <v>1</v>
          </cell>
          <cell r="S11">
            <v>0.88</v>
          </cell>
          <cell r="T11">
            <v>1</v>
          </cell>
          <cell r="U11">
            <v>0.86</v>
          </cell>
        </row>
        <row r="12">
          <cell r="H12" t="str">
            <v>n/a</v>
          </cell>
          <cell r="I12" t="str">
            <v>n/a</v>
          </cell>
          <cell r="J12" t="str">
            <v>n/a</v>
          </cell>
          <cell r="K12" t="str">
            <v>n/a</v>
          </cell>
          <cell r="L12" t="str">
            <v>N/A</v>
          </cell>
          <cell r="M12" t="str">
            <v>N/A</v>
          </cell>
          <cell r="N12" t="str">
            <v>n/a</v>
          </cell>
          <cell r="O12" t="str">
            <v>n/a</v>
          </cell>
          <cell r="P12" t="str">
            <v>n/a</v>
          </cell>
          <cell r="Q12" t="str">
            <v>n/a</v>
          </cell>
          <cell r="R12" t="str">
            <v>n/a</v>
          </cell>
          <cell r="S12" t="str">
            <v>n/a</v>
          </cell>
          <cell r="T12" t="str">
            <v>n/a</v>
          </cell>
          <cell r="U12" t="str">
            <v>n/a</v>
          </cell>
        </row>
        <row r="13">
          <cell r="H13" t="str">
            <v>n/a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n/a</v>
          </cell>
          <cell r="O13" t="str">
            <v>n/a</v>
          </cell>
          <cell r="P13" t="str">
            <v>n/a</v>
          </cell>
          <cell r="Q13" t="str">
            <v>n/a</v>
          </cell>
          <cell r="R13" t="str">
            <v>n/a</v>
          </cell>
          <cell r="S13" t="str">
            <v>n/a</v>
          </cell>
          <cell r="T13" t="str">
            <v>n/a</v>
          </cell>
          <cell r="U13" t="str">
            <v>n/a</v>
          </cell>
        </row>
        <row r="14"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 t="str">
            <v>N/A</v>
          </cell>
          <cell r="M14" t="str">
            <v>N/A</v>
          </cell>
          <cell r="N14">
            <v>1</v>
          </cell>
          <cell r="O14">
            <v>1</v>
          </cell>
          <cell r="P14">
            <v>0.94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</row>
        <row r="15">
          <cell r="H15" t="str">
            <v>n/a</v>
          </cell>
          <cell r="I15" t="str">
            <v>n/a</v>
          </cell>
          <cell r="J15" t="str">
            <v>n/a</v>
          </cell>
          <cell r="K15" t="str">
            <v>n/a</v>
          </cell>
          <cell r="L15" t="str">
            <v>N/A</v>
          </cell>
          <cell r="M15" t="str">
            <v>N/A</v>
          </cell>
          <cell r="N15" t="str">
            <v>n/a</v>
          </cell>
          <cell r="O15" t="str">
            <v>n/a</v>
          </cell>
          <cell r="P15" t="str">
            <v>n/a</v>
          </cell>
          <cell r="Q15" t="str">
            <v>n/a</v>
          </cell>
          <cell r="R15" t="str">
            <v>n/a</v>
          </cell>
          <cell r="S15" t="str">
            <v>n/a</v>
          </cell>
          <cell r="T15" t="str">
            <v>n/a</v>
          </cell>
          <cell r="U15" t="str">
            <v>n/a</v>
          </cell>
        </row>
        <row r="16">
          <cell r="H16">
            <v>1</v>
          </cell>
          <cell r="I16">
            <v>0.88</v>
          </cell>
          <cell r="J16">
            <v>1</v>
          </cell>
          <cell r="K16">
            <v>1</v>
          </cell>
          <cell r="L16" t="str">
            <v>N/A</v>
          </cell>
          <cell r="M16" t="str">
            <v>N/A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0.84</v>
          </cell>
          <cell r="T16">
            <v>1</v>
          </cell>
          <cell r="U16">
            <v>0.9</v>
          </cell>
        </row>
        <row r="17"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 t="str">
            <v>N/A</v>
          </cell>
          <cell r="M17" t="str">
            <v>N/A</v>
          </cell>
          <cell r="N17">
            <v>1</v>
          </cell>
          <cell r="O17">
            <v>1</v>
          </cell>
          <cell r="P17">
            <v>0.82</v>
          </cell>
          <cell r="Q17">
            <v>1</v>
          </cell>
          <cell r="R17">
            <v>1</v>
          </cell>
          <cell r="S17" t="str">
            <v>n/a</v>
          </cell>
          <cell r="T17">
            <v>0.8</v>
          </cell>
          <cell r="U17" t="str">
            <v>n/a</v>
          </cell>
        </row>
        <row r="18"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 t="str">
            <v>N/A</v>
          </cell>
          <cell r="M18" t="str">
            <v>N/A</v>
          </cell>
          <cell r="N18">
            <v>1</v>
          </cell>
          <cell r="O18">
            <v>1</v>
          </cell>
          <cell r="P18">
            <v>0.94</v>
          </cell>
          <cell r="Q18">
            <v>1</v>
          </cell>
          <cell r="R18">
            <v>1</v>
          </cell>
          <cell r="S18">
            <v>0.92</v>
          </cell>
          <cell r="T18">
            <v>1</v>
          </cell>
          <cell r="U18">
            <v>1</v>
          </cell>
        </row>
        <row r="19"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 t="str">
            <v>N/A</v>
          </cell>
          <cell r="M19" t="str">
            <v>N/A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0.89</v>
          </cell>
          <cell r="T19">
            <v>1</v>
          </cell>
          <cell r="U19">
            <v>0.89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 t="str">
            <v>N/A</v>
          </cell>
          <cell r="M20" t="str">
            <v>N/A</v>
          </cell>
          <cell r="N20">
            <v>1</v>
          </cell>
          <cell r="O20">
            <v>1</v>
          </cell>
          <cell r="P20">
            <v>0.82</v>
          </cell>
          <cell r="Q20">
            <v>1</v>
          </cell>
          <cell r="R20">
            <v>1</v>
          </cell>
          <cell r="S20">
            <v>0.88</v>
          </cell>
          <cell r="T20">
            <v>1</v>
          </cell>
          <cell r="U20">
            <v>0.9</v>
          </cell>
        </row>
        <row r="21"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 t="str">
            <v>N/A</v>
          </cell>
          <cell r="M21" t="str">
            <v>N/A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0.9</v>
          </cell>
        </row>
        <row r="22">
          <cell r="H22">
            <v>1</v>
          </cell>
          <cell r="I22">
            <v>0.88</v>
          </cell>
          <cell r="J22">
            <v>1</v>
          </cell>
          <cell r="K22">
            <v>1</v>
          </cell>
          <cell r="L22" t="str">
            <v>N/A</v>
          </cell>
          <cell r="M22" t="str">
            <v>N/A</v>
          </cell>
          <cell r="N22">
            <v>1</v>
          </cell>
          <cell r="O22">
            <v>1</v>
          </cell>
          <cell r="P22">
            <v>0.85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0.88</v>
          </cell>
        </row>
        <row r="23"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 t="str">
            <v>N/A</v>
          </cell>
          <cell r="M23" t="str">
            <v>N/A</v>
          </cell>
          <cell r="N23">
            <v>1</v>
          </cell>
          <cell r="O23">
            <v>1</v>
          </cell>
          <cell r="P23">
            <v>0.92</v>
          </cell>
          <cell r="Q23">
            <v>1</v>
          </cell>
          <cell r="R23">
            <v>1</v>
          </cell>
          <cell r="S23">
            <v>1</v>
          </cell>
          <cell r="T23">
            <v>0.8</v>
          </cell>
          <cell r="U23">
            <v>0.9</v>
          </cell>
        </row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 t="str">
            <v>N/A</v>
          </cell>
          <cell r="M24" t="str">
            <v>N/A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0.8</v>
          </cell>
          <cell r="U24">
            <v>0.8</v>
          </cell>
        </row>
        <row r="25"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 t="str">
            <v>N/A</v>
          </cell>
          <cell r="M25" t="str">
            <v>N/A</v>
          </cell>
          <cell r="N25">
            <v>1</v>
          </cell>
          <cell r="O25">
            <v>1</v>
          </cell>
          <cell r="P25">
            <v>0.94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0.8</v>
          </cell>
        </row>
        <row r="26">
          <cell r="H26">
            <v>1</v>
          </cell>
          <cell r="I26">
            <v>0.88</v>
          </cell>
          <cell r="J26">
            <v>0.8</v>
          </cell>
          <cell r="K26">
            <v>1</v>
          </cell>
          <cell r="L26" t="str">
            <v>N/A</v>
          </cell>
          <cell r="M26" t="str">
            <v>N/A</v>
          </cell>
          <cell r="N26">
            <v>1</v>
          </cell>
          <cell r="O26">
            <v>1</v>
          </cell>
          <cell r="P26">
            <v>0.88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</row>
        <row r="27">
          <cell r="H27" t="str">
            <v>n/a</v>
          </cell>
          <cell r="I27" t="str">
            <v>n/a</v>
          </cell>
          <cell r="J27" t="str">
            <v>n/a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n/a</v>
          </cell>
          <cell r="O27" t="str">
            <v>n/a</v>
          </cell>
          <cell r="P27" t="str">
            <v>n/a</v>
          </cell>
          <cell r="Q27" t="str">
            <v>n/a</v>
          </cell>
          <cell r="R27" t="str">
            <v>n/a</v>
          </cell>
          <cell r="S27" t="str">
            <v>n/a</v>
          </cell>
          <cell r="T27" t="str">
            <v>n/a</v>
          </cell>
          <cell r="U27" t="str">
            <v>n/a</v>
          </cell>
        </row>
        <row r="28"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 t="str">
            <v>N/A</v>
          </cell>
          <cell r="M28" t="str">
            <v>N/A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0.94</v>
          </cell>
          <cell r="T28">
            <v>0.8</v>
          </cell>
          <cell r="U28">
            <v>0.8</v>
          </cell>
        </row>
        <row r="29"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 t="str">
            <v>N/A</v>
          </cell>
          <cell r="M29" t="str">
            <v>N/A</v>
          </cell>
          <cell r="N29">
            <v>1</v>
          </cell>
          <cell r="O29">
            <v>1</v>
          </cell>
          <cell r="P29">
            <v>0.88</v>
          </cell>
          <cell r="Q29">
            <v>1</v>
          </cell>
          <cell r="R29">
            <v>1</v>
          </cell>
          <cell r="S29">
            <v>0.94</v>
          </cell>
          <cell r="T29">
            <v>0.8</v>
          </cell>
          <cell r="U29">
            <v>1</v>
          </cell>
        </row>
        <row r="30"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 t="str">
            <v>N/A</v>
          </cell>
          <cell r="M30" t="str">
            <v>N/A</v>
          </cell>
          <cell r="N30">
            <v>1</v>
          </cell>
          <cell r="O30">
            <v>1</v>
          </cell>
          <cell r="P30">
            <v>0.94</v>
          </cell>
          <cell r="Q30">
            <v>1</v>
          </cell>
          <cell r="R30">
            <v>1</v>
          </cell>
          <cell r="S30">
            <v>1</v>
          </cell>
          <cell r="T30">
            <v>0.8</v>
          </cell>
          <cell r="U30">
            <v>0.91</v>
          </cell>
        </row>
        <row r="31"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 t="str">
            <v>N/A</v>
          </cell>
          <cell r="M31" t="str">
            <v>N/A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 t="str">
            <v>n/a</v>
          </cell>
          <cell r="T31">
            <v>1</v>
          </cell>
          <cell r="U31" t="str">
            <v>n/a</v>
          </cell>
        </row>
        <row r="32"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 t="str">
            <v>N/A</v>
          </cell>
          <cell r="M32" t="str">
            <v>N/A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0.86</v>
          </cell>
          <cell r="T32">
            <v>1</v>
          </cell>
          <cell r="U32">
            <v>0.83</v>
          </cell>
        </row>
        <row r="33"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0.94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0.89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 with SMART plan</v>
          </cell>
          <cell r="F4" t="str">
            <v>Cristy Abaya</v>
          </cell>
        </row>
        <row r="5">
          <cell r="C5" t="str">
            <v>Transition to Production with SMART plan</v>
          </cell>
          <cell r="F5" t="str">
            <v>Sheryl Villegas</v>
          </cell>
        </row>
        <row r="6">
          <cell r="C6" t="str">
            <v>Resigned-Nesting 1A</v>
          </cell>
          <cell r="F6" t="str">
            <v>Nikki Jane Macaraig</v>
          </cell>
        </row>
        <row r="7">
          <cell r="C7" t="str">
            <v>Resigned Tier 1A</v>
          </cell>
          <cell r="F7" t="str">
            <v>Jeny Rose Cadiz</v>
          </cell>
        </row>
        <row r="8">
          <cell r="C8" t="str">
            <v>Transition to Production</v>
          </cell>
          <cell r="F8" t="str">
            <v>Avelene Bernardo</v>
          </cell>
        </row>
        <row r="9">
          <cell r="C9" t="str">
            <v>Transition to Production</v>
          </cell>
          <cell r="F9" t="str">
            <v>Christian Rojo</v>
          </cell>
        </row>
        <row r="10">
          <cell r="C10" t="str">
            <v>Transition to Production with SMART plan</v>
          </cell>
          <cell r="F10" t="str">
            <v>Tyrone Albert Gonzales</v>
          </cell>
        </row>
        <row r="11">
          <cell r="C11" t="str">
            <v>Moved/Joining Alternate Class/Program</v>
          </cell>
          <cell r="F11" t="str">
            <v>Cristel Ann Melgar</v>
          </cell>
        </row>
        <row r="12">
          <cell r="C12" t="str">
            <v>Did not Start</v>
          </cell>
          <cell r="F12" t="str">
            <v>Orpha Isabel Percy</v>
          </cell>
        </row>
        <row r="13">
          <cell r="C13" t="str">
            <v>LOA</v>
          </cell>
          <cell r="F13" t="str">
            <v>Elias Mariano Bautista</v>
          </cell>
        </row>
        <row r="14">
          <cell r="C14" t="str">
            <v>Did not Start</v>
          </cell>
          <cell r="F14" t="str">
            <v>Marianne Manicad</v>
          </cell>
        </row>
        <row r="15">
          <cell r="C15" t="str">
            <v>Transition to Production</v>
          </cell>
          <cell r="F15" t="str">
            <v>Jan Christian Soriño</v>
          </cell>
        </row>
        <row r="16">
          <cell r="C16" t="str">
            <v>Resigned Tier 1A</v>
          </cell>
          <cell r="F16" t="str">
            <v>Randy Paredo</v>
          </cell>
        </row>
        <row r="17">
          <cell r="C17" t="str">
            <v>Transition to Production</v>
          </cell>
          <cell r="F17" t="str">
            <v>Jan Mae Ado</v>
          </cell>
        </row>
        <row r="18">
          <cell r="C18" t="str">
            <v>Transition to Production</v>
          </cell>
          <cell r="F18" t="str">
            <v>Angelita Ligot</v>
          </cell>
        </row>
        <row r="19">
          <cell r="C19" t="str">
            <v>Resigned Tier 1A</v>
          </cell>
          <cell r="F19" t="str">
            <v>Marl Sharyl Kate Esoc</v>
          </cell>
        </row>
        <row r="20">
          <cell r="C20" t="str">
            <v>LOA</v>
          </cell>
          <cell r="F20" t="str">
            <v>Frances Pauline Castro</v>
          </cell>
        </row>
        <row r="21">
          <cell r="C21" t="str">
            <v>Transition to Production</v>
          </cell>
          <cell r="F21" t="str">
            <v>Angelo Harvey Tipanero</v>
          </cell>
        </row>
        <row r="22">
          <cell r="C22" t="str">
            <v>LOA</v>
          </cell>
          <cell r="F22" t="str">
            <v>Tuesday Brea Cruz</v>
          </cell>
        </row>
        <row r="23">
          <cell r="C23" t="str">
            <v>Transition to Production</v>
          </cell>
          <cell r="F23" t="str">
            <v>John Paul Tan</v>
          </cell>
        </row>
        <row r="24">
          <cell r="C24" t="str">
            <v>Transition to Production</v>
          </cell>
          <cell r="F24" t="str">
            <v>Marc Jefferson Bautista</v>
          </cell>
        </row>
        <row r="25">
          <cell r="C25" t="str">
            <v>Transition to Production</v>
          </cell>
          <cell r="F25" t="str">
            <v>Ma Veronica Dela Cruz</v>
          </cell>
        </row>
        <row r="26">
          <cell r="C26" t="str">
            <v>Did not Start</v>
          </cell>
          <cell r="F26" t="str">
            <v>Marinella Ponce</v>
          </cell>
        </row>
        <row r="27">
          <cell r="C27" t="str">
            <v>Transition to Production</v>
          </cell>
          <cell r="F27" t="str">
            <v>Gabriel Nathaniel Yoingco</v>
          </cell>
        </row>
        <row r="28">
          <cell r="C28" t="str">
            <v>Transition to Production</v>
          </cell>
          <cell r="F28" t="str">
            <v>Valerina Cayong</v>
          </cell>
        </row>
        <row r="29">
          <cell r="C29" t="str">
            <v>Transition to Production with SMART plan</v>
          </cell>
          <cell r="F29" t="str">
            <v>Shane Enriquez</v>
          </cell>
        </row>
        <row r="30">
          <cell r="C30" t="str">
            <v>Resigned Tier 1A</v>
          </cell>
          <cell r="F30" t="str">
            <v>Roger Fernes</v>
          </cell>
        </row>
        <row r="31">
          <cell r="C31" t="str">
            <v>Transition to Production</v>
          </cell>
          <cell r="F31" t="str">
            <v>John Russel Odtohan</v>
          </cell>
        </row>
        <row r="32">
          <cell r="C32" t="str">
            <v>Transition to Production</v>
          </cell>
          <cell r="F32" t="str">
            <v>Marvelous Dayo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S4GJDVGVJOVDYRWAQLPGGRUZQ">
      <xxl21:absoluteUrl r:id="rId2"/>
    </xxl21:alternateUrls>
    <sheetNames>
      <sheetName val="Quick Links"/>
      <sheetName val="Daily Checklist"/>
      <sheetName val="Day 1 WFH Audit"/>
      <sheetName val="Class Summary"/>
      <sheetName val="Preprocess SWOT"/>
      <sheetName val="One-Time Check List"/>
      <sheetName val="Student Data"/>
      <sheetName val="Daily Observation"/>
      <sheetName val="Attendance"/>
      <sheetName val="Performance"/>
      <sheetName val="Perform Tier 2"/>
      <sheetName val="Performance RSA"/>
      <sheetName val="Preprocess Training Report"/>
      <sheetName val="Skill Assessment"/>
      <sheetName val="PCB Nesting Incentive Offshore"/>
      <sheetName val="PCB Nesting Incentive Onshore"/>
      <sheetName val="PCB Nesting QA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M5">
            <v>40439</v>
          </cell>
        </row>
        <row r="6">
          <cell r="M6">
            <v>39295</v>
          </cell>
        </row>
        <row r="7">
          <cell r="M7">
            <v>40443</v>
          </cell>
        </row>
        <row r="8">
          <cell r="M8">
            <v>40365</v>
          </cell>
        </row>
        <row r="9">
          <cell r="M9">
            <v>40438</v>
          </cell>
        </row>
        <row r="10">
          <cell r="M10">
            <v>40441</v>
          </cell>
        </row>
        <row r="11">
          <cell r="M11">
            <v>40444</v>
          </cell>
        </row>
        <row r="12">
          <cell r="M12">
            <v>40436</v>
          </cell>
        </row>
        <row r="13">
          <cell r="M13">
            <v>40437</v>
          </cell>
        </row>
        <row r="14">
          <cell r="M14">
            <v>14313</v>
          </cell>
        </row>
        <row r="15">
          <cell r="M15">
            <v>40440</v>
          </cell>
        </row>
        <row r="16">
          <cell r="M16">
            <v>37260</v>
          </cell>
        </row>
        <row r="17">
          <cell r="M17">
            <v>40366</v>
          </cell>
        </row>
        <row r="18">
          <cell r="M18">
            <v>40372</v>
          </cell>
        </row>
        <row r="19">
          <cell r="M19">
            <v>40306</v>
          </cell>
        </row>
        <row r="20">
          <cell r="M20">
            <v>40342</v>
          </cell>
        </row>
        <row r="21">
          <cell r="M21">
            <v>40441</v>
          </cell>
        </row>
        <row r="22">
          <cell r="M22">
            <v>40442</v>
          </cell>
        </row>
        <row r="23">
          <cell r="M23">
            <v>342014</v>
          </cell>
        </row>
        <row r="24">
          <cell r="M24">
            <v>342018</v>
          </cell>
        </row>
        <row r="25">
          <cell r="M25">
            <v>342019</v>
          </cell>
        </row>
        <row r="26">
          <cell r="M26">
            <v>342021</v>
          </cell>
        </row>
        <row r="27">
          <cell r="M27"/>
        </row>
        <row r="28">
          <cell r="M28">
            <v>341010</v>
          </cell>
        </row>
        <row r="29">
          <cell r="M29">
            <v>342022</v>
          </cell>
        </row>
        <row r="30">
          <cell r="M30"/>
        </row>
        <row r="31">
          <cell r="M31" t="str">
            <v>N/A</v>
          </cell>
        </row>
        <row r="32">
          <cell r="M32"/>
        </row>
        <row r="33">
          <cell r="M33">
            <v>342024</v>
          </cell>
        </row>
        <row r="34">
          <cell r="M34">
            <v>342028</v>
          </cell>
        </row>
        <row r="35">
          <cell r="M35">
            <v>342027</v>
          </cell>
        </row>
        <row r="36">
          <cell r="M36">
            <v>342026</v>
          </cell>
        </row>
        <row r="37">
          <cell r="M37">
            <v>342031</v>
          </cell>
        </row>
        <row r="38">
          <cell r="M38">
            <v>342032</v>
          </cell>
        </row>
        <row r="39">
          <cell r="M39">
            <v>342029</v>
          </cell>
        </row>
        <row r="40">
          <cell r="M40">
            <v>342034</v>
          </cell>
        </row>
        <row r="41">
          <cell r="M41">
            <v>342033</v>
          </cell>
        </row>
        <row r="42">
          <cell r="M42">
            <v>342035</v>
          </cell>
        </row>
        <row r="43">
          <cell r="M43"/>
        </row>
        <row r="44">
          <cell r="M44">
            <v>342036</v>
          </cell>
        </row>
        <row r="45">
          <cell r="M45">
            <v>342037</v>
          </cell>
        </row>
        <row r="46">
          <cell r="M46">
            <v>342038</v>
          </cell>
        </row>
        <row r="47">
          <cell r="M47">
            <v>342040</v>
          </cell>
        </row>
        <row r="48">
          <cell r="M48">
            <v>342039</v>
          </cell>
        </row>
        <row r="49">
          <cell r="M49">
            <v>342041</v>
          </cell>
        </row>
      </sheetData>
      <sheetData sheetId="7"/>
      <sheetData sheetId="8"/>
      <sheetData sheetId="9">
        <row r="5">
          <cell r="H5">
            <v>1</v>
          </cell>
          <cell r="I5">
            <v>0.88</v>
          </cell>
          <cell r="J5">
            <v>1</v>
          </cell>
          <cell r="K5">
            <v>1</v>
          </cell>
          <cell r="L5">
            <v>0.89</v>
          </cell>
          <cell r="M5">
            <v>1</v>
          </cell>
          <cell r="N5">
            <v>1</v>
          </cell>
          <cell r="O5">
            <v>0.91</v>
          </cell>
          <cell r="P5">
            <v>0.82</v>
          </cell>
          <cell r="Q5">
            <v>1</v>
          </cell>
          <cell r="R5">
            <v>1</v>
          </cell>
          <cell r="S5">
            <v>0.88</v>
          </cell>
          <cell r="T5">
            <v>0.8</v>
          </cell>
          <cell r="U5">
            <v>0.85</v>
          </cell>
        </row>
        <row r="6">
          <cell r="H6">
            <v>1</v>
          </cell>
          <cell r="I6">
            <v>1</v>
          </cell>
          <cell r="J6">
            <v>0.8</v>
          </cell>
          <cell r="K6">
            <v>1</v>
          </cell>
          <cell r="L6">
            <v>0.89</v>
          </cell>
          <cell r="M6">
            <v>1</v>
          </cell>
          <cell r="N6">
            <v>1</v>
          </cell>
          <cell r="O6">
            <v>0.91</v>
          </cell>
          <cell r="P6">
            <v>0.84</v>
          </cell>
          <cell r="Q6">
            <v>1</v>
          </cell>
          <cell r="R6">
            <v>1</v>
          </cell>
          <cell r="S6">
            <v>0.82</v>
          </cell>
          <cell r="T6">
            <v>0.8</v>
          </cell>
          <cell r="U6">
            <v>0.9</v>
          </cell>
        </row>
        <row r="7"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0.82</v>
          </cell>
          <cell r="Q7">
            <v>1</v>
          </cell>
          <cell r="R7">
            <v>1</v>
          </cell>
          <cell r="S7">
            <v>0.8</v>
          </cell>
          <cell r="T7">
            <v>0.8</v>
          </cell>
          <cell r="U7">
            <v>0.83</v>
          </cell>
        </row>
        <row r="8">
          <cell r="H8">
            <v>1</v>
          </cell>
          <cell r="I8">
            <v>0.88</v>
          </cell>
          <cell r="J8">
            <v>1</v>
          </cell>
          <cell r="K8">
            <v>1</v>
          </cell>
          <cell r="L8">
            <v>0.89</v>
          </cell>
          <cell r="M8">
            <v>1</v>
          </cell>
          <cell r="N8">
            <v>1</v>
          </cell>
          <cell r="O8">
            <v>0.82</v>
          </cell>
          <cell r="P8">
            <v>1</v>
          </cell>
          <cell r="Q8">
            <v>1</v>
          </cell>
          <cell r="R8">
            <v>1</v>
          </cell>
          <cell r="S8">
            <v>0.94</v>
          </cell>
          <cell r="T8">
            <v>0.8</v>
          </cell>
          <cell r="U8">
            <v>0.9</v>
          </cell>
        </row>
        <row r="9"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0.94</v>
          </cell>
          <cell r="Q9">
            <v>1</v>
          </cell>
          <cell r="R9">
            <v>1</v>
          </cell>
          <cell r="S9">
            <v>0.8</v>
          </cell>
          <cell r="T9">
            <v>1</v>
          </cell>
          <cell r="U9">
            <v>1</v>
          </cell>
        </row>
        <row r="10"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</row>
        <row r="11"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0.89</v>
          </cell>
          <cell r="M11">
            <v>1</v>
          </cell>
          <cell r="N11">
            <v>1</v>
          </cell>
          <cell r="O11">
            <v>0.82</v>
          </cell>
          <cell r="P11">
            <v>1</v>
          </cell>
          <cell r="Q11">
            <v>1</v>
          </cell>
          <cell r="R11">
            <v>1</v>
          </cell>
          <cell r="S11">
            <v>0.82</v>
          </cell>
          <cell r="T11">
            <v>1</v>
          </cell>
          <cell r="U11">
            <v>0.9</v>
          </cell>
        </row>
        <row r="12">
          <cell r="H12">
            <v>1</v>
          </cell>
          <cell r="I12">
            <v>0.88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0.82</v>
          </cell>
          <cell r="P12">
            <v>0.94</v>
          </cell>
          <cell r="Q12">
            <v>1</v>
          </cell>
          <cell r="R12">
            <v>1</v>
          </cell>
          <cell r="S12"/>
          <cell r="T12">
            <v>0.8</v>
          </cell>
          <cell r="U12">
            <v>0.87</v>
          </cell>
        </row>
        <row r="13"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0.82</v>
          </cell>
          <cell r="P13">
            <v>0.88</v>
          </cell>
          <cell r="Q13">
            <v>0.8</v>
          </cell>
          <cell r="R13">
            <v>1</v>
          </cell>
          <cell r="S13"/>
          <cell r="T13">
            <v>1</v>
          </cell>
          <cell r="U13"/>
        </row>
        <row r="14"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0.91</v>
          </cell>
          <cell r="P14">
            <v>0.88</v>
          </cell>
          <cell r="Q14">
            <v>1</v>
          </cell>
          <cell r="R14">
            <v>1</v>
          </cell>
          <cell r="S14">
            <v>0.84</v>
          </cell>
          <cell r="T14">
            <v>1</v>
          </cell>
          <cell r="U14">
            <v>0.93</v>
          </cell>
        </row>
        <row r="15">
          <cell r="H15">
            <v>1</v>
          </cell>
          <cell r="I15">
            <v>0.88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0.88</v>
          </cell>
          <cell r="Q15">
            <v>1</v>
          </cell>
          <cell r="R15">
            <v>1</v>
          </cell>
          <cell r="S15">
            <v>0.8</v>
          </cell>
          <cell r="T15">
            <v>1</v>
          </cell>
          <cell r="U15">
            <v>0.92</v>
          </cell>
        </row>
        <row r="16">
          <cell r="H16">
            <v>1</v>
          </cell>
          <cell r="I16">
            <v>0.88</v>
          </cell>
          <cell r="J16">
            <v>0.8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0.82</v>
          </cell>
          <cell r="P16">
            <v>0.97</v>
          </cell>
          <cell r="Q16">
            <v>1</v>
          </cell>
          <cell r="R16">
            <v>1</v>
          </cell>
          <cell r="S16">
            <v>0.9</v>
          </cell>
          <cell r="T16">
            <v>0.8</v>
          </cell>
          <cell r="U16"/>
        </row>
        <row r="17"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</row>
        <row r="18"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</row>
        <row r="19"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</row>
        <row r="20"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</row>
        <row r="21">
          <cell r="H21" t="str">
            <v> </v>
          </cell>
          <cell r="I21">
            <v>1</v>
          </cell>
          <cell r="J21">
            <v>1</v>
          </cell>
          <cell r="K21" t="str">
            <v> </v>
          </cell>
          <cell r="L21" t="str">
            <v> </v>
          </cell>
          <cell r="M21" t="str">
            <v> </v>
          </cell>
          <cell r="N21">
            <v>1</v>
          </cell>
          <cell r="O21" t="str">
            <v> </v>
          </cell>
          <cell r="P21">
            <v>0.94</v>
          </cell>
          <cell r="Q21">
            <v>1</v>
          </cell>
          <cell r="R21">
            <v>1</v>
          </cell>
          <cell r="S21">
            <v>0.94</v>
          </cell>
          <cell r="T21">
            <v>1</v>
          </cell>
          <cell r="U21">
            <v>1</v>
          </cell>
        </row>
        <row r="22">
          <cell r="H22" t="str">
            <v> </v>
          </cell>
          <cell r="I22">
            <v>0.88</v>
          </cell>
          <cell r="J22">
            <v>0.8</v>
          </cell>
          <cell r="K22" t="str">
            <v> </v>
          </cell>
          <cell r="L22" t="str">
            <v> </v>
          </cell>
          <cell r="M22" t="str">
            <v> </v>
          </cell>
          <cell r="N22">
            <v>1</v>
          </cell>
          <cell r="O22" t="str">
            <v> </v>
          </cell>
          <cell r="P22">
            <v>0.88</v>
          </cell>
          <cell r="Q22">
            <v>1</v>
          </cell>
          <cell r="R22">
            <v>1</v>
          </cell>
          <cell r="S22">
            <v>0.94</v>
          </cell>
          <cell r="T22">
            <v>1</v>
          </cell>
          <cell r="U22">
            <v>0.98</v>
          </cell>
        </row>
        <row r="23">
          <cell r="H23" t="str">
            <v> </v>
          </cell>
          <cell r="I23">
            <v>1</v>
          </cell>
          <cell r="J23">
            <v>1</v>
          </cell>
          <cell r="K23" t="str">
            <v> </v>
          </cell>
          <cell r="L23" t="str">
            <v> </v>
          </cell>
          <cell r="M23" t="str">
            <v> </v>
          </cell>
          <cell r="N23">
            <v>1</v>
          </cell>
          <cell r="O23" t="str">
            <v> </v>
          </cell>
          <cell r="P23">
            <v>0.94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0.83</v>
          </cell>
        </row>
        <row r="24">
          <cell r="H24" t="str">
            <v> </v>
          </cell>
          <cell r="I24">
            <v>0.88</v>
          </cell>
          <cell r="J24">
            <v>1</v>
          </cell>
          <cell r="K24" t="str">
            <v> </v>
          </cell>
          <cell r="L24" t="str">
            <v> </v>
          </cell>
          <cell r="M24" t="str">
            <v> </v>
          </cell>
          <cell r="N24">
            <v>1</v>
          </cell>
          <cell r="O24" t="str">
            <v> </v>
          </cell>
          <cell r="P24">
            <v>0.88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/>
        </row>
        <row r="25">
          <cell r="H25" t="str">
            <v> </v>
          </cell>
          <cell r="I25"/>
          <cell r="J25"/>
          <cell r="K25" t="str">
            <v> </v>
          </cell>
          <cell r="L25" t="str">
            <v> </v>
          </cell>
          <cell r="M25" t="str">
            <v> </v>
          </cell>
          <cell r="N25"/>
          <cell r="O25" t="str">
            <v> </v>
          </cell>
          <cell r="P25"/>
          <cell r="Q25"/>
          <cell r="R25"/>
          <cell r="S25"/>
          <cell r="T25"/>
          <cell r="U25"/>
        </row>
        <row r="26">
          <cell r="H26" t="str">
            <v> </v>
          </cell>
          <cell r="I26">
            <v>0.88</v>
          </cell>
          <cell r="J26">
            <v>1</v>
          </cell>
          <cell r="K26" t="str">
            <v> </v>
          </cell>
          <cell r="L26" t="str">
            <v> </v>
          </cell>
          <cell r="M26" t="str">
            <v> </v>
          </cell>
          <cell r="N26">
            <v>1</v>
          </cell>
          <cell r="O26" t="str">
            <v> 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0.9</v>
          </cell>
        </row>
        <row r="27">
          <cell r="H27" t="str">
            <v> </v>
          </cell>
          <cell r="I27">
            <v>0.88</v>
          </cell>
          <cell r="J27">
            <v>1</v>
          </cell>
          <cell r="K27" t="str">
            <v> </v>
          </cell>
          <cell r="L27" t="str">
            <v> </v>
          </cell>
          <cell r="M27" t="str">
            <v> </v>
          </cell>
          <cell r="N27">
            <v>1</v>
          </cell>
          <cell r="O27" t="str">
            <v> 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0.9</v>
          </cell>
        </row>
        <row r="28">
          <cell r="H28" t="str">
            <v> </v>
          </cell>
          <cell r="I28"/>
          <cell r="J28"/>
          <cell r="K28" t="str">
            <v> </v>
          </cell>
          <cell r="L28" t="str">
            <v> </v>
          </cell>
          <cell r="M28" t="str">
            <v> </v>
          </cell>
          <cell r="N28"/>
          <cell r="O28" t="str">
            <v> </v>
          </cell>
          <cell r="P28"/>
          <cell r="Q28"/>
          <cell r="R28"/>
          <cell r="S28"/>
          <cell r="T28"/>
          <cell r="U28"/>
        </row>
        <row r="29">
          <cell r="H29" t="str">
            <v> </v>
          </cell>
          <cell r="I29"/>
          <cell r="J29"/>
          <cell r="K29" t="str">
            <v> </v>
          </cell>
          <cell r="L29" t="str">
            <v> </v>
          </cell>
          <cell r="M29" t="str">
            <v> </v>
          </cell>
          <cell r="N29"/>
          <cell r="O29" t="str">
            <v> </v>
          </cell>
          <cell r="P29"/>
          <cell r="Q29"/>
          <cell r="R29"/>
          <cell r="S29"/>
          <cell r="T29"/>
          <cell r="U29"/>
        </row>
        <row r="30">
          <cell r="H30" t="str">
            <v> </v>
          </cell>
          <cell r="I30"/>
          <cell r="J30"/>
          <cell r="K30" t="str">
            <v> </v>
          </cell>
          <cell r="L30" t="str">
            <v> </v>
          </cell>
          <cell r="M30" t="str">
            <v> </v>
          </cell>
          <cell r="N30"/>
          <cell r="O30" t="str">
            <v> </v>
          </cell>
          <cell r="P30"/>
          <cell r="Q30"/>
          <cell r="R30"/>
          <cell r="S30"/>
          <cell r="T30"/>
          <cell r="U30"/>
        </row>
        <row r="31">
          <cell r="H31" t="str">
            <v> </v>
          </cell>
          <cell r="I31"/>
          <cell r="J31"/>
          <cell r="K31" t="str">
            <v> </v>
          </cell>
          <cell r="L31" t="str">
            <v> </v>
          </cell>
          <cell r="M31" t="str">
            <v> </v>
          </cell>
          <cell r="N31"/>
          <cell r="O31" t="str">
            <v> </v>
          </cell>
          <cell r="P31"/>
          <cell r="Q31"/>
          <cell r="R31"/>
          <cell r="S31"/>
          <cell r="T31"/>
          <cell r="U31"/>
        </row>
        <row r="32">
          <cell r="H32" t="str">
            <v> </v>
          </cell>
          <cell r="I32">
            <v>1</v>
          </cell>
          <cell r="J32">
            <v>0.8</v>
          </cell>
          <cell r="K32" t="str">
            <v> </v>
          </cell>
          <cell r="L32" t="str">
            <v> </v>
          </cell>
          <cell r="M32" t="str">
            <v> </v>
          </cell>
          <cell r="N32">
            <v>1</v>
          </cell>
          <cell r="O32" t="str">
            <v> </v>
          </cell>
          <cell r="P32">
            <v>1</v>
          </cell>
          <cell r="Q32">
            <v>1</v>
          </cell>
          <cell r="R32">
            <v>1</v>
          </cell>
          <cell r="S32">
            <v>0.94</v>
          </cell>
          <cell r="T32">
            <v>0.8</v>
          </cell>
          <cell r="U32">
            <v>0.9</v>
          </cell>
        </row>
        <row r="33">
          <cell r="H33" t="str">
            <v> </v>
          </cell>
          <cell r="I33">
            <v>1</v>
          </cell>
          <cell r="J33">
            <v>0.8</v>
          </cell>
          <cell r="K33" t="str">
            <v> </v>
          </cell>
          <cell r="L33" t="str">
            <v> </v>
          </cell>
          <cell r="M33" t="str">
            <v> </v>
          </cell>
          <cell r="N33">
            <v>1</v>
          </cell>
          <cell r="O33" t="str">
            <v> </v>
          </cell>
          <cell r="P33">
            <v>0.94</v>
          </cell>
          <cell r="Q33">
            <v>1</v>
          </cell>
          <cell r="R33">
            <v>1</v>
          </cell>
          <cell r="S33">
            <v>0.81</v>
          </cell>
          <cell r="T33">
            <v>1</v>
          </cell>
          <cell r="U33"/>
        </row>
        <row r="34">
          <cell r="H34" t="str">
            <v> </v>
          </cell>
          <cell r="I34">
            <v>0.88</v>
          </cell>
          <cell r="J34">
            <v>1</v>
          </cell>
          <cell r="K34" t="str">
            <v> </v>
          </cell>
          <cell r="L34" t="str">
            <v> </v>
          </cell>
          <cell r="M34" t="str">
            <v> </v>
          </cell>
          <cell r="N34">
            <v>1</v>
          </cell>
          <cell r="O34" t="str">
            <v> </v>
          </cell>
          <cell r="P34">
            <v>0.94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0.83</v>
          </cell>
        </row>
        <row r="35">
          <cell r="H35" t="str">
            <v> </v>
          </cell>
          <cell r="I35">
            <v>1</v>
          </cell>
          <cell r="J35">
            <v>1</v>
          </cell>
          <cell r="K35" t="str">
            <v> </v>
          </cell>
          <cell r="L35" t="str">
            <v> </v>
          </cell>
          <cell r="M35" t="str">
            <v> </v>
          </cell>
          <cell r="N35">
            <v>1</v>
          </cell>
          <cell r="O35" t="str">
            <v> </v>
          </cell>
          <cell r="P35">
            <v>0.88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0.9</v>
          </cell>
        </row>
        <row r="36">
          <cell r="H36" t="str">
            <v> </v>
          </cell>
          <cell r="I36">
            <v>1</v>
          </cell>
          <cell r="J36">
            <v>1</v>
          </cell>
          <cell r="K36" t="str">
            <v> </v>
          </cell>
          <cell r="L36" t="str">
            <v> </v>
          </cell>
          <cell r="M36" t="str">
            <v> </v>
          </cell>
          <cell r="N36">
            <v>1</v>
          </cell>
          <cell r="O36" t="str">
            <v> </v>
          </cell>
          <cell r="P36">
            <v>0.88</v>
          </cell>
          <cell r="Q36">
            <v>1</v>
          </cell>
          <cell r="R36">
            <v>1</v>
          </cell>
          <cell r="S36">
            <v>0.82</v>
          </cell>
          <cell r="T36">
            <v>1</v>
          </cell>
          <cell r="U36">
            <v>1</v>
          </cell>
        </row>
        <row r="37">
          <cell r="H37" t="str">
            <v> </v>
          </cell>
          <cell r="I37">
            <v>1</v>
          </cell>
          <cell r="J37">
            <v>1</v>
          </cell>
          <cell r="K37" t="str">
            <v> </v>
          </cell>
          <cell r="L37" t="str">
            <v> </v>
          </cell>
          <cell r="M37" t="str">
            <v> </v>
          </cell>
          <cell r="N37">
            <v>1</v>
          </cell>
          <cell r="O37" t="str">
            <v> </v>
          </cell>
          <cell r="P37">
            <v>0.88</v>
          </cell>
          <cell r="Q37">
            <v>1</v>
          </cell>
          <cell r="R37">
            <v>1</v>
          </cell>
          <cell r="S37">
            <v>0.94</v>
          </cell>
          <cell r="T37">
            <v>1</v>
          </cell>
          <cell r="U37"/>
        </row>
        <row r="38">
          <cell r="H38" t="str">
            <v> </v>
          </cell>
          <cell r="I38">
            <v>1</v>
          </cell>
          <cell r="J38">
            <v>1</v>
          </cell>
          <cell r="K38" t="str">
            <v> </v>
          </cell>
          <cell r="L38" t="str">
            <v> </v>
          </cell>
          <cell r="M38" t="str">
            <v> </v>
          </cell>
          <cell r="N38">
            <v>1</v>
          </cell>
          <cell r="O38" t="str">
            <v> </v>
          </cell>
          <cell r="P38">
            <v>0.94</v>
          </cell>
          <cell r="Q38">
            <v>1</v>
          </cell>
          <cell r="R38">
            <v>1</v>
          </cell>
          <cell r="S38">
            <v>0.82</v>
          </cell>
          <cell r="T38">
            <v>1</v>
          </cell>
          <cell r="U38">
            <v>0.9</v>
          </cell>
        </row>
        <row r="39">
          <cell r="H39" t="str">
            <v> </v>
          </cell>
          <cell r="I39">
            <v>1</v>
          </cell>
          <cell r="J39">
            <v>1</v>
          </cell>
          <cell r="K39" t="str">
            <v> </v>
          </cell>
          <cell r="L39" t="str">
            <v> </v>
          </cell>
          <cell r="M39" t="str">
            <v> </v>
          </cell>
          <cell r="N39">
            <v>1</v>
          </cell>
          <cell r="O39" t="str">
            <v> </v>
          </cell>
          <cell r="P39">
            <v>1</v>
          </cell>
          <cell r="Q39">
            <v>1</v>
          </cell>
          <cell r="R39">
            <v>1</v>
          </cell>
          <cell r="S39">
            <v>0.86</v>
          </cell>
          <cell r="T39">
            <v>1</v>
          </cell>
          <cell r="U39">
            <v>0.95</v>
          </cell>
        </row>
        <row r="40">
          <cell r="H40" t="str">
            <v> </v>
          </cell>
          <cell r="I40">
            <v>1</v>
          </cell>
          <cell r="J40">
            <v>1</v>
          </cell>
          <cell r="K40" t="str">
            <v> </v>
          </cell>
          <cell r="L40" t="str">
            <v> </v>
          </cell>
          <cell r="M40" t="str">
            <v> </v>
          </cell>
          <cell r="N40">
            <v>1</v>
          </cell>
          <cell r="O40" t="str">
            <v> </v>
          </cell>
          <cell r="P40">
            <v>0.82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0.98</v>
          </cell>
        </row>
        <row r="41">
          <cell r="H41" t="str">
            <v> </v>
          </cell>
          <cell r="I41"/>
          <cell r="J41"/>
          <cell r="K41" t="str">
            <v> </v>
          </cell>
          <cell r="L41" t="str">
            <v> </v>
          </cell>
          <cell r="M41" t="str">
            <v> </v>
          </cell>
          <cell r="N41"/>
          <cell r="O41" t="str">
            <v> </v>
          </cell>
          <cell r="P41"/>
          <cell r="Q41"/>
          <cell r="R41"/>
          <cell r="S41"/>
          <cell r="T41"/>
          <cell r="U41"/>
        </row>
        <row r="42">
          <cell r="H42" t="str">
            <v> </v>
          </cell>
          <cell r="I42">
            <v>1</v>
          </cell>
          <cell r="J42">
            <v>1</v>
          </cell>
          <cell r="K42" t="str">
            <v> </v>
          </cell>
          <cell r="L42" t="str">
            <v> </v>
          </cell>
          <cell r="M42" t="str">
            <v> </v>
          </cell>
          <cell r="N42">
            <v>1</v>
          </cell>
          <cell r="O42" t="str">
            <v> </v>
          </cell>
          <cell r="P42">
            <v>0.94</v>
          </cell>
          <cell r="Q42">
            <v>1</v>
          </cell>
          <cell r="R42">
            <v>1</v>
          </cell>
          <cell r="S42"/>
          <cell r="T42">
            <v>1</v>
          </cell>
          <cell r="U42"/>
        </row>
        <row r="43">
          <cell r="H43" t="str">
            <v> </v>
          </cell>
          <cell r="I43">
            <v>0.88</v>
          </cell>
          <cell r="J43">
            <v>1</v>
          </cell>
          <cell r="K43" t="str">
            <v> </v>
          </cell>
          <cell r="L43" t="str">
            <v> </v>
          </cell>
          <cell r="M43" t="str">
            <v> </v>
          </cell>
          <cell r="N43">
            <v>1</v>
          </cell>
          <cell r="O43" t="str">
            <v> </v>
          </cell>
          <cell r="P43">
            <v>0.82</v>
          </cell>
          <cell r="Q43">
            <v>1</v>
          </cell>
          <cell r="R43">
            <v>1</v>
          </cell>
          <cell r="S43">
            <v>0.86</v>
          </cell>
          <cell r="T43">
            <v>1</v>
          </cell>
          <cell r="U43">
            <v>1</v>
          </cell>
        </row>
        <row r="44">
          <cell r="H44" t="str">
            <v> </v>
          </cell>
          <cell r="I44">
            <v>0.88</v>
          </cell>
          <cell r="J44">
            <v>1</v>
          </cell>
          <cell r="K44" t="str">
            <v> </v>
          </cell>
          <cell r="L44" t="str">
            <v> </v>
          </cell>
          <cell r="M44" t="str">
            <v> </v>
          </cell>
          <cell r="N44">
            <v>1</v>
          </cell>
          <cell r="O44" t="str">
            <v> </v>
          </cell>
          <cell r="P44">
            <v>0.92</v>
          </cell>
          <cell r="Q44">
            <v>1</v>
          </cell>
          <cell r="R44">
            <v>1</v>
          </cell>
          <cell r="S44">
            <v>0.94</v>
          </cell>
          <cell r="T44">
            <v>1</v>
          </cell>
          <cell r="U44">
            <v>0.98</v>
          </cell>
        </row>
        <row r="45">
          <cell r="H45" t="str">
            <v> </v>
          </cell>
          <cell r="I45">
            <v>1</v>
          </cell>
          <cell r="J45">
            <v>1</v>
          </cell>
          <cell r="K45" t="str">
            <v> </v>
          </cell>
          <cell r="L45" t="str">
            <v> </v>
          </cell>
          <cell r="M45" t="str">
            <v> </v>
          </cell>
          <cell r="N45">
            <v>1</v>
          </cell>
          <cell r="O45" t="str">
            <v> </v>
          </cell>
          <cell r="P45">
            <v>0.89</v>
          </cell>
          <cell r="Q45">
            <v>1</v>
          </cell>
          <cell r="R45">
            <v>1</v>
          </cell>
          <cell r="S45">
            <v>0.88</v>
          </cell>
          <cell r="T45">
            <v>1</v>
          </cell>
          <cell r="U45">
            <v>1</v>
          </cell>
        </row>
        <row r="46">
          <cell r="H46" t="str">
            <v> </v>
          </cell>
          <cell r="I46">
            <v>1</v>
          </cell>
          <cell r="J46">
            <v>1</v>
          </cell>
          <cell r="K46" t="str">
            <v> </v>
          </cell>
          <cell r="L46" t="str">
            <v> </v>
          </cell>
          <cell r="M46" t="str">
            <v> </v>
          </cell>
          <cell r="N46" t="str">
            <v> </v>
          </cell>
          <cell r="O46" t="str">
            <v> </v>
          </cell>
          <cell r="P46">
            <v>0.88</v>
          </cell>
          <cell r="Q46">
            <v>1</v>
          </cell>
          <cell r="R46">
            <v>1</v>
          </cell>
          <cell r="S46">
            <v>0.94</v>
          </cell>
          <cell r="T46">
            <v>1</v>
          </cell>
          <cell r="U46">
            <v>1</v>
          </cell>
        </row>
        <row r="47">
          <cell r="H47" t="str">
            <v> </v>
          </cell>
          <cell r="I47">
            <v>1</v>
          </cell>
          <cell r="J47">
            <v>1</v>
          </cell>
          <cell r="K47" t="str">
            <v> </v>
          </cell>
          <cell r="L47" t="str">
            <v> </v>
          </cell>
          <cell r="M47" t="str">
            <v> </v>
          </cell>
          <cell r="N47">
            <v>1</v>
          </cell>
          <cell r="O47"/>
          <cell r="P47">
            <v>0.88</v>
          </cell>
          <cell r="Q47">
            <v>1</v>
          </cell>
          <cell r="R47">
            <v>1</v>
          </cell>
          <cell r="S47">
            <v>0.94</v>
          </cell>
          <cell r="T47">
            <v>1</v>
          </cell>
          <cell r="U47">
            <v>0.98</v>
          </cell>
        </row>
        <row r="48">
          <cell r="H48" t="str">
            <v> </v>
          </cell>
          <cell r="I48">
            <v>0.88</v>
          </cell>
          <cell r="J48">
            <v>1</v>
          </cell>
          <cell r="K48" t="str">
            <v> </v>
          </cell>
          <cell r="L48" t="str">
            <v> </v>
          </cell>
          <cell r="M48" t="str">
            <v> </v>
          </cell>
          <cell r="N48">
            <v>1</v>
          </cell>
          <cell r="O48" t="str">
            <v> </v>
          </cell>
          <cell r="P48">
            <v>0.94</v>
          </cell>
          <cell r="Q48">
            <v>1</v>
          </cell>
          <cell r="R48">
            <v>1</v>
          </cell>
          <cell r="S48">
            <v>0.94</v>
          </cell>
          <cell r="T48">
            <v>1</v>
          </cell>
          <cell r="U48">
            <v>0.9</v>
          </cell>
        </row>
        <row r="49">
          <cell r="H49" t="str">
            <v> </v>
          </cell>
          <cell r="I49"/>
          <cell r="J49"/>
          <cell r="K49" t="str">
            <v> </v>
          </cell>
          <cell r="L49" t="str">
            <v> </v>
          </cell>
          <cell r="M49" t="str">
            <v> </v>
          </cell>
          <cell r="N49"/>
          <cell r="O49" t="str">
            <v> </v>
          </cell>
          <cell r="P49"/>
          <cell r="Q49"/>
          <cell r="R49"/>
          <cell r="S49"/>
          <cell r="T49"/>
          <cell r="U49"/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 with SMART plan</v>
          </cell>
          <cell r="F4" t="str">
            <v>Julie-Anne (Julie) Brideau</v>
          </cell>
        </row>
        <row r="5">
          <cell r="C5" t="str">
            <v>Terminated-Nesting 1B</v>
          </cell>
          <cell r="F5" t="str">
            <v>Melanie Caissie</v>
          </cell>
        </row>
        <row r="6">
          <cell r="C6" t="str">
            <v>Terminated-Nesting 3</v>
          </cell>
          <cell r="F6" t="str">
            <v>Vanessa Irakoze</v>
          </cell>
        </row>
        <row r="7">
          <cell r="C7" t="str">
            <v>Terminated-Nesting 3</v>
          </cell>
          <cell r="F7" t="str">
            <v>Clara-Delicia Itangamahoro</v>
          </cell>
        </row>
        <row r="8">
          <cell r="C8" t="str">
            <v>Terminated-Nesting 3</v>
          </cell>
          <cell r="F8" t="str">
            <v>Marie Carmel Fedorah Joseph</v>
          </cell>
        </row>
        <row r="9">
          <cell r="C9" t="str">
            <v>Did not Start</v>
          </cell>
          <cell r="F9" t="str">
            <v>Loic Kamgang Foyet</v>
          </cell>
        </row>
        <row r="10">
          <cell r="C10" t="str">
            <v>Resigned-Nesting 1B</v>
          </cell>
          <cell r="F10" t="str">
            <v>Dakiel Latreille</v>
          </cell>
        </row>
        <row r="11">
          <cell r="C11" t="str">
            <v>Resigned-Nesting 1B</v>
          </cell>
          <cell r="F11" t="str">
            <v>Jeremy (Jay) Lavoie</v>
          </cell>
        </row>
        <row r="12">
          <cell r="C12" t="str">
            <v>Terminated Tier 1B</v>
          </cell>
          <cell r="F12" t="str">
            <v>Danika Legacy-Aubé</v>
          </cell>
        </row>
        <row r="13">
          <cell r="C13" t="str">
            <v>Transition to Production</v>
          </cell>
          <cell r="F13" t="str">
            <v>Jennifer (Jenn) MacLean</v>
          </cell>
        </row>
        <row r="14">
          <cell r="C14" t="str">
            <v>Transition to Production</v>
          </cell>
          <cell r="F14" t="str">
            <v>Diane Matanye Sofo</v>
          </cell>
        </row>
        <row r="15">
          <cell r="C15" t="str">
            <v>Transition to Production</v>
          </cell>
          <cell r="F15" t="str">
            <v>Sarah Matondo</v>
          </cell>
        </row>
        <row r="16">
          <cell r="C16" t="str">
            <v>Terminated Tier 1A</v>
          </cell>
          <cell r="F16" t="str">
            <v>Francis Muhwezi</v>
          </cell>
        </row>
        <row r="17">
          <cell r="C17" t="str">
            <v>Moved/Joining Alternate Class/Program</v>
          </cell>
          <cell r="F17" t="str">
            <v>Cedric Niyotwagira</v>
          </cell>
        </row>
        <row r="18">
          <cell r="C18" t="str">
            <v>Did not Start</v>
          </cell>
          <cell r="F18" t="str">
            <v>Thelma Raymond</v>
          </cell>
        </row>
        <row r="19">
          <cell r="C19" t="str">
            <v>Did not Start</v>
          </cell>
          <cell r="F19" t="str">
            <v>Kelly Prince Rwanyange</v>
          </cell>
        </row>
        <row r="20">
          <cell r="C20" t="str">
            <v>Transition to Production with SMART plan</v>
          </cell>
          <cell r="F20" t="str">
            <v>Jian Daniel  Alajas</v>
          </cell>
        </row>
        <row r="21">
          <cell r="C21" t="str">
            <v>Terminated-Nesting 3</v>
          </cell>
          <cell r="F21" t="str">
            <v>Lyca Bacad</v>
          </cell>
        </row>
        <row r="22">
          <cell r="C22" t="str">
            <v>Terminated-Nesting 3</v>
          </cell>
          <cell r="F22" t="str">
            <v>Francheska Nicole Banares</v>
          </cell>
        </row>
        <row r="23">
          <cell r="C23" t="str">
            <v>Terminated-Nesting 3</v>
          </cell>
          <cell r="F23" t="str">
            <v>Eleazar (Ely) Francis Brequera</v>
          </cell>
        </row>
        <row r="24">
          <cell r="C24" t="str">
            <v>Did not Start</v>
          </cell>
          <cell r="F24" t="str">
            <v>Joanna Marie Briones</v>
          </cell>
        </row>
        <row r="25">
          <cell r="C25" t="str">
            <v>Transition to Production</v>
          </cell>
          <cell r="F25" t="str">
            <v>Blyzl (Bly) Kelly  Castilo</v>
          </cell>
        </row>
        <row r="26">
          <cell r="C26" t="str">
            <v>Did not Start</v>
          </cell>
          <cell r="F26" t="str">
            <v>Lawrence Josh  Cruz</v>
          </cell>
        </row>
        <row r="27">
          <cell r="C27" t="str">
            <v>Moved/Joining Alternate Class/Program</v>
          </cell>
          <cell r="F27" t="str">
            <v>Julius De Guzman</v>
          </cell>
        </row>
        <row r="28">
          <cell r="C28" t="str">
            <v>Did not Start</v>
          </cell>
          <cell r="F28" t="str">
            <v>Eliza May De Leon</v>
          </cell>
        </row>
        <row r="29">
          <cell r="C29" t="str">
            <v>Resigned Tier 1A</v>
          </cell>
          <cell r="F29" t="str">
            <v>Carmy Dela Cruz</v>
          </cell>
        </row>
        <row r="30">
          <cell r="C30" t="str">
            <v>Transition to Production</v>
          </cell>
          <cell r="F30" t="str">
            <v>Lemuel (Lem) Ray Fernandez</v>
          </cell>
        </row>
        <row r="31">
          <cell r="C31" t="str">
            <v>Transition to Production</v>
          </cell>
          <cell r="F31" t="str">
            <v>Arin Galvez</v>
          </cell>
        </row>
        <row r="32">
          <cell r="C32" t="str">
            <v>Transition to Production</v>
          </cell>
          <cell r="F32" t="str">
            <v>Von Rich Generoso</v>
          </cell>
        </row>
        <row r="33">
          <cell r="C33" t="str">
            <v>Transition to Production with SMART plan</v>
          </cell>
          <cell r="F33" t="str">
            <v>Jeremy  Gonzales</v>
          </cell>
        </row>
        <row r="34">
          <cell r="C34" t="str">
            <v>Terminated Tier 1B</v>
          </cell>
          <cell r="F34" t="str">
            <v>Mariella (Ciao) Jonson</v>
          </cell>
        </row>
        <row r="35">
          <cell r="C35" t="str">
            <v>Transition to Production with SMART plan</v>
          </cell>
          <cell r="F35" t="str">
            <v>Sarah Mae Jontilano</v>
          </cell>
        </row>
        <row r="36">
          <cell r="C36" t="str">
            <v>Transition to Production</v>
          </cell>
          <cell r="F36" t="str">
            <v>Rosalea (Eya) Kabukisan</v>
          </cell>
        </row>
        <row r="37">
          <cell r="C37" t="str">
            <v>Transition to Production with SMART plan</v>
          </cell>
          <cell r="F37" t="str">
            <v>Neilgel Suyom (Leil) Lizardo</v>
          </cell>
        </row>
        <row r="38">
          <cell r="C38" t="str">
            <v>Transition to Production</v>
          </cell>
          <cell r="F38" t="str">
            <v>Michael John Magracia</v>
          </cell>
        </row>
        <row r="39">
          <cell r="C39" t="str">
            <v>Did not Start</v>
          </cell>
          <cell r="F39" t="str">
            <v>Marianne  Manicad</v>
          </cell>
        </row>
        <row r="40">
          <cell r="C40" t="str">
            <v>Resigned Tier 1A</v>
          </cell>
          <cell r="F40" t="str">
            <v>Jerome  Marquez</v>
          </cell>
        </row>
        <row r="41">
          <cell r="C41" t="str">
            <v>Terminated-Nesting 3</v>
          </cell>
          <cell r="F41" t="str">
            <v>Cristel Ann  Melgar</v>
          </cell>
        </row>
        <row r="42">
          <cell r="C42" t="str">
            <v>Transition to Production</v>
          </cell>
          <cell r="F42" t="str">
            <v>Jerico Opena</v>
          </cell>
        </row>
        <row r="43">
          <cell r="C43" t="str">
            <v>Transition to Production</v>
          </cell>
          <cell r="F43" t="str">
            <v>Philip Andrew  Patawe</v>
          </cell>
        </row>
        <row r="44">
          <cell r="C44" t="str">
            <v>Moved/Joining Alternate Class/Program</v>
          </cell>
          <cell r="F44" t="str">
            <v>Julius  Salamoding</v>
          </cell>
        </row>
        <row r="45">
          <cell r="C45" t="str">
            <v>Transition to Production</v>
          </cell>
          <cell r="F45" t="str">
            <v>Rhea Mae (Ming) Tangcay</v>
          </cell>
        </row>
        <row r="46">
          <cell r="C46" t="str">
            <v>Resigned Tier 1B</v>
          </cell>
          <cell r="F46" t="str">
            <v>Michelle (Mich) Tubil</v>
          </cell>
        </row>
        <row r="47">
          <cell r="C47" t="str">
            <v>Did not Start</v>
          </cell>
          <cell r="F47" t="str">
            <v>Juvy Rey Villa</v>
          </cell>
        </row>
        <row r="48">
          <cell r="C48" t="str">
            <v>Transition to Production</v>
          </cell>
          <cell r="F48" t="str">
            <v>Kathleen Cleo (KC) Villasanta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FNEJLCPFM6TBBKBXEN4WOBKSN3">
      <xxl21:absoluteUrl r:id="rId2"/>
    </xxl21:alternateUrls>
    <sheetNames>
      <sheetName val="Quick Links"/>
      <sheetName val="One-Time Check List"/>
      <sheetName val="Class Summary"/>
      <sheetName val="Daily Checklist"/>
      <sheetName val="Student Data"/>
      <sheetName val="Preprocess SWOT"/>
      <sheetName val="Attendance"/>
      <sheetName val="Daily Observation"/>
      <sheetName val="Performance"/>
      <sheetName val="Day 1 WFH Audit"/>
      <sheetName val="Perform Tier 2"/>
      <sheetName val="Performance RSA"/>
      <sheetName val="Preprocess Training Report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5">
          <cell r="M5">
            <v>342810</v>
          </cell>
        </row>
        <row r="6">
          <cell r="M6">
            <v>342804</v>
          </cell>
        </row>
        <row r="7">
          <cell r="M7">
            <v>342800</v>
          </cell>
        </row>
        <row r="8">
          <cell r="M8">
            <v>342809</v>
          </cell>
        </row>
        <row r="9">
          <cell r="M9">
            <v>342803</v>
          </cell>
        </row>
        <row r="10">
          <cell r="M10">
            <v>342794</v>
          </cell>
        </row>
        <row r="11">
          <cell r="M11">
            <v>342792</v>
          </cell>
        </row>
        <row r="12">
          <cell r="M12">
            <v>342807</v>
          </cell>
        </row>
        <row r="13">
          <cell r="M13">
            <v>342796</v>
          </cell>
        </row>
        <row r="14">
          <cell r="M14">
            <v>342801</v>
          </cell>
        </row>
        <row r="15">
          <cell r="M15">
            <v>342808</v>
          </cell>
        </row>
        <row r="16">
          <cell r="M16">
            <v>342805</v>
          </cell>
        </row>
        <row r="17">
          <cell r="M17">
            <v>342811</v>
          </cell>
        </row>
        <row r="18">
          <cell r="M18"/>
        </row>
        <row r="19">
          <cell r="M19">
            <v>342790</v>
          </cell>
        </row>
        <row r="20">
          <cell r="M20">
            <v>342799</v>
          </cell>
        </row>
        <row r="21">
          <cell r="M21">
            <v>342798</v>
          </cell>
        </row>
        <row r="22">
          <cell r="M22">
            <v>342788</v>
          </cell>
        </row>
        <row r="23">
          <cell r="M23">
            <v>342802</v>
          </cell>
        </row>
        <row r="24">
          <cell r="M24">
            <v>341019</v>
          </cell>
        </row>
      </sheetData>
      <sheetData sheetId="5"/>
      <sheetData sheetId="6"/>
      <sheetData sheetId="7"/>
      <sheetData sheetId="8">
        <row r="5">
          <cell r="H5" t="str">
            <v>N/A</v>
          </cell>
          <cell r="I5">
            <v>1</v>
          </cell>
          <cell r="J5">
            <v>1</v>
          </cell>
          <cell r="K5" t="str">
            <v>N/A</v>
          </cell>
          <cell r="L5" t="str">
            <v>N/A</v>
          </cell>
          <cell r="M5" t="str">
            <v>N/A</v>
          </cell>
          <cell r="N5">
            <v>1</v>
          </cell>
          <cell r="O5" t="str">
            <v>N/A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0.86</v>
          </cell>
        </row>
        <row r="6">
          <cell r="H6" t="str">
            <v>N/A</v>
          </cell>
          <cell r="I6">
            <v>0.88</v>
          </cell>
          <cell r="J6">
            <v>1</v>
          </cell>
          <cell r="K6" t="str">
            <v>N/A</v>
          </cell>
          <cell r="L6" t="str">
            <v>N/A</v>
          </cell>
          <cell r="M6" t="str">
            <v>N/A</v>
          </cell>
          <cell r="N6">
            <v>1</v>
          </cell>
          <cell r="O6" t="str">
            <v>N/A</v>
          </cell>
          <cell r="P6">
            <v>0.94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0.8</v>
          </cell>
        </row>
        <row r="7">
          <cell r="H7" t="str">
            <v>N/A</v>
          </cell>
          <cell r="I7">
            <v>1</v>
          </cell>
          <cell r="J7">
            <v>1</v>
          </cell>
          <cell r="K7" t="str">
            <v>N/A</v>
          </cell>
          <cell r="L7" t="str">
            <v>N/A</v>
          </cell>
          <cell r="M7" t="str">
            <v>N/A</v>
          </cell>
          <cell r="N7">
            <v>1</v>
          </cell>
          <cell r="O7" t="str">
            <v>N/A</v>
          </cell>
          <cell r="P7">
            <v>1</v>
          </cell>
          <cell r="Q7">
            <v>1</v>
          </cell>
          <cell r="R7">
            <v>1</v>
          </cell>
          <cell r="S7" t="str">
            <v>TRANSF</v>
          </cell>
          <cell r="T7">
            <v>1</v>
          </cell>
          <cell r="U7" t="str">
            <v>TRANSF</v>
          </cell>
        </row>
        <row r="8">
          <cell r="H8" t="str">
            <v>N/A</v>
          </cell>
          <cell r="I8">
            <v>1</v>
          </cell>
          <cell r="J8">
            <v>1</v>
          </cell>
          <cell r="K8" t="str">
            <v>N/A</v>
          </cell>
          <cell r="L8" t="str">
            <v>N/A</v>
          </cell>
          <cell r="M8" t="str">
            <v>N/A</v>
          </cell>
          <cell r="N8">
            <v>1</v>
          </cell>
          <cell r="O8" t="str">
            <v>N/A</v>
          </cell>
          <cell r="P8">
            <v>1</v>
          </cell>
          <cell r="Q8">
            <v>1</v>
          </cell>
          <cell r="R8">
            <v>1</v>
          </cell>
          <cell r="S8">
            <v>0.88</v>
          </cell>
          <cell r="T8">
            <v>1</v>
          </cell>
          <cell r="U8">
            <v>0.9</v>
          </cell>
        </row>
        <row r="9">
          <cell r="H9" t="str">
            <v>N/A</v>
          </cell>
          <cell r="I9">
            <v>1</v>
          </cell>
          <cell r="J9">
            <v>1</v>
          </cell>
          <cell r="K9" t="str">
            <v>N/A</v>
          </cell>
          <cell r="L9" t="str">
            <v>N/A</v>
          </cell>
          <cell r="M9" t="str">
            <v>N/A</v>
          </cell>
          <cell r="N9">
            <v>1</v>
          </cell>
          <cell r="O9" t="str">
            <v>N/A</v>
          </cell>
          <cell r="P9">
            <v>1</v>
          </cell>
          <cell r="Q9">
            <v>1</v>
          </cell>
          <cell r="R9">
            <v>1</v>
          </cell>
          <cell r="S9">
            <v>0.94</v>
          </cell>
          <cell r="T9">
            <v>0.8</v>
          </cell>
          <cell r="U9">
            <v>1</v>
          </cell>
        </row>
        <row r="10">
          <cell r="H10" t="str">
            <v>N/A</v>
          </cell>
          <cell r="I10">
            <v>1</v>
          </cell>
          <cell r="J10">
            <v>1</v>
          </cell>
          <cell r="K10" t="str">
            <v>N/A</v>
          </cell>
          <cell r="L10" t="str">
            <v>N/A</v>
          </cell>
          <cell r="M10" t="str">
            <v>N/A</v>
          </cell>
          <cell r="N10">
            <v>1</v>
          </cell>
          <cell r="O10" t="str">
            <v>N/A</v>
          </cell>
          <cell r="P10">
            <v>0.94</v>
          </cell>
          <cell r="Q10">
            <v>1</v>
          </cell>
          <cell r="R10">
            <v>1</v>
          </cell>
          <cell r="S10">
            <v>0.88</v>
          </cell>
          <cell r="T10">
            <v>1</v>
          </cell>
          <cell r="U10">
            <v>0.83</v>
          </cell>
        </row>
        <row r="11">
          <cell r="H11" t="str">
            <v>N/A</v>
          </cell>
          <cell r="I11">
            <v>0.88</v>
          </cell>
          <cell r="J11">
            <v>1</v>
          </cell>
          <cell r="K11" t="str">
            <v>N/A</v>
          </cell>
          <cell r="L11" t="str">
            <v>N/A</v>
          </cell>
          <cell r="M11" t="str">
            <v>N/A</v>
          </cell>
          <cell r="N11">
            <v>1</v>
          </cell>
          <cell r="O11" t="str">
            <v>N/A</v>
          </cell>
          <cell r="P11">
            <v>0.82</v>
          </cell>
          <cell r="Q11">
            <v>1</v>
          </cell>
          <cell r="R11">
            <v>1</v>
          </cell>
          <cell r="S11">
            <v>0.94</v>
          </cell>
          <cell r="T11">
            <v>0.8</v>
          </cell>
          <cell r="U11">
            <v>1</v>
          </cell>
        </row>
        <row r="12">
          <cell r="H12" t="str">
            <v>N/A</v>
          </cell>
          <cell r="I12">
            <v>1</v>
          </cell>
          <cell r="J12">
            <v>1</v>
          </cell>
          <cell r="K12" t="str">
            <v>N/A</v>
          </cell>
          <cell r="L12" t="str">
            <v>N/A</v>
          </cell>
          <cell r="M12" t="str">
            <v>N/A</v>
          </cell>
          <cell r="N12">
            <v>1</v>
          </cell>
          <cell r="O12" t="str">
            <v>N/A</v>
          </cell>
          <cell r="P12">
            <v>0.9</v>
          </cell>
          <cell r="Q12">
            <v>1</v>
          </cell>
          <cell r="R12">
            <v>1</v>
          </cell>
          <cell r="S12">
            <v>0.84</v>
          </cell>
          <cell r="T12">
            <v>1</v>
          </cell>
          <cell r="U12">
            <v>0.94</v>
          </cell>
        </row>
        <row r="13">
          <cell r="H13" t="str">
            <v>N/A</v>
          </cell>
          <cell r="I13">
            <v>1</v>
          </cell>
          <cell r="J13">
            <v>1</v>
          </cell>
          <cell r="K13" t="str">
            <v>N/A</v>
          </cell>
          <cell r="L13" t="str">
            <v>N/A</v>
          </cell>
          <cell r="M13" t="str">
            <v>N/A</v>
          </cell>
          <cell r="N13">
            <v>1</v>
          </cell>
          <cell r="O13" t="str">
            <v>N/A</v>
          </cell>
          <cell r="P13">
            <v>0.94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0.81</v>
          </cell>
        </row>
        <row r="14">
          <cell r="H14" t="str">
            <v>N/A</v>
          </cell>
          <cell r="I14">
            <v>1</v>
          </cell>
          <cell r="J14">
            <v>1</v>
          </cell>
          <cell r="K14" t="str">
            <v>N/A</v>
          </cell>
          <cell r="L14" t="str">
            <v>N/A</v>
          </cell>
          <cell r="M14" t="str">
            <v>N/A</v>
          </cell>
          <cell r="N14">
            <v>1</v>
          </cell>
          <cell r="O14" t="str">
            <v>N/A</v>
          </cell>
          <cell r="P14">
            <v>1</v>
          </cell>
          <cell r="Q14">
            <v>1</v>
          </cell>
          <cell r="R14">
            <v>1</v>
          </cell>
          <cell r="S14">
            <v>0.82</v>
          </cell>
          <cell r="T14">
            <v>1</v>
          </cell>
          <cell r="U14">
            <v>0.88</v>
          </cell>
        </row>
        <row r="15">
          <cell r="H15" t="str">
            <v>N/A</v>
          </cell>
          <cell r="I15">
            <v>1</v>
          </cell>
          <cell r="J15">
            <v>1</v>
          </cell>
          <cell r="K15" t="str">
            <v>N/A</v>
          </cell>
          <cell r="L15" t="str">
            <v>N/A</v>
          </cell>
          <cell r="M15" t="str">
            <v>N/A</v>
          </cell>
          <cell r="N15">
            <v>1</v>
          </cell>
          <cell r="O15" t="str">
            <v>N/A</v>
          </cell>
          <cell r="P15">
            <v>1</v>
          </cell>
          <cell r="Q15">
            <v>1</v>
          </cell>
          <cell r="R15">
            <v>1</v>
          </cell>
          <cell r="S15">
            <v>0.9</v>
          </cell>
          <cell r="T15">
            <v>1</v>
          </cell>
          <cell r="U15">
            <v>0.86</v>
          </cell>
        </row>
        <row r="16">
          <cell r="H16" t="str">
            <v>N/A</v>
          </cell>
          <cell r="I16">
            <v>1</v>
          </cell>
          <cell r="J16">
            <v>1</v>
          </cell>
          <cell r="K16" t="str">
            <v>N/A</v>
          </cell>
          <cell r="L16" t="str">
            <v>N/A</v>
          </cell>
          <cell r="M16" t="str">
            <v>N/A</v>
          </cell>
          <cell r="N16">
            <v>1</v>
          </cell>
          <cell r="O16" t="str">
            <v>N/A</v>
          </cell>
          <cell r="P16">
            <v>0.94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0.81</v>
          </cell>
        </row>
        <row r="17">
          <cell r="H17" t="str">
            <v>N/A</v>
          </cell>
          <cell r="I17">
            <v>1</v>
          </cell>
          <cell r="J17">
            <v>1</v>
          </cell>
          <cell r="K17" t="str">
            <v>N/A</v>
          </cell>
          <cell r="L17" t="str">
            <v>N/A</v>
          </cell>
          <cell r="M17" t="str">
            <v>N/A</v>
          </cell>
          <cell r="N17">
            <v>1</v>
          </cell>
          <cell r="O17" t="str">
            <v>N/A</v>
          </cell>
          <cell r="P17">
            <v>1</v>
          </cell>
          <cell r="Q17">
            <v>1</v>
          </cell>
          <cell r="R17">
            <v>1</v>
          </cell>
          <cell r="S17">
            <v>0.94</v>
          </cell>
          <cell r="T17">
            <v>1</v>
          </cell>
          <cell r="U17">
            <v>0.88</v>
          </cell>
        </row>
        <row r="18">
          <cell r="H18" t="str">
            <v>Did not start</v>
          </cell>
          <cell r="I18" t="str">
            <v>Did not start</v>
          </cell>
          <cell r="J18" t="str">
            <v>Did not start</v>
          </cell>
          <cell r="K18" t="str">
            <v>Did not start</v>
          </cell>
          <cell r="L18" t="str">
            <v>Did not start</v>
          </cell>
          <cell r="M18" t="str">
            <v>Did not start</v>
          </cell>
          <cell r="N18" t="str">
            <v>Did not start</v>
          </cell>
          <cell r="O18" t="str">
            <v>Did not start</v>
          </cell>
          <cell r="P18" t="str">
            <v>Did not start</v>
          </cell>
          <cell r="Q18" t="str">
            <v>Did not start</v>
          </cell>
          <cell r="R18" t="str">
            <v>Did not Start</v>
          </cell>
          <cell r="S18" t="str">
            <v>Did not Start</v>
          </cell>
          <cell r="T18" t="str">
            <v>Did not Start</v>
          </cell>
          <cell r="U18" t="str">
            <v>Did not Start</v>
          </cell>
        </row>
        <row r="19">
          <cell r="H19" t="str">
            <v>N/A</v>
          </cell>
          <cell r="I19">
            <v>0.88</v>
          </cell>
          <cell r="J19">
            <v>1</v>
          </cell>
          <cell r="K19" t="str">
            <v>N/A</v>
          </cell>
          <cell r="L19" t="str">
            <v>N/A</v>
          </cell>
          <cell r="M19" t="str">
            <v>N/A</v>
          </cell>
          <cell r="N19">
            <v>1</v>
          </cell>
          <cell r="O19" t="str">
            <v>N/A</v>
          </cell>
          <cell r="P19">
            <v>0.94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0.9</v>
          </cell>
        </row>
        <row r="20">
          <cell r="H20" t="str">
            <v>N/A</v>
          </cell>
          <cell r="I20">
            <v>1</v>
          </cell>
          <cell r="J20">
            <v>0.8</v>
          </cell>
          <cell r="K20" t="str">
            <v>N/A</v>
          </cell>
          <cell r="L20" t="str">
            <v>N/A</v>
          </cell>
          <cell r="M20" t="str">
            <v>N/A</v>
          </cell>
          <cell r="N20">
            <v>1</v>
          </cell>
          <cell r="O20" t="str">
            <v>N/A</v>
          </cell>
          <cell r="P20">
            <v>0.97</v>
          </cell>
          <cell r="Q20">
            <v>1</v>
          </cell>
          <cell r="R20">
            <v>1</v>
          </cell>
          <cell r="S20">
            <v>0.91</v>
          </cell>
          <cell r="T20">
            <v>1</v>
          </cell>
          <cell r="U20">
            <v>0.82</v>
          </cell>
        </row>
        <row r="21">
          <cell r="H21" t="str">
            <v>N/A</v>
          </cell>
          <cell r="I21">
            <v>1</v>
          </cell>
          <cell r="J21">
            <v>1</v>
          </cell>
          <cell r="K21" t="str">
            <v>N/A</v>
          </cell>
          <cell r="L21" t="str">
            <v>N/A</v>
          </cell>
          <cell r="M21" t="str">
            <v>N/A</v>
          </cell>
          <cell r="N21">
            <v>1</v>
          </cell>
          <cell r="O21" t="str">
            <v>N/A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</row>
        <row r="22">
          <cell r="H22" t="str">
            <v>N/A</v>
          </cell>
          <cell r="I22">
            <v>1</v>
          </cell>
          <cell r="J22">
            <v>1</v>
          </cell>
          <cell r="K22" t="str">
            <v>N/A</v>
          </cell>
          <cell r="L22" t="str">
            <v>N/A</v>
          </cell>
          <cell r="M22" t="str">
            <v>N/A</v>
          </cell>
          <cell r="N22">
            <v>1</v>
          </cell>
          <cell r="O22" t="str">
            <v>N/A</v>
          </cell>
          <cell r="P22">
            <v>0.94</v>
          </cell>
          <cell r="Q22">
            <v>1</v>
          </cell>
          <cell r="R22">
            <v>1</v>
          </cell>
          <cell r="S22">
            <v>0.98</v>
          </cell>
          <cell r="T22">
            <v>1</v>
          </cell>
          <cell r="U22">
            <v>1</v>
          </cell>
        </row>
        <row r="23">
          <cell r="H23" t="str">
            <v>N/A</v>
          </cell>
          <cell r="I23">
            <v>1</v>
          </cell>
          <cell r="J23">
            <v>1</v>
          </cell>
          <cell r="K23" t="str">
            <v>N/A</v>
          </cell>
          <cell r="L23" t="str">
            <v>N/A</v>
          </cell>
          <cell r="M23" t="str">
            <v>N/A</v>
          </cell>
          <cell r="N23">
            <v>1</v>
          </cell>
          <cell r="O23" t="str">
            <v>N/A</v>
          </cell>
          <cell r="P23">
            <v>0.94</v>
          </cell>
          <cell r="Q23">
            <v>1</v>
          </cell>
          <cell r="R23">
            <v>1</v>
          </cell>
          <cell r="S23">
            <v>0.94</v>
          </cell>
          <cell r="T23">
            <v>1</v>
          </cell>
          <cell r="U23">
            <v>0.98</v>
          </cell>
        </row>
        <row r="24">
          <cell r="H24" t="str">
            <v>N/A</v>
          </cell>
          <cell r="I24">
            <v>1</v>
          </cell>
          <cell r="J24">
            <v>0.88</v>
          </cell>
          <cell r="K24" t="str">
            <v>N/A</v>
          </cell>
          <cell r="L24" t="str">
            <v>N/A</v>
          </cell>
          <cell r="M24" t="str">
            <v>N/A</v>
          </cell>
          <cell r="N24">
            <v>1</v>
          </cell>
          <cell r="O24" t="str">
            <v>N/A</v>
          </cell>
          <cell r="P24">
            <v>0.88</v>
          </cell>
          <cell r="Q24">
            <v>1</v>
          </cell>
          <cell r="R24">
            <v>1</v>
          </cell>
          <cell r="S24">
            <v>1</v>
          </cell>
          <cell r="T24">
            <v>0.82</v>
          </cell>
          <cell r="U24">
            <v>0.9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</v>
          </cell>
          <cell r="F4" t="str">
            <v>Trixia Anne Abillon</v>
          </cell>
        </row>
        <row r="5">
          <cell r="C5" t="str">
            <v>Resigned-Nesting 1B</v>
          </cell>
          <cell r="F5" t="str">
            <v>Jose Basinillo</v>
          </cell>
        </row>
        <row r="6">
          <cell r="C6" t="str">
            <v>Moved/Joining Alternate Class/Program</v>
          </cell>
          <cell r="F6" t="str">
            <v>Jasper Bautista</v>
          </cell>
        </row>
        <row r="7">
          <cell r="C7" t="str">
            <v>Transition to Production</v>
          </cell>
          <cell r="F7" t="str">
            <v>Ma. Clarisse Cardeno</v>
          </cell>
        </row>
        <row r="8">
          <cell r="C8" t="str">
            <v>Resigned-Nesting 1A</v>
          </cell>
          <cell r="F8" t="str">
            <v>John Paulo Castillo</v>
          </cell>
        </row>
        <row r="9">
          <cell r="C9" t="str">
            <v>Transition to Production</v>
          </cell>
          <cell r="F9" t="str">
            <v>Cathrina Dizon</v>
          </cell>
        </row>
        <row r="10">
          <cell r="C10" t="str">
            <v>Transition to Production</v>
          </cell>
          <cell r="F10" t="str">
            <v>Carmae Rose Fabros</v>
          </cell>
        </row>
        <row r="11">
          <cell r="C11" t="str">
            <v>Transition to Production</v>
          </cell>
          <cell r="F11" t="str">
            <v>Joyce Jimenez</v>
          </cell>
        </row>
        <row r="12">
          <cell r="C12" t="str">
            <v>Transition to Production</v>
          </cell>
          <cell r="F12" t="str">
            <v>Carol Joy Macawili-Gatbonton</v>
          </cell>
        </row>
        <row r="13">
          <cell r="C13" t="str">
            <v>Transition to Production</v>
          </cell>
          <cell r="F13" t="str">
            <v>Janah Rose Medina</v>
          </cell>
        </row>
        <row r="14">
          <cell r="C14" t="str">
            <v>Resigned-Nesting 3</v>
          </cell>
          <cell r="F14" t="str">
            <v>Kaye Najito</v>
          </cell>
        </row>
        <row r="15">
          <cell r="C15" t="str">
            <v>Transition to Production</v>
          </cell>
          <cell r="F15" t="str">
            <v>John Carlo Nipa</v>
          </cell>
        </row>
        <row r="16">
          <cell r="C16" t="str">
            <v>Transition to Production</v>
          </cell>
          <cell r="F16" t="str">
            <v>Ravince Ortilla</v>
          </cell>
        </row>
        <row r="17">
          <cell r="C17" t="str">
            <v>Did not Start</v>
          </cell>
          <cell r="F17" t="str">
            <v>Katrina Angela Pangan</v>
          </cell>
        </row>
        <row r="18">
          <cell r="C18" t="str">
            <v>Transition to Production</v>
          </cell>
          <cell r="F18" t="str">
            <v>Allyza Gean Redondo</v>
          </cell>
        </row>
        <row r="19">
          <cell r="C19" t="str">
            <v>Transition to Production with SMART plan</v>
          </cell>
          <cell r="F19" t="str">
            <v>Gemalou Sicat</v>
          </cell>
        </row>
        <row r="20">
          <cell r="C20" t="str">
            <v>Transition to Production</v>
          </cell>
          <cell r="F20" t="str">
            <v>Dominic Shem Soliva</v>
          </cell>
        </row>
        <row r="21">
          <cell r="C21" t="str">
            <v>Transition to Production</v>
          </cell>
          <cell r="F21" t="str">
            <v>Adon Khen Vicitacion</v>
          </cell>
        </row>
        <row r="22">
          <cell r="C22" t="str">
            <v>Terminated-Nesting 3</v>
          </cell>
          <cell r="F22" t="str">
            <v xml:space="preserve">Erma Villoso </v>
          </cell>
        </row>
        <row r="23">
          <cell r="C23" t="str">
            <v>Resigned-Nesting 3</v>
          </cell>
          <cell r="F23" t="str">
            <v>Leramel Cage Ramirez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ELXW5QEKWJ2FHKLFANYAZEHJGV">
      <xxl21:absoluteUrl r:id="rId2"/>
    </xxl21:alternateUrls>
    <sheetNames>
      <sheetName val="Quick Links"/>
      <sheetName val="Class Summary"/>
      <sheetName val="One-Time Check List"/>
      <sheetName val="Daily Checklist"/>
      <sheetName val="Student Data"/>
      <sheetName val="Preprocess SWOT"/>
      <sheetName val="Attendance"/>
      <sheetName val="Perform Tier 2"/>
      <sheetName val="Performance RSA"/>
      <sheetName val="Preprocess Training Report"/>
      <sheetName val="Skill Assessment"/>
      <sheetName val="PCB Nesting Incentive Offshore"/>
      <sheetName val="Daily Observation"/>
      <sheetName val="Performance"/>
      <sheetName val="Day 1 WFH Audit"/>
      <sheetName val="PCB Nesting QA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5">
          <cell r="M5">
            <v>40379</v>
          </cell>
        </row>
        <row r="6">
          <cell r="M6">
            <v>40529</v>
          </cell>
        </row>
        <row r="7">
          <cell r="M7">
            <v>40530</v>
          </cell>
        </row>
        <row r="8">
          <cell r="M8">
            <v>40531</v>
          </cell>
        </row>
        <row r="9">
          <cell r="M9">
            <v>40532</v>
          </cell>
        </row>
        <row r="10">
          <cell r="M10">
            <v>40533</v>
          </cell>
        </row>
        <row r="11">
          <cell r="M11">
            <v>40534</v>
          </cell>
        </row>
        <row r="12">
          <cell r="M12">
            <v>40535</v>
          </cell>
        </row>
        <row r="13">
          <cell r="M13">
            <v>40536</v>
          </cell>
        </row>
        <row r="14">
          <cell r="M14">
            <v>40537</v>
          </cell>
        </row>
        <row r="15">
          <cell r="M15">
            <v>40538</v>
          </cell>
        </row>
        <row r="16">
          <cell r="M16">
            <v>40539</v>
          </cell>
        </row>
        <row r="17">
          <cell r="M17">
            <v>40540</v>
          </cell>
        </row>
        <row r="18">
          <cell r="M18">
            <v>40541</v>
          </cell>
        </row>
        <row r="19">
          <cell r="M19">
            <v>40542</v>
          </cell>
        </row>
        <row r="20">
          <cell r="M20">
            <v>40543</v>
          </cell>
        </row>
        <row r="21">
          <cell r="M21">
            <v>40544</v>
          </cell>
        </row>
        <row r="22">
          <cell r="M22">
            <v>40342</v>
          </cell>
        </row>
        <row r="23">
          <cell r="M23">
            <v>35971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H5">
            <v>1</v>
          </cell>
          <cell r="I5">
            <v>0.88</v>
          </cell>
          <cell r="J5">
            <v>0.8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0.94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0.89</v>
          </cell>
        </row>
        <row r="6"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0.91</v>
          </cell>
          <cell r="P6">
            <v>0.82</v>
          </cell>
          <cell r="Q6">
            <v>1</v>
          </cell>
          <cell r="R6">
            <v>1</v>
          </cell>
          <cell r="S6">
            <v>0.83</v>
          </cell>
          <cell r="T6">
            <v>1</v>
          </cell>
          <cell r="U6">
            <v>0.9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>
            <v>0.89</v>
          </cell>
          <cell r="M7">
            <v>1</v>
          </cell>
          <cell r="N7">
            <v>1</v>
          </cell>
          <cell r="O7">
            <v>0.87</v>
          </cell>
          <cell r="P7">
            <v>0.94</v>
          </cell>
          <cell r="Q7">
            <v>1</v>
          </cell>
          <cell r="R7">
            <v>1</v>
          </cell>
          <cell r="S7">
            <v>0.88</v>
          </cell>
          <cell r="T7">
            <v>1</v>
          </cell>
          <cell r="U7">
            <v>0.92</v>
          </cell>
        </row>
        <row r="8">
          <cell r="H8">
            <v>1</v>
          </cell>
          <cell r="I8">
            <v>0.89</v>
          </cell>
          <cell r="J8">
            <v>1</v>
          </cell>
          <cell r="K8">
            <v>1</v>
          </cell>
          <cell r="L8">
            <v>0.89</v>
          </cell>
          <cell r="M8">
            <v>1</v>
          </cell>
          <cell r="N8">
            <v>1</v>
          </cell>
          <cell r="O8">
            <v>0.87</v>
          </cell>
          <cell r="P8">
            <v>0.82</v>
          </cell>
          <cell r="Q8">
            <v>1</v>
          </cell>
          <cell r="R8">
            <v>1</v>
          </cell>
          <cell r="S8">
            <v>0.9</v>
          </cell>
          <cell r="T8">
            <v>0.8</v>
          </cell>
          <cell r="U8">
            <v>0.9</v>
          </cell>
        </row>
        <row r="9">
          <cell r="H9">
            <v>1</v>
          </cell>
          <cell r="I9">
            <v>1</v>
          </cell>
          <cell r="J9">
            <v>0.94</v>
          </cell>
          <cell r="K9">
            <v>1</v>
          </cell>
          <cell r="L9">
            <v>1</v>
          </cell>
          <cell r="M9">
            <v>1</v>
          </cell>
          <cell r="N9">
            <v>0.94</v>
          </cell>
          <cell r="O9">
            <v>1</v>
          </cell>
          <cell r="P9">
            <v>0.82</v>
          </cell>
          <cell r="Q9">
            <v>1</v>
          </cell>
          <cell r="R9">
            <v>1</v>
          </cell>
          <cell r="S9">
            <v>0.81</v>
          </cell>
          <cell r="T9">
            <v>0.8</v>
          </cell>
          <cell r="U9">
            <v>1</v>
          </cell>
        </row>
        <row r="10">
          <cell r="H10">
            <v>1</v>
          </cell>
          <cell r="I10">
            <v>0.89</v>
          </cell>
          <cell r="J10">
            <v>0.8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0.91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0.88</v>
          </cell>
        </row>
        <row r="11">
          <cell r="H11">
            <v>1</v>
          </cell>
          <cell r="I11">
            <v>0.88</v>
          </cell>
          <cell r="J11">
            <v>1</v>
          </cell>
          <cell r="K11">
            <v>1</v>
          </cell>
          <cell r="L11">
            <v>0.88</v>
          </cell>
          <cell r="M11">
            <v>1</v>
          </cell>
          <cell r="N11">
            <v>1</v>
          </cell>
          <cell r="O11">
            <v>1</v>
          </cell>
          <cell r="P11">
            <v>0.85</v>
          </cell>
          <cell r="Q11">
            <v>1</v>
          </cell>
          <cell r="R11">
            <v>1</v>
          </cell>
          <cell r="S11">
            <v>0.82</v>
          </cell>
          <cell r="T11">
            <v>0.8</v>
          </cell>
          <cell r="U11">
            <v>0.84</v>
          </cell>
        </row>
        <row r="12"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0.82</v>
          </cell>
          <cell r="P12">
            <v>0.86</v>
          </cell>
          <cell r="Q12">
            <v>1</v>
          </cell>
          <cell r="R12">
            <v>1</v>
          </cell>
          <cell r="S12">
            <v>0.86</v>
          </cell>
          <cell r="T12">
            <v>0.8</v>
          </cell>
          <cell r="U12">
            <v>0.83</v>
          </cell>
        </row>
        <row r="13">
          <cell r="H13">
            <v>1</v>
          </cell>
          <cell r="I13">
            <v>1</v>
          </cell>
          <cell r="J13">
            <v>1</v>
          </cell>
          <cell r="K13">
            <v>0.93</v>
          </cell>
          <cell r="L13">
            <v>1</v>
          </cell>
          <cell r="M13">
            <v>1</v>
          </cell>
          <cell r="N13">
            <v>0.89</v>
          </cell>
          <cell r="O13">
            <v>1</v>
          </cell>
          <cell r="P13">
            <v>0.94</v>
          </cell>
          <cell r="Q13">
            <v>1</v>
          </cell>
          <cell r="R13">
            <v>1</v>
          </cell>
          <cell r="S13">
            <v>0.92</v>
          </cell>
          <cell r="T13">
            <v>1</v>
          </cell>
          <cell r="U13">
            <v>0.98</v>
          </cell>
        </row>
        <row r="14">
          <cell r="H14">
            <v>1</v>
          </cell>
          <cell r="I14">
            <v>0.88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0.82</v>
          </cell>
          <cell r="Q14">
            <v>1</v>
          </cell>
          <cell r="R14">
            <v>1</v>
          </cell>
          <cell r="S14">
            <v>0.88</v>
          </cell>
          <cell r="T14">
            <v>1</v>
          </cell>
          <cell r="U14">
            <v>0.83</v>
          </cell>
        </row>
        <row r="15">
          <cell r="H15">
            <v>1</v>
          </cell>
          <cell r="I15">
            <v>0.89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0.96</v>
          </cell>
          <cell r="P15">
            <v>0.89</v>
          </cell>
          <cell r="Q15">
            <v>1</v>
          </cell>
          <cell r="R15">
            <v>1</v>
          </cell>
          <cell r="S15">
            <v>0.94</v>
          </cell>
          <cell r="T15">
            <v>0.8</v>
          </cell>
          <cell r="U15">
            <v>0.92</v>
          </cell>
        </row>
        <row r="16">
          <cell r="H16">
            <v>1</v>
          </cell>
          <cell r="I16">
            <v>0.88</v>
          </cell>
          <cell r="J16">
            <v>1</v>
          </cell>
          <cell r="K16">
            <v>1</v>
          </cell>
          <cell r="L16">
            <v>0.89</v>
          </cell>
          <cell r="M16">
            <v>1</v>
          </cell>
          <cell r="N16">
            <v>1</v>
          </cell>
          <cell r="O16">
            <v>0.87</v>
          </cell>
          <cell r="P16">
            <v>0.94</v>
          </cell>
          <cell r="Q16">
            <v>1</v>
          </cell>
          <cell r="R16">
            <v>1</v>
          </cell>
          <cell r="S16">
            <v>0.94</v>
          </cell>
          <cell r="T16">
            <v>1</v>
          </cell>
          <cell r="U16">
            <v>0.82</v>
          </cell>
        </row>
        <row r="17"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0.88</v>
          </cell>
          <cell r="M17">
            <v>1</v>
          </cell>
          <cell r="N17">
            <v>1</v>
          </cell>
          <cell r="O17">
            <v>0.91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0.8</v>
          </cell>
          <cell r="U17">
            <v>0.9</v>
          </cell>
        </row>
        <row r="18"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0.88</v>
          </cell>
          <cell r="M18">
            <v>1</v>
          </cell>
          <cell r="N18">
            <v>1</v>
          </cell>
          <cell r="O18">
            <v>0.82</v>
          </cell>
          <cell r="P18">
            <v>0.82</v>
          </cell>
          <cell r="Q18">
            <v>1</v>
          </cell>
          <cell r="R18">
            <v>1</v>
          </cell>
          <cell r="S18">
            <v>1</v>
          </cell>
          <cell r="T18">
            <v>0.8</v>
          </cell>
          <cell r="U18">
            <v>0.87</v>
          </cell>
        </row>
        <row r="19">
          <cell r="H19">
            <v>1</v>
          </cell>
          <cell r="I19">
            <v>0.88</v>
          </cell>
          <cell r="J19">
            <v>0.8</v>
          </cell>
          <cell r="K19">
            <v>1</v>
          </cell>
          <cell r="L19">
            <v>0.89</v>
          </cell>
          <cell r="M19">
            <v>1</v>
          </cell>
          <cell r="N19">
            <v>1</v>
          </cell>
          <cell r="O19">
            <v>0.81</v>
          </cell>
          <cell r="P19">
            <v>0.89</v>
          </cell>
          <cell r="Q19">
            <v>1</v>
          </cell>
          <cell r="R19">
            <v>1</v>
          </cell>
          <cell r="S19">
            <v>0.88</v>
          </cell>
          <cell r="T19">
            <v>1</v>
          </cell>
          <cell r="U19">
            <v>0.85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0.94</v>
          </cell>
          <cell r="O20">
            <v>1</v>
          </cell>
          <cell r="P20">
            <v>0.94</v>
          </cell>
          <cell r="Q20">
            <v>1</v>
          </cell>
          <cell r="R20">
            <v>1</v>
          </cell>
          <cell r="S20">
            <v>1</v>
          </cell>
          <cell r="T20">
            <v>0.8</v>
          </cell>
          <cell r="U20">
            <v>0.9</v>
          </cell>
        </row>
        <row r="21">
          <cell r="H21">
            <v>1</v>
          </cell>
          <cell r="I21">
            <v>0.88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0.91</v>
          </cell>
          <cell r="P21">
            <v>0.82</v>
          </cell>
          <cell r="Q21">
            <v>1</v>
          </cell>
          <cell r="R21">
            <v>1</v>
          </cell>
          <cell r="S21" t="str">
            <v>N/A</v>
          </cell>
          <cell r="T21">
            <v>0.8</v>
          </cell>
          <cell r="U21" t="str">
            <v>N/A</v>
          </cell>
        </row>
        <row r="22">
          <cell r="H22">
            <v>1</v>
          </cell>
          <cell r="I22">
            <v>0.88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0.91</v>
          </cell>
          <cell r="Q22">
            <v>1</v>
          </cell>
          <cell r="R22">
            <v>1</v>
          </cell>
          <cell r="S22">
            <v>0.88</v>
          </cell>
          <cell r="T22">
            <v>1</v>
          </cell>
          <cell r="U22">
            <v>0.93</v>
          </cell>
        </row>
        <row r="23">
          <cell r="H23">
            <v>1</v>
          </cell>
          <cell r="I23">
            <v>1</v>
          </cell>
          <cell r="J23">
            <v>0.8</v>
          </cell>
          <cell r="K23">
            <v>1</v>
          </cell>
          <cell r="L23">
            <v>0.89</v>
          </cell>
          <cell r="M23">
            <v>1</v>
          </cell>
          <cell r="N23">
            <v>1</v>
          </cell>
          <cell r="O23">
            <v>0.96</v>
          </cell>
          <cell r="P23">
            <v>1</v>
          </cell>
          <cell r="Q23">
            <v>1</v>
          </cell>
          <cell r="R23">
            <v>1</v>
          </cell>
          <cell r="S23">
            <v>0.96</v>
          </cell>
          <cell r="T23">
            <v>1</v>
          </cell>
          <cell r="U23">
            <v>0.8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</v>
          </cell>
          <cell r="F4" t="str">
            <v>Lesly (Lex) Proidel</v>
          </cell>
        </row>
        <row r="5">
          <cell r="C5" t="str">
            <v>Resigned-Nesting 3</v>
          </cell>
          <cell r="F5" t="str">
            <v>Zineb Kassem-Baraka</v>
          </cell>
        </row>
        <row r="6">
          <cell r="C6" t="str">
            <v>Resigned-Nesting 1A</v>
          </cell>
          <cell r="F6" t="str">
            <v>Kamanzi (Guillet) Guillet</v>
          </cell>
        </row>
        <row r="7">
          <cell r="C7" t="str">
            <v>Transition to Production with SMART plan</v>
          </cell>
          <cell r="F7" t="str">
            <v>Ilka Ingabire Bukuru</v>
          </cell>
        </row>
        <row r="8">
          <cell r="C8" t="str">
            <v>Terminated-Nesting 3</v>
          </cell>
          <cell r="F8" t="str">
            <v>Bélise Mujeneza</v>
          </cell>
        </row>
        <row r="9">
          <cell r="C9" t="str">
            <v>Transition to Production with SMART plan</v>
          </cell>
          <cell r="F9" t="str">
            <v>Gisele Umuhoza Karuranga</v>
          </cell>
        </row>
        <row r="10">
          <cell r="C10" t="str">
            <v>Transition to Production</v>
          </cell>
          <cell r="F10" t="str">
            <v>Romuald (Romy) Kouka Bounzimbou</v>
          </cell>
        </row>
        <row r="11">
          <cell r="C11" t="str">
            <v>Transition to Production with SMART plan</v>
          </cell>
          <cell r="F11" t="str">
            <v>Stephanie Musau</v>
          </cell>
        </row>
        <row r="12">
          <cell r="C12" t="str">
            <v>Transition to Production with SMART plan</v>
          </cell>
          <cell r="F12" t="str">
            <v>Sophie Gilroy</v>
          </cell>
        </row>
        <row r="13">
          <cell r="C13" t="str">
            <v>Transition to Production</v>
          </cell>
          <cell r="F13" t="str">
            <v>Rama Tendeng</v>
          </cell>
        </row>
        <row r="14">
          <cell r="C14" t="str">
            <v>Transition to Production with SMART plan</v>
          </cell>
          <cell r="F14" t="str">
            <v>Ismaila (Barry) Barry</v>
          </cell>
        </row>
        <row r="15">
          <cell r="C15" t="str">
            <v>Transition to Production with SMART plan</v>
          </cell>
          <cell r="F15" t="str">
            <v>Chloé Gautreau</v>
          </cell>
        </row>
        <row r="16">
          <cell r="C16" t="str">
            <v>Transition to Production with SMART plan</v>
          </cell>
          <cell r="F16" t="str">
            <v>Josée Gauvin</v>
          </cell>
        </row>
        <row r="17">
          <cell r="C17" t="str">
            <v>Resigned Tier 1A</v>
          </cell>
          <cell r="F17" t="str">
            <v>Anick Fonzo</v>
          </cell>
        </row>
        <row r="18">
          <cell r="C18" t="str">
            <v>Transition to Production</v>
          </cell>
          <cell r="F18" t="str">
            <v>Diamantina (Christie) Pierre</v>
          </cell>
        </row>
        <row r="19">
          <cell r="C19" t="str">
            <v>Transition to Production</v>
          </cell>
          <cell r="F19" t="str">
            <v>Thomas Nogol Mbock</v>
          </cell>
        </row>
        <row r="20">
          <cell r="C20" t="str">
            <v>Resigned-Nesting 1A</v>
          </cell>
          <cell r="F20" t="str">
            <v>Christopher Holmes</v>
          </cell>
        </row>
        <row r="21">
          <cell r="C21" t="str">
            <v>Resigned-Nesting 1A</v>
          </cell>
          <cell r="F21" t="str">
            <v>Cedric Niyotwagira</v>
          </cell>
        </row>
        <row r="22">
          <cell r="C22" t="str">
            <v>Transition to Production</v>
          </cell>
          <cell r="F22" t="str">
            <v>Jyoti Redhu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F7ZYEP5VSVK5DZI5ZJ2DBAQXJQ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Attendance"/>
      <sheetName val="Daily Observation"/>
      <sheetName val="Performance"/>
      <sheetName val="Day 1 WFH Audit"/>
      <sheetName val="Perform Tier 2"/>
      <sheetName val="Performance RSA"/>
      <sheetName val="Preprocess Training Report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5">
          <cell r="M5">
            <v>402483</v>
          </cell>
        </row>
        <row r="6">
          <cell r="M6">
            <v>402486</v>
          </cell>
        </row>
        <row r="7">
          <cell r="M7">
            <v>402491</v>
          </cell>
        </row>
        <row r="8">
          <cell r="M8">
            <v>402485</v>
          </cell>
        </row>
        <row r="9">
          <cell r="M9">
            <v>402482</v>
          </cell>
        </row>
        <row r="10">
          <cell r="M10">
            <v>402493</v>
          </cell>
        </row>
        <row r="11">
          <cell r="M11">
            <v>402494</v>
          </cell>
        </row>
        <row r="12">
          <cell r="M12">
            <v>402495</v>
          </cell>
        </row>
        <row r="13">
          <cell r="M13">
            <v>402489</v>
          </cell>
        </row>
        <row r="14">
          <cell r="M14">
            <v>402496</v>
          </cell>
        </row>
        <row r="15">
          <cell r="M15">
            <v>402497</v>
          </cell>
        </row>
        <row r="16">
          <cell r="M16">
            <v>402499</v>
          </cell>
        </row>
        <row r="17">
          <cell r="M17">
            <v>402484</v>
          </cell>
        </row>
        <row r="18">
          <cell r="M18">
            <v>402488</v>
          </cell>
        </row>
        <row r="19">
          <cell r="M19">
            <v>402490</v>
          </cell>
        </row>
        <row r="20">
          <cell r="M20">
            <v>402500</v>
          </cell>
        </row>
        <row r="21">
          <cell r="M21">
            <v>402492</v>
          </cell>
        </row>
        <row r="22">
          <cell r="M22">
            <v>402487</v>
          </cell>
        </row>
        <row r="23">
          <cell r="M23">
            <v>402498</v>
          </cell>
        </row>
      </sheetData>
      <sheetData sheetId="5"/>
      <sheetData sheetId="6"/>
      <sheetData sheetId="7"/>
      <sheetData sheetId="8">
        <row r="5"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0.92</v>
          </cell>
          <cell r="T5">
            <v>1</v>
          </cell>
          <cell r="U5">
            <v>0.88</v>
          </cell>
        </row>
        <row r="6"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0.9</v>
          </cell>
        </row>
        <row r="7"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0.89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0.86</v>
          </cell>
          <cell r="T7">
            <v>1</v>
          </cell>
          <cell r="U7">
            <v>1</v>
          </cell>
        </row>
        <row r="8"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0.94</v>
          </cell>
          <cell r="T8">
            <v>0.8</v>
          </cell>
          <cell r="U8">
            <v>1</v>
          </cell>
        </row>
        <row r="9">
          <cell r="H9">
            <v>1</v>
          </cell>
          <cell r="I9">
            <v>0.88</v>
          </cell>
          <cell r="J9">
            <v>1</v>
          </cell>
          <cell r="K9">
            <v>1</v>
          </cell>
          <cell r="L9">
            <v>0.89</v>
          </cell>
          <cell r="M9">
            <v>1</v>
          </cell>
          <cell r="N9">
            <v>1</v>
          </cell>
          <cell r="O9">
            <v>1</v>
          </cell>
          <cell r="P9">
            <v>0.94</v>
          </cell>
          <cell r="Q9">
            <v>1</v>
          </cell>
          <cell r="R9">
            <v>1</v>
          </cell>
          <cell r="S9">
            <v>0.94</v>
          </cell>
          <cell r="T9">
            <v>1</v>
          </cell>
          <cell r="U9">
            <v>1</v>
          </cell>
        </row>
        <row r="10"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</row>
        <row r="11">
          <cell r="H11">
            <v>1</v>
          </cell>
          <cell r="I11">
            <v>0.88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0.88</v>
          </cell>
          <cell r="Q11">
            <v>1</v>
          </cell>
          <cell r="R11">
            <v>1</v>
          </cell>
          <cell r="S11">
            <v>0.95</v>
          </cell>
          <cell r="T11">
            <v>0.8</v>
          </cell>
          <cell r="U11">
            <v>0.83</v>
          </cell>
        </row>
        <row r="12"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</row>
        <row r="13">
          <cell r="H13">
            <v>1</v>
          </cell>
          <cell r="I13">
            <v>1</v>
          </cell>
          <cell r="J13">
            <v>0.8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0.82</v>
          </cell>
          <cell r="P13">
            <v>1</v>
          </cell>
          <cell r="Q13">
            <v>1</v>
          </cell>
          <cell r="R13">
            <v>1</v>
          </cell>
          <cell r="S13">
            <v>0.86</v>
          </cell>
          <cell r="T13">
            <v>0.8</v>
          </cell>
          <cell r="U13">
            <v>0.98</v>
          </cell>
        </row>
        <row r="14"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0.89</v>
          </cell>
          <cell r="M14">
            <v>1</v>
          </cell>
          <cell r="N14">
            <v>1</v>
          </cell>
          <cell r="O14">
            <v>0.91</v>
          </cell>
          <cell r="P14">
            <v>1</v>
          </cell>
          <cell r="Q14">
            <v>1</v>
          </cell>
          <cell r="R14">
            <v>1</v>
          </cell>
          <cell r="S14" t="str">
            <v>NLE</v>
          </cell>
          <cell r="T14">
            <v>1</v>
          </cell>
          <cell r="U14" t="str">
            <v>NLE</v>
          </cell>
        </row>
        <row r="15"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0.89</v>
          </cell>
          <cell r="M15">
            <v>1</v>
          </cell>
          <cell r="N15">
            <v>1</v>
          </cell>
          <cell r="O15">
            <v>0.91</v>
          </cell>
          <cell r="P15">
            <v>0.82</v>
          </cell>
          <cell r="Q15">
            <v>1</v>
          </cell>
          <cell r="R15">
            <v>1</v>
          </cell>
          <cell r="S15">
            <v>0.8</v>
          </cell>
          <cell r="T15">
            <v>1</v>
          </cell>
          <cell r="U15">
            <v>0.9</v>
          </cell>
        </row>
        <row r="16"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0.89</v>
          </cell>
          <cell r="M16">
            <v>1</v>
          </cell>
          <cell r="N16">
            <v>1</v>
          </cell>
          <cell r="O16">
            <v>0.96</v>
          </cell>
          <cell r="P16">
            <v>0.94</v>
          </cell>
          <cell r="Q16">
            <v>1</v>
          </cell>
          <cell r="R16">
            <v>1</v>
          </cell>
          <cell r="S16">
            <v>0.92</v>
          </cell>
          <cell r="T16">
            <v>1</v>
          </cell>
          <cell r="U16">
            <v>0.83</v>
          </cell>
        </row>
        <row r="17"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0.84</v>
          </cell>
          <cell r="T17">
            <v>1</v>
          </cell>
          <cell r="U17">
            <v>0.8</v>
          </cell>
        </row>
        <row r="18"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</row>
        <row r="19"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0.94</v>
          </cell>
          <cell r="Q19">
            <v>1</v>
          </cell>
          <cell r="R19">
            <v>1</v>
          </cell>
          <cell r="S19">
            <v>0.86</v>
          </cell>
          <cell r="T19">
            <v>0.8</v>
          </cell>
          <cell r="U19">
            <v>0.88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0.94</v>
          </cell>
          <cell r="Q20">
            <v>1</v>
          </cell>
          <cell r="R20">
            <v>1</v>
          </cell>
          <cell r="S20">
            <v>0.94</v>
          </cell>
          <cell r="T20">
            <v>1</v>
          </cell>
          <cell r="U20">
            <v>0.88</v>
          </cell>
        </row>
        <row r="21">
          <cell r="H21">
            <v>1</v>
          </cell>
          <cell r="I21">
            <v>0.88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0.86</v>
          </cell>
          <cell r="T21">
            <v>1</v>
          </cell>
          <cell r="U21">
            <v>0.88</v>
          </cell>
        </row>
        <row r="22"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0.89</v>
          </cell>
          <cell r="M22">
            <v>1</v>
          </cell>
          <cell r="N22">
            <v>1</v>
          </cell>
          <cell r="O22">
            <v>1</v>
          </cell>
          <cell r="P22">
            <v>0.88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</row>
        <row r="23"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</v>
          </cell>
          <cell r="F4" t="str">
            <v>Danica Joy Abella</v>
          </cell>
        </row>
        <row r="5">
          <cell r="C5" t="str">
            <v>Transition to Production</v>
          </cell>
          <cell r="F5" t="str">
            <v>Antonette  Abendaño</v>
          </cell>
        </row>
        <row r="6">
          <cell r="C6" t="str">
            <v>Transition to Production</v>
          </cell>
          <cell r="F6" t="str">
            <v>Clint Aldrin Aborde</v>
          </cell>
        </row>
        <row r="7">
          <cell r="C7" t="str">
            <v>Transition to Production</v>
          </cell>
          <cell r="F7" t="str">
            <v>Christian Vincent  Balboa</v>
          </cell>
        </row>
        <row r="8">
          <cell r="C8" t="str">
            <v>Terminated-Nesting 3</v>
          </cell>
          <cell r="F8" t="str">
            <v>Charlene  Barrientos</v>
          </cell>
        </row>
        <row r="9">
          <cell r="C9" t="str">
            <v>Did not Start</v>
          </cell>
          <cell r="F9" t="str">
            <v>Jerby Catamio</v>
          </cell>
        </row>
        <row r="10">
          <cell r="C10" t="str">
            <v>Transition to Production</v>
          </cell>
          <cell r="F10" t="str">
            <v>Edrian Franco</v>
          </cell>
        </row>
        <row r="11">
          <cell r="C11" t="str">
            <v>Did not Start</v>
          </cell>
          <cell r="F11" t="str">
            <v>Jenielyn Garcia</v>
          </cell>
        </row>
        <row r="12">
          <cell r="C12" t="str">
            <v>Transition to Production</v>
          </cell>
          <cell r="F12" t="str">
            <v>Mark John Inovero</v>
          </cell>
        </row>
        <row r="13">
          <cell r="C13" t="str">
            <v>Resigned Tier 1A</v>
          </cell>
          <cell r="F13" t="str">
            <v xml:space="preserve">Carmichael Lomibao </v>
          </cell>
        </row>
        <row r="14">
          <cell r="C14" t="str">
            <v>Terminated Tier 1B</v>
          </cell>
          <cell r="F14" t="str">
            <v>Aldwin Lozada</v>
          </cell>
        </row>
        <row r="15">
          <cell r="C15" t="str">
            <v>Transition to Production</v>
          </cell>
          <cell r="F15" t="str">
            <v>Charine Maghanoy</v>
          </cell>
        </row>
        <row r="16">
          <cell r="C16" t="str">
            <v>Terminated-Nesting 3</v>
          </cell>
          <cell r="F16" t="str">
            <v>Jocelyn Manota</v>
          </cell>
        </row>
        <row r="17">
          <cell r="C17" t="str">
            <v>Did not Start</v>
          </cell>
          <cell r="F17" t="str">
            <v>Jacquiline Anne Noveda</v>
          </cell>
        </row>
        <row r="18">
          <cell r="C18" t="str">
            <v>Transition to Production with SMART plan</v>
          </cell>
          <cell r="F18" t="str">
            <v>Sheryl Nudalo</v>
          </cell>
        </row>
        <row r="19">
          <cell r="C19" t="str">
            <v>Resigned Tier 1A</v>
          </cell>
          <cell r="F19" t="str">
            <v>April Rose Pascual</v>
          </cell>
        </row>
        <row r="20">
          <cell r="C20" t="str">
            <v>Transition to Production with SMART plan</v>
          </cell>
          <cell r="F20" t="str">
            <v>Chris Jhon Ponteres</v>
          </cell>
        </row>
        <row r="21">
          <cell r="C21" t="str">
            <v>Resigned-Nesting</v>
          </cell>
          <cell r="F21" t="str">
            <v>Kitch  Tilo</v>
          </cell>
        </row>
        <row r="22">
          <cell r="C22" t="str">
            <v>Did not Start</v>
          </cell>
          <cell r="F22" t="str">
            <v>Patrick Aristotle Trajano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GQLXWEGRXW55BLDNKHXAQL2SP6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Attendance"/>
      <sheetName val="Performance"/>
      <sheetName val="Perform Tier 2"/>
      <sheetName val="Performance RSA"/>
      <sheetName val="Preprocess Training Report"/>
      <sheetName val="Day 1 WFH Audit"/>
      <sheetName val="Skill Assessment"/>
      <sheetName val="PCB Nesting QA"/>
      <sheetName val="Daily Observation"/>
      <sheetName val="PCB Nesting Incentive Offshore"/>
      <sheetName val="PCB Nesting Incentive Onshore"/>
      <sheetName val="Perf. Mgmnt"/>
      <sheetName val="Nesting Sales"/>
      <sheetName val="RSA Fraud Error Summary"/>
      <sheetName val="PCB Handoff Page (Sales)"/>
      <sheetName val="QBR"/>
      <sheetName val="PCB Handoff Page - (Non-Sales)"/>
      <sheetName val="Reporting"/>
    </sheetNames>
    <sheetDataSet>
      <sheetData sheetId="0"/>
      <sheetData sheetId="1"/>
      <sheetData sheetId="2"/>
      <sheetData sheetId="3">
        <row r="6">
          <cell r="B6">
            <v>45806</v>
          </cell>
        </row>
      </sheetData>
      <sheetData sheetId="4">
        <row r="5">
          <cell r="M5">
            <v>313832</v>
          </cell>
        </row>
        <row r="6">
          <cell r="M6">
            <v>343801</v>
          </cell>
        </row>
        <row r="7">
          <cell r="M7">
            <v>343796</v>
          </cell>
        </row>
        <row r="8">
          <cell r="M8">
            <v>343810</v>
          </cell>
        </row>
        <row r="9">
          <cell r="M9">
            <v>343809</v>
          </cell>
        </row>
        <row r="10">
          <cell r="M10">
            <v>343803</v>
          </cell>
        </row>
        <row r="11">
          <cell r="M11">
            <v>343805</v>
          </cell>
        </row>
        <row r="12">
          <cell r="M12">
            <v>317631</v>
          </cell>
        </row>
        <row r="13">
          <cell r="M13">
            <v>343811</v>
          </cell>
        </row>
        <row r="14">
          <cell r="M14">
            <v>343786</v>
          </cell>
        </row>
        <row r="15">
          <cell r="M15">
            <v>343808</v>
          </cell>
        </row>
        <row r="16">
          <cell r="M16">
            <v>343800</v>
          </cell>
        </row>
        <row r="17">
          <cell r="M17">
            <v>343798</v>
          </cell>
        </row>
        <row r="18">
          <cell r="M18">
            <v>343799</v>
          </cell>
        </row>
        <row r="19">
          <cell r="M19">
            <v>317643</v>
          </cell>
        </row>
        <row r="20">
          <cell r="M20">
            <v>343797</v>
          </cell>
        </row>
        <row r="21">
          <cell r="M21">
            <v>316834</v>
          </cell>
        </row>
        <row r="22">
          <cell r="M22">
            <v>343789</v>
          </cell>
        </row>
        <row r="23">
          <cell r="M23">
            <v>343804</v>
          </cell>
        </row>
        <row r="24">
          <cell r="M24">
            <v>343802</v>
          </cell>
        </row>
        <row r="25">
          <cell r="M25">
            <v>343787</v>
          </cell>
        </row>
        <row r="26">
          <cell r="M26">
            <v>317619</v>
          </cell>
        </row>
        <row r="27">
          <cell r="M27">
            <v>342800</v>
          </cell>
        </row>
      </sheetData>
      <sheetData sheetId="5"/>
      <sheetData sheetId="6"/>
      <sheetData sheetId="7">
        <row r="5"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</row>
        <row r="6"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0.94</v>
          </cell>
          <cell r="T6">
            <v>0.8</v>
          </cell>
          <cell r="U6">
            <v>0.93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0.94</v>
          </cell>
          <cell r="Q7">
            <v>1</v>
          </cell>
          <cell r="R7">
            <v>1</v>
          </cell>
          <cell r="S7">
            <v>0.94</v>
          </cell>
          <cell r="T7">
            <v>0.8</v>
          </cell>
          <cell r="U7">
            <v>1</v>
          </cell>
        </row>
        <row r="8"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0.8</v>
          </cell>
          <cell r="U8">
            <v>0.88</v>
          </cell>
        </row>
        <row r="9">
          <cell r="H9">
            <v>1</v>
          </cell>
          <cell r="I9">
            <v>0.88</v>
          </cell>
          <cell r="J9">
            <v>0.8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0.82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0.87</v>
          </cell>
        </row>
        <row r="10"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0.8</v>
          </cell>
          <cell r="U10">
            <v>0.98</v>
          </cell>
        </row>
        <row r="11"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0.88</v>
          </cell>
          <cell r="T11">
            <v>0.8</v>
          </cell>
          <cell r="U11">
            <v>1</v>
          </cell>
        </row>
        <row r="12"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</row>
        <row r="13">
          <cell r="H13">
            <v>1</v>
          </cell>
          <cell r="I13">
            <v>0.88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0.98</v>
          </cell>
          <cell r="Q13">
            <v>1</v>
          </cell>
          <cell r="R13">
            <v>1</v>
          </cell>
          <cell r="S13">
            <v>0.92</v>
          </cell>
          <cell r="T13">
            <v>0.8</v>
          </cell>
          <cell r="U13">
            <v>0.84</v>
          </cell>
        </row>
        <row r="14">
          <cell r="H14"/>
          <cell r="I14">
            <v>0.88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0.94</v>
          </cell>
          <cell r="Q14">
            <v>1</v>
          </cell>
          <cell r="R14">
            <v>1</v>
          </cell>
          <cell r="S14"/>
          <cell r="T14">
            <v>0.8</v>
          </cell>
          <cell r="U14"/>
        </row>
        <row r="15"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0.84</v>
          </cell>
          <cell r="T15">
            <v>1</v>
          </cell>
          <cell r="U15">
            <v>1</v>
          </cell>
        </row>
        <row r="16">
          <cell r="H16">
            <v>1</v>
          </cell>
          <cell r="I16">
            <v>0.88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0.88</v>
          </cell>
          <cell r="T16">
            <v>0.8</v>
          </cell>
          <cell r="U16">
            <v>0.9</v>
          </cell>
        </row>
        <row r="17">
          <cell r="H17">
            <v>1</v>
          </cell>
          <cell r="I17">
            <v>0.88</v>
          </cell>
          <cell r="J17">
            <v>0.8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0.82</v>
          </cell>
          <cell r="Q17">
            <v>1</v>
          </cell>
          <cell r="R17">
            <v>1</v>
          </cell>
          <cell r="S17">
            <v>0.9</v>
          </cell>
          <cell r="T17">
            <v>1</v>
          </cell>
          <cell r="U17">
            <v>0.95</v>
          </cell>
        </row>
        <row r="18"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0.93</v>
          </cell>
        </row>
        <row r="19"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</row>
        <row r="20">
          <cell r="H20"/>
          <cell r="I20">
            <v>0.88</v>
          </cell>
          <cell r="J20">
            <v>1</v>
          </cell>
          <cell r="K20"/>
          <cell r="L20"/>
          <cell r="M20"/>
          <cell r="N20">
            <v>1</v>
          </cell>
          <cell r="O20"/>
          <cell r="P20">
            <v>0.98</v>
          </cell>
          <cell r="Q20">
            <v>1</v>
          </cell>
          <cell r="R20">
            <v>1</v>
          </cell>
          <cell r="S20"/>
          <cell r="T20">
            <v>1</v>
          </cell>
          <cell r="U20"/>
        </row>
        <row r="21"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</row>
        <row r="22"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0.8</v>
          </cell>
          <cell r="U22">
            <v>0.88</v>
          </cell>
        </row>
        <row r="23">
          <cell r="H23">
            <v>1</v>
          </cell>
          <cell r="I23">
            <v>0.88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0.92</v>
          </cell>
          <cell r="T23">
            <v>0.8</v>
          </cell>
          <cell r="U23">
            <v>1</v>
          </cell>
        </row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0.92</v>
          </cell>
          <cell r="T24">
            <v>1</v>
          </cell>
          <cell r="U24">
            <v>0.88</v>
          </cell>
        </row>
        <row r="25"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0.94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0.99</v>
          </cell>
        </row>
        <row r="26"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</row>
        <row r="27"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0.98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Did not Start</v>
          </cell>
          <cell r="F4" t="str">
            <v>Jerome Acol</v>
          </cell>
        </row>
        <row r="5">
          <cell r="C5" t="str">
            <v>Did not Start</v>
          </cell>
          <cell r="F5" t="str">
            <v>Joe-Mher Regonaos</v>
          </cell>
        </row>
        <row r="6">
          <cell r="C6" t="str">
            <v>Did not Start</v>
          </cell>
          <cell r="F6" t="str">
            <v>Alvin Dave Solayo</v>
          </cell>
        </row>
        <row r="7">
          <cell r="C7" t="str">
            <v>Moved/Joining Alternate Class/Program</v>
          </cell>
          <cell r="F7" t="str">
            <v>Tanya Mae (Tang) Bersales</v>
          </cell>
        </row>
        <row r="8">
          <cell r="C8" t="str">
            <v>Moved/Joining Alternate Class/Program</v>
          </cell>
          <cell r="F8" t="str">
            <v>Renz Martin Dionisio</v>
          </cell>
        </row>
        <row r="9">
          <cell r="C9" t="str">
            <v>Moved/Joining Alternate Class/Program</v>
          </cell>
          <cell r="F9" t="str">
            <v>Matthew Lagaran</v>
          </cell>
        </row>
        <row r="10">
          <cell r="C10" t="str">
            <v>Moved/Joining Alternate Class/Program</v>
          </cell>
          <cell r="F10" t="str">
            <v>Paula Jean Yuen-De</v>
          </cell>
        </row>
        <row r="11">
          <cell r="C11" t="str">
            <v>Resigned-Nesting 3</v>
          </cell>
          <cell r="F11" t="str">
            <v>Mark Vicent (Vince) Joseph</v>
          </cell>
        </row>
        <row r="12">
          <cell r="C12" t="str">
            <v>Terminated-Nesting 1A</v>
          </cell>
          <cell r="F12" t="str">
            <v>John Roe Marc Mantilla</v>
          </cell>
        </row>
        <row r="13">
          <cell r="C13" t="str">
            <v>Terminated-Nesting 1A</v>
          </cell>
          <cell r="F13" t="str">
            <v>Erenz Florenz Santos</v>
          </cell>
        </row>
        <row r="14">
          <cell r="C14" t="str">
            <v>Terminated-Nesting 1B</v>
          </cell>
          <cell r="F14" t="str">
            <v>Alyza Noe Mae Tating</v>
          </cell>
        </row>
        <row r="15">
          <cell r="C15" t="str">
            <v>Terminated-Nesting 3</v>
          </cell>
          <cell r="F15" t="str">
            <v>Ma. Cielo (Mc) Dinong</v>
          </cell>
        </row>
        <row r="16">
          <cell r="C16" t="str">
            <v>Terminated-Nesting 3</v>
          </cell>
          <cell r="F16" t="str">
            <v>Peterlou (Louie) Mananguit</v>
          </cell>
        </row>
        <row r="17">
          <cell r="C17" t="str">
            <v>Terminated-Nesting 3</v>
          </cell>
          <cell r="F17" t="str">
            <v>Moises (Moi) Navarro</v>
          </cell>
        </row>
        <row r="18">
          <cell r="C18" t="str">
            <v>Terminated-Nesting 3</v>
          </cell>
          <cell r="F18" t="str">
            <v>Paul Sergi Osorio</v>
          </cell>
        </row>
        <row r="19">
          <cell r="C19" t="str">
            <v>Terminated-Nesting 3</v>
          </cell>
          <cell r="F19" t="str">
            <v>Jimhson (Jim) Vecinal</v>
          </cell>
        </row>
        <row r="20">
          <cell r="C20" t="str">
            <v>Transition to Production</v>
          </cell>
          <cell r="F20" t="str">
            <v>Jerico (Jam) Francisco</v>
          </cell>
        </row>
        <row r="21">
          <cell r="C21" t="str">
            <v>Transition to Production</v>
          </cell>
          <cell r="F21" t="str">
            <v>Christian Efren (Christ) Guardiano</v>
          </cell>
        </row>
        <row r="22">
          <cell r="C22" t="str">
            <v>Transition to Production</v>
          </cell>
          <cell r="F22" t="str">
            <v>Abigail (Abby) Naviamos</v>
          </cell>
        </row>
        <row r="23">
          <cell r="C23" t="str">
            <v>Transition to Production</v>
          </cell>
          <cell r="F23" t="str">
            <v>Ivy Marie Perez</v>
          </cell>
        </row>
        <row r="24">
          <cell r="C24" t="str">
            <v>Transition to Production</v>
          </cell>
          <cell r="F24" t="str">
            <v>Krizelle (Kring) Talladen</v>
          </cell>
        </row>
        <row r="25">
          <cell r="C25" t="str">
            <v>Transition to Production</v>
          </cell>
          <cell r="F25" t="str">
            <v>Francine Jairah Vinarao</v>
          </cell>
        </row>
        <row r="26">
          <cell r="C26" t="str">
            <v>Transition to Production</v>
          </cell>
          <cell r="F26" t="str">
            <v>Jasper Bautista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EXXCYQDJ4Q7ZGLBVEQ7BQHEVIT">
      <xxl21:absoluteUrl r:id="rId2"/>
    </xxl21:alternateUrls>
    <sheetNames>
      <sheetName val="One-Time Check List"/>
      <sheetName val="Quick Links"/>
      <sheetName val="Daily Checklist"/>
      <sheetName val="Class Summary"/>
      <sheetName val="Preprocess SWOT"/>
      <sheetName val="Perform Tier 2"/>
      <sheetName val="Performance RSA"/>
      <sheetName val="Preprocess Training Report"/>
      <sheetName val="Student Data"/>
      <sheetName val="Skill Assessment"/>
      <sheetName val="Attendance"/>
      <sheetName val="PCB Nesting Incentive Offshore"/>
      <sheetName val="Performance"/>
      <sheetName val="Day 1 WFH Audit"/>
      <sheetName val="Daily Observation"/>
      <sheetName val="PCB Nesting QA"/>
      <sheetName val="PCB Nesting Incentive Onshore"/>
      <sheetName val="Perf. Mgmnt"/>
      <sheetName val="Nesting Sales"/>
      <sheetName val="RSA Fraud Error Summary"/>
      <sheetName val="PCB Handoff Page (Sales)"/>
      <sheetName val="QBR"/>
      <sheetName val="PCB Handoff Page - (Non-Sales)"/>
      <sheetName val="Reporting"/>
    </sheetNames>
    <sheetDataSet>
      <sheetData sheetId="0"/>
      <sheetData sheetId="1"/>
      <sheetData sheetId="2"/>
      <sheetData sheetId="3">
        <row r="6">
          <cell r="B6">
            <v>45813</v>
          </cell>
        </row>
      </sheetData>
      <sheetData sheetId="4"/>
      <sheetData sheetId="5"/>
      <sheetData sheetId="6"/>
      <sheetData sheetId="7"/>
      <sheetData sheetId="8">
        <row r="5">
          <cell r="M5">
            <v>40650</v>
          </cell>
        </row>
        <row r="6">
          <cell r="M6">
            <v>40651</v>
          </cell>
        </row>
        <row r="7">
          <cell r="M7">
            <v>40641</v>
          </cell>
        </row>
        <row r="8">
          <cell r="M8">
            <v>40645</v>
          </cell>
        </row>
        <row r="9">
          <cell r="M9">
            <v>40647</v>
          </cell>
        </row>
        <row r="10">
          <cell r="M10">
            <v>40642</v>
          </cell>
        </row>
        <row r="11">
          <cell r="M11">
            <v>40643</v>
          </cell>
        </row>
        <row r="12">
          <cell r="M12">
            <v>40648</v>
          </cell>
        </row>
        <row r="13">
          <cell r="M13">
            <v>40652</v>
          </cell>
        </row>
        <row r="14">
          <cell r="M14">
            <v>40654</v>
          </cell>
        </row>
        <row r="15">
          <cell r="M15">
            <v>40644</v>
          </cell>
        </row>
        <row r="16">
          <cell r="M16">
            <v>40649</v>
          </cell>
        </row>
        <row r="17">
          <cell r="M17">
            <v>40646</v>
          </cell>
        </row>
        <row r="18">
          <cell r="M18">
            <v>40653</v>
          </cell>
        </row>
      </sheetData>
      <sheetData sheetId="9"/>
      <sheetData sheetId="10"/>
      <sheetData sheetId="11"/>
      <sheetData sheetId="12">
        <row r="5">
          <cell r="H5">
            <v>1</v>
          </cell>
          <cell r="I5">
            <v>0.88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0.81</v>
          </cell>
          <cell r="P5">
            <v>0.94</v>
          </cell>
          <cell r="Q5">
            <v>1</v>
          </cell>
          <cell r="R5">
            <v>1</v>
          </cell>
          <cell r="S5">
            <v>0.94</v>
          </cell>
          <cell r="T5">
            <v>1</v>
          </cell>
          <cell r="U5">
            <v>0.8</v>
          </cell>
        </row>
        <row r="6">
          <cell r="H6">
            <v>1</v>
          </cell>
          <cell r="I6">
            <v>0.88</v>
          </cell>
          <cell r="J6">
            <v>0.8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0.94</v>
          </cell>
          <cell r="Q6">
            <v>1</v>
          </cell>
          <cell r="R6">
            <v>1</v>
          </cell>
          <cell r="S6">
            <v>0.94</v>
          </cell>
          <cell r="T6">
            <v>0.8</v>
          </cell>
          <cell r="U6">
            <v>0.89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>
            <v>0.89</v>
          </cell>
          <cell r="M7">
            <v>1</v>
          </cell>
          <cell r="N7">
            <v>1</v>
          </cell>
          <cell r="O7">
            <v>0.96</v>
          </cell>
          <cell r="P7">
            <v>0.92</v>
          </cell>
          <cell r="Q7">
            <v>1</v>
          </cell>
          <cell r="R7">
            <v>1</v>
          </cell>
          <cell r="S7">
            <v>0.84</v>
          </cell>
          <cell r="T7">
            <v>0.8</v>
          </cell>
          <cell r="U7">
            <v>1</v>
          </cell>
        </row>
        <row r="8">
          <cell r="H8">
            <v>1</v>
          </cell>
          <cell r="I8">
            <v>0.88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0.91</v>
          </cell>
          <cell r="P8">
            <v>0.88</v>
          </cell>
          <cell r="Q8">
            <v>1</v>
          </cell>
          <cell r="R8">
            <v>1</v>
          </cell>
          <cell r="S8">
            <v>0.86</v>
          </cell>
          <cell r="T8">
            <v>1</v>
          </cell>
          <cell r="U8">
            <v>0.82</v>
          </cell>
        </row>
        <row r="9"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0.87</v>
          </cell>
          <cell r="P9">
            <v>1</v>
          </cell>
          <cell r="Q9">
            <v>1</v>
          </cell>
          <cell r="R9">
            <v>1</v>
          </cell>
          <cell r="S9">
            <v>0.94</v>
          </cell>
          <cell r="T9">
            <v>0.8</v>
          </cell>
          <cell r="U9">
            <v>0.81</v>
          </cell>
        </row>
        <row r="10"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0.82</v>
          </cell>
          <cell r="P10">
            <v>1</v>
          </cell>
          <cell r="Q10">
            <v>1</v>
          </cell>
          <cell r="R10">
            <v>1</v>
          </cell>
          <cell r="S10">
            <v>0.9</v>
          </cell>
          <cell r="T10">
            <v>0.8</v>
          </cell>
          <cell r="U10">
            <v>1</v>
          </cell>
        </row>
        <row r="11">
          <cell r="H11">
            <v>1</v>
          </cell>
          <cell r="I11">
            <v>1</v>
          </cell>
          <cell r="J11">
            <v>0.8</v>
          </cell>
          <cell r="K11">
            <v>1</v>
          </cell>
          <cell r="L11">
            <v>0.89</v>
          </cell>
          <cell r="M11">
            <v>1</v>
          </cell>
          <cell r="N11">
            <v>1</v>
          </cell>
          <cell r="O11">
            <v>0.96</v>
          </cell>
          <cell r="P11">
            <v>0.92</v>
          </cell>
          <cell r="Q11">
            <v>1</v>
          </cell>
          <cell r="R11">
            <v>1</v>
          </cell>
          <cell r="S11">
            <v>0.84</v>
          </cell>
          <cell r="T11">
            <v>0.8</v>
          </cell>
          <cell r="U11">
            <v>0.81</v>
          </cell>
        </row>
        <row r="12">
          <cell r="H12">
            <v>1</v>
          </cell>
          <cell r="I12">
            <v>0.88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0.96</v>
          </cell>
          <cell r="P12">
            <v>1</v>
          </cell>
          <cell r="Q12">
            <v>1</v>
          </cell>
          <cell r="R12">
            <v>1</v>
          </cell>
          <cell r="S12">
            <v>0.94</v>
          </cell>
          <cell r="T12">
            <v>1</v>
          </cell>
          <cell r="U12">
            <v>0.92</v>
          </cell>
        </row>
        <row r="13">
          <cell r="H13">
            <v>1</v>
          </cell>
          <cell r="I13">
            <v>0.88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0.91</v>
          </cell>
          <cell r="P13">
            <v>1</v>
          </cell>
          <cell r="Q13">
            <v>1</v>
          </cell>
          <cell r="R13">
            <v>1</v>
          </cell>
          <cell r="S13">
            <v>0.88</v>
          </cell>
          <cell r="T13">
            <v>1</v>
          </cell>
          <cell r="U13">
            <v>0.83</v>
          </cell>
        </row>
        <row r="14">
          <cell r="H14" t="str">
            <v>N/A</v>
          </cell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 t="str">
            <v>N/A</v>
          </cell>
          <cell r="N14" t="str">
            <v>N/A</v>
          </cell>
          <cell r="O14" t="str">
            <v>N/A</v>
          </cell>
          <cell r="P14" t="str">
            <v>N/A</v>
          </cell>
          <cell r="Q14" t="str">
            <v>N/A</v>
          </cell>
          <cell r="R14" t="str">
            <v>N/A</v>
          </cell>
          <cell r="S14" t="str">
            <v>N/A</v>
          </cell>
          <cell r="T14" t="str">
            <v>N/A</v>
          </cell>
          <cell r="U14" t="str">
            <v>N/A</v>
          </cell>
        </row>
        <row r="15">
          <cell r="H15">
            <v>1</v>
          </cell>
          <cell r="I15">
            <v>0.89</v>
          </cell>
          <cell r="J15">
            <v>0.82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0.82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0.83</v>
          </cell>
        </row>
        <row r="16">
          <cell r="H16" t="str">
            <v>N/A</v>
          </cell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 t="str">
            <v>N/A</v>
          </cell>
          <cell r="N16" t="str">
            <v>N/A</v>
          </cell>
          <cell r="O16" t="str">
            <v>N/A</v>
          </cell>
          <cell r="P16" t="str">
            <v>N/A</v>
          </cell>
          <cell r="Q16" t="str">
            <v>N/A</v>
          </cell>
          <cell r="R16" t="str">
            <v>N/A</v>
          </cell>
          <cell r="S16" t="str">
            <v>N/A</v>
          </cell>
          <cell r="T16" t="str">
            <v>N/A</v>
          </cell>
          <cell r="U16" t="str">
            <v>N/A</v>
          </cell>
        </row>
        <row r="17">
          <cell r="H17"/>
          <cell r="I17">
            <v>0.88</v>
          </cell>
          <cell r="J17">
            <v>1</v>
          </cell>
          <cell r="K17"/>
          <cell r="L17">
            <v>0.55000000000000004</v>
          </cell>
          <cell r="M17">
            <v>1</v>
          </cell>
          <cell r="N17">
            <v>1</v>
          </cell>
          <cell r="O17">
            <v>1</v>
          </cell>
          <cell r="P17"/>
          <cell r="Q17">
            <v>1</v>
          </cell>
          <cell r="R17">
            <v>1</v>
          </cell>
          <cell r="S17"/>
          <cell r="T17">
            <v>1</v>
          </cell>
          <cell r="U17">
            <v>0.9</v>
          </cell>
        </row>
        <row r="18">
          <cell r="H18">
            <v>1</v>
          </cell>
          <cell r="I18">
            <v>0.88</v>
          </cell>
          <cell r="J18">
            <v>0.8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0.94</v>
          </cell>
          <cell r="Q18">
            <v>1</v>
          </cell>
          <cell r="R18">
            <v>1</v>
          </cell>
          <cell r="S18">
            <v>0.96</v>
          </cell>
          <cell r="T18">
            <v>1</v>
          </cell>
          <cell r="U18">
            <v>0.95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 with SMART plan</v>
          </cell>
          <cell r="F4" t="str">
            <v>Elhadj (Bo-bo) Diallo</v>
          </cell>
        </row>
        <row r="5">
          <cell r="C5" t="str">
            <v>Transition to Production with SMART plan</v>
          </cell>
          <cell r="F5" t="str">
            <v>Hary Dzita Koussock</v>
          </cell>
        </row>
        <row r="6">
          <cell r="C6" t="str">
            <v>Transition to Production with SMART plan</v>
          </cell>
          <cell r="F6" t="str">
            <v>Aliyaah Gatoto</v>
          </cell>
        </row>
        <row r="7">
          <cell r="C7" t="str">
            <v>Terminated-Nesting 3</v>
          </cell>
          <cell r="F7" t="str">
            <v>Raissa Izere Umwali</v>
          </cell>
        </row>
        <row r="8">
          <cell r="C8" t="str">
            <v>Transition to Production with SMART plan</v>
          </cell>
          <cell r="F8" t="str">
            <v>Roda Kirenga</v>
          </cell>
        </row>
        <row r="9">
          <cell r="C9" t="str">
            <v>Resigned-Nesting 3</v>
          </cell>
          <cell r="F9" t="str">
            <v>Jessica (Jessie) Leaker</v>
          </cell>
        </row>
        <row r="10">
          <cell r="C10" t="str">
            <v>Moved/Joining Alternate Class/Program</v>
          </cell>
          <cell r="F10" t="str">
            <v>Christiane (Chris) Lalonde</v>
          </cell>
        </row>
        <row r="11">
          <cell r="C11" t="str">
            <v>Terminated-Nesting 3</v>
          </cell>
          <cell r="F11" t="str">
            <v>Safwene Mefteh</v>
          </cell>
        </row>
        <row r="12">
          <cell r="C12" t="str">
            <v>Transition to Production with SMART plan</v>
          </cell>
          <cell r="F12" t="str">
            <v>Youssra (You-you) Mesbahi</v>
          </cell>
        </row>
        <row r="13">
          <cell r="C13" t="str">
            <v>Did not Start</v>
          </cell>
          <cell r="F13" t="str">
            <v>Arsene Mugisha</v>
          </cell>
        </row>
        <row r="14">
          <cell r="C14" t="str">
            <v>Resigned-Nesting 3</v>
          </cell>
          <cell r="F14" t="str">
            <v>Chesca Alima Ondo Koka</v>
          </cell>
        </row>
        <row r="15">
          <cell r="C15" t="str">
            <v>Did not Start</v>
          </cell>
          <cell r="F15" t="str">
            <v>Paul Rioux</v>
          </cell>
        </row>
        <row r="16">
          <cell r="C16" t="str">
            <v>Terminated-Nesting 1A</v>
          </cell>
          <cell r="F16" t="str">
            <v>Nadine St-Pierre</v>
          </cell>
        </row>
        <row r="17">
          <cell r="C17" t="str">
            <v>Terminated-Nesting 3</v>
          </cell>
          <cell r="F17" t="str">
            <v>Franky Junior (Franky) Teudji Koumetio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6U6TCJBFEKRCY4QELX2S2OAV4">
      <xxl21:absoluteUrl r:id="rId2"/>
    </xxl21:alternateUrls>
    <sheetNames>
      <sheetName val="Quick Links"/>
      <sheetName val="One-Time Check List"/>
      <sheetName val="Daily Checklist"/>
      <sheetName val="Preprocess SWOT"/>
      <sheetName val="Class Summary"/>
      <sheetName val="Student Data"/>
      <sheetName val="Perform Tier 2"/>
      <sheetName val="Performance RSA"/>
      <sheetName val="Preprocess Training Report"/>
      <sheetName val="Skill Assessment"/>
      <sheetName val="Attendance"/>
      <sheetName val="Day 1 WFH Audit"/>
      <sheetName val="Performance"/>
      <sheetName val="Daily Observation"/>
      <sheetName val="PCB Nesting Incentive Offshore"/>
      <sheetName val="PCB Nesting Incentive Onshore"/>
      <sheetName val="PCB Nesting QA"/>
      <sheetName val="Nesting Sales"/>
      <sheetName val="RSA Fraud Error Summary"/>
      <sheetName val="PCB Handoff Page (Sales)"/>
      <sheetName val="QBR"/>
      <sheetName val="Perf. Mgmnt"/>
      <sheetName val="PCB Handoff Page - (Non-Sales)"/>
      <sheetName val="Reporting"/>
    </sheetNames>
    <sheetDataSet>
      <sheetData sheetId="0"/>
      <sheetData sheetId="1"/>
      <sheetData sheetId="2"/>
      <sheetData sheetId="3"/>
      <sheetData sheetId="4">
        <row r="6">
          <cell r="B6">
            <v>45819</v>
          </cell>
        </row>
      </sheetData>
      <sheetData sheetId="5">
        <row r="5">
          <cell r="M5">
            <v>341482</v>
          </cell>
        </row>
        <row r="6">
          <cell r="M6">
            <v>344417</v>
          </cell>
        </row>
        <row r="7">
          <cell r="M7">
            <v>344415</v>
          </cell>
        </row>
        <row r="8">
          <cell r="M8">
            <v>344412</v>
          </cell>
        </row>
        <row r="9">
          <cell r="M9">
            <v>344407</v>
          </cell>
        </row>
        <row r="10">
          <cell r="M10">
            <v>344403</v>
          </cell>
        </row>
        <row r="11">
          <cell r="M11">
            <v>344408</v>
          </cell>
        </row>
        <row r="12">
          <cell r="M12">
            <v>344416</v>
          </cell>
        </row>
        <row r="13">
          <cell r="M13">
            <v>344406</v>
          </cell>
        </row>
        <row r="14">
          <cell r="M14">
            <v>344410</v>
          </cell>
        </row>
        <row r="15">
          <cell r="M15">
            <v>344405</v>
          </cell>
        </row>
        <row r="16">
          <cell r="M16">
            <v>344414</v>
          </cell>
        </row>
        <row r="17">
          <cell r="M17">
            <v>344413</v>
          </cell>
        </row>
        <row r="18">
          <cell r="M18">
            <v>344409</v>
          </cell>
        </row>
        <row r="19">
          <cell r="M19">
            <v>344404</v>
          </cell>
        </row>
        <row r="20">
          <cell r="M20">
            <v>344419</v>
          </cell>
        </row>
        <row r="22">
          <cell r="M22"/>
        </row>
      </sheetData>
      <sheetData sheetId="6"/>
      <sheetData sheetId="7"/>
      <sheetData sheetId="8"/>
      <sheetData sheetId="9"/>
      <sheetData sheetId="10"/>
      <sheetData sheetId="11"/>
      <sheetData sheetId="12">
        <row r="5">
          <cell r="H5" t="str">
            <v xml:space="preserve">NTT  </v>
          </cell>
          <cell r="I5">
            <v>1</v>
          </cell>
          <cell r="J5">
            <v>1</v>
          </cell>
          <cell r="K5" t="str">
            <v xml:space="preserve">NTT  </v>
          </cell>
          <cell r="L5" t="str">
            <v xml:space="preserve">NTT  </v>
          </cell>
          <cell r="M5" t="str">
            <v>n/a</v>
          </cell>
          <cell r="N5">
            <v>1</v>
          </cell>
          <cell r="O5" t="str">
            <v xml:space="preserve">NTT  </v>
          </cell>
          <cell r="P5">
            <v>0.94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</row>
        <row r="6">
          <cell r="H6" t="str">
            <v xml:space="preserve">NTT  </v>
          </cell>
          <cell r="I6">
            <v>0.88</v>
          </cell>
          <cell r="J6">
            <v>1</v>
          </cell>
          <cell r="K6" t="str">
            <v xml:space="preserve">NTT  </v>
          </cell>
          <cell r="L6" t="str">
            <v xml:space="preserve">NTT  </v>
          </cell>
          <cell r="M6" t="str">
            <v>n/a</v>
          </cell>
          <cell r="N6">
            <v>1</v>
          </cell>
          <cell r="O6" t="str">
            <v xml:space="preserve">NTT  </v>
          </cell>
          <cell r="P6">
            <v>0.98</v>
          </cell>
          <cell r="Q6">
            <v>1</v>
          </cell>
          <cell r="R6">
            <v>1</v>
          </cell>
          <cell r="S6">
            <v>0.86</v>
          </cell>
          <cell r="T6">
            <v>0.8</v>
          </cell>
          <cell r="U6">
            <v>0.9</v>
          </cell>
        </row>
        <row r="7">
          <cell r="H7" t="str">
            <v xml:space="preserve">NTT  </v>
          </cell>
          <cell r="I7">
            <v>0.88</v>
          </cell>
          <cell r="J7">
            <v>1</v>
          </cell>
          <cell r="K7" t="str">
            <v xml:space="preserve">NTT  </v>
          </cell>
          <cell r="L7" t="str">
            <v xml:space="preserve">NTT  </v>
          </cell>
          <cell r="M7" t="str">
            <v>n/a</v>
          </cell>
          <cell r="N7">
            <v>1</v>
          </cell>
          <cell r="O7" t="str">
            <v xml:space="preserve">NTT  </v>
          </cell>
          <cell r="P7">
            <v>0.92</v>
          </cell>
          <cell r="Q7">
            <v>1</v>
          </cell>
          <cell r="R7">
            <v>1</v>
          </cell>
          <cell r="S7">
            <v>0.82</v>
          </cell>
          <cell r="T7">
            <v>1</v>
          </cell>
          <cell r="U7">
            <v>0.98</v>
          </cell>
        </row>
        <row r="8">
          <cell r="H8" t="str">
            <v xml:space="preserve">NTT  </v>
          </cell>
          <cell r="I8">
            <v>1</v>
          </cell>
          <cell r="J8">
            <v>1</v>
          </cell>
          <cell r="K8" t="str">
            <v xml:space="preserve">NTT  </v>
          </cell>
          <cell r="L8" t="str">
            <v xml:space="preserve">NTT  </v>
          </cell>
          <cell r="M8" t="str">
            <v>n/a</v>
          </cell>
          <cell r="N8">
            <v>1</v>
          </cell>
          <cell r="O8" t="str">
            <v xml:space="preserve">NTT  </v>
          </cell>
          <cell r="P8">
            <v>0.82</v>
          </cell>
          <cell r="Q8">
            <v>1</v>
          </cell>
          <cell r="R8">
            <v>1</v>
          </cell>
          <cell r="S8">
            <v>0.92</v>
          </cell>
          <cell r="T8">
            <v>1</v>
          </cell>
          <cell r="U8">
            <v>0.85</v>
          </cell>
        </row>
        <row r="9">
          <cell r="H9" t="str">
            <v xml:space="preserve">NTT  </v>
          </cell>
          <cell r="I9">
            <v>1</v>
          </cell>
          <cell r="J9">
            <v>0.8</v>
          </cell>
          <cell r="K9" t="str">
            <v xml:space="preserve">NTT  </v>
          </cell>
          <cell r="L9" t="str">
            <v xml:space="preserve">NTT  </v>
          </cell>
          <cell r="M9" t="str">
            <v>n/a</v>
          </cell>
          <cell r="N9">
            <v>1</v>
          </cell>
          <cell r="O9" t="str">
            <v xml:space="preserve">NTT  </v>
          </cell>
          <cell r="P9">
            <v>1</v>
          </cell>
          <cell r="Q9">
            <v>1</v>
          </cell>
          <cell r="R9">
            <v>1</v>
          </cell>
          <cell r="S9">
            <v>0.86</v>
          </cell>
          <cell r="T9">
            <v>1</v>
          </cell>
          <cell r="U9">
            <v>0.99</v>
          </cell>
        </row>
        <row r="10">
          <cell r="H10" t="str">
            <v xml:space="preserve">NTT  </v>
          </cell>
          <cell r="I10">
            <v>0.88</v>
          </cell>
          <cell r="J10">
            <v>0.8</v>
          </cell>
          <cell r="K10" t="str">
            <v xml:space="preserve">NTT  </v>
          </cell>
          <cell r="L10" t="str">
            <v xml:space="preserve">NTT  </v>
          </cell>
          <cell r="M10" t="str">
            <v>n/a</v>
          </cell>
          <cell r="N10">
            <v>1</v>
          </cell>
          <cell r="O10" t="str">
            <v xml:space="preserve">NTT  </v>
          </cell>
          <cell r="P10">
            <v>1</v>
          </cell>
          <cell r="Q10">
            <v>1</v>
          </cell>
          <cell r="R10">
            <v>1</v>
          </cell>
          <cell r="S10">
            <v>0.8</v>
          </cell>
          <cell r="T10">
            <v>1</v>
          </cell>
          <cell r="U10">
            <v>0.9</v>
          </cell>
        </row>
        <row r="11">
          <cell r="H11" t="str">
            <v xml:space="preserve">NTT  </v>
          </cell>
          <cell r="I11">
            <v>1</v>
          </cell>
          <cell r="J11">
            <v>1</v>
          </cell>
          <cell r="K11" t="str">
            <v xml:space="preserve">NTT  </v>
          </cell>
          <cell r="L11" t="str">
            <v xml:space="preserve">NTT  </v>
          </cell>
          <cell r="M11" t="str">
            <v>n/a</v>
          </cell>
          <cell r="N11">
            <v>1</v>
          </cell>
          <cell r="O11" t="str">
            <v xml:space="preserve">NTT  </v>
          </cell>
          <cell r="P11">
            <v>0.88</v>
          </cell>
          <cell r="Q11">
            <v>1</v>
          </cell>
          <cell r="R11">
            <v>1</v>
          </cell>
          <cell r="S11">
            <v>0.89</v>
          </cell>
          <cell r="T11">
            <v>0.8</v>
          </cell>
          <cell r="U11">
            <v>0.89</v>
          </cell>
        </row>
        <row r="12">
          <cell r="H12" t="str">
            <v xml:space="preserve">NTT  </v>
          </cell>
          <cell r="I12">
            <v>0.88</v>
          </cell>
          <cell r="J12">
            <v>0.8</v>
          </cell>
          <cell r="K12" t="str">
            <v xml:space="preserve">NTT  </v>
          </cell>
          <cell r="L12" t="str">
            <v xml:space="preserve">NTT  </v>
          </cell>
          <cell r="M12" t="str">
            <v>n/a</v>
          </cell>
          <cell r="N12">
            <v>1</v>
          </cell>
          <cell r="O12" t="str">
            <v xml:space="preserve">NTT  </v>
          </cell>
          <cell r="P12">
            <v>0.94</v>
          </cell>
          <cell r="Q12">
            <v>1</v>
          </cell>
          <cell r="R12">
            <v>1</v>
          </cell>
          <cell r="S12">
            <v>0.92</v>
          </cell>
          <cell r="T12">
            <v>1</v>
          </cell>
          <cell r="U12">
            <v>0.98</v>
          </cell>
        </row>
        <row r="13">
          <cell r="H13" t="str">
            <v xml:space="preserve">NTT  </v>
          </cell>
          <cell r="I13">
            <v>1</v>
          </cell>
          <cell r="J13">
            <v>0.8</v>
          </cell>
          <cell r="K13" t="str">
            <v xml:space="preserve">NTT  </v>
          </cell>
          <cell r="L13" t="str">
            <v xml:space="preserve">NTT  </v>
          </cell>
          <cell r="M13" t="str">
            <v>n/a</v>
          </cell>
          <cell r="N13">
            <v>1</v>
          </cell>
          <cell r="O13" t="str">
            <v xml:space="preserve">NTT  </v>
          </cell>
          <cell r="P13">
            <v>0.88</v>
          </cell>
          <cell r="Q13">
            <v>1</v>
          </cell>
          <cell r="R13">
            <v>1</v>
          </cell>
          <cell r="S13">
            <v>0.82</v>
          </cell>
          <cell r="T13">
            <v>1</v>
          </cell>
          <cell r="U13">
            <v>0.82</v>
          </cell>
        </row>
        <row r="14">
          <cell r="H14" t="str">
            <v xml:space="preserve">NTT  </v>
          </cell>
          <cell r="I14">
            <v>1</v>
          </cell>
          <cell r="J14">
            <v>0.8</v>
          </cell>
          <cell r="K14" t="str">
            <v xml:space="preserve">NTT  </v>
          </cell>
          <cell r="L14" t="str">
            <v xml:space="preserve">NTT  </v>
          </cell>
          <cell r="M14" t="str">
            <v>n/a</v>
          </cell>
          <cell r="N14">
            <v>1</v>
          </cell>
          <cell r="O14" t="str">
            <v xml:space="preserve">NTT  </v>
          </cell>
          <cell r="P14">
            <v>0.88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0.81</v>
          </cell>
        </row>
        <row r="15">
          <cell r="H15" t="str">
            <v xml:space="preserve">NTT  </v>
          </cell>
          <cell r="I15">
            <v>0.88</v>
          </cell>
          <cell r="J15">
            <v>1</v>
          </cell>
          <cell r="K15" t="str">
            <v xml:space="preserve">NTT  </v>
          </cell>
          <cell r="L15" t="str">
            <v xml:space="preserve">NTT  </v>
          </cell>
          <cell r="M15" t="str">
            <v>n/a</v>
          </cell>
          <cell r="N15">
            <v>1</v>
          </cell>
          <cell r="O15" t="str">
            <v xml:space="preserve">NTT  </v>
          </cell>
          <cell r="P15">
            <v>1</v>
          </cell>
          <cell r="Q15">
            <v>1</v>
          </cell>
          <cell r="R15">
            <v>1</v>
          </cell>
          <cell r="S15">
            <v>0.88</v>
          </cell>
          <cell r="T15">
            <v>0.8</v>
          </cell>
          <cell r="U15">
            <v>0.8</v>
          </cell>
        </row>
        <row r="16">
          <cell r="H16" t="str">
            <v xml:space="preserve">NTT  </v>
          </cell>
          <cell r="I16">
            <v>1</v>
          </cell>
          <cell r="J16">
            <v>0.8</v>
          </cell>
          <cell r="K16" t="str">
            <v xml:space="preserve">NTT  </v>
          </cell>
          <cell r="L16" t="str">
            <v xml:space="preserve">NTT  </v>
          </cell>
          <cell r="M16" t="str">
            <v>n/a</v>
          </cell>
          <cell r="N16">
            <v>1</v>
          </cell>
          <cell r="O16" t="str">
            <v xml:space="preserve">NTT  </v>
          </cell>
          <cell r="P16">
            <v>0.94</v>
          </cell>
          <cell r="Q16">
            <v>1</v>
          </cell>
          <cell r="R16">
            <v>1</v>
          </cell>
          <cell r="S16">
            <v>0.94</v>
          </cell>
          <cell r="T16">
            <v>1</v>
          </cell>
          <cell r="U16">
            <v>0.93</v>
          </cell>
        </row>
        <row r="17">
          <cell r="H17" t="str">
            <v xml:space="preserve">NTT  </v>
          </cell>
          <cell r="I17">
            <v>0.88</v>
          </cell>
          <cell r="J17">
            <v>0.8</v>
          </cell>
          <cell r="K17" t="str">
            <v xml:space="preserve">NTT  </v>
          </cell>
          <cell r="L17" t="str">
            <v xml:space="preserve">NTT  </v>
          </cell>
          <cell r="M17" t="str">
            <v>n/a</v>
          </cell>
          <cell r="N17">
            <v>1</v>
          </cell>
          <cell r="O17" t="str">
            <v xml:space="preserve">NTT  </v>
          </cell>
          <cell r="P17">
            <v>1</v>
          </cell>
          <cell r="Q17">
            <v>1</v>
          </cell>
          <cell r="R17">
            <v>1</v>
          </cell>
          <cell r="S17" t="str">
            <v>n/a</v>
          </cell>
          <cell r="T17">
            <v>0.8</v>
          </cell>
          <cell r="U17" t="str">
            <v>n/a</v>
          </cell>
        </row>
        <row r="18">
          <cell r="H18" t="str">
            <v xml:space="preserve">NTT  </v>
          </cell>
          <cell r="I18">
            <v>1</v>
          </cell>
          <cell r="J18">
            <v>0.8</v>
          </cell>
          <cell r="K18" t="str">
            <v xml:space="preserve">NTT  </v>
          </cell>
          <cell r="L18" t="str">
            <v xml:space="preserve">NTT  </v>
          </cell>
          <cell r="M18" t="str">
            <v>n/a</v>
          </cell>
          <cell r="N18">
            <v>1</v>
          </cell>
          <cell r="O18" t="str">
            <v xml:space="preserve">NTT  </v>
          </cell>
          <cell r="P18">
            <v>0.94</v>
          </cell>
          <cell r="Q18">
            <v>1</v>
          </cell>
          <cell r="R18">
            <v>1</v>
          </cell>
          <cell r="S18">
            <v>1</v>
          </cell>
          <cell r="T18">
            <v>0.8</v>
          </cell>
          <cell r="U18">
            <v>1</v>
          </cell>
        </row>
        <row r="19">
          <cell r="H19" t="str">
            <v xml:space="preserve">NTT  </v>
          </cell>
          <cell r="I19">
            <v>0.88</v>
          </cell>
          <cell r="J19">
            <v>1</v>
          </cell>
          <cell r="K19" t="str">
            <v xml:space="preserve">NTT  </v>
          </cell>
          <cell r="L19" t="str">
            <v xml:space="preserve">NTT  </v>
          </cell>
          <cell r="M19" t="str">
            <v>n/a</v>
          </cell>
          <cell r="N19">
            <v>1</v>
          </cell>
          <cell r="O19" t="str">
            <v xml:space="preserve">NTT  </v>
          </cell>
          <cell r="P19">
            <v>0.88</v>
          </cell>
          <cell r="Q19">
            <v>1</v>
          </cell>
          <cell r="R19">
            <v>1</v>
          </cell>
          <cell r="S19">
            <v>1</v>
          </cell>
          <cell r="T19">
            <v>0.8</v>
          </cell>
          <cell r="U19">
            <v>1</v>
          </cell>
        </row>
        <row r="20">
          <cell r="H20" t="str">
            <v xml:space="preserve">NTT  </v>
          </cell>
          <cell r="I20">
            <v>1</v>
          </cell>
          <cell r="J20">
            <v>1</v>
          </cell>
          <cell r="K20" t="str">
            <v xml:space="preserve">NTT  </v>
          </cell>
          <cell r="L20" t="str">
            <v xml:space="preserve">NTT  </v>
          </cell>
          <cell r="M20" t="str">
            <v>n/a</v>
          </cell>
          <cell r="N20">
            <v>1</v>
          </cell>
          <cell r="O20" t="str">
            <v xml:space="preserve">NTT  </v>
          </cell>
          <cell r="P20">
            <v>1</v>
          </cell>
          <cell r="Q20">
            <v>1</v>
          </cell>
          <cell r="R20">
            <v>1</v>
          </cell>
          <cell r="S20">
            <v>0.8</v>
          </cell>
          <cell r="T20">
            <v>1</v>
          </cell>
          <cell r="U20">
            <v>0.9</v>
          </cell>
        </row>
        <row r="22"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Terminated Tier 1B</v>
          </cell>
          <cell r="F4" t="str">
            <v>Elias Mariano Bautista</v>
          </cell>
        </row>
        <row r="5">
          <cell r="C5" t="str">
            <v>Transition to Production</v>
          </cell>
          <cell r="F5" t="str">
            <v>Jellaine Magalona</v>
          </cell>
        </row>
        <row r="6">
          <cell r="C6" t="str">
            <v>Transition to Production</v>
          </cell>
          <cell r="F6" t="str">
            <v>Emylene Guantic</v>
          </cell>
        </row>
        <row r="7">
          <cell r="C7" t="str">
            <v>Terminated-Nesting 3</v>
          </cell>
          <cell r="F7" t="str">
            <v>Matthew Lagaran</v>
          </cell>
        </row>
        <row r="8">
          <cell r="C8" t="str">
            <v>Moved/Joining Alternate Class/Program</v>
          </cell>
          <cell r="F8" t="str">
            <v>Irish Ann Medalla</v>
          </cell>
        </row>
        <row r="9">
          <cell r="C9" t="str">
            <v>Transition to Production</v>
          </cell>
          <cell r="F9" t="str">
            <v>Eloisa Zubiaga</v>
          </cell>
        </row>
        <row r="10">
          <cell r="C10" t="str">
            <v>Transition to Production</v>
          </cell>
          <cell r="F10" t="str">
            <v>Gina Marcelino</v>
          </cell>
        </row>
        <row r="11">
          <cell r="C11" t="str">
            <v>Moved/Joining Alternate Class/Program</v>
          </cell>
          <cell r="F11" t="str">
            <v>Harvy Torres</v>
          </cell>
        </row>
        <row r="12">
          <cell r="C12" t="str">
            <v>Transition to Production</v>
          </cell>
          <cell r="F12" t="str">
            <v>Shiella Suarez</v>
          </cell>
        </row>
        <row r="13">
          <cell r="C13" t="str">
            <v>Transition to Production</v>
          </cell>
          <cell r="F13" t="str">
            <v>Raizelle Jane Taytay</v>
          </cell>
        </row>
        <row r="14">
          <cell r="C14" t="str">
            <v>Transition to Production</v>
          </cell>
          <cell r="F14" t="str">
            <v>Leslie Caindoc</v>
          </cell>
        </row>
        <row r="15">
          <cell r="C15" t="str">
            <v>Transition to Production</v>
          </cell>
          <cell r="F15" t="str">
            <v>Jhamaica Virrey</v>
          </cell>
        </row>
        <row r="16">
          <cell r="C16" t="str">
            <v>Resigned Tier 1B</v>
          </cell>
          <cell r="F16" t="str">
            <v>Kristine Lorrelei Cadion</v>
          </cell>
        </row>
        <row r="17">
          <cell r="C17" t="str">
            <v>Transition to Production</v>
          </cell>
          <cell r="F17" t="str">
            <v>Grace Ng</v>
          </cell>
        </row>
        <row r="18">
          <cell r="C18" t="str">
            <v>Transition to Production</v>
          </cell>
          <cell r="F18" t="str">
            <v>Vanessa Sollano</v>
          </cell>
        </row>
        <row r="19">
          <cell r="C19" t="str">
            <v>Transition to Production</v>
          </cell>
          <cell r="F19" t="str">
            <v>Paula Jean Yuen</v>
          </cell>
        </row>
        <row r="21">
          <cell r="C21"/>
          <cell r="F21"/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EMMJ5GP2OBXREIEZK57ZMAKOJD">
      <xxl21:absoluteUrl r:id="rId2"/>
    </xxl21:alternateUrls>
    <sheetNames>
      <sheetName val="One-Time Check List"/>
      <sheetName val="Quick Links"/>
      <sheetName val="Daily Checklist"/>
      <sheetName val="Class Summary"/>
      <sheetName val="Preprocess SWOT"/>
      <sheetName val="Student Data"/>
      <sheetName val="Attendance"/>
      <sheetName val="Performance"/>
      <sheetName val="Perform Tier 2"/>
      <sheetName val="Performance RSA"/>
      <sheetName val="Preprocess Training Report"/>
      <sheetName val="Skill Assessment"/>
      <sheetName val="Daily Observation"/>
      <sheetName val="Day 1 WFH Audit"/>
      <sheetName val="Nesting Sales"/>
      <sheetName val="RSA Fraud Error Summary"/>
      <sheetName val="PCB Handoff Page (Sales)"/>
      <sheetName val="QBR"/>
      <sheetName val="PCB Nesting QA"/>
      <sheetName val="PCB Handoff Page - (Non-Sales)"/>
      <sheetName val="Perf. Mgmnt"/>
      <sheetName val="PCB Nesting Incentive Onshore"/>
      <sheetName val="PCB Nesting Incentive Offshore"/>
      <sheetName val="Reporting"/>
    </sheetNames>
    <sheetDataSet>
      <sheetData sheetId="0"/>
      <sheetData sheetId="1"/>
      <sheetData sheetId="2"/>
      <sheetData sheetId="3">
        <row r="6">
          <cell r="B6">
            <v>45833</v>
          </cell>
        </row>
      </sheetData>
      <sheetData sheetId="4"/>
      <sheetData sheetId="5">
        <row r="5">
          <cell r="M5"/>
        </row>
        <row r="6">
          <cell r="M6">
            <v>344970</v>
          </cell>
        </row>
        <row r="7">
          <cell r="M7"/>
        </row>
        <row r="8">
          <cell r="M8"/>
        </row>
        <row r="9">
          <cell r="M9">
            <v>344969</v>
          </cell>
        </row>
        <row r="10">
          <cell r="M10">
            <v>344955</v>
          </cell>
        </row>
        <row r="11">
          <cell r="M11">
            <v>344967</v>
          </cell>
        </row>
        <row r="12">
          <cell r="M12">
            <v>344960</v>
          </cell>
        </row>
        <row r="13">
          <cell r="M13">
            <v>344966</v>
          </cell>
        </row>
        <row r="14">
          <cell r="M14">
            <v>344957</v>
          </cell>
        </row>
        <row r="15">
          <cell r="M15">
            <v>344965</v>
          </cell>
        </row>
        <row r="16">
          <cell r="M16">
            <v>344956</v>
          </cell>
        </row>
        <row r="17">
          <cell r="M17">
            <v>344973</v>
          </cell>
        </row>
        <row r="18">
          <cell r="M18">
            <v>344976</v>
          </cell>
        </row>
        <row r="19">
          <cell r="M19"/>
        </row>
        <row r="20">
          <cell r="M20">
            <v>344974</v>
          </cell>
        </row>
        <row r="21">
          <cell r="M21">
            <v>344959</v>
          </cell>
        </row>
        <row r="22">
          <cell r="M22">
            <v>344972</v>
          </cell>
        </row>
        <row r="23">
          <cell r="M23">
            <v>344961</v>
          </cell>
        </row>
      </sheetData>
      <sheetData sheetId="6"/>
      <sheetData sheetId="7">
        <row r="5"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</row>
        <row r="6">
          <cell r="H6" t="str">
            <v>NTT</v>
          </cell>
          <cell r="I6">
            <v>0.88</v>
          </cell>
          <cell r="J6">
            <v>1</v>
          </cell>
          <cell r="K6" t="str">
            <v>NTT</v>
          </cell>
          <cell r="L6" t="str">
            <v>NTT</v>
          </cell>
          <cell r="M6" t="str">
            <v>N/A</v>
          </cell>
          <cell r="N6">
            <v>1</v>
          </cell>
          <cell r="O6" t="str">
            <v xml:space="preserve">NTT </v>
          </cell>
          <cell r="P6">
            <v>1</v>
          </cell>
          <cell r="Q6">
            <v>1</v>
          </cell>
          <cell r="R6">
            <v>1</v>
          </cell>
          <cell r="S6">
            <v>0.94</v>
          </cell>
          <cell r="T6">
            <v>1</v>
          </cell>
          <cell r="U6">
            <v>0.88</v>
          </cell>
        </row>
        <row r="7"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</row>
        <row r="8"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</row>
        <row r="9">
          <cell r="H9" t="str">
            <v>NTT</v>
          </cell>
          <cell r="I9">
            <v>0.88</v>
          </cell>
          <cell r="J9">
            <v>0.8</v>
          </cell>
          <cell r="K9" t="str">
            <v>NTT</v>
          </cell>
          <cell r="L9" t="str">
            <v>NTT</v>
          </cell>
          <cell r="M9" t="str">
            <v>N/A</v>
          </cell>
          <cell r="N9">
            <v>1</v>
          </cell>
          <cell r="O9" t="str">
            <v xml:space="preserve">NTT </v>
          </cell>
          <cell r="P9">
            <v>0.94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</row>
        <row r="10">
          <cell r="H10" t="str">
            <v>NTT</v>
          </cell>
          <cell r="I10">
            <v>1</v>
          </cell>
          <cell r="J10">
            <v>0.8</v>
          </cell>
          <cell r="K10" t="str">
            <v>NTT</v>
          </cell>
          <cell r="L10" t="str">
            <v>NTT</v>
          </cell>
          <cell r="M10" t="str">
            <v>N/A</v>
          </cell>
          <cell r="N10">
            <v>1</v>
          </cell>
          <cell r="O10" t="str">
            <v xml:space="preserve">NTT </v>
          </cell>
          <cell r="P10">
            <v>0.94</v>
          </cell>
          <cell r="Q10">
            <v>1</v>
          </cell>
          <cell r="R10">
            <v>1</v>
          </cell>
          <cell r="S10">
            <v>1</v>
          </cell>
          <cell r="T10">
            <v>0.8</v>
          </cell>
          <cell r="U10">
            <v>0.88</v>
          </cell>
        </row>
        <row r="11">
          <cell r="H11" t="str">
            <v>NTT</v>
          </cell>
          <cell r="I11">
            <v>1</v>
          </cell>
          <cell r="J11">
            <v>1</v>
          </cell>
          <cell r="K11" t="str">
            <v>NTT</v>
          </cell>
          <cell r="L11" t="str">
            <v>NTT</v>
          </cell>
          <cell r="M11" t="str">
            <v>N/A</v>
          </cell>
          <cell r="N11">
            <v>1</v>
          </cell>
          <cell r="O11" t="str">
            <v xml:space="preserve">NTT </v>
          </cell>
          <cell r="P11">
            <v>0.94</v>
          </cell>
          <cell r="Q11">
            <v>1</v>
          </cell>
          <cell r="R11">
            <v>1</v>
          </cell>
          <cell r="S11">
            <v>0.86</v>
          </cell>
          <cell r="T11">
            <v>1</v>
          </cell>
          <cell r="U11">
            <v>0.84</v>
          </cell>
        </row>
        <row r="12">
          <cell r="H12" t="str">
            <v>NTT</v>
          </cell>
          <cell r="I12">
            <v>0.88</v>
          </cell>
          <cell r="J12">
            <v>1</v>
          </cell>
          <cell r="K12" t="str">
            <v>NTT</v>
          </cell>
          <cell r="L12" t="str">
            <v>NTT</v>
          </cell>
          <cell r="M12" t="str">
            <v>N/A</v>
          </cell>
          <cell r="N12">
            <v>1</v>
          </cell>
          <cell r="O12" t="str">
            <v xml:space="preserve">NTT </v>
          </cell>
          <cell r="P12">
            <v>1</v>
          </cell>
          <cell r="Q12">
            <v>1</v>
          </cell>
          <cell r="R12">
            <v>1</v>
          </cell>
          <cell r="S12">
            <v>0.83</v>
          </cell>
          <cell r="T12">
            <v>1</v>
          </cell>
          <cell r="U12">
            <v>0.85</v>
          </cell>
        </row>
        <row r="13">
          <cell r="H13" t="str">
            <v>NTT</v>
          </cell>
          <cell r="I13">
            <v>0.88</v>
          </cell>
          <cell r="J13">
            <v>1</v>
          </cell>
          <cell r="K13" t="str">
            <v>NTT</v>
          </cell>
          <cell r="L13" t="str">
            <v>NTT</v>
          </cell>
          <cell r="M13" t="str">
            <v>N/A</v>
          </cell>
          <cell r="N13">
            <v>1</v>
          </cell>
          <cell r="O13" t="str">
            <v xml:space="preserve">NTT </v>
          </cell>
          <cell r="P13">
            <v>0.94</v>
          </cell>
          <cell r="Q13">
            <v>1</v>
          </cell>
          <cell r="R13">
            <v>1</v>
          </cell>
          <cell r="S13">
            <v>0.93</v>
          </cell>
          <cell r="T13">
            <v>0.8</v>
          </cell>
          <cell r="U13">
            <v>0.95</v>
          </cell>
        </row>
        <row r="14">
          <cell r="H14" t="str">
            <v>NTT</v>
          </cell>
          <cell r="I14">
            <v>1</v>
          </cell>
          <cell r="J14">
            <v>0.8</v>
          </cell>
          <cell r="K14" t="str">
            <v>NTT</v>
          </cell>
          <cell r="L14" t="str">
            <v>NTT</v>
          </cell>
          <cell r="M14" t="str">
            <v>N/A</v>
          </cell>
          <cell r="N14">
            <v>1</v>
          </cell>
          <cell r="O14" t="str">
            <v xml:space="preserve">NTT </v>
          </cell>
          <cell r="P14">
            <v>0.97</v>
          </cell>
          <cell r="Q14">
            <v>1</v>
          </cell>
          <cell r="R14">
            <v>1</v>
          </cell>
          <cell r="S14">
            <v>0.9</v>
          </cell>
          <cell r="T14">
            <v>1</v>
          </cell>
          <cell r="U14">
            <v>0.9</v>
          </cell>
        </row>
        <row r="15">
          <cell r="H15" t="str">
            <v>NTT</v>
          </cell>
          <cell r="I15">
            <v>0.88</v>
          </cell>
          <cell r="J15">
            <v>1</v>
          </cell>
          <cell r="K15" t="str">
            <v>NTT</v>
          </cell>
          <cell r="L15" t="str">
            <v>NTT</v>
          </cell>
          <cell r="M15" t="str">
            <v>N/A</v>
          </cell>
          <cell r="N15">
            <v>1</v>
          </cell>
          <cell r="O15" t="str">
            <v xml:space="preserve">NTT </v>
          </cell>
          <cell r="P15">
            <v>0.98</v>
          </cell>
          <cell r="Q15">
            <v>1</v>
          </cell>
          <cell r="R15">
            <v>1</v>
          </cell>
          <cell r="S15">
            <v>0.86</v>
          </cell>
          <cell r="T15">
            <v>0.8</v>
          </cell>
          <cell r="U15">
            <v>0.84</v>
          </cell>
        </row>
        <row r="16">
          <cell r="H16" t="str">
            <v>NTT</v>
          </cell>
          <cell r="I16">
            <v>0.88</v>
          </cell>
          <cell r="J16">
            <v>1</v>
          </cell>
          <cell r="K16" t="str">
            <v>NTT</v>
          </cell>
          <cell r="L16" t="str">
            <v>NTT</v>
          </cell>
          <cell r="M16" t="str">
            <v>N/A</v>
          </cell>
          <cell r="N16">
            <v>1</v>
          </cell>
          <cell r="O16" t="str">
            <v xml:space="preserve">NTT </v>
          </cell>
          <cell r="P16">
            <v>0.82</v>
          </cell>
          <cell r="Q16">
            <v>1</v>
          </cell>
          <cell r="R16">
            <v>1</v>
          </cell>
          <cell r="S16">
            <v>0.81</v>
          </cell>
          <cell r="T16">
            <v>0.8</v>
          </cell>
          <cell r="U16">
            <v>0.88</v>
          </cell>
        </row>
        <row r="17">
          <cell r="H17" t="str">
            <v>NTT</v>
          </cell>
          <cell r="I17">
            <v>1</v>
          </cell>
          <cell r="J17">
            <v>1</v>
          </cell>
          <cell r="K17" t="str">
            <v>NTT</v>
          </cell>
          <cell r="L17" t="str">
            <v>NTT</v>
          </cell>
          <cell r="M17" t="str">
            <v>N/A</v>
          </cell>
          <cell r="N17">
            <v>1</v>
          </cell>
          <cell r="O17" t="str">
            <v xml:space="preserve">NTT </v>
          </cell>
          <cell r="P17">
            <v>0.94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0.9</v>
          </cell>
        </row>
        <row r="18">
          <cell r="H18" t="str">
            <v>NTT</v>
          </cell>
          <cell r="I18">
            <v>0.88</v>
          </cell>
          <cell r="J18">
            <v>1</v>
          </cell>
          <cell r="K18" t="str">
            <v>NTT</v>
          </cell>
          <cell r="L18" t="str">
            <v>NTT</v>
          </cell>
          <cell r="M18" t="str">
            <v>N/A</v>
          </cell>
          <cell r="N18">
            <v>1</v>
          </cell>
          <cell r="O18" t="str">
            <v xml:space="preserve">NTT </v>
          </cell>
          <cell r="P18">
            <v>0.92</v>
          </cell>
          <cell r="Q18">
            <v>1</v>
          </cell>
          <cell r="R18">
            <v>1</v>
          </cell>
          <cell r="S18">
            <v>0.82</v>
          </cell>
          <cell r="T18">
            <v>0.8</v>
          </cell>
          <cell r="U18">
            <v>0.8</v>
          </cell>
        </row>
        <row r="19"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</row>
        <row r="20">
          <cell r="H20" t="str">
            <v>NTT</v>
          </cell>
          <cell r="I20">
            <v>1</v>
          </cell>
          <cell r="J20">
            <v>0.8</v>
          </cell>
          <cell r="K20" t="str">
            <v>NTT</v>
          </cell>
          <cell r="L20" t="str">
            <v>NTT</v>
          </cell>
          <cell r="M20" t="str">
            <v>N/A</v>
          </cell>
          <cell r="N20">
            <v>1</v>
          </cell>
          <cell r="O20" t="str">
            <v xml:space="preserve">NTT </v>
          </cell>
          <cell r="P20">
            <v>0.94</v>
          </cell>
          <cell r="Q20">
            <v>1</v>
          </cell>
          <cell r="R20">
            <v>1</v>
          </cell>
          <cell r="S20">
            <v>0.94</v>
          </cell>
          <cell r="T20">
            <v>1</v>
          </cell>
          <cell r="U20">
            <v>0.95</v>
          </cell>
        </row>
        <row r="21">
          <cell r="H21" t="str">
            <v>NTT</v>
          </cell>
          <cell r="I21">
            <v>0.88</v>
          </cell>
          <cell r="J21">
            <v>1</v>
          </cell>
          <cell r="K21" t="str">
            <v>NTT</v>
          </cell>
          <cell r="L21" t="str">
            <v>NTT</v>
          </cell>
          <cell r="M21" t="str">
            <v>N/A</v>
          </cell>
          <cell r="N21">
            <v>1</v>
          </cell>
          <cell r="O21" t="str">
            <v xml:space="preserve">NTT </v>
          </cell>
          <cell r="P21">
            <v>0.94</v>
          </cell>
          <cell r="Q21">
            <v>1</v>
          </cell>
          <cell r="R21">
            <v>1</v>
          </cell>
          <cell r="S21">
            <v>0.94</v>
          </cell>
          <cell r="T21">
            <v>1</v>
          </cell>
          <cell r="U21">
            <v>0.8</v>
          </cell>
        </row>
        <row r="22">
          <cell r="H22" t="str">
            <v>NTT</v>
          </cell>
          <cell r="I22">
            <v>1</v>
          </cell>
          <cell r="J22">
            <v>0.8</v>
          </cell>
          <cell r="K22" t="str">
            <v>NTT</v>
          </cell>
          <cell r="L22" t="str">
            <v>NTT</v>
          </cell>
          <cell r="M22" t="str">
            <v>N/A</v>
          </cell>
          <cell r="N22">
            <v>1</v>
          </cell>
          <cell r="O22" t="str">
            <v xml:space="preserve">NTT </v>
          </cell>
          <cell r="P22">
            <v>1</v>
          </cell>
          <cell r="Q22">
            <v>1</v>
          </cell>
          <cell r="R22">
            <v>1</v>
          </cell>
          <cell r="S22">
            <v>0.8</v>
          </cell>
          <cell r="T22">
            <v>10</v>
          </cell>
          <cell r="U22">
            <v>1</v>
          </cell>
        </row>
        <row r="23">
          <cell r="H23" t="str">
            <v>NTT</v>
          </cell>
          <cell r="I23">
            <v>1</v>
          </cell>
          <cell r="J23">
            <v>1</v>
          </cell>
          <cell r="K23" t="str">
            <v>NTT</v>
          </cell>
          <cell r="L23" t="str">
            <v>NTT</v>
          </cell>
          <cell r="M23" t="str">
            <v>N/A</v>
          </cell>
          <cell r="N23">
            <v>1</v>
          </cell>
          <cell r="O23" t="str">
            <v xml:space="preserve">NTT </v>
          </cell>
          <cell r="P23">
            <v>0.82</v>
          </cell>
          <cell r="Q23">
            <v>1</v>
          </cell>
          <cell r="R23">
            <v>1</v>
          </cell>
          <cell r="S23">
            <v>0.92</v>
          </cell>
          <cell r="T23">
            <v>1</v>
          </cell>
          <cell r="U23">
            <v>0.9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Did not Start</v>
          </cell>
          <cell r="F4" t="str">
            <v>Ann Christine Felomina Becerro</v>
          </cell>
        </row>
        <row r="5">
          <cell r="C5" t="str">
            <v>Transition to Production</v>
          </cell>
          <cell r="F5" t="str">
            <v>Allyza Cabiad</v>
          </cell>
        </row>
        <row r="6">
          <cell r="C6" t="str">
            <v>Did not Start</v>
          </cell>
          <cell r="F6" t="str">
            <v>Myla May Delos Santos</v>
          </cell>
        </row>
        <row r="7">
          <cell r="C7" t="str">
            <v>Did not Start</v>
          </cell>
          <cell r="F7" t="str">
            <v>Junmel Estiller</v>
          </cell>
        </row>
        <row r="8">
          <cell r="C8" t="str">
            <v>Resigned Tier 1B</v>
          </cell>
          <cell r="F8" t="str">
            <v>Jenifer Jainar</v>
          </cell>
        </row>
        <row r="9">
          <cell r="C9" t="str">
            <v>Transition to Production</v>
          </cell>
          <cell r="F9" t="str">
            <v>Guia Ericka Javier</v>
          </cell>
        </row>
        <row r="10">
          <cell r="C10" t="str">
            <v>Terminated-Nesting 3</v>
          </cell>
          <cell r="F10" t="str">
            <v>Michelle Jayme</v>
          </cell>
        </row>
        <row r="11">
          <cell r="C11" t="str">
            <v>Resigned Tier 1B</v>
          </cell>
          <cell r="F11" t="str">
            <v>Diana Jane Juliano</v>
          </cell>
        </row>
        <row r="12">
          <cell r="C12" t="str">
            <v>Moved/Joining Alternate Class/Program</v>
          </cell>
          <cell r="F12" t="str">
            <v>Karen Joy Lambating</v>
          </cell>
        </row>
        <row r="13">
          <cell r="C13" t="str">
            <v>Transition to Production</v>
          </cell>
          <cell r="F13" t="str">
            <v>Jeremie Luchavez</v>
          </cell>
        </row>
        <row r="14">
          <cell r="C14" t="str">
            <v>Transition to Production</v>
          </cell>
          <cell r="F14" t="str">
            <v>Zechariah (Zach) Magusara</v>
          </cell>
        </row>
        <row r="15">
          <cell r="C15" t="str">
            <v>Transition to Production</v>
          </cell>
          <cell r="F15" t="str">
            <v>Justine Monedero</v>
          </cell>
        </row>
        <row r="16">
          <cell r="C16" t="str">
            <v>Resigned Tier 1B</v>
          </cell>
          <cell r="F16" t="str">
            <v>Mary Grace Moreno</v>
          </cell>
        </row>
        <row r="17">
          <cell r="C17" t="str">
            <v>Transition to Production with SMART plan</v>
          </cell>
          <cell r="F17" t="str">
            <v>Joshua Pamaos</v>
          </cell>
        </row>
        <row r="18">
          <cell r="C18" t="str">
            <v>Did not Start</v>
          </cell>
          <cell r="F18" t="str">
            <v>Valerie Perez</v>
          </cell>
        </row>
        <row r="19">
          <cell r="C19" t="str">
            <v>Transition to Production</v>
          </cell>
          <cell r="F19" t="str">
            <v>Daniella Allyssa Ponciano</v>
          </cell>
        </row>
        <row r="20">
          <cell r="C20" t="str">
            <v>Resigned-Nesting 1B</v>
          </cell>
          <cell r="F20" t="str">
            <v>Aubrey Claudette Ramirez</v>
          </cell>
        </row>
        <row r="21">
          <cell r="C21" t="str">
            <v>Terminated-Nesting 3</v>
          </cell>
          <cell r="F21" t="str">
            <v>Dindi Sagaral</v>
          </cell>
        </row>
        <row r="22">
          <cell r="C22" t="str">
            <v>Resigned-Nesting 1B</v>
          </cell>
          <cell r="F22" t="str">
            <v>Janna Rosalia Talabong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 Data"/>
      <sheetName val="Quick Links"/>
      <sheetName val="One-Time Check List"/>
      <sheetName val="Daily Checklist"/>
      <sheetName val="Class Summary"/>
      <sheetName val="Preprocess SWOT"/>
      <sheetName val="Attendance"/>
      <sheetName val="Day 1 WFH Audit"/>
      <sheetName val="Performance"/>
      <sheetName val="Perform Tier 2"/>
      <sheetName val="Performance RSA"/>
      <sheetName val="Preprocess Training Report"/>
      <sheetName val="Daily Observation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6">
          <cell r="B6">
            <v>45847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>
            <v>0</v>
          </cell>
          <cell r="F4" t="str">
            <v>Anna Liza Valenzuela</v>
          </cell>
        </row>
        <row r="5">
          <cell r="F5" t="str">
            <v>Arvin Nareto De Leon</v>
          </cell>
        </row>
        <row r="6">
          <cell r="F6" t="str">
            <v>Asnor Alden</v>
          </cell>
        </row>
        <row r="7">
          <cell r="F7" t="str">
            <v>Edilito Nartea Jr.</v>
          </cell>
        </row>
        <row r="8">
          <cell r="F8" t="str">
            <v>Jemwell Morante</v>
          </cell>
        </row>
        <row r="9">
          <cell r="F9" t="str">
            <v>Joros Rian</v>
          </cell>
        </row>
        <row r="10">
          <cell r="F10" t="str">
            <v>Myla May Delos Santos</v>
          </cell>
        </row>
        <row r="11">
          <cell r="F11" t="str">
            <v>Nicole Sto. Domingo</v>
          </cell>
        </row>
        <row r="12">
          <cell r="F12" t="str">
            <v>Rey Jumar Ty</v>
          </cell>
        </row>
        <row r="13">
          <cell r="F13" t="str">
            <v>Russile Jepollo</v>
          </cell>
        </row>
        <row r="14">
          <cell r="F14" t="str">
            <v>Valerie Perez</v>
          </cell>
        </row>
        <row r="15">
          <cell r="F15" t="str">
            <v>Victor Fabro</v>
          </cell>
        </row>
        <row r="16">
          <cell r="F16" t="str">
            <v>Zenarth Solicito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CUOBO6Y7FVARHIG4ZVW2VIR754">
      <xxl21:absoluteUrl r:id="rId2"/>
    </xxl21:alternateUrls>
    <sheetNames>
      <sheetName val="Quick Links"/>
      <sheetName val="One-Time Check List"/>
      <sheetName val="Daily Checklist"/>
      <sheetName val="Student Data"/>
      <sheetName val="Class Summary"/>
      <sheetName val="Preprocess SWOT"/>
      <sheetName val="Attendance"/>
      <sheetName val="Day 1 WFH Audit"/>
      <sheetName val="Performance"/>
      <sheetName val="Perform Tier 2"/>
      <sheetName val="Performance RSA"/>
      <sheetName val="Preprocess Training Report"/>
      <sheetName val="Daily Observation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>
        <row r="5">
          <cell r="M5">
            <v>345520</v>
          </cell>
        </row>
        <row r="6">
          <cell r="M6">
            <v>345568</v>
          </cell>
        </row>
        <row r="7">
          <cell r="M7">
            <v>345526</v>
          </cell>
        </row>
        <row r="8">
          <cell r="M8">
            <v>345532</v>
          </cell>
        </row>
        <row r="9">
          <cell r="M9"/>
        </row>
        <row r="10">
          <cell r="M10">
            <v>345530</v>
          </cell>
        </row>
        <row r="11">
          <cell r="M11">
            <v>345556</v>
          </cell>
        </row>
        <row r="12">
          <cell r="M12">
            <v>345540</v>
          </cell>
        </row>
        <row r="13">
          <cell r="M13">
            <v>345542</v>
          </cell>
        </row>
        <row r="14">
          <cell r="M14">
            <v>345548</v>
          </cell>
        </row>
        <row r="15">
          <cell r="M15">
            <v>345554</v>
          </cell>
        </row>
        <row r="16">
          <cell r="M16">
            <v>345543</v>
          </cell>
        </row>
        <row r="17">
          <cell r="M17">
            <v>345549</v>
          </cell>
        </row>
      </sheetData>
      <sheetData sheetId="4"/>
      <sheetData sheetId="5"/>
      <sheetData sheetId="6"/>
      <sheetData sheetId="7"/>
      <sheetData sheetId="8">
        <row r="5"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</row>
        <row r="6">
          <cell r="H6">
            <v>1</v>
          </cell>
          <cell r="I6">
            <v>0.88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0.88</v>
          </cell>
          <cell r="T6">
            <v>1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</row>
        <row r="8">
          <cell r="H8">
            <v>1</v>
          </cell>
          <cell r="I8">
            <v>0.88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0.82</v>
          </cell>
          <cell r="Q8">
            <v>1</v>
          </cell>
          <cell r="R8">
            <v>1</v>
          </cell>
          <cell r="S8">
            <v>0.88</v>
          </cell>
          <cell r="T8">
            <v>1</v>
          </cell>
        </row>
        <row r="9"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</row>
        <row r="10">
          <cell r="H10">
            <v>1</v>
          </cell>
          <cell r="I10">
            <v>0.88</v>
          </cell>
          <cell r="J10">
            <v>0.8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0.96</v>
          </cell>
          <cell r="T10">
            <v>0.8</v>
          </cell>
        </row>
        <row r="11">
          <cell r="H11"/>
          <cell r="I11">
            <v>0.88</v>
          </cell>
          <cell r="J11">
            <v>0.8</v>
          </cell>
          <cell r="K11"/>
          <cell r="L11"/>
          <cell r="M11"/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0.86</v>
          </cell>
          <cell r="T11">
            <v>1</v>
          </cell>
        </row>
        <row r="12"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0.82</v>
          </cell>
          <cell r="Q12">
            <v>1</v>
          </cell>
          <cell r="R12">
            <v>1</v>
          </cell>
          <cell r="S12">
            <v>0.94</v>
          </cell>
          <cell r="T12">
            <v>1</v>
          </cell>
        </row>
        <row r="13">
          <cell r="H13">
            <v>1</v>
          </cell>
          <cell r="I13">
            <v>0.88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0.88</v>
          </cell>
          <cell r="Q13">
            <v>1</v>
          </cell>
          <cell r="R13">
            <v>1</v>
          </cell>
          <cell r="S13">
            <v>0.84</v>
          </cell>
          <cell r="T13">
            <v>1</v>
          </cell>
        </row>
        <row r="14">
          <cell r="H14">
            <v>1</v>
          </cell>
          <cell r="I14">
            <v>0.88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0.82</v>
          </cell>
          <cell r="Q14">
            <v>1</v>
          </cell>
          <cell r="R14">
            <v>1</v>
          </cell>
          <cell r="S14">
            <v>0.94</v>
          </cell>
          <cell r="T14">
            <v>1</v>
          </cell>
        </row>
        <row r="15">
          <cell r="H15">
            <v>1</v>
          </cell>
          <cell r="I15">
            <v>0.88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0.8</v>
          </cell>
        </row>
        <row r="16"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0.82</v>
          </cell>
          <cell r="T16">
            <v>1</v>
          </cell>
        </row>
        <row r="17">
          <cell r="H17">
            <v>1</v>
          </cell>
          <cell r="I17">
            <v>0.88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0.86</v>
          </cell>
          <cell r="T17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Resigned Tier 1A</v>
          </cell>
        </row>
        <row r="5">
          <cell r="C5" t="str">
            <v>Transition to Production</v>
          </cell>
        </row>
        <row r="6">
          <cell r="C6" t="str">
            <v>Transition to Production</v>
          </cell>
        </row>
        <row r="7">
          <cell r="C7" t="str">
            <v>Transition to Production</v>
          </cell>
        </row>
        <row r="8">
          <cell r="C8" t="str">
            <v>Did not Start</v>
          </cell>
        </row>
        <row r="9">
          <cell r="C9" t="str">
            <v>Transition to Production</v>
          </cell>
        </row>
        <row r="10">
          <cell r="C10" t="str">
            <v>Resigned Tier 1A</v>
          </cell>
        </row>
        <row r="11">
          <cell r="C11" t="str">
            <v>Transition to Production</v>
          </cell>
        </row>
        <row r="12">
          <cell r="C12" t="str">
            <v>Transition to Production</v>
          </cell>
        </row>
        <row r="13">
          <cell r="C13" t="str">
            <v>Transition to Production</v>
          </cell>
        </row>
        <row r="14">
          <cell r="C14" t="str">
            <v>Transition to Production</v>
          </cell>
        </row>
        <row r="15">
          <cell r="C15" t="str">
            <v>Transition to Production</v>
          </cell>
        </row>
        <row r="16">
          <cell r="C16" t="str">
            <v>Terminated-Nesting 1B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GWCUGU63BN2VALPPCYXI5EBGWN">
      <xxl21:absoluteUrl r:id="rId2"/>
    </xxl21:alternateUrls>
    <sheetNames>
      <sheetName val="Quick Links"/>
      <sheetName val="Daily Checklist"/>
      <sheetName val="One-Time Check List"/>
      <sheetName val="Class Summary"/>
      <sheetName val="Preprocess SWOT"/>
      <sheetName val="Student Data"/>
      <sheetName val="Day 1 WFH Audit"/>
      <sheetName val="Attendance"/>
      <sheetName val="Perform Tier 2"/>
      <sheetName val="Performance RSA"/>
      <sheetName val="Preprocess Training Report"/>
      <sheetName val="Daily Observation"/>
      <sheetName val="Skill Assessment"/>
      <sheetName val="PCB Nesting Incentive Offshore"/>
      <sheetName val="Nesting Sales"/>
      <sheetName val="RSA Fraud Error Summary"/>
      <sheetName val="PCB Handoff Page (Sales)"/>
      <sheetName val="QBR"/>
      <sheetName val="Performance"/>
      <sheetName val="PCB Nesting QA"/>
      <sheetName val="PCB Nesting Incentive Onshore"/>
      <sheetName val="PCB Handoff Page - (Non-Sales)"/>
      <sheetName val="Perf. Mgmnt"/>
      <sheetName val="Reporting"/>
    </sheetNames>
    <sheetDataSet>
      <sheetData sheetId="0"/>
      <sheetData sheetId="1"/>
      <sheetData sheetId="2"/>
      <sheetData sheetId="3">
        <row r="6">
          <cell r="B6">
            <v>45848</v>
          </cell>
        </row>
      </sheetData>
      <sheetData sheetId="4"/>
      <sheetData sheetId="5">
        <row r="5">
          <cell r="M5">
            <v>35555</v>
          </cell>
        </row>
        <row r="6">
          <cell r="M6">
            <v>22692</v>
          </cell>
        </row>
        <row r="7">
          <cell r="M7">
            <v>24120</v>
          </cell>
        </row>
        <row r="8">
          <cell r="M8">
            <v>37901</v>
          </cell>
        </row>
        <row r="9">
          <cell r="M9">
            <v>33351</v>
          </cell>
        </row>
        <row r="10">
          <cell r="M10" t="str">
            <v>21375 </v>
          </cell>
        </row>
        <row r="11">
          <cell r="M11">
            <v>37786</v>
          </cell>
        </row>
        <row r="12">
          <cell r="M12">
            <v>21893</v>
          </cell>
        </row>
        <row r="13">
          <cell r="M13">
            <v>39755</v>
          </cell>
        </row>
        <row r="14">
          <cell r="M14">
            <v>32307</v>
          </cell>
        </row>
        <row r="15">
          <cell r="M15">
            <v>39762</v>
          </cell>
        </row>
        <row r="16">
          <cell r="M16">
            <v>602515</v>
          </cell>
        </row>
        <row r="17">
          <cell r="M17">
            <v>39754</v>
          </cell>
        </row>
        <row r="18">
          <cell r="M18">
            <v>39351</v>
          </cell>
        </row>
        <row r="19">
          <cell r="M19">
            <v>16115</v>
          </cell>
        </row>
        <row r="20">
          <cell r="M20">
            <v>21489</v>
          </cell>
        </row>
        <row r="21">
          <cell r="M21">
            <v>602582</v>
          </cell>
        </row>
        <row r="22">
          <cell r="M22">
            <v>37768</v>
          </cell>
        </row>
        <row r="23">
          <cell r="M23">
            <v>39723</v>
          </cell>
        </row>
        <row r="24">
          <cell r="M24">
            <v>39725</v>
          </cell>
        </row>
        <row r="25">
          <cell r="M25">
            <v>33175</v>
          </cell>
        </row>
        <row r="26">
          <cell r="M26">
            <v>40662</v>
          </cell>
        </row>
        <row r="27">
          <cell r="M27">
            <v>40663</v>
          </cell>
        </row>
        <row r="28">
          <cell r="M28">
            <v>40664</v>
          </cell>
        </row>
        <row r="29">
          <cell r="M29">
            <v>40665</v>
          </cell>
        </row>
        <row r="30">
          <cell r="M30">
            <v>40666</v>
          </cell>
        </row>
        <row r="31">
          <cell r="M31">
            <v>40667</v>
          </cell>
        </row>
        <row r="32">
          <cell r="M32">
            <v>40668</v>
          </cell>
        </row>
        <row r="33">
          <cell r="M33">
            <v>40669</v>
          </cell>
        </row>
        <row r="34">
          <cell r="M34">
            <v>40670</v>
          </cell>
        </row>
        <row r="35">
          <cell r="M35">
            <v>40671</v>
          </cell>
        </row>
        <row r="36">
          <cell r="M36">
            <v>40672</v>
          </cell>
        </row>
        <row r="37">
          <cell r="M37">
            <v>40673</v>
          </cell>
        </row>
        <row r="38">
          <cell r="M38">
            <v>40674</v>
          </cell>
        </row>
        <row r="39">
          <cell r="M39">
            <v>40675</v>
          </cell>
        </row>
        <row r="40">
          <cell r="M40">
            <v>40676</v>
          </cell>
        </row>
        <row r="41">
          <cell r="M41">
            <v>40677</v>
          </cell>
        </row>
        <row r="42">
          <cell r="M42">
            <v>40678</v>
          </cell>
        </row>
        <row r="43">
          <cell r="M43">
            <v>40679</v>
          </cell>
        </row>
        <row r="44">
          <cell r="M44">
            <v>40680</v>
          </cell>
        </row>
        <row r="45">
          <cell r="M45">
            <v>40681</v>
          </cell>
        </row>
        <row r="46">
          <cell r="M46">
            <v>40682</v>
          </cell>
        </row>
        <row r="47">
          <cell r="M47">
            <v>40683</v>
          </cell>
        </row>
        <row r="48">
          <cell r="M48">
            <v>40684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H5">
            <v>1</v>
          </cell>
          <cell r="I5">
            <v>0.88</v>
          </cell>
          <cell r="J5">
            <v>0.8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0.9</v>
          </cell>
          <cell r="Q5">
            <v>1</v>
          </cell>
          <cell r="R5">
            <v>1</v>
          </cell>
          <cell r="S5">
            <v>0.86</v>
          </cell>
          <cell r="T5">
            <v>0.8</v>
          </cell>
          <cell r="U5">
            <v>0.8</v>
          </cell>
        </row>
        <row r="6"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0.89</v>
          </cell>
          <cell r="M6">
            <v>1</v>
          </cell>
          <cell r="N6">
            <v>1</v>
          </cell>
          <cell r="O6" t="str">
            <v>82`%</v>
          </cell>
          <cell r="Q6">
            <v>1</v>
          </cell>
          <cell r="R6">
            <v>1</v>
          </cell>
          <cell r="S6">
            <v>0.9</v>
          </cell>
          <cell r="T6">
            <v>0.8</v>
          </cell>
          <cell r="U6">
            <v>0.88</v>
          </cell>
        </row>
        <row r="7">
          <cell r="H7">
            <v>1</v>
          </cell>
          <cell r="I7">
            <v>0.88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0.91</v>
          </cell>
          <cell r="Q7">
            <v>1</v>
          </cell>
          <cell r="R7">
            <v>1</v>
          </cell>
          <cell r="S7">
            <v>0.92</v>
          </cell>
          <cell r="T7">
            <v>1</v>
          </cell>
          <cell r="U7">
            <v>0.9</v>
          </cell>
        </row>
        <row r="8">
          <cell r="H8">
            <v>1</v>
          </cell>
          <cell r="I8">
            <v>0.88</v>
          </cell>
          <cell r="J8">
            <v>1</v>
          </cell>
          <cell r="K8">
            <v>1</v>
          </cell>
          <cell r="L8">
            <v>0.89</v>
          </cell>
          <cell r="M8">
            <v>1</v>
          </cell>
          <cell r="N8">
            <v>1</v>
          </cell>
          <cell r="O8">
            <v>1</v>
          </cell>
          <cell r="Q8">
            <v>1</v>
          </cell>
          <cell r="R8">
            <v>1</v>
          </cell>
          <cell r="S8">
            <v>0.98</v>
          </cell>
          <cell r="T8">
            <v>0.8</v>
          </cell>
          <cell r="U8">
            <v>1</v>
          </cell>
        </row>
        <row r="9">
          <cell r="H9">
            <v>1</v>
          </cell>
          <cell r="I9">
            <v>0.88</v>
          </cell>
          <cell r="J9">
            <v>1</v>
          </cell>
          <cell r="K9">
            <v>1</v>
          </cell>
          <cell r="L9">
            <v>0.89</v>
          </cell>
          <cell r="M9">
            <v>1</v>
          </cell>
          <cell r="N9">
            <v>1</v>
          </cell>
          <cell r="O9">
            <v>1</v>
          </cell>
          <cell r="Q9">
            <v>1</v>
          </cell>
          <cell r="R9">
            <v>1</v>
          </cell>
          <cell r="S9">
            <v>0.8</v>
          </cell>
          <cell r="T9">
            <v>0.8</v>
          </cell>
          <cell r="U9">
            <v>0.83</v>
          </cell>
        </row>
        <row r="10">
          <cell r="H10">
            <v>1</v>
          </cell>
          <cell r="I10">
            <v>0.88</v>
          </cell>
          <cell r="J10">
            <v>0.8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0.91</v>
          </cell>
          <cell r="Q10">
            <v>1</v>
          </cell>
          <cell r="R10">
            <v>1</v>
          </cell>
          <cell r="S10">
            <v>0.86</v>
          </cell>
          <cell r="T10">
            <v>1</v>
          </cell>
          <cell r="U10">
            <v>0.88</v>
          </cell>
        </row>
        <row r="11">
          <cell r="H11">
            <v>1</v>
          </cell>
          <cell r="I11">
            <v>0.88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0.87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</row>
        <row r="12"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0.96</v>
          </cell>
          <cell r="Q12">
            <v>1</v>
          </cell>
          <cell r="R12">
            <v>1</v>
          </cell>
          <cell r="S12">
            <v>0.86</v>
          </cell>
          <cell r="T12">
            <v>0.8</v>
          </cell>
          <cell r="U12">
            <v>0.99</v>
          </cell>
        </row>
        <row r="13">
          <cell r="H13">
            <v>1</v>
          </cell>
          <cell r="I13">
            <v>0.88</v>
          </cell>
          <cell r="J13">
            <v>0.8</v>
          </cell>
          <cell r="K13">
            <v>1</v>
          </cell>
          <cell r="L13">
            <v>0.89</v>
          </cell>
          <cell r="M13">
            <v>1</v>
          </cell>
          <cell r="N13">
            <v>1</v>
          </cell>
          <cell r="O13">
            <v>0.91</v>
          </cell>
          <cell r="Q13">
            <v>1</v>
          </cell>
          <cell r="R13">
            <v>1</v>
          </cell>
          <cell r="S13">
            <v>0.96</v>
          </cell>
          <cell r="T13">
            <v>1</v>
          </cell>
          <cell r="U13">
            <v>0.84</v>
          </cell>
        </row>
        <row r="14"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0.91</v>
          </cell>
          <cell r="Q14">
            <v>1</v>
          </cell>
          <cell r="R14">
            <v>1</v>
          </cell>
          <cell r="S14" t="str">
            <v>N/A</v>
          </cell>
          <cell r="T14">
            <v>0.8</v>
          </cell>
          <cell r="U14" t="str">
            <v>N/A</v>
          </cell>
        </row>
        <row r="15">
          <cell r="H15">
            <v>1</v>
          </cell>
          <cell r="I15">
            <v>0.88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0.82</v>
          </cell>
          <cell r="Q15">
            <v>1</v>
          </cell>
          <cell r="R15">
            <v>1</v>
          </cell>
          <cell r="S15">
            <v>0.94</v>
          </cell>
          <cell r="T15">
            <v>0.8</v>
          </cell>
          <cell r="U15">
            <v>0.86</v>
          </cell>
        </row>
        <row r="16">
          <cell r="H16" t="str">
            <v>N/A</v>
          </cell>
          <cell r="I16" t="str">
            <v>N/A</v>
          </cell>
          <cell r="J16" t="str">
            <v>N/A</v>
          </cell>
          <cell r="K16" t="str">
            <v>N/A</v>
          </cell>
          <cell r="L16" t="str">
            <v>N/A</v>
          </cell>
          <cell r="M16" t="str">
            <v>N/A</v>
          </cell>
          <cell r="N16" t="str">
            <v>N/A</v>
          </cell>
          <cell r="O16" t="str">
            <v>N/A</v>
          </cell>
          <cell r="Q16" t="str">
            <v>N/A</v>
          </cell>
          <cell r="R16" t="str">
            <v>N/A</v>
          </cell>
          <cell r="S16" t="str">
            <v>N/A</v>
          </cell>
          <cell r="T16" t="str">
            <v>N/A</v>
          </cell>
          <cell r="U16" t="str">
            <v>N/A</v>
          </cell>
        </row>
        <row r="17">
          <cell r="H17" t="str">
            <v>N/A</v>
          </cell>
          <cell r="I17" t="str">
            <v>N/A</v>
          </cell>
          <cell r="J17" t="str">
            <v>N/A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N/A</v>
          </cell>
          <cell r="O17" t="str">
            <v>N/A</v>
          </cell>
          <cell r="Q17" t="str">
            <v>N/A</v>
          </cell>
          <cell r="R17" t="str">
            <v>N/A</v>
          </cell>
          <cell r="S17" t="str">
            <v>N/A</v>
          </cell>
          <cell r="T17" t="str">
            <v>N/A</v>
          </cell>
          <cell r="U17" t="str">
            <v>N/A</v>
          </cell>
        </row>
        <row r="18"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0.91</v>
          </cell>
          <cell r="Q18">
            <v>1</v>
          </cell>
          <cell r="R18">
            <v>1</v>
          </cell>
          <cell r="S18">
            <v>0.94</v>
          </cell>
          <cell r="T18">
            <v>1</v>
          </cell>
          <cell r="U18">
            <v>0.98</v>
          </cell>
        </row>
        <row r="19"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0.91</v>
          </cell>
          <cell r="P19">
            <v>1</v>
          </cell>
          <cell r="Q19">
            <v>1</v>
          </cell>
          <cell r="R19">
            <v>1</v>
          </cell>
          <cell r="S19" t="str">
            <v>N/A</v>
          </cell>
          <cell r="T19" t="str">
            <v>N/A</v>
          </cell>
          <cell r="U19" t="str">
            <v>N/A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0.94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0.83</v>
          </cell>
        </row>
        <row r="21">
          <cell r="H21" t="str">
            <v>N/A</v>
          </cell>
          <cell r="I21" t="str">
            <v>N/A</v>
          </cell>
          <cell r="J21" t="str">
            <v>N/A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N/A</v>
          </cell>
          <cell r="O21" t="str">
            <v>N/A</v>
          </cell>
          <cell r="P21" t="str">
            <v>N/A</v>
          </cell>
          <cell r="Q21" t="str">
            <v>N/A</v>
          </cell>
          <cell r="R21" t="str">
            <v>N/A</v>
          </cell>
          <cell r="S21" t="str">
            <v>N/A</v>
          </cell>
          <cell r="T21" t="str">
            <v>N/A</v>
          </cell>
          <cell r="U21" t="str">
            <v>N/A</v>
          </cell>
        </row>
        <row r="22"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0.94</v>
          </cell>
          <cell r="Q22">
            <v>1</v>
          </cell>
          <cell r="R22">
            <v>1</v>
          </cell>
          <cell r="S22">
            <v>0.88</v>
          </cell>
          <cell r="T22">
            <v>1</v>
          </cell>
          <cell r="U22">
            <v>0.94</v>
          </cell>
        </row>
        <row r="23">
          <cell r="H23">
            <v>1</v>
          </cell>
          <cell r="I23">
            <v>0.88</v>
          </cell>
          <cell r="J23">
            <v>1</v>
          </cell>
          <cell r="K23">
            <v>1</v>
          </cell>
          <cell r="L23">
            <v>0.89</v>
          </cell>
          <cell r="M23">
            <v>1</v>
          </cell>
          <cell r="N23">
            <v>1</v>
          </cell>
          <cell r="O23">
            <v>1</v>
          </cell>
          <cell r="P23">
            <v>0.91</v>
          </cell>
          <cell r="Q23">
            <v>1</v>
          </cell>
          <cell r="R23">
            <v>1</v>
          </cell>
          <cell r="S23">
            <v>0.94</v>
          </cell>
          <cell r="T23">
            <v>0.8</v>
          </cell>
          <cell r="U23">
            <v>0.88</v>
          </cell>
        </row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0.91</v>
          </cell>
          <cell r="P24">
            <v>0.88</v>
          </cell>
          <cell r="Q24">
            <v>1</v>
          </cell>
          <cell r="R24">
            <v>1</v>
          </cell>
          <cell r="S24">
            <v>0.88</v>
          </cell>
          <cell r="T24">
            <v>0.8</v>
          </cell>
          <cell r="U24">
            <v>0.9</v>
          </cell>
        </row>
        <row r="25">
          <cell r="H25">
            <v>1</v>
          </cell>
          <cell r="I25">
            <v>0.88</v>
          </cell>
          <cell r="J25">
            <v>1</v>
          </cell>
          <cell r="K25">
            <v>1</v>
          </cell>
          <cell r="L25">
            <v>0.89</v>
          </cell>
          <cell r="M25">
            <v>1</v>
          </cell>
          <cell r="N25">
            <v>1</v>
          </cell>
          <cell r="O25">
            <v>0.82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0.85</v>
          </cell>
        </row>
        <row r="26">
          <cell r="H26">
            <v>1</v>
          </cell>
          <cell r="I26">
            <v>0.88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0.88</v>
          </cell>
          <cell r="Q26">
            <v>1</v>
          </cell>
          <cell r="R26">
            <v>1</v>
          </cell>
          <cell r="S26">
            <v>0.94</v>
          </cell>
          <cell r="T26">
            <v>0.95</v>
          </cell>
          <cell r="U26">
            <v>0.99</v>
          </cell>
        </row>
        <row r="27">
          <cell r="H27">
            <v>1</v>
          </cell>
          <cell r="I27">
            <v>0.88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0.91</v>
          </cell>
          <cell r="P27">
            <v>0.88</v>
          </cell>
          <cell r="Q27">
            <v>1</v>
          </cell>
          <cell r="R27">
            <v>1</v>
          </cell>
          <cell r="S27">
            <v>0.96</v>
          </cell>
          <cell r="T27">
            <v>1</v>
          </cell>
          <cell r="U27">
            <v>0.88</v>
          </cell>
        </row>
        <row r="28">
          <cell r="H28">
            <v>1</v>
          </cell>
          <cell r="I28">
            <v>0.75</v>
          </cell>
          <cell r="J28">
            <v>1</v>
          </cell>
          <cell r="K28">
            <v>1</v>
          </cell>
          <cell r="L28">
            <v>1</v>
          </cell>
          <cell r="M28">
            <v>0.8</v>
          </cell>
          <cell r="N28">
            <v>1</v>
          </cell>
          <cell r="O28">
            <v>0.91</v>
          </cell>
          <cell r="P28">
            <v>0.94</v>
          </cell>
          <cell r="Q28">
            <v>1</v>
          </cell>
          <cell r="R28">
            <v>1</v>
          </cell>
          <cell r="S28">
            <v>0</v>
          </cell>
          <cell r="T28">
            <v>0.8</v>
          </cell>
          <cell r="U28">
            <v>0.9</v>
          </cell>
        </row>
        <row r="29">
          <cell r="H29">
            <v>1</v>
          </cell>
          <cell r="I29">
            <v>0.88</v>
          </cell>
          <cell r="J29">
            <v>1</v>
          </cell>
          <cell r="K29">
            <v>1</v>
          </cell>
          <cell r="L29">
            <v>0.89</v>
          </cell>
          <cell r="M29">
            <v>1</v>
          </cell>
          <cell r="N29">
            <v>1</v>
          </cell>
          <cell r="O29">
            <v>0.82</v>
          </cell>
          <cell r="P29">
            <v>1</v>
          </cell>
          <cell r="Q29">
            <v>1</v>
          </cell>
          <cell r="R29">
            <v>1</v>
          </cell>
          <cell r="S29">
            <v>0.88</v>
          </cell>
          <cell r="T29">
            <v>0.8</v>
          </cell>
          <cell r="U29">
            <v>1</v>
          </cell>
        </row>
        <row r="30"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0.89</v>
          </cell>
          <cell r="M30">
            <v>1</v>
          </cell>
          <cell r="N30">
            <v>1</v>
          </cell>
          <cell r="O30">
            <v>0.91</v>
          </cell>
          <cell r="P30">
            <v>0.88</v>
          </cell>
          <cell r="Q30">
            <v>1</v>
          </cell>
          <cell r="R30">
            <v>1</v>
          </cell>
          <cell r="S30">
            <v>0.94</v>
          </cell>
          <cell r="T30">
            <v>1</v>
          </cell>
          <cell r="U30">
            <v>0.93</v>
          </cell>
        </row>
        <row r="31">
          <cell r="H31">
            <v>1</v>
          </cell>
          <cell r="I31">
            <v>1</v>
          </cell>
          <cell r="J31">
            <v>0.8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0.96</v>
          </cell>
          <cell r="P31">
            <v>0.94</v>
          </cell>
          <cell r="Q31">
            <v>1</v>
          </cell>
          <cell r="R31">
            <v>1</v>
          </cell>
          <cell r="S31">
            <v>0.86</v>
          </cell>
          <cell r="T31">
            <v>1</v>
          </cell>
          <cell r="U31">
            <v>0.9</v>
          </cell>
        </row>
        <row r="32">
          <cell r="H32" t="str">
            <v>N/A</v>
          </cell>
          <cell r="I32" t="str">
            <v>N/A</v>
          </cell>
          <cell r="J32" t="str">
            <v>N/A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N/A</v>
          </cell>
          <cell r="O32" t="str">
            <v>N/A</v>
          </cell>
          <cell r="P32" t="str">
            <v>N/A</v>
          </cell>
          <cell r="Q32" t="str">
            <v>N/A</v>
          </cell>
          <cell r="R32" t="str">
            <v>N/A</v>
          </cell>
          <cell r="S32" t="str">
            <v>N/A</v>
          </cell>
          <cell r="T32" t="str">
            <v>N/A</v>
          </cell>
          <cell r="U32" t="str">
            <v>N/A</v>
          </cell>
        </row>
        <row r="33">
          <cell r="H33">
            <v>1</v>
          </cell>
          <cell r="I33">
            <v>0.88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0.91</v>
          </cell>
          <cell r="P33">
            <v>0.94</v>
          </cell>
          <cell r="Q33">
            <v>1</v>
          </cell>
          <cell r="R33">
            <v>1</v>
          </cell>
          <cell r="S33">
            <v>1</v>
          </cell>
          <cell r="T33">
            <v>0.8</v>
          </cell>
          <cell r="U33">
            <v>0.8</v>
          </cell>
        </row>
        <row r="34">
          <cell r="H34">
            <v>1</v>
          </cell>
          <cell r="I34">
            <v>0.88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0.91</v>
          </cell>
          <cell r="P34">
            <v>0.88</v>
          </cell>
          <cell r="Q34">
            <v>1</v>
          </cell>
          <cell r="R34">
            <v>1</v>
          </cell>
          <cell r="S34">
            <v>0.8</v>
          </cell>
          <cell r="T34">
            <v>1</v>
          </cell>
          <cell r="U34">
            <v>0.95</v>
          </cell>
        </row>
        <row r="35"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0.91</v>
          </cell>
          <cell r="P35">
            <v>1</v>
          </cell>
          <cell r="Q35">
            <v>1</v>
          </cell>
          <cell r="R35">
            <v>1</v>
          </cell>
          <cell r="S35">
            <v>0.92</v>
          </cell>
          <cell r="T35">
            <v>0.8</v>
          </cell>
          <cell r="U35">
            <v>0.9</v>
          </cell>
        </row>
        <row r="36">
          <cell r="H36">
            <v>1</v>
          </cell>
          <cell r="I36">
            <v>0.88</v>
          </cell>
          <cell r="J36">
            <v>0.8</v>
          </cell>
          <cell r="K36">
            <v>1</v>
          </cell>
          <cell r="L36">
            <v>0.88</v>
          </cell>
          <cell r="M36">
            <v>1</v>
          </cell>
          <cell r="N36">
            <v>1</v>
          </cell>
          <cell r="O36">
            <v>0.91</v>
          </cell>
          <cell r="P36">
            <v>0.94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</row>
        <row r="37"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0.87</v>
          </cell>
          <cell r="P37">
            <v>0.92</v>
          </cell>
          <cell r="Q37">
            <v>1</v>
          </cell>
          <cell r="R37">
            <v>1</v>
          </cell>
          <cell r="S37">
            <v>1</v>
          </cell>
          <cell r="T37">
            <v>0.8</v>
          </cell>
          <cell r="U37">
            <v>0.89</v>
          </cell>
        </row>
        <row r="38"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0.8</v>
          </cell>
          <cell r="T38">
            <v>1</v>
          </cell>
          <cell r="U38">
            <v>1</v>
          </cell>
        </row>
        <row r="39">
          <cell r="H39">
            <v>1</v>
          </cell>
          <cell r="I39">
            <v>0.88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0.96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0.8</v>
          </cell>
          <cell r="U39">
            <v>0.87</v>
          </cell>
        </row>
        <row r="40">
          <cell r="H40">
            <v>1</v>
          </cell>
          <cell r="I40">
            <v>0.88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0.82</v>
          </cell>
          <cell r="P40">
            <v>0.88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0.93</v>
          </cell>
        </row>
        <row r="41">
          <cell r="H41" t="str">
            <v>N/A</v>
          </cell>
          <cell r="I41" t="str">
            <v>N/A</v>
          </cell>
          <cell r="J41" t="str">
            <v>N/A</v>
          </cell>
          <cell r="K41" t="str">
            <v>N/A</v>
          </cell>
          <cell r="L41" t="str">
            <v>N/A</v>
          </cell>
          <cell r="M41" t="str">
            <v>N/A</v>
          </cell>
          <cell r="N41" t="str">
            <v>N/A</v>
          </cell>
          <cell r="O41" t="str">
            <v>N/A</v>
          </cell>
          <cell r="P41" t="str">
            <v>N/A</v>
          </cell>
          <cell r="Q41" t="str">
            <v>N/A</v>
          </cell>
          <cell r="R41" t="str">
            <v>N/A</v>
          </cell>
          <cell r="S41" t="str">
            <v>N/A</v>
          </cell>
          <cell r="T41" t="str">
            <v>N/A</v>
          </cell>
          <cell r="U41" t="str">
            <v>N/A</v>
          </cell>
        </row>
        <row r="42">
          <cell r="H42">
            <v>1</v>
          </cell>
          <cell r="I42">
            <v>0.88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0.94</v>
          </cell>
          <cell r="Q42">
            <v>1</v>
          </cell>
          <cell r="R42">
            <v>1</v>
          </cell>
          <cell r="S42">
            <v>0.9</v>
          </cell>
          <cell r="T42">
            <v>0.8</v>
          </cell>
          <cell r="U42">
            <v>0.8</v>
          </cell>
        </row>
        <row r="43"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0.89</v>
          </cell>
          <cell r="M43">
            <v>1</v>
          </cell>
          <cell r="N43">
            <v>1</v>
          </cell>
          <cell r="O43">
            <v>0.91</v>
          </cell>
          <cell r="P43">
            <v>0.82</v>
          </cell>
          <cell r="Q43">
            <v>1</v>
          </cell>
          <cell r="R43">
            <v>1</v>
          </cell>
          <cell r="S43">
            <v>0.86</v>
          </cell>
          <cell r="T43">
            <v>0.8</v>
          </cell>
          <cell r="U43">
            <v>0.83</v>
          </cell>
        </row>
        <row r="44">
          <cell r="H44">
            <v>1</v>
          </cell>
          <cell r="I44">
            <v>0.88</v>
          </cell>
          <cell r="J44">
            <v>0.8</v>
          </cell>
          <cell r="K44">
            <v>1</v>
          </cell>
          <cell r="L44">
            <v>0.89</v>
          </cell>
          <cell r="M44">
            <v>1</v>
          </cell>
          <cell r="N44">
            <v>1</v>
          </cell>
          <cell r="O44">
            <v>1</v>
          </cell>
          <cell r="P44">
            <v>0.82</v>
          </cell>
          <cell r="Q44">
            <v>1</v>
          </cell>
          <cell r="R44">
            <v>1</v>
          </cell>
          <cell r="S44">
            <v>0.88</v>
          </cell>
          <cell r="T44">
            <v>0.8</v>
          </cell>
          <cell r="U44">
            <v>0.8</v>
          </cell>
        </row>
        <row r="45">
          <cell r="H45" t="str">
            <v>N/A</v>
          </cell>
          <cell r="I45" t="str">
            <v>N/A</v>
          </cell>
          <cell r="J45" t="str">
            <v>N/A</v>
          </cell>
          <cell r="K45" t="str">
            <v>N/A</v>
          </cell>
          <cell r="L45" t="str">
            <v>N/A</v>
          </cell>
          <cell r="M45" t="str">
            <v>N/A</v>
          </cell>
          <cell r="N45" t="str">
            <v>N/A</v>
          </cell>
          <cell r="O45" t="str">
            <v>N/A</v>
          </cell>
          <cell r="P45" t="str">
            <v>N/A</v>
          </cell>
          <cell r="Q45" t="str">
            <v>N/A</v>
          </cell>
          <cell r="R45" t="str">
            <v>N/A</v>
          </cell>
          <cell r="S45" t="str">
            <v>N/A</v>
          </cell>
          <cell r="T45" t="str">
            <v>N/A</v>
          </cell>
          <cell r="U45" t="str">
            <v>N/A</v>
          </cell>
        </row>
        <row r="46"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0.91</v>
          </cell>
          <cell r="Q46">
            <v>1</v>
          </cell>
          <cell r="R46">
            <v>1</v>
          </cell>
          <cell r="S46">
            <v>0.8</v>
          </cell>
          <cell r="T46">
            <v>0.8</v>
          </cell>
          <cell r="U46">
            <v>1</v>
          </cell>
        </row>
        <row r="47">
          <cell r="H47">
            <v>1</v>
          </cell>
          <cell r="I47">
            <v>0.88</v>
          </cell>
          <cell r="J47">
            <v>0.8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0.88</v>
          </cell>
          <cell r="Q47">
            <v>1</v>
          </cell>
          <cell r="R47">
            <v>1</v>
          </cell>
          <cell r="S47">
            <v>0.87</v>
          </cell>
          <cell r="T47">
            <v>0.8</v>
          </cell>
          <cell r="U47">
            <v>0.92</v>
          </cell>
        </row>
        <row r="48">
          <cell r="H48" t="str">
            <v>N/A</v>
          </cell>
          <cell r="I48" t="str">
            <v>N/A</v>
          </cell>
          <cell r="J48" t="str">
            <v>N/A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N/A</v>
          </cell>
          <cell r="O48" t="str">
            <v>N/A</v>
          </cell>
          <cell r="P48" t="str">
            <v>N/A</v>
          </cell>
          <cell r="Q48" t="str">
            <v>N/A</v>
          </cell>
          <cell r="R48" t="str">
            <v>N/A</v>
          </cell>
          <cell r="S48" t="str">
            <v>N/A</v>
          </cell>
          <cell r="T48" t="str">
            <v>N/A</v>
          </cell>
          <cell r="U48" t="str">
            <v>N/A</v>
          </cell>
        </row>
        <row r="49">
          <cell r="P49"/>
        </row>
      </sheetData>
      <sheetData sheetId="19"/>
      <sheetData sheetId="20"/>
      <sheetData sheetId="21"/>
      <sheetData sheetId="22"/>
      <sheetData sheetId="23">
        <row r="4">
          <cell r="C4" t="str">
            <v>Transition to Production with SMART plan</v>
          </cell>
          <cell r="F4" t="str">
            <v>Saleha Khatoon</v>
          </cell>
        </row>
        <row r="5">
          <cell r="C5" t="str">
            <v>Transition to Production with SMART plan</v>
          </cell>
          <cell r="F5" t="str">
            <v>Prema Oza</v>
          </cell>
        </row>
        <row r="6">
          <cell r="C6" t="str">
            <v>Transition to Production</v>
          </cell>
          <cell r="F6" t="str">
            <v>Julian Nakasule</v>
          </cell>
        </row>
        <row r="7">
          <cell r="C7" t="str">
            <v>Transition to Production</v>
          </cell>
          <cell r="F7" t="str">
            <v>Amal Ibrahim</v>
          </cell>
        </row>
        <row r="8">
          <cell r="C8" t="str">
            <v>Resigned-Nesting 1B</v>
          </cell>
          <cell r="F8" t="str">
            <v>Gale Good</v>
          </cell>
        </row>
        <row r="9">
          <cell r="C9" t="str">
            <v>Transition to Production</v>
          </cell>
          <cell r="F9" t="str">
            <v>Habib Moussaoui</v>
          </cell>
        </row>
        <row r="10">
          <cell r="C10" t="str">
            <v>LOA</v>
          </cell>
          <cell r="F10" t="str">
            <v>Ablan Nadège N'guessan</v>
          </cell>
        </row>
        <row r="11">
          <cell r="C11" t="str">
            <v>Missed too much time - pending HR</v>
          </cell>
          <cell r="F11" t="str">
            <v>Jean Bosco Beiz Niyibizi</v>
          </cell>
        </row>
        <row r="12">
          <cell r="C12" t="str">
            <v>Transition to Production</v>
          </cell>
          <cell r="F12" t="str">
            <v>Kevin Ndizeye</v>
          </cell>
        </row>
        <row r="13">
          <cell r="C13" t="str">
            <v>LOA</v>
          </cell>
          <cell r="F13" t="str">
            <v>Lakesha Smith</v>
          </cell>
        </row>
        <row r="14">
          <cell r="C14" t="str">
            <v>Transition to Production</v>
          </cell>
          <cell r="F14" t="str">
            <v>Mahi Sharma</v>
          </cell>
        </row>
        <row r="15">
          <cell r="C15" t="str">
            <v>Did not Start</v>
          </cell>
          <cell r="F15" t="str">
            <v>Mei (Laura) Yuan</v>
          </cell>
        </row>
        <row r="16">
          <cell r="C16" t="str">
            <v>Did not Start</v>
          </cell>
          <cell r="F16" t="str">
            <v>Neelima Gadde</v>
          </cell>
        </row>
        <row r="17">
          <cell r="C17" t="str">
            <v>Missed too much time - pending HR</v>
          </cell>
          <cell r="F17" t="str">
            <v>Timothy Oberthier</v>
          </cell>
        </row>
        <row r="18">
          <cell r="C18" t="str">
            <v>LOA</v>
          </cell>
          <cell r="F18" t="str">
            <v>Yannick Salomon</v>
          </cell>
        </row>
        <row r="19">
          <cell r="C19" t="str">
            <v>Transition to Production</v>
          </cell>
          <cell r="F19" t="str">
            <v>Sai Krishna Velicheti</v>
          </cell>
        </row>
        <row r="20">
          <cell r="C20" t="str">
            <v>Did not Start</v>
          </cell>
          <cell r="F20" t="str">
            <v>Ying Xun (Tiffany) Liang</v>
          </cell>
        </row>
        <row r="21">
          <cell r="C21" t="str">
            <v>Resigned-Nesting 3</v>
          </cell>
          <cell r="F21" t="str">
            <v>Sema Daniel Asanga-Fombe</v>
          </cell>
        </row>
        <row r="22">
          <cell r="C22" t="str">
            <v>Transition to Production</v>
          </cell>
          <cell r="F22" t="str">
            <v>Elianne Mbongnui</v>
          </cell>
        </row>
        <row r="23">
          <cell r="C23" t="str">
            <v>Transition to Production</v>
          </cell>
          <cell r="F23" t="str">
            <v>Haroun  Dirie</v>
          </cell>
        </row>
        <row r="24">
          <cell r="C24" t="str">
            <v>Transition to Production</v>
          </cell>
          <cell r="F24" t="str">
            <v>Samantha Wilson</v>
          </cell>
        </row>
        <row r="25">
          <cell r="C25" t="str">
            <v>Transition to Production with SMART plan</v>
          </cell>
          <cell r="F25" t="str">
            <v>Tarik El Fergougui</v>
          </cell>
        </row>
        <row r="26">
          <cell r="C26" t="str">
            <v>Resigned Tier 1B</v>
          </cell>
          <cell r="F26" t="str">
            <v>Christophe(Chris) Nkaka</v>
          </cell>
        </row>
        <row r="27">
          <cell r="C27" t="str">
            <v>Resigned Tier 1A</v>
          </cell>
          <cell r="F27" t="str">
            <v>Monica Sauvé</v>
          </cell>
        </row>
        <row r="28">
          <cell r="C28" t="str">
            <v>Transition to Production with SMART plan</v>
          </cell>
          <cell r="F28" t="str">
            <v>Hubert Kivuguto</v>
          </cell>
        </row>
        <row r="29">
          <cell r="C29" t="str">
            <v>Transition to Production with SMART plan</v>
          </cell>
          <cell r="F29" t="str">
            <v>Mohammed Messaoudi</v>
          </cell>
        </row>
        <row r="30">
          <cell r="C30" t="str">
            <v>Transition to Production</v>
          </cell>
          <cell r="F30" t="str">
            <v>Aline Niyibiai</v>
          </cell>
        </row>
        <row r="31">
          <cell r="C31" t="str">
            <v>Did not Start</v>
          </cell>
          <cell r="F31" t="str">
            <v>Carine Toukam Lando</v>
          </cell>
        </row>
        <row r="32">
          <cell r="C32" t="str">
            <v>Transition to Production with SMART plan</v>
          </cell>
          <cell r="F32" t="str">
            <v>Mukasonga Sheila Ange Bana</v>
          </cell>
        </row>
        <row r="33">
          <cell r="C33" t="str">
            <v>Moved/Joining Alternate Class/Program</v>
          </cell>
          <cell r="F33" t="str">
            <v>Max Mabano</v>
          </cell>
        </row>
        <row r="34">
          <cell r="C34" t="str">
            <v>Transition to Production</v>
          </cell>
          <cell r="F34" t="str">
            <v>Fee Kim Stephanie Lin Tsze Chung</v>
          </cell>
        </row>
        <row r="35">
          <cell r="C35" t="str">
            <v>Transition to Production with SMART plan</v>
          </cell>
          <cell r="F35" t="str">
            <v>Derek Darius</v>
          </cell>
        </row>
        <row r="36">
          <cell r="C36" t="str">
            <v>Terminated-Nesting 3</v>
          </cell>
          <cell r="F36" t="str">
            <v>Delv-Dario Famawa Keutchiankeu</v>
          </cell>
        </row>
        <row r="37">
          <cell r="C37" t="str">
            <v>Terminated-Nesting 3</v>
          </cell>
          <cell r="F37" t="str">
            <v>Amata Benigne</v>
          </cell>
        </row>
        <row r="38">
          <cell r="C38" t="str">
            <v>Transition to Production with SMART plan</v>
          </cell>
          <cell r="F38" t="str">
            <v>Makayla Travis</v>
          </cell>
        </row>
        <row r="39">
          <cell r="C39" t="str">
            <v>Transition to Production</v>
          </cell>
          <cell r="F39" t="str">
            <v>Marie Andrée Mousseau</v>
          </cell>
        </row>
        <row r="40">
          <cell r="C40" t="str">
            <v>Did not Start</v>
          </cell>
          <cell r="F40" t="str">
            <v>Mary Catherine Dobson</v>
          </cell>
        </row>
        <row r="41">
          <cell r="C41" t="str">
            <v>Resigned Tier 1B</v>
          </cell>
          <cell r="F41" t="str">
            <v>Danielle Hicks</v>
          </cell>
        </row>
        <row r="42">
          <cell r="C42" t="str">
            <v>Terminated-Nesting 3</v>
          </cell>
          <cell r="F42" t="str">
            <v>Mathieu Bourgeois</v>
          </cell>
        </row>
        <row r="43">
          <cell r="C43" t="str">
            <v>Transition to Production with SMART plan</v>
          </cell>
          <cell r="F43" t="str">
            <v>Choukri Labib</v>
          </cell>
        </row>
        <row r="44">
          <cell r="C44" t="str">
            <v>Did not Start</v>
          </cell>
          <cell r="F44" t="str">
            <v>Mohammed Rassim Lakoues</v>
          </cell>
        </row>
        <row r="45">
          <cell r="C45" t="str">
            <v>Transition to Production with SMART plan</v>
          </cell>
          <cell r="F45" t="str">
            <v>Joseph Muganza</v>
          </cell>
        </row>
        <row r="46">
          <cell r="C46" t="str">
            <v>Transition to Production with SMART plan</v>
          </cell>
          <cell r="F46" t="str">
            <v>Boris Ngoloa Moafo</v>
          </cell>
        </row>
        <row r="47">
          <cell r="C47" t="str">
            <v>Did not Start</v>
          </cell>
          <cell r="F47" t="str">
            <v>Elodith Madjo Tsata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NGBAFTMH5NNGY4PYLRPENHQC2">
      <xxl21:absoluteUrl r:id="rId2"/>
    </xxl21:alternateUrls>
    <sheetNames>
      <sheetName val="Quick Links"/>
      <sheetName val="Daily Checklist"/>
      <sheetName val="One-Time Check List"/>
      <sheetName val="Preprocess SWOT"/>
      <sheetName val="Student Data"/>
      <sheetName val="Class Summary"/>
      <sheetName val="Attendance"/>
      <sheetName val="Daily Observation"/>
      <sheetName val="Performance"/>
      <sheetName val="Perform Tier 2"/>
      <sheetName val="Performance RSA"/>
      <sheetName val="Preprocess Training Report"/>
      <sheetName val="Skill Assessment"/>
      <sheetName val="Day 1 WFH Audit"/>
      <sheetName val="PCB Nesting Incentive Offshore"/>
      <sheetName val="PCB Nesting QA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>
        <row r="5">
          <cell r="M5">
            <v>345786</v>
          </cell>
        </row>
        <row r="6">
          <cell r="M6">
            <v>345779</v>
          </cell>
        </row>
        <row r="7">
          <cell r="M7">
            <v>345777</v>
          </cell>
        </row>
        <row r="8">
          <cell r="M8">
            <v>345787</v>
          </cell>
        </row>
        <row r="9">
          <cell r="M9">
            <v>345778</v>
          </cell>
        </row>
        <row r="10">
          <cell r="M10"/>
        </row>
        <row r="11">
          <cell r="M11">
            <v>345775</v>
          </cell>
        </row>
        <row r="12">
          <cell r="M12">
            <v>345771</v>
          </cell>
        </row>
        <row r="13">
          <cell r="M13">
            <v>345773</v>
          </cell>
        </row>
        <row r="14">
          <cell r="M14">
            <v>345782</v>
          </cell>
        </row>
        <row r="15">
          <cell r="M15">
            <v>345780</v>
          </cell>
        </row>
        <row r="16">
          <cell r="M16">
            <v>345776</v>
          </cell>
        </row>
        <row r="17">
          <cell r="M17">
            <v>345772</v>
          </cell>
        </row>
        <row r="18">
          <cell r="M18">
            <v>345791</v>
          </cell>
        </row>
        <row r="19">
          <cell r="M19">
            <v>345770</v>
          </cell>
        </row>
        <row r="20">
          <cell r="M20">
            <v>345769</v>
          </cell>
        </row>
      </sheetData>
      <sheetData sheetId="5"/>
      <sheetData sheetId="6"/>
      <sheetData sheetId="7"/>
      <sheetData sheetId="8">
        <row r="5">
          <cell r="D5" t="str">
            <v>Transition to Production</v>
          </cell>
          <cell r="H5" t="str">
            <v>N/A</v>
          </cell>
          <cell r="I5">
            <v>1</v>
          </cell>
          <cell r="J5">
            <v>1</v>
          </cell>
          <cell r="K5" t="str">
            <v>N/A</v>
          </cell>
          <cell r="L5" t="str">
            <v>N/A</v>
          </cell>
          <cell r="M5" t="str">
            <v>N/A</v>
          </cell>
          <cell r="N5">
            <v>1</v>
          </cell>
          <cell r="O5" t="str">
            <v>N/A</v>
          </cell>
          <cell r="P5">
            <v>0.94</v>
          </cell>
          <cell r="Q5">
            <v>1</v>
          </cell>
          <cell r="R5">
            <v>1</v>
          </cell>
          <cell r="S5">
            <v>0.81</v>
          </cell>
          <cell r="T5">
            <v>1</v>
          </cell>
          <cell r="U5">
            <v>0.93</v>
          </cell>
        </row>
        <row r="6">
          <cell r="D6" t="str">
            <v>Transition to Production with SMART plan</v>
          </cell>
          <cell r="H6" t="str">
            <v>N/A</v>
          </cell>
          <cell r="I6">
            <v>1</v>
          </cell>
          <cell r="J6">
            <v>1</v>
          </cell>
          <cell r="K6" t="str">
            <v>N/A</v>
          </cell>
          <cell r="L6" t="str">
            <v>N/A</v>
          </cell>
          <cell r="M6" t="str">
            <v>N/A</v>
          </cell>
          <cell r="N6">
            <v>1</v>
          </cell>
          <cell r="O6" t="str">
            <v>N/A</v>
          </cell>
          <cell r="P6">
            <v>1</v>
          </cell>
          <cell r="Q6">
            <v>1</v>
          </cell>
          <cell r="R6">
            <v>1</v>
          </cell>
          <cell r="S6">
            <v>0.8</v>
          </cell>
          <cell r="T6">
            <v>1</v>
          </cell>
          <cell r="U6">
            <v>1</v>
          </cell>
        </row>
        <row r="7">
          <cell r="D7" t="str">
            <v>Transition to Production with SMART plan</v>
          </cell>
          <cell r="H7" t="str">
            <v>N/A</v>
          </cell>
          <cell r="I7">
            <v>1</v>
          </cell>
          <cell r="J7">
            <v>0.8</v>
          </cell>
          <cell r="K7" t="str">
            <v>N/A</v>
          </cell>
          <cell r="L7" t="str">
            <v>N/A</v>
          </cell>
          <cell r="M7" t="str">
            <v>N/A</v>
          </cell>
          <cell r="N7">
            <v>1</v>
          </cell>
          <cell r="O7" t="str">
            <v>N/A</v>
          </cell>
          <cell r="P7">
            <v>0.88</v>
          </cell>
          <cell r="Q7">
            <v>1</v>
          </cell>
          <cell r="R7">
            <v>1</v>
          </cell>
          <cell r="S7">
            <v>0.93</v>
          </cell>
          <cell r="T7">
            <v>1</v>
          </cell>
          <cell r="U7">
            <v>0.8</v>
          </cell>
        </row>
        <row r="8">
          <cell r="D8" t="str">
            <v>Transition to Production</v>
          </cell>
          <cell r="H8" t="str">
            <v>N/A</v>
          </cell>
          <cell r="I8">
            <v>0.88</v>
          </cell>
          <cell r="J8">
            <v>0.8</v>
          </cell>
          <cell r="K8" t="str">
            <v>N/A</v>
          </cell>
          <cell r="L8" t="str">
            <v>N/A</v>
          </cell>
          <cell r="M8" t="str">
            <v>N/A</v>
          </cell>
          <cell r="N8">
            <v>1</v>
          </cell>
          <cell r="O8" t="str">
            <v>N/A</v>
          </cell>
          <cell r="P8">
            <v>1</v>
          </cell>
          <cell r="Q8">
            <v>1</v>
          </cell>
          <cell r="R8">
            <v>1</v>
          </cell>
          <cell r="S8">
            <v>0.94</v>
          </cell>
          <cell r="T8">
            <v>1</v>
          </cell>
          <cell r="U8">
            <v>0.94</v>
          </cell>
        </row>
        <row r="9">
          <cell r="D9" t="str">
            <v>Terminated-Nesting 3</v>
          </cell>
          <cell r="H9" t="str">
            <v>N/A</v>
          </cell>
          <cell r="I9">
            <v>0.88</v>
          </cell>
          <cell r="J9">
            <v>1</v>
          </cell>
          <cell r="K9" t="str">
            <v>N/A</v>
          </cell>
          <cell r="L9" t="str">
            <v>N/A</v>
          </cell>
          <cell r="M9" t="str">
            <v>N/A</v>
          </cell>
          <cell r="N9">
            <v>1</v>
          </cell>
          <cell r="O9" t="str">
            <v>N/A</v>
          </cell>
          <cell r="P9">
            <v>0.98</v>
          </cell>
          <cell r="Q9">
            <v>1</v>
          </cell>
          <cell r="R9">
            <v>1</v>
          </cell>
          <cell r="S9">
            <v>0.94</v>
          </cell>
          <cell r="T9">
            <v>1</v>
          </cell>
          <cell r="U9">
            <v>0.96</v>
          </cell>
        </row>
        <row r="10">
          <cell r="D10" t="str">
            <v>Did not Start</v>
          </cell>
          <cell r="H10" t="str">
            <v>DNS</v>
          </cell>
          <cell r="I10" t="str">
            <v>DNS</v>
          </cell>
          <cell r="J10" t="str">
            <v>DNS</v>
          </cell>
          <cell r="K10" t="str">
            <v>DNS</v>
          </cell>
          <cell r="L10" t="str">
            <v>DNS</v>
          </cell>
          <cell r="M10" t="str">
            <v>DNS</v>
          </cell>
          <cell r="N10" t="str">
            <v>DNS</v>
          </cell>
          <cell r="O10" t="str">
            <v>DNS</v>
          </cell>
          <cell r="P10" t="str">
            <v>DNS</v>
          </cell>
          <cell r="Q10" t="str">
            <v>DNS</v>
          </cell>
          <cell r="R10" t="str">
            <v>DNS</v>
          </cell>
          <cell r="S10" t="str">
            <v>DNS</v>
          </cell>
          <cell r="T10" t="str">
            <v>DNS</v>
          </cell>
          <cell r="U10" t="str">
            <v>DNS</v>
          </cell>
        </row>
        <row r="11">
          <cell r="D11" t="str">
            <v>Transition to Production with SMART plan</v>
          </cell>
          <cell r="H11" t="str">
            <v>N/A</v>
          </cell>
          <cell r="I11">
            <v>1</v>
          </cell>
          <cell r="J11">
            <v>1</v>
          </cell>
          <cell r="K11" t="str">
            <v>N/A</v>
          </cell>
          <cell r="L11" t="str">
            <v>N/A</v>
          </cell>
          <cell r="M11" t="str">
            <v>N/A</v>
          </cell>
          <cell r="N11">
            <v>1</v>
          </cell>
          <cell r="O11" t="str">
            <v>N/A</v>
          </cell>
          <cell r="P11">
            <v>0.82</v>
          </cell>
          <cell r="Q11">
            <v>1</v>
          </cell>
          <cell r="R11">
            <v>1</v>
          </cell>
          <cell r="S11">
            <v>0.94</v>
          </cell>
          <cell r="T11">
            <v>0.8</v>
          </cell>
          <cell r="U11">
            <v>0.8</v>
          </cell>
        </row>
        <row r="12">
          <cell r="D12" t="str">
            <v>Terminated-Nesting 3</v>
          </cell>
          <cell r="H12" t="str">
            <v>N/A</v>
          </cell>
          <cell r="I12">
            <v>1</v>
          </cell>
          <cell r="J12">
            <v>0.8</v>
          </cell>
          <cell r="K12" t="str">
            <v>N/A</v>
          </cell>
          <cell r="L12" t="str">
            <v>N/A</v>
          </cell>
          <cell r="M12" t="str">
            <v>N/A</v>
          </cell>
          <cell r="N12">
            <v>1</v>
          </cell>
          <cell r="O12" t="str">
            <v>N/A</v>
          </cell>
          <cell r="P12">
            <v>1</v>
          </cell>
          <cell r="Q12">
            <v>1</v>
          </cell>
          <cell r="R12">
            <v>1</v>
          </cell>
          <cell r="S12">
            <v>0.86</v>
          </cell>
          <cell r="T12">
            <v>1</v>
          </cell>
          <cell r="U12">
            <v>0.83</v>
          </cell>
        </row>
        <row r="13">
          <cell r="D13" t="str">
            <v>Transition to Production with SMART plan</v>
          </cell>
          <cell r="H13" t="str">
            <v>N/A</v>
          </cell>
          <cell r="I13">
            <v>0.88</v>
          </cell>
          <cell r="J13">
            <v>1</v>
          </cell>
          <cell r="K13" t="str">
            <v>N/A</v>
          </cell>
          <cell r="L13" t="str">
            <v>N/A</v>
          </cell>
          <cell r="M13" t="str">
            <v>N/A</v>
          </cell>
          <cell r="N13">
            <v>1</v>
          </cell>
          <cell r="O13" t="str">
            <v>N/A</v>
          </cell>
          <cell r="P13">
            <v>0.94</v>
          </cell>
          <cell r="Q13">
            <v>1</v>
          </cell>
          <cell r="R13">
            <v>1</v>
          </cell>
          <cell r="S13">
            <v>0.88</v>
          </cell>
          <cell r="T13">
            <v>0.8</v>
          </cell>
          <cell r="U13">
            <v>0.98</v>
          </cell>
        </row>
        <row r="14">
          <cell r="D14" t="str">
            <v>Resigned-Nesting 3</v>
          </cell>
          <cell r="H14" t="str">
            <v>N/A</v>
          </cell>
          <cell r="I14">
            <v>1</v>
          </cell>
          <cell r="J14">
            <v>1</v>
          </cell>
          <cell r="K14" t="str">
            <v>N/A</v>
          </cell>
          <cell r="L14" t="str">
            <v>N/A</v>
          </cell>
          <cell r="M14" t="str">
            <v>N/A</v>
          </cell>
          <cell r="N14">
            <v>1</v>
          </cell>
          <cell r="O14" t="str">
            <v>N/A</v>
          </cell>
          <cell r="P14">
            <v>0.84</v>
          </cell>
          <cell r="Q14">
            <v>1</v>
          </cell>
          <cell r="R14">
            <v>1</v>
          </cell>
          <cell r="S14">
            <v>0.86</v>
          </cell>
          <cell r="T14">
            <v>0.8</v>
          </cell>
          <cell r="U14">
            <v>0.85</v>
          </cell>
        </row>
        <row r="15">
          <cell r="D15" t="str">
            <v>Terminated-Nesting 3</v>
          </cell>
          <cell r="H15" t="str">
            <v>N/A</v>
          </cell>
          <cell r="I15">
            <v>0.88</v>
          </cell>
          <cell r="J15">
            <v>0.8</v>
          </cell>
          <cell r="K15" t="str">
            <v>N/A</v>
          </cell>
          <cell r="L15" t="str">
            <v>N/A</v>
          </cell>
          <cell r="M15" t="str">
            <v>N/A</v>
          </cell>
          <cell r="N15">
            <v>1</v>
          </cell>
          <cell r="O15" t="str">
            <v>N/A</v>
          </cell>
          <cell r="P15">
            <v>1</v>
          </cell>
          <cell r="Q15">
            <v>1</v>
          </cell>
          <cell r="R15">
            <v>1</v>
          </cell>
          <cell r="S15">
            <v>0.86</v>
          </cell>
          <cell r="T15">
            <v>1</v>
          </cell>
          <cell r="U15">
            <v>0.93</v>
          </cell>
        </row>
        <row r="16">
          <cell r="D16" t="str">
            <v>Resigned-Nesting 3</v>
          </cell>
          <cell r="H16" t="str">
            <v>N/A</v>
          </cell>
          <cell r="I16">
            <v>0.88</v>
          </cell>
          <cell r="J16">
            <v>0.8</v>
          </cell>
          <cell r="K16" t="str">
            <v>N/A</v>
          </cell>
          <cell r="L16" t="str">
            <v>N/A</v>
          </cell>
          <cell r="M16" t="str">
            <v>N/A</v>
          </cell>
          <cell r="N16">
            <v>1</v>
          </cell>
          <cell r="O16" t="str">
            <v>N/A</v>
          </cell>
          <cell r="P16">
            <v>0.88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0.98</v>
          </cell>
        </row>
        <row r="17">
          <cell r="D17" t="str">
            <v>Transition to Production with SMART plan</v>
          </cell>
          <cell r="H17" t="str">
            <v>N/A</v>
          </cell>
          <cell r="I17">
            <v>1</v>
          </cell>
          <cell r="J17">
            <v>1</v>
          </cell>
          <cell r="K17" t="str">
            <v>N/A</v>
          </cell>
          <cell r="L17" t="str">
            <v>N/A</v>
          </cell>
          <cell r="M17" t="str">
            <v>N/A</v>
          </cell>
          <cell r="N17">
            <v>1</v>
          </cell>
          <cell r="O17" t="str">
            <v>N/A</v>
          </cell>
          <cell r="P17">
            <v>0.94</v>
          </cell>
          <cell r="Q17">
            <v>1</v>
          </cell>
          <cell r="R17">
            <v>1</v>
          </cell>
          <cell r="S17">
            <v>0.86</v>
          </cell>
          <cell r="T17">
            <v>1</v>
          </cell>
          <cell r="U17">
            <v>0.9</v>
          </cell>
        </row>
        <row r="18">
          <cell r="D18" t="str">
            <v>Transition to Production</v>
          </cell>
          <cell r="H18" t="str">
            <v>N/A</v>
          </cell>
          <cell r="I18">
            <v>1</v>
          </cell>
          <cell r="J18">
            <v>1</v>
          </cell>
          <cell r="K18" t="str">
            <v>N/A</v>
          </cell>
          <cell r="L18" t="str">
            <v>N/A</v>
          </cell>
          <cell r="M18" t="str">
            <v>N/A</v>
          </cell>
          <cell r="N18">
            <v>1</v>
          </cell>
          <cell r="O18" t="str">
            <v>N/A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0.8</v>
          </cell>
          <cell r="U18">
            <v>1</v>
          </cell>
        </row>
        <row r="19">
          <cell r="D19" t="str">
            <v>Transition to Production with SMART plan</v>
          </cell>
          <cell r="H19" t="str">
            <v>N/A</v>
          </cell>
          <cell r="I19">
            <v>1</v>
          </cell>
          <cell r="J19">
            <v>1</v>
          </cell>
          <cell r="K19" t="str">
            <v>N/A</v>
          </cell>
          <cell r="L19" t="str">
            <v>N/A</v>
          </cell>
          <cell r="M19" t="str">
            <v>N/A</v>
          </cell>
          <cell r="N19">
            <v>1</v>
          </cell>
          <cell r="O19" t="str">
            <v>N/A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0.8</v>
          </cell>
          <cell r="U19">
            <v>0.85</v>
          </cell>
        </row>
        <row r="20">
          <cell r="D20" t="str">
            <v>Resigned-Nesting 1B</v>
          </cell>
          <cell r="H20" t="str">
            <v>N/A</v>
          </cell>
          <cell r="I20">
            <v>0.88</v>
          </cell>
          <cell r="J20">
            <v>1</v>
          </cell>
          <cell r="K20" t="str">
            <v>N/A</v>
          </cell>
          <cell r="L20" t="str">
            <v>N/A</v>
          </cell>
          <cell r="M20" t="str">
            <v>N/A</v>
          </cell>
          <cell r="N20">
            <v>1</v>
          </cell>
          <cell r="O20" t="str">
            <v>N/A</v>
          </cell>
          <cell r="P20">
            <v>0.94</v>
          </cell>
          <cell r="Q20">
            <v>1</v>
          </cell>
          <cell r="R20">
            <v>1</v>
          </cell>
          <cell r="S20">
            <v>0.88</v>
          </cell>
          <cell r="T20">
            <v>1</v>
          </cell>
          <cell r="U20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F4" t="str">
            <v>Vee Alyssa Maquinto</v>
          </cell>
        </row>
        <row r="5">
          <cell r="F5" t="str">
            <v>Jojie Andrea Almazan</v>
          </cell>
        </row>
        <row r="6">
          <cell r="F6" t="str">
            <v>Icon John Matrix Aqui</v>
          </cell>
        </row>
        <row r="7">
          <cell r="F7" t="str">
            <v>Kenneth Balote</v>
          </cell>
        </row>
        <row r="8">
          <cell r="F8" t="str">
            <v>Jayson Caldoza</v>
          </cell>
        </row>
        <row r="9">
          <cell r="F9" t="str">
            <v xml:space="preserve">Rose Ann Calimag </v>
          </cell>
        </row>
        <row r="10">
          <cell r="F10" t="str">
            <v>Katherine Ann Dacanay</v>
          </cell>
        </row>
        <row r="11">
          <cell r="F11" t="str">
            <v>Fernan Kenjohn Dizon</v>
          </cell>
        </row>
        <row r="12">
          <cell r="F12" t="str">
            <v>Chelubai Shimea (Cielo) Gabriel</v>
          </cell>
        </row>
        <row r="13">
          <cell r="F13" t="str">
            <v>Jone Lovendino</v>
          </cell>
        </row>
        <row r="14">
          <cell r="F14" t="str">
            <v>Pamela Rabino</v>
          </cell>
        </row>
        <row r="15">
          <cell r="F15" t="str">
            <v>Nathanael Roda</v>
          </cell>
        </row>
        <row r="16">
          <cell r="F16" t="str">
            <v>Christine Salvador</v>
          </cell>
        </row>
        <row r="17">
          <cell r="F17" t="str">
            <v>Terence Tabios</v>
          </cell>
        </row>
        <row r="18">
          <cell r="F18" t="str">
            <v>Catherine  Vergara</v>
          </cell>
        </row>
        <row r="19">
          <cell r="F19" t="str">
            <v>Ariel  Villarmente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Day 1 WFH Audit"/>
      <sheetName val="Attendance"/>
      <sheetName val="Performance"/>
      <sheetName val="Perform Tier 2"/>
      <sheetName val="Performance RSA"/>
      <sheetName val="Preprocess Training Report"/>
      <sheetName val="Daily Observation"/>
      <sheetName val="Skill Assessment"/>
      <sheetName val="PCB Nesting QA"/>
      <sheetName val="PCB Nesting Incentive Offshore"/>
      <sheetName val="PCB Nesting Incentive On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M6">
            <v>346038</v>
          </cell>
        </row>
        <row r="8">
          <cell r="M8">
            <v>346072</v>
          </cell>
        </row>
        <row r="11">
          <cell r="M11">
            <v>346123</v>
          </cell>
        </row>
        <row r="12">
          <cell r="M12">
            <v>346064</v>
          </cell>
        </row>
        <row r="14">
          <cell r="M14">
            <v>346067</v>
          </cell>
        </row>
        <row r="16">
          <cell r="M16">
            <v>346040</v>
          </cell>
        </row>
        <row r="17">
          <cell r="M17">
            <v>346119</v>
          </cell>
        </row>
        <row r="19">
          <cell r="M19">
            <v>346063</v>
          </cell>
        </row>
        <row r="20">
          <cell r="M20">
            <v>346044</v>
          </cell>
        </row>
        <row r="21">
          <cell r="M21">
            <v>402514</v>
          </cell>
        </row>
      </sheetData>
      <sheetData sheetId="5" refreshError="1"/>
      <sheetData sheetId="6" refreshError="1"/>
      <sheetData sheetId="7" refreshError="1"/>
      <sheetData sheetId="8">
        <row r="5">
          <cell r="H5" t="str">
            <v>N/A</v>
          </cell>
          <cell r="I5" t="str">
            <v>N/A</v>
          </cell>
          <cell r="J5" t="str">
            <v>N/A</v>
          </cell>
          <cell r="K5" t="str">
            <v>N/A</v>
          </cell>
          <cell r="L5" t="str">
            <v>N/A</v>
          </cell>
          <cell r="M5" t="str">
            <v>N/A</v>
          </cell>
          <cell r="N5" t="str">
            <v>N/A</v>
          </cell>
          <cell r="O5" t="str">
            <v>N/A</v>
          </cell>
          <cell r="P5" t="str">
            <v>N/A</v>
          </cell>
          <cell r="Q5" t="str">
            <v>N/A</v>
          </cell>
          <cell r="R5" t="str">
            <v>N/A</v>
          </cell>
          <cell r="S5" t="str">
            <v>N/A</v>
          </cell>
          <cell r="T5" t="str">
            <v>N/A</v>
          </cell>
          <cell r="U5" t="str">
            <v>N/A</v>
          </cell>
        </row>
        <row r="6">
          <cell r="H6" t="str">
            <v>Manila Data</v>
          </cell>
          <cell r="I6">
            <v>0.88</v>
          </cell>
          <cell r="J6">
            <v>1</v>
          </cell>
          <cell r="K6" t="str">
            <v>Manila Data</v>
          </cell>
          <cell r="L6" t="str">
            <v>Manila Data</v>
          </cell>
          <cell r="M6" t="str">
            <v>Manila Data</v>
          </cell>
          <cell r="N6">
            <v>1</v>
          </cell>
          <cell r="O6" t="str">
            <v>Manila Data</v>
          </cell>
          <cell r="P6">
            <v>1</v>
          </cell>
          <cell r="Q6">
            <v>1</v>
          </cell>
          <cell r="R6">
            <v>1</v>
          </cell>
          <cell r="S6">
            <v>0.92</v>
          </cell>
          <cell r="T6">
            <v>0.8</v>
          </cell>
          <cell r="U6">
            <v>0.98</v>
          </cell>
        </row>
        <row r="7">
          <cell r="H7" t="str">
            <v>N/A</v>
          </cell>
          <cell r="I7" t="str">
            <v>N/A</v>
          </cell>
          <cell r="J7" t="str">
            <v>N/A</v>
          </cell>
          <cell r="K7" t="str">
            <v>N/A</v>
          </cell>
          <cell r="L7" t="str">
            <v>N/A</v>
          </cell>
          <cell r="M7" t="str">
            <v>N/A</v>
          </cell>
          <cell r="N7" t="str">
            <v>N/A</v>
          </cell>
          <cell r="O7" t="str">
            <v>N/A</v>
          </cell>
          <cell r="P7" t="str">
            <v>N/A</v>
          </cell>
          <cell r="Q7" t="str">
            <v>N/A</v>
          </cell>
          <cell r="R7" t="str">
            <v>N/A</v>
          </cell>
          <cell r="S7" t="str">
            <v>N/A</v>
          </cell>
          <cell r="T7" t="str">
            <v>N/A</v>
          </cell>
          <cell r="U7" t="str">
            <v>N/A</v>
          </cell>
        </row>
        <row r="8">
          <cell r="H8" t="str">
            <v>Manila Data</v>
          </cell>
          <cell r="I8">
            <v>1</v>
          </cell>
          <cell r="J8">
            <v>1</v>
          </cell>
          <cell r="K8" t="str">
            <v>Manila Data</v>
          </cell>
          <cell r="L8" t="str">
            <v>Manila Data</v>
          </cell>
          <cell r="M8" t="str">
            <v>Manila Data</v>
          </cell>
          <cell r="N8">
            <v>1</v>
          </cell>
          <cell r="O8" t="str">
            <v>Manila Data</v>
          </cell>
          <cell r="P8">
            <v>1</v>
          </cell>
          <cell r="Q8">
            <v>1</v>
          </cell>
          <cell r="R8">
            <v>1</v>
          </cell>
          <cell r="S8">
            <v>0.84</v>
          </cell>
          <cell r="T8">
            <v>0.8</v>
          </cell>
          <cell r="U8">
            <v>1</v>
          </cell>
        </row>
        <row r="9">
          <cell r="H9" t="str">
            <v>N/A</v>
          </cell>
          <cell r="I9" t="str">
            <v>N/A</v>
          </cell>
          <cell r="J9" t="str">
            <v>N/A</v>
          </cell>
          <cell r="K9" t="str">
            <v>N/A</v>
          </cell>
          <cell r="L9" t="str">
            <v>N/A</v>
          </cell>
          <cell r="M9" t="str">
            <v>N/A</v>
          </cell>
          <cell r="N9" t="str">
            <v>N/A</v>
          </cell>
          <cell r="O9" t="str">
            <v>N/A</v>
          </cell>
          <cell r="P9" t="str">
            <v>N/A</v>
          </cell>
          <cell r="Q9" t="str">
            <v>N/A</v>
          </cell>
          <cell r="R9" t="str">
            <v>N/A</v>
          </cell>
          <cell r="S9" t="str">
            <v>N/A</v>
          </cell>
          <cell r="T9" t="str">
            <v>N/A</v>
          </cell>
          <cell r="U9" t="str">
            <v>N/A</v>
          </cell>
        </row>
        <row r="10">
          <cell r="H10" t="str">
            <v>N/A</v>
          </cell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 t="str">
            <v>N/A</v>
          </cell>
          <cell r="N10" t="str">
            <v>N/A</v>
          </cell>
          <cell r="O10" t="str">
            <v>N/A</v>
          </cell>
          <cell r="P10" t="str">
            <v>N/A</v>
          </cell>
          <cell r="Q10" t="str">
            <v>N/A</v>
          </cell>
          <cell r="R10" t="str">
            <v>N/A</v>
          </cell>
          <cell r="S10" t="str">
            <v>N/A</v>
          </cell>
          <cell r="T10" t="str">
            <v>N/A</v>
          </cell>
          <cell r="U10" t="str">
            <v>N/A</v>
          </cell>
        </row>
        <row r="11">
          <cell r="H11" t="str">
            <v>Manila Data</v>
          </cell>
          <cell r="I11">
            <v>1</v>
          </cell>
          <cell r="J11">
            <v>1</v>
          </cell>
          <cell r="K11" t="str">
            <v>Manila Data</v>
          </cell>
          <cell r="L11" t="str">
            <v>Manila Data</v>
          </cell>
          <cell r="M11" t="str">
            <v>Manila Data</v>
          </cell>
          <cell r="N11">
            <v>1</v>
          </cell>
          <cell r="O11" t="str">
            <v>Manila Data</v>
          </cell>
          <cell r="P11">
            <v>1</v>
          </cell>
          <cell r="Q11">
            <v>1</v>
          </cell>
          <cell r="R11">
            <v>1</v>
          </cell>
          <cell r="S11">
            <v>0.82</v>
          </cell>
          <cell r="T11">
            <v>0.8</v>
          </cell>
          <cell r="U11">
            <v>0.85</v>
          </cell>
        </row>
        <row r="12">
          <cell r="H12" t="str">
            <v>Manila Data</v>
          </cell>
          <cell r="I12">
            <v>1</v>
          </cell>
          <cell r="J12">
            <v>1</v>
          </cell>
          <cell r="K12" t="str">
            <v>Manila Data</v>
          </cell>
          <cell r="L12" t="str">
            <v>Manila Data</v>
          </cell>
          <cell r="M12" t="str">
            <v>Manila Data</v>
          </cell>
          <cell r="N12">
            <v>1</v>
          </cell>
          <cell r="O12" t="str">
            <v>Manila Data</v>
          </cell>
          <cell r="P12">
            <v>1</v>
          </cell>
          <cell r="Q12">
            <v>1</v>
          </cell>
          <cell r="R12">
            <v>1</v>
          </cell>
          <cell r="S12">
            <v>0.88</v>
          </cell>
          <cell r="T12">
            <v>1</v>
          </cell>
          <cell r="U12">
            <v>0.8</v>
          </cell>
        </row>
        <row r="13">
          <cell r="H13" t="str">
            <v>N/A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N/A</v>
          </cell>
          <cell r="O13" t="str">
            <v>N/A</v>
          </cell>
          <cell r="P13" t="str">
            <v>N/A</v>
          </cell>
          <cell r="Q13" t="str">
            <v>N/A</v>
          </cell>
          <cell r="R13" t="str">
            <v>N/A</v>
          </cell>
          <cell r="S13" t="str">
            <v>N/A</v>
          </cell>
          <cell r="T13" t="str">
            <v>N/A</v>
          </cell>
          <cell r="U13" t="str">
            <v>N/A</v>
          </cell>
        </row>
        <row r="14">
          <cell r="H14" t="str">
            <v>Manila Data</v>
          </cell>
          <cell r="I14">
            <v>0.88</v>
          </cell>
          <cell r="J14">
            <v>1</v>
          </cell>
          <cell r="K14" t="str">
            <v>Manila Data</v>
          </cell>
          <cell r="L14" t="str">
            <v>Manila Data</v>
          </cell>
          <cell r="M14" t="str">
            <v>Manila Data</v>
          </cell>
          <cell r="N14">
            <v>1</v>
          </cell>
          <cell r="O14" t="str">
            <v>Manila Data</v>
          </cell>
          <cell r="P14">
            <v>0.94</v>
          </cell>
          <cell r="Q14">
            <v>1</v>
          </cell>
          <cell r="R14">
            <v>1</v>
          </cell>
          <cell r="S14">
            <v>0.94</v>
          </cell>
          <cell r="T14">
            <v>1</v>
          </cell>
          <cell r="U14">
            <v>1</v>
          </cell>
        </row>
        <row r="15">
          <cell r="H15" t="str">
            <v>N/A</v>
          </cell>
          <cell r="I15" t="str">
            <v>N/A</v>
          </cell>
          <cell r="J15" t="str">
            <v>N/A</v>
          </cell>
          <cell r="K15" t="str">
            <v>N/A</v>
          </cell>
          <cell r="L15" t="str">
            <v>N/A</v>
          </cell>
          <cell r="M15" t="str">
            <v>N/A</v>
          </cell>
          <cell r="N15" t="str">
            <v>N/A</v>
          </cell>
          <cell r="O15" t="str">
            <v>N/A</v>
          </cell>
          <cell r="P15" t="str">
            <v>N/A</v>
          </cell>
          <cell r="Q15" t="str">
            <v>N/A</v>
          </cell>
          <cell r="R15" t="str">
            <v>N/A</v>
          </cell>
          <cell r="S15" t="str">
            <v>N/A</v>
          </cell>
          <cell r="T15" t="str">
            <v>N/A</v>
          </cell>
          <cell r="U15" t="str">
            <v>N/A</v>
          </cell>
        </row>
        <row r="16">
          <cell r="H16" t="str">
            <v>Manila Data</v>
          </cell>
          <cell r="I16">
            <v>1</v>
          </cell>
          <cell r="J16">
            <v>1</v>
          </cell>
          <cell r="K16" t="str">
            <v>Manila Data</v>
          </cell>
          <cell r="L16" t="str">
            <v>Manila Data</v>
          </cell>
          <cell r="M16" t="str">
            <v>Manila Data</v>
          </cell>
          <cell r="N16">
            <v>1</v>
          </cell>
          <cell r="O16" t="str">
            <v>Manila Data</v>
          </cell>
          <cell r="P16">
            <v>1</v>
          </cell>
          <cell r="Q16">
            <v>1</v>
          </cell>
          <cell r="R16">
            <v>1</v>
          </cell>
          <cell r="S16">
            <v>0.81</v>
          </cell>
          <cell r="T16">
            <v>0.8</v>
          </cell>
          <cell r="U16">
            <v>0.93</v>
          </cell>
        </row>
        <row r="17">
          <cell r="H17" t="str">
            <v>Manila Data</v>
          </cell>
          <cell r="I17">
            <v>1</v>
          </cell>
          <cell r="J17">
            <v>1</v>
          </cell>
          <cell r="K17" t="str">
            <v>Manila Data</v>
          </cell>
          <cell r="L17" t="str">
            <v>Manila Data</v>
          </cell>
          <cell r="M17" t="str">
            <v>Manila Data</v>
          </cell>
          <cell r="N17">
            <v>1</v>
          </cell>
          <cell r="O17" t="str">
            <v>Manila Data</v>
          </cell>
          <cell r="P17">
            <v>1</v>
          </cell>
          <cell r="Q17">
            <v>1</v>
          </cell>
          <cell r="R17">
            <v>1</v>
          </cell>
          <cell r="S17">
            <v>0.94</v>
          </cell>
          <cell r="T17">
            <v>1</v>
          </cell>
          <cell r="U17">
            <v>0.99</v>
          </cell>
        </row>
        <row r="18">
          <cell r="H18" t="str">
            <v>N/A</v>
          </cell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 t="str">
            <v>N/A</v>
          </cell>
          <cell r="N18" t="str">
            <v>N/A</v>
          </cell>
          <cell r="O18" t="str">
            <v>N/A</v>
          </cell>
          <cell r="P18" t="str">
            <v>N/A</v>
          </cell>
          <cell r="Q18" t="str">
            <v>N/A</v>
          </cell>
          <cell r="R18" t="str">
            <v>N/A</v>
          </cell>
          <cell r="S18" t="str">
            <v>N/A</v>
          </cell>
          <cell r="T18" t="str">
            <v>N/A</v>
          </cell>
          <cell r="U18" t="str">
            <v>N/A</v>
          </cell>
        </row>
        <row r="19">
          <cell r="H19" t="str">
            <v>Manila Data</v>
          </cell>
          <cell r="I19">
            <v>0.88</v>
          </cell>
          <cell r="J19">
            <v>0.8</v>
          </cell>
          <cell r="K19" t="str">
            <v>Manila Data</v>
          </cell>
          <cell r="L19" t="str">
            <v>Manila Data</v>
          </cell>
          <cell r="M19" t="str">
            <v>Manila Data</v>
          </cell>
          <cell r="N19">
            <v>1</v>
          </cell>
          <cell r="O19" t="str">
            <v>Manila Data</v>
          </cell>
          <cell r="P19">
            <v>1</v>
          </cell>
          <cell r="Q19">
            <v>1</v>
          </cell>
          <cell r="R19">
            <v>1</v>
          </cell>
          <cell r="S19">
            <v>0.92</v>
          </cell>
          <cell r="T19">
            <v>0.8</v>
          </cell>
          <cell r="U19" t="str">
            <v>N/A</v>
          </cell>
        </row>
        <row r="20">
          <cell r="H20" t="str">
            <v>Manila Data</v>
          </cell>
          <cell r="I20">
            <v>1</v>
          </cell>
          <cell r="J20">
            <v>1</v>
          </cell>
          <cell r="K20" t="str">
            <v>Manila Data</v>
          </cell>
          <cell r="L20" t="str">
            <v>Manila Data</v>
          </cell>
          <cell r="M20" t="str">
            <v>Manila Data</v>
          </cell>
          <cell r="N20">
            <v>1</v>
          </cell>
          <cell r="O20" t="str">
            <v>Manila Data</v>
          </cell>
          <cell r="P20">
            <v>1</v>
          </cell>
          <cell r="Q20">
            <v>1</v>
          </cell>
          <cell r="R20">
            <v>1</v>
          </cell>
          <cell r="S20">
            <v>0.86</v>
          </cell>
          <cell r="T20">
            <v>1</v>
          </cell>
          <cell r="U20">
            <v>0.9</v>
          </cell>
        </row>
        <row r="21">
          <cell r="H21">
            <v>1</v>
          </cell>
          <cell r="I21">
            <v>0.88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0.82</v>
          </cell>
          <cell r="P21">
            <v>0.82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4">
          <cell r="C4" t="str">
            <v>Did not Start</v>
          </cell>
          <cell r="F4" t="str">
            <v>Jasmine Sharon Adanza</v>
          </cell>
        </row>
        <row r="5">
          <cell r="C5" t="str">
            <v>Tier 1B</v>
          </cell>
          <cell r="F5" t="str">
            <v>Jullia Alegre</v>
          </cell>
        </row>
        <row r="6">
          <cell r="C6" t="str">
            <v>Did not Start</v>
          </cell>
          <cell r="F6" t="str">
            <v>Roman Nicko  Buday</v>
          </cell>
        </row>
        <row r="7">
          <cell r="C7" t="str">
            <v>Tier 1B</v>
          </cell>
          <cell r="F7" t="str">
            <v>Christian Sen  Canales</v>
          </cell>
        </row>
        <row r="8">
          <cell r="C8" t="str">
            <v>Did not Start</v>
          </cell>
          <cell r="F8" t="str">
            <v>Catherine  Del Rosario</v>
          </cell>
        </row>
        <row r="9">
          <cell r="C9" t="str">
            <v>Did not Start</v>
          </cell>
          <cell r="F9" t="str">
            <v>May  Labante</v>
          </cell>
        </row>
        <row r="10">
          <cell r="C10" t="str">
            <v>Tier 1B</v>
          </cell>
          <cell r="F10" t="str">
            <v>Eric  Mallanao Jr.</v>
          </cell>
        </row>
        <row r="11">
          <cell r="C11" t="str">
            <v>Tier 1B</v>
          </cell>
          <cell r="F11" t="str">
            <v>Rein Juvette  Miclat</v>
          </cell>
        </row>
        <row r="12">
          <cell r="C12" t="str">
            <v>Did not Start</v>
          </cell>
          <cell r="F12" t="str">
            <v>Alessandra  Nola</v>
          </cell>
        </row>
        <row r="13">
          <cell r="C13" t="str">
            <v>Tier 1B</v>
          </cell>
          <cell r="F13" t="str">
            <v>Sophia  Parane</v>
          </cell>
        </row>
        <row r="14">
          <cell r="C14" t="str">
            <v>Did not Start</v>
          </cell>
          <cell r="F14" t="str">
            <v>Jo-Anne May  Ramos</v>
          </cell>
        </row>
        <row r="15">
          <cell r="C15" t="str">
            <v>Tier 1B</v>
          </cell>
          <cell r="F15" t="str">
            <v>April John  Rioja</v>
          </cell>
        </row>
        <row r="16">
          <cell r="C16" t="str">
            <v>Tier 1B</v>
          </cell>
          <cell r="F16" t="str">
            <v>Danica  Rosos</v>
          </cell>
        </row>
        <row r="17">
          <cell r="C17" t="str">
            <v>Did not Start</v>
          </cell>
          <cell r="F17" t="str">
            <v>Manolo James Sintos Jr</v>
          </cell>
        </row>
        <row r="18">
          <cell r="C18" t="str">
            <v>Resigned-Nesting 1A</v>
          </cell>
          <cell r="F18" t="str">
            <v>Rochelle  Teves</v>
          </cell>
        </row>
        <row r="19">
          <cell r="C19" t="str">
            <v>Tier 1B</v>
          </cell>
          <cell r="F19" t="str">
            <v>Eric  Vicencio</v>
          </cell>
        </row>
        <row r="20">
          <cell r="C20" t="str">
            <v>Tier 1B</v>
          </cell>
          <cell r="F20" t="str">
            <v>Juan Miguel Cruz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FPW4RV2WEAI5AY4HUXZRJEZY3U">
      <xxl21:absoluteUrl r:id="rId2"/>
    </xxl21:alternateUrls>
    <sheetNames>
      <sheetName val="Quick Links"/>
      <sheetName val="One-Time Check List"/>
      <sheetName val="Daily Checklist"/>
      <sheetName val="Preprocess SWOT"/>
      <sheetName val="Class Summary"/>
      <sheetName val="Student Data"/>
      <sheetName val="Day 1 WFH Audit"/>
      <sheetName val="Daily Observation"/>
      <sheetName val="Attendance"/>
      <sheetName val="Perform Tier 2"/>
      <sheetName val="Performance RSA"/>
      <sheetName val="Preprocess Training Report"/>
      <sheetName val="Skill Assessment"/>
      <sheetName val="Performance"/>
      <sheetName val="PCB Nesting QA"/>
      <sheetName val="PCB Nesting Incentive Onshore"/>
      <sheetName val="Nesting Sales"/>
      <sheetName val="RSA Fraud Error Summary"/>
      <sheetName val="PCB Handoff Page (Sales)"/>
      <sheetName val="QBR"/>
      <sheetName val="PCB Nesting Incentive Offshore"/>
      <sheetName val="Perf. Mgmnt"/>
      <sheetName val="PCB Handoff Page - (Non-Sales)"/>
      <sheetName val="Reporting"/>
    </sheetNames>
    <sheetDataSet>
      <sheetData sheetId="0"/>
      <sheetData sheetId="1"/>
      <sheetData sheetId="2"/>
      <sheetData sheetId="3"/>
      <sheetData sheetId="4"/>
      <sheetData sheetId="5">
        <row r="5">
          <cell r="M5">
            <v>346575</v>
          </cell>
        </row>
        <row r="6">
          <cell r="M6">
            <v>346594</v>
          </cell>
        </row>
        <row r="7">
          <cell r="M7">
            <v>346576</v>
          </cell>
        </row>
        <row r="8">
          <cell r="M8">
            <v>346570</v>
          </cell>
        </row>
        <row r="9">
          <cell r="M9">
            <v>341518</v>
          </cell>
        </row>
        <row r="10">
          <cell r="M10">
            <v>346587</v>
          </cell>
        </row>
        <row r="11">
          <cell r="M11">
            <v>346583</v>
          </cell>
        </row>
        <row r="12">
          <cell r="M12">
            <v>346577</v>
          </cell>
        </row>
        <row r="13">
          <cell r="M13">
            <v>346568</v>
          </cell>
        </row>
        <row r="14">
          <cell r="M14">
            <v>346567</v>
          </cell>
        </row>
        <row r="15">
          <cell r="M15">
            <v>346573</v>
          </cell>
        </row>
        <row r="16">
          <cell r="M16">
            <v>346595</v>
          </cell>
        </row>
        <row r="17">
          <cell r="M17">
            <v>346565</v>
          </cell>
        </row>
        <row r="18">
          <cell r="M18">
            <v>346580</v>
          </cell>
        </row>
        <row r="19">
          <cell r="M19"/>
        </row>
        <row r="20">
          <cell r="M20"/>
        </row>
        <row r="21">
          <cell r="M21"/>
        </row>
        <row r="22">
          <cell r="M22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>
        <row r="5">
          <cell r="H5" t="str">
            <v>NTT</v>
          </cell>
          <cell r="I5">
            <v>0.88</v>
          </cell>
          <cell r="J5">
            <v>1</v>
          </cell>
          <cell r="K5" t="str">
            <v>NTT</v>
          </cell>
          <cell r="L5" t="str">
            <v>NTT</v>
          </cell>
          <cell r="M5" t="str">
            <v>N/A</v>
          </cell>
          <cell r="N5">
            <v>1</v>
          </cell>
          <cell r="O5" t="str">
            <v>NTT</v>
          </cell>
          <cell r="P5">
            <v>1</v>
          </cell>
          <cell r="Q5">
            <v>1</v>
          </cell>
          <cell r="R5">
            <v>1</v>
          </cell>
          <cell r="S5">
            <v>0.88</v>
          </cell>
          <cell r="T5">
            <v>1</v>
          </cell>
          <cell r="U5">
            <v>0.82</v>
          </cell>
        </row>
        <row r="6">
          <cell r="H6" t="str">
            <v>NTT</v>
          </cell>
          <cell r="I6">
            <v>0.88</v>
          </cell>
          <cell r="J6">
            <v>1</v>
          </cell>
          <cell r="K6" t="str">
            <v>NTT</v>
          </cell>
          <cell r="L6" t="str">
            <v>NTT</v>
          </cell>
          <cell r="M6" t="str">
            <v>N/A</v>
          </cell>
          <cell r="N6">
            <v>1</v>
          </cell>
          <cell r="O6" t="str">
            <v>NTT</v>
          </cell>
          <cell r="P6">
            <v>0.8</v>
          </cell>
          <cell r="Q6">
            <v>1</v>
          </cell>
          <cell r="R6">
            <v>1</v>
          </cell>
          <cell r="S6">
            <v>0.9</v>
          </cell>
          <cell r="T6">
            <v>1</v>
          </cell>
          <cell r="U6">
            <v>1</v>
          </cell>
        </row>
        <row r="7">
          <cell r="H7" t="str">
            <v>NTT</v>
          </cell>
          <cell r="I7">
            <v>0.88</v>
          </cell>
          <cell r="J7">
            <v>1</v>
          </cell>
          <cell r="K7" t="str">
            <v>NTT</v>
          </cell>
          <cell r="L7" t="str">
            <v>NTT</v>
          </cell>
          <cell r="M7" t="str">
            <v>N/A</v>
          </cell>
          <cell r="N7">
            <v>1</v>
          </cell>
          <cell r="O7" t="str">
            <v>NTT</v>
          </cell>
          <cell r="P7">
            <v>1</v>
          </cell>
          <cell r="Q7">
            <v>1</v>
          </cell>
          <cell r="R7">
            <v>1</v>
          </cell>
          <cell r="S7">
            <v>0.86</v>
          </cell>
          <cell r="T7">
            <v>0.8</v>
          </cell>
          <cell r="U7">
            <v>1</v>
          </cell>
        </row>
        <row r="8">
          <cell r="H8" t="str">
            <v>NTT</v>
          </cell>
          <cell r="I8">
            <v>1</v>
          </cell>
          <cell r="J8">
            <v>1</v>
          </cell>
          <cell r="K8" t="str">
            <v>NTT</v>
          </cell>
          <cell r="L8" t="str">
            <v>NTT</v>
          </cell>
          <cell r="M8" t="str">
            <v>N/A</v>
          </cell>
          <cell r="N8">
            <v>1</v>
          </cell>
          <cell r="O8" t="str">
            <v>NTT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0.9</v>
          </cell>
        </row>
        <row r="9">
          <cell r="H9" t="str">
            <v>NTT</v>
          </cell>
          <cell r="I9">
            <v>1</v>
          </cell>
          <cell r="J9">
            <v>1</v>
          </cell>
          <cell r="K9" t="str">
            <v>NTT</v>
          </cell>
          <cell r="L9" t="str">
            <v>NTT</v>
          </cell>
          <cell r="M9" t="str">
            <v>N/A</v>
          </cell>
          <cell r="N9">
            <v>1</v>
          </cell>
          <cell r="O9" t="str">
            <v>NTT</v>
          </cell>
          <cell r="P9">
            <v>0.92</v>
          </cell>
          <cell r="Q9">
            <v>1</v>
          </cell>
          <cell r="R9">
            <v>1</v>
          </cell>
          <cell r="S9">
            <v>1</v>
          </cell>
          <cell r="T9">
            <v>0.8</v>
          </cell>
          <cell r="U9">
            <v>0.9</v>
          </cell>
        </row>
        <row r="10">
          <cell r="H10" t="str">
            <v>NTT</v>
          </cell>
          <cell r="I10">
            <v>0.88</v>
          </cell>
          <cell r="J10">
            <v>1</v>
          </cell>
          <cell r="K10" t="str">
            <v>NTT</v>
          </cell>
          <cell r="L10" t="str">
            <v>NTT</v>
          </cell>
          <cell r="M10" t="str">
            <v>N/A</v>
          </cell>
          <cell r="N10">
            <v>1</v>
          </cell>
          <cell r="O10" t="str">
            <v>NTT</v>
          </cell>
          <cell r="P10">
            <v>0.94</v>
          </cell>
          <cell r="Q10">
            <v>1</v>
          </cell>
          <cell r="R10">
            <v>1</v>
          </cell>
          <cell r="S10">
            <v>0.94</v>
          </cell>
          <cell r="T10">
            <v>1</v>
          </cell>
          <cell r="U10">
            <v>1</v>
          </cell>
        </row>
        <row r="11">
          <cell r="H11" t="str">
            <v>NTT</v>
          </cell>
          <cell r="I11">
            <v>1</v>
          </cell>
          <cell r="J11">
            <v>1</v>
          </cell>
          <cell r="K11" t="str">
            <v>NTT</v>
          </cell>
          <cell r="L11" t="str">
            <v>NTT</v>
          </cell>
          <cell r="M11" t="str">
            <v>N/A</v>
          </cell>
          <cell r="N11">
            <v>10</v>
          </cell>
          <cell r="O11" t="str">
            <v>NTT</v>
          </cell>
          <cell r="P11">
            <v>1</v>
          </cell>
          <cell r="Q11">
            <v>1</v>
          </cell>
          <cell r="R11">
            <v>1</v>
          </cell>
          <cell r="S11">
            <v>0.88</v>
          </cell>
          <cell r="T11">
            <v>1</v>
          </cell>
          <cell r="U11">
            <v>0.93</v>
          </cell>
        </row>
        <row r="12">
          <cell r="H12" t="str">
            <v>NTT</v>
          </cell>
          <cell r="I12">
            <v>0.88</v>
          </cell>
          <cell r="J12">
            <v>0.8</v>
          </cell>
          <cell r="K12" t="str">
            <v>NTT</v>
          </cell>
          <cell r="L12" t="str">
            <v>NTT</v>
          </cell>
          <cell r="M12" t="str">
            <v>N/A</v>
          </cell>
          <cell r="N12">
            <v>1</v>
          </cell>
          <cell r="O12" t="str">
            <v>NTT</v>
          </cell>
          <cell r="P12">
            <v>0.94</v>
          </cell>
          <cell r="Q12">
            <v>1</v>
          </cell>
          <cell r="R12">
            <v>1</v>
          </cell>
          <cell r="S12">
            <v>0.88</v>
          </cell>
          <cell r="T12">
            <v>0.8</v>
          </cell>
          <cell r="U12">
            <v>0.9</v>
          </cell>
        </row>
        <row r="13">
          <cell r="H13" t="str">
            <v>NTT</v>
          </cell>
          <cell r="I13">
            <v>1</v>
          </cell>
          <cell r="J13">
            <v>1</v>
          </cell>
          <cell r="K13" t="str">
            <v>NTT</v>
          </cell>
          <cell r="L13" t="str">
            <v>NTT</v>
          </cell>
          <cell r="M13" t="str">
            <v>N/A</v>
          </cell>
          <cell r="N13">
            <v>1</v>
          </cell>
          <cell r="O13" t="str">
            <v>NTT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</row>
        <row r="14">
          <cell r="H14" t="str">
            <v>NTT</v>
          </cell>
          <cell r="I14">
            <v>1</v>
          </cell>
          <cell r="J14">
            <v>1</v>
          </cell>
          <cell r="K14" t="str">
            <v>NTT</v>
          </cell>
          <cell r="L14" t="str">
            <v>NTT</v>
          </cell>
          <cell r="M14" t="str">
            <v>N/A</v>
          </cell>
          <cell r="N14">
            <v>1</v>
          </cell>
          <cell r="O14" t="str">
            <v>NTT</v>
          </cell>
          <cell r="P14">
            <v>0.82</v>
          </cell>
          <cell r="Q14">
            <v>1</v>
          </cell>
          <cell r="R14">
            <v>1</v>
          </cell>
          <cell r="S14">
            <v>0.94</v>
          </cell>
          <cell r="T14">
            <v>1</v>
          </cell>
          <cell r="U14">
            <v>0.95</v>
          </cell>
        </row>
        <row r="15">
          <cell r="H15" t="str">
            <v>NTT</v>
          </cell>
          <cell r="I15">
            <v>0.88</v>
          </cell>
          <cell r="J15">
            <v>1</v>
          </cell>
          <cell r="K15" t="str">
            <v>NTT</v>
          </cell>
          <cell r="L15" t="str">
            <v>NTT</v>
          </cell>
          <cell r="M15" t="str">
            <v>N/A</v>
          </cell>
          <cell r="N15">
            <v>1</v>
          </cell>
          <cell r="O15" t="str">
            <v>NTT</v>
          </cell>
          <cell r="P15">
            <v>0.82</v>
          </cell>
          <cell r="Q15">
            <v>1</v>
          </cell>
          <cell r="R15">
            <v>1</v>
          </cell>
          <cell r="S15">
            <v>0.88</v>
          </cell>
          <cell r="T15">
            <v>1</v>
          </cell>
          <cell r="U15">
            <v>0.9</v>
          </cell>
        </row>
        <row r="16">
          <cell r="H16" t="str">
            <v>NTT</v>
          </cell>
          <cell r="I16">
            <v>1</v>
          </cell>
          <cell r="J16">
            <v>0.8</v>
          </cell>
          <cell r="K16" t="str">
            <v>NTT</v>
          </cell>
          <cell r="L16" t="str">
            <v>NTT</v>
          </cell>
          <cell r="M16" t="str">
            <v>N/A</v>
          </cell>
          <cell r="N16">
            <v>1</v>
          </cell>
          <cell r="O16" t="str">
            <v>NTT</v>
          </cell>
          <cell r="P16">
            <v>0.94</v>
          </cell>
          <cell r="Q16">
            <v>1</v>
          </cell>
          <cell r="R16">
            <v>1</v>
          </cell>
          <cell r="S16">
            <v>0.88</v>
          </cell>
          <cell r="T16">
            <v>0.8</v>
          </cell>
          <cell r="U16">
            <v>0.8</v>
          </cell>
        </row>
        <row r="17">
          <cell r="H17" t="str">
            <v>NTT</v>
          </cell>
          <cell r="I17">
            <v>0.88</v>
          </cell>
          <cell r="J17">
            <v>1</v>
          </cell>
          <cell r="K17" t="str">
            <v>NTT</v>
          </cell>
          <cell r="L17" t="str">
            <v>NTT</v>
          </cell>
          <cell r="M17" t="str">
            <v>N/A</v>
          </cell>
          <cell r="N17">
            <v>1</v>
          </cell>
          <cell r="O17" t="str">
            <v>NTT</v>
          </cell>
          <cell r="P17">
            <v>0.86</v>
          </cell>
          <cell r="Q17">
            <v>1</v>
          </cell>
          <cell r="R17">
            <v>1</v>
          </cell>
          <cell r="S17">
            <v>0.87</v>
          </cell>
          <cell r="T17">
            <v>1</v>
          </cell>
          <cell r="U17">
            <v>0.93</v>
          </cell>
        </row>
        <row r="18">
          <cell r="H18" t="str">
            <v>NTT</v>
          </cell>
          <cell r="I18">
            <v>1</v>
          </cell>
          <cell r="J18">
            <v>0.8</v>
          </cell>
          <cell r="K18" t="str">
            <v>NTT</v>
          </cell>
          <cell r="L18" t="str">
            <v>NTT</v>
          </cell>
          <cell r="M18" t="str">
            <v>N/A</v>
          </cell>
          <cell r="N18">
            <v>1</v>
          </cell>
          <cell r="O18" t="str">
            <v>NTT</v>
          </cell>
          <cell r="P18">
            <v>0.94</v>
          </cell>
          <cell r="Q18">
            <v>1</v>
          </cell>
          <cell r="R18">
            <v>1</v>
          </cell>
          <cell r="S18">
            <v>1</v>
          </cell>
          <cell r="T18">
            <v>0.8</v>
          </cell>
          <cell r="U18">
            <v>1</v>
          </cell>
        </row>
        <row r="19"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</row>
        <row r="20"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</row>
        <row r="21"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</row>
        <row r="22"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Resigned-Nesting 1B</v>
          </cell>
          <cell r="F4" t="str">
            <v>Al-Nahar Bocua</v>
          </cell>
        </row>
        <row r="5">
          <cell r="C5" t="str">
            <v>Terminated-Nesting 3</v>
          </cell>
          <cell r="F5" t="str">
            <v>Adrian Pete Buenaflor</v>
          </cell>
        </row>
        <row r="6">
          <cell r="C6" t="str">
            <v>Transition to Production with SMART plan</v>
          </cell>
          <cell r="F6" t="str">
            <v>Michelle Chongco</v>
          </cell>
        </row>
        <row r="7">
          <cell r="C7" t="str">
            <v>Transition to Production</v>
          </cell>
          <cell r="F7" t="str">
            <v>Fiannah Marie Claro</v>
          </cell>
        </row>
        <row r="8">
          <cell r="C8" t="str">
            <v>Terminated Tier 1B</v>
          </cell>
          <cell r="F8" t="str">
            <v>Tuesday Brea Cruz</v>
          </cell>
        </row>
        <row r="9">
          <cell r="C9" t="str">
            <v>Terminated-Nesting 3</v>
          </cell>
          <cell r="F9" t="str">
            <v>Jacquelene Dingcong</v>
          </cell>
        </row>
        <row r="10">
          <cell r="C10" t="str">
            <v>Terminated-Nesting 3</v>
          </cell>
          <cell r="F10" t="str">
            <v>Moira Esparrago</v>
          </cell>
        </row>
        <row r="11">
          <cell r="C11" t="str">
            <v>Transition to Production with SMART plan</v>
          </cell>
          <cell r="F11" t="str">
            <v>John Mike Genovia</v>
          </cell>
        </row>
        <row r="12">
          <cell r="C12" t="str">
            <v>Terminated-Nesting 3</v>
          </cell>
          <cell r="F12" t="str">
            <v>Joviert Jaducana</v>
          </cell>
        </row>
        <row r="13">
          <cell r="C13" t="str">
            <v>Transition to Production with SMART plan</v>
          </cell>
          <cell r="F13" t="str">
            <v>May Labante</v>
          </cell>
        </row>
        <row r="14">
          <cell r="C14" t="str">
            <v>Resigned Tier 1B</v>
          </cell>
          <cell r="F14" t="str">
            <v>Joana Malabanan</v>
          </cell>
        </row>
        <row r="15">
          <cell r="C15" t="str">
            <v>Resigned Tier 1B</v>
          </cell>
          <cell r="F15" t="str">
            <v>Dana Isabelle Obero</v>
          </cell>
        </row>
        <row r="16">
          <cell r="C16" t="str">
            <v>Transition to Production with SMART plan</v>
          </cell>
          <cell r="F16" t="str">
            <v>Inigo Louise Roces</v>
          </cell>
        </row>
        <row r="17">
          <cell r="C17" t="str">
            <v>Transition to Production with SMART plan</v>
          </cell>
          <cell r="F17" t="str">
            <v>Querofina Zapata</v>
          </cell>
        </row>
        <row r="18">
          <cell r="C18" t="str">
            <v>Did not Start</v>
          </cell>
          <cell r="F18" t="str">
            <v>Reynante Bolima</v>
          </cell>
        </row>
        <row r="19">
          <cell r="C19" t="str">
            <v>Did not Start</v>
          </cell>
          <cell r="F19" t="str">
            <v>Alvin John Hernandez</v>
          </cell>
        </row>
        <row r="20">
          <cell r="C20" t="str">
            <v>Did not Start</v>
          </cell>
          <cell r="F20" t="str">
            <v>Edelyn Mangansakan</v>
          </cell>
        </row>
        <row r="21">
          <cell r="C21" t="str">
            <v>Did not Start</v>
          </cell>
          <cell r="F21" t="str">
            <v>Marie Cris Tolentino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IZKTFVGVA7FA3ZERF3BDG6XHD">
      <xxl21:absoluteUrl r:id="rId2"/>
    </xxl21:alternateUrls>
    <sheetNames>
      <sheetName val="Daily Checklist"/>
      <sheetName val="Quick Links"/>
      <sheetName val="One-Time Check List"/>
      <sheetName val="Preprocess SWOT"/>
      <sheetName val="Class Summary"/>
      <sheetName val="Student Data"/>
      <sheetName val="Attendance"/>
      <sheetName val="Day 1 WFH Audit"/>
      <sheetName val="Perform Tier 2"/>
      <sheetName val="Performance RSA"/>
      <sheetName val="Preprocess Training Report"/>
      <sheetName val="Performance"/>
      <sheetName val="Daily Observation"/>
      <sheetName val="Skill Assessment"/>
      <sheetName val="PCB Nesting QA"/>
      <sheetName val="PCB Nesting Incentive Onshore"/>
      <sheetName val="PCB Nesting Incentive Offshore"/>
      <sheetName val="Perf. Mgmnt"/>
      <sheetName val="PCB Handoff Page - (Non-Sales)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H5"/>
          <cell r="I5">
            <v>0.88</v>
          </cell>
          <cell r="J5">
            <v>1</v>
          </cell>
          <cell r="K5"/>
          <cell r="L5"/>
          <cell r="M5">
            <v>1</v>
          </cell>
          <cell r="N5"/>
          <cell r="O5">
            <v>0.82</v>
          </cell>
          <cell r="P5">
            <v>1</v>
          </cell>
          <cell r="Q5">
            <v>1</v>
          </cell>
          <cell r="R5">
            <v>1</v>
          </cell>
          <cell r="S5">
            <v>0.88</v>
          </cell>
          <cell r="T5">
            <v>0.8</v>
          </cell>
          <cell r="U5">
            <v>0.89</v>
          </cell>
        </row>
        <row r="6">
          <cell r="H6">
            <v>1</v>
          </cell>
          <cell r="I6">
            <v>0.88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0.82</v>
          </cell>
          <cell r="P6">
            <v>1</v>
          </cell>
          <cell r="Q6">
            <v>1</v>
          </cell>
          <cell r="R6">
            <v>1</v>
          </cell>
          <cell r="S6">
            <v>0.94</v>
          </cell>
          <cell r="T6">
            <v>1</v>
          </cell>
          <cell r="U6">
            <v>0.9</v>
          </cell>
        </row>
        <row r="7"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0.91</v>
          </cell>
          <cell r="P7">
            <v>1</v>
          </cell>
          <cell r="Q7">
            <v>1</v>
          </cell>
          <cell r="R7">
            <v>1</v>
          </cell>
          <cell r="S7">
            <v>0.94</v>
          </cell>
          <cell r="T7">
            <v>0.8</v>
          </cell>
          <cell r="U7">
            <v>0.86</v>
          </cell>
        </row>
        <row r="8">
          <cell r="H8">
            <v>1</v>
          </cell>
          <cell r="I8">
            <v>0.88</v>
          </cell>
          <cell r="J8">
            <v>0.8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0.81</v>
          </cell>
        </row>
        <row r="9">
          <cell r="H9">
            <v>1</v>
          </cell>
          <cell r="I9">
            <v>0.88</v>
          </cell>
          <cell r="J9">
            <v>1</v>
          </cell>
          <cell r="K9">
            <v>1</v>
          </cell>
          <cell r="L9">
            <v>0.89</v>
          </cell>
          <cell r="M9">
            <v>1</v>
          </cell>
          <cell r="N9">
            <v>1</v>
          </cell>
          <cell r="O9">
            <v>0.91</v>
          </cell>
          <cell r="P9">
            <v>0.91</v>
          </cell>
          <cell r="Q9">
            <v>1</v>
          </cell>
          <cell r="R9">
            <v>1</v>
          </cell>
          <cell r="S9" t="str">
            <v>NLE</v>
          </cell>
          <cell r="T9">
            <v>0.9</v>
          </cell>
          <cell r="U9" t="str">
            <v>NLE</v>
          </cell>
        </row>
        <row r="10"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0.88</v>
          </cell>
          <cell r="M10">
            <v>1</v>
          </cell>
          <cell r="N10">
            <v>1</v>
          </cell>
          <cell r="O10">
            <v>0.82</v>
          </cell>
          <cell r="P10">
            <v>0.88</v>
          </cell>
          <cell r="Q10">
            <v>1</v>
          </cell>
          <cell r="R10">
            <v>1</v>
          </cell>
          <cell r="S10">
            <v>0.86</v>
          </cell>
          <cell r="T10">
            <v>0.8</v>
          </cell>
          <cell r="U10">
            <v>0.93</v>
          </cell>
        </row>
        <row r="11"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0.82</v>
          </cell>
          <cell r="Q11">
            <v>1</v>
          </cell>
          <cell r="R11">
            <v>1</v>
          </cell>
          <cell r="S11">
            <v>0.8</v>
          </cell>
          <cell r="T11">
            <v>1</v>
          </cell>
          <cell r="U11">
            <v>0.82</v>
          </cell>
        </row>
        <row r="12"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0.96</v>
          </cell>
          <cell r="P12">
            <v>0.88</v>
          </cell>
          <cell r="Q12">
            <v>1</v>
          </cell>
          <cell r="R12">
            <v>1</v>
          </cell>
          <cell r="S12">
            <v>0.82</v>
          </cell>
          <cell r="T12">
            <v>1</v>
          </cell>
          <cell r="U12">
            <v>0.98</v>
          </cell>
        </row>
        <row r="13"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0.89</v>
          </cell>
          <cell r="M13">
            <v>1</v>
          </cell>
          <cell r="N13">
            <v>1</v>
          </cell>
          <cell r="O13">
            <v>0.82</v>
          </cell>
          <cell r="P13">
            <v>0.88</v>
          </cell>
          <cell r="Q13" t="str">
            <v> </v>
          </cell>
          <cell r="R13" t="str">
            <v> </v>
          </cell>
          <cell r="S13" t="str">
            <v> </v>
          </cell>
          <cell r="T13" t="str">
            <v> </v>
          </cell>
          <cell r="U13" t="str">
            <v> </v>
          </cell>
        </row>
        <row r="14">
          <cell r="H14">
            <v>1</v>
          </cell>
          <cell r="I14">
            <v>0.88</v>
          </cell>
          <cell r="J14">
            <v>1</v>
          </cell>
          <cell r="K14">
            <v>1</v>
          </cell>
          <cell r="L14">
            <v>0.89</v>
          </cell>
          <cell r="M14">
            <v>1</v>
          </cell>
          <cell r="N14">
            <v>1</v>
          </cell>
          <cell r="O14">
            <v>0.91</v>
          </cell>
          <cell r="P14">
            <v>0.88</v>
          </cell>
          <cell r="Q14">
            <v>1</v>
          </cell>
          <cell r="R14">
            <v>1</v>
          </cell>
          <cell r="S14">
            <v>0.88</v>
          </cell>
          <cell r="T14">
            <v>0.8</v>
          </cell>
          <cell r="U14">
            <v>0.8</v>
          </cell>
        </row>
        <row r="15"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0.89</v>
          </cell>
          <cell r="M15">
            <v>1</v>
          </cell>
          <cell r="N15">
            <v>1</v>
          </cell>
          <cell r="O15">
            <v>0.87</v>
          </cell>
          <cell r="P15">
            <v>0.94</v>
          </cell>
          <cell r="Q15">
            <v>1</v>
          </cell>
          <cell r="R15">
            <v>1</v>
          </cell>
          <cell r="S15">
            <v>0.86</v>
          </cell>
          <cell r="T15">
            <v>0.8</v>
          </cell>
          <cell r="U15">
            <v>0.8</v>
          </cell>
        </row>
        <row r="16"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0.88</v>
          </cell>
          <cell r="Q16">
            <v>1</v>
          </cell>
          <cell r="R16">
            <v>1</v>
          </cell>
          <cell r="S16">
            <v>0.92</v>
          </cell>
          <cell r="T16">
            <v>0.8</v>
          </cell>
          <cell r="U16">
            <v>0.89</v>
          </cell>
        </row>
        <row r="17">
          <cell r="H17">
            <v>1</v>
          </cell>
          <cell r="I17">
            <v>0.88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0.87</v>
          </cell>
          <cell r="P17">
            <v>1</v>
          </cell>
          <cell r="Q17">
            <v>1</v>
          </cell>
          <cell r="R17">
            <v>1</v>
          </cell>
          <cell r="S17">
            <v>0.94</v>
          </cell>
          <cell r="T17">
            <v>0.8</v>
          </cell>
          <cell r="U17">
            <v>0.98</v>
          </cell>
        </row>
        <row r="18"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0.89</v>
          </cell>
          <cell r="M18">
            <v>1</v>
          </cell>
          <cell r="N18">
            <v>1</v>
          </cell>
          <cell r="O18">
            <v>0.82</v>
          </cell>
          <cell r="P18">
            <v>0.91</v>
          </cell>
          <cell r="Q18">
            <v>1</v>
          </cell>
          <cell r="R18">
            <v>1</v>
          </cell>
          <cell r="S18">
            <v>0.97</v>
          </cell>
          <cell r="T18">
            <v>0.8</v>
          </cell>
          <cell r="U18">
            <v>0.85</v>
          </cell>
        </row>
        <row r="19"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0.87</v>
          </cell>
          <cell r="P19">
            <v>1</v>
          </cell>
          <cell r="Q19">
            <v>1</v>
          </cell>
          <cell r="R19">
            <v>1</v>
          </cell>
          <cell r="S19">
            <v>0.86</v>
          </cell>
          <cell r="T19">
            <v>0.8</v>
          </cell>
          <cell r="U19">
            <v>1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0.91</v>
          </cell>
          <cell r="P20">
            <v>1</v>
          </cell>
          <cell r="Q20">
            <v>1</v>
          </cell>
          <cell r="R20">
            <v>1</v>
          </cell>
          <cell r="S20">
            <v>0.89</v>
          </cell>
          <cell r="T20">
            <v>0.8</v>
          </cell>
          <cell r="U20">
            <v>0.97</v>
          </cell>
        </row>
        <row r="21"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0.89</v>
          </cell>
          <cell r="M21">
            <v>1</v>
          </cell>
          <cell r="N21">
            <v>1</v>
          </cell>
          <cell r="O21">
            <v>0.96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0.8</v>
          </cell>
        </row>
        <row r="22"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0.82</v>
          </cell>
          <cell r="P22">
            <v>0.94</v>
          </cell>
          <cell r="Q22">
            <v>1</v>
          </cell>
          <cell r="R22">
            <v>1</v>
          </cell>
          <cell r="S22">
            <v>0.84</v>
          </cell>
          <cell r="T22">
            <v>0.8</v>
          </cell>
          <cell r="U22">
            <v>0.8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 with SMART plan</v>
          </cell>
          <cell r="F4" t="str">
            <v>Stella Bamawo</v>
          </cell>
        </row>
        <row r="5">
          <cell r="C5" t="str">
            <v>Transition to Production</v>
          </cell>
          <cell r="F5" t="str">
            <v>Keilly Maptouom</v>
          </cell>
        </row>
        <row r="6">
          <cell r="C6" t="str">
            <v>Moved/Joining Alternate Class/Program</v>
          </cell>
          <cell r="F6" t="str">
            <v>Lakesha Smith</v>
          </cell>
        </row>
        <row r="7">
          <cell r="C7" t="str">
            <v>Terminated-Nesting 3</v>
          </cell>
          <cell r="F7" t="str">
            <v>Hubert Styve Wassou</v>
          </cell>
        </row>
        <row r="8">
          <cell r="C8" t="str">
            <v>Resigned Tier 1A</v>
          </cell>
          <cell r="F8" t="str">
            <v>Stevy Kuimi</v>
          </cell>
        </row>
        <row r="9">
          <cell r="C9" t="str">
            <v>Terminated-Nesting 3</v>
          </cell>
          <cell r="F9" t="str">
            <v>Ange Merveille Nameni Kuenzob</v>
          </cell>
        </row>
        <row r="10">
          <cell r="C10" t="str">
            <v>Resigned Tier 1B</v>
          </cell>
          <cell r="F10" t="str">
            <v>Benjamin Ntamwishimiro</v>
          </cell>
        </row>
        <row r="11">
          <cell r="C11" t="str">
            <v>Terminated-Nesting 3</v>
          </cell>
          <cell r="F11" t="str">
            <v>Dylan  Kalonji</v>
          </cell>
        </row>
        <row r="12">
          <cell r="C12" t="str">
            <v>Resigned Tier 1A</v>
          </cell>
          <cell r="F12" t="str">
            <v>Yassmine Attobi</v>
          </cell>
        </row>
        <row r="13">
          <cell r="C13" t="str">
            <v>Terminated-Nesting 3</v>
          </cell>
          <cell r="F13" t="str">
            <v>Walid Maghri</v>
          </cell>
        </row>
        <row r="14">
          <cell r="C14" t="str">
            <v>Resigned Tier 1B</v>
          </cell>
          <cell r="F14" t="str">
            <v>Francky Donfack Fouegue</v>
          </cell>
        </row>
        <row r="15">
          <cell r="C15" t="str">
            <v>Terminated-Nesting 3</v>
          </cell>
          <cell r="F15" t="str">
            <v>Dan Luccin Dushime</v>
          </cell>
        </row>
        <row r="16">
          <cell r="C16" t="str">
            <v>Terminated-Nesting 3</v>
          </cell>
          <cell r="F16" t="str">
            <v>Raissa Kakessa</v>
          </cell>
        </row>
        <row r="17">
          <cell r="C17" t="str">
            <v>Resigned-Nesting 3</v>
          </cell>
          <cell r="F17" t="str">
            <v>Julienne Tedom Mamga</v>
          </cell>
        </row>
        <row r="18">
          <cell r="C18" t="str">
            <v>Transition to Production with SMART plan</v>
          </cell>
          <cell r="F18" t="str">
            <v>Chloe Michaud</v>
          </cell>
        </row>
        <row r="19">
          <cell r="C19" t="str">
            <v>Terminated-Nesting 3</v>
          </cell>
          <cell r="F19" t="str">
            <v>Watson Koffi Christ David</v>
          </cell>
        </row>
        <row r="20">
          <cell r="C20" t="str">
            <v>Terminated-Nesting 3</v>
          </cell>
          <cell r="F20" t="str">
            <v>Rachid Alahiane</v>
          </cell>
        </row>
        <row r="21">
          <cell r="C21" t="str">
            <v>Resigned-Nesting 3</v>
          </cell>
          <cell r="F21" t="str">
            <v>Christiane (Chris) Lalonde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GUZE323AQL5BLKWCOPPELXYH3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Performance"/>
      <sheetName val="Perform Tier 2"/>
      <sheetName val="Performance RSA"/>
      <sheetName val="Preprocess Training Report"/>
      <sheetName val="Day 1 WFH Audit"/>
      <sheetName val="Daily Observation"/>
      <sheetName val="Attendance"/>
      <sheetName val="Skill Assessment"/>
      <sheetName val="PCB Nesting QA"/>
      <sheetName val="PCB Nesting Incentive Offshore"/>
      <sheetName val="PCB Nesting Incentive Onshore"/>
      <sheetName val="PCB Handoff Page - (Non-Sales)"/>
      <sheetName val="Perf. Mgmnt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/>
      <sheetData sheetId="3">
        <row r="11">
          <cell r="B11" t="str">
            <v>Anabelle Pizon</v>
          </cell>
        </row>
        <row r="12">
          <cell r="B12" t="str">
            <v>Jennifer Ramirez</v>
          </cell>
        </row>
      </sheetData>
      <sheetData sheetId="4">
        <row r="5">
          <cell r="P5">
            <v>347573</v>
          </cell>
        </row>
        <row r="6">
          <cell r="P6">
            <v>347572</v>
          </cell>
        </row>
        <row r="7">
          <cell r="P7">
            <v>347570</v>
          </cell>
        </row>
        <row r="8">
          <cell r="P8">
            <v>347577</v>
          </cell>
        </row>
        <row r="9">
          <cell r="P9">
            <v>347578</v>
          </cell>
        </row>
        <row r="10">
          <cell r="P10"/>
        </row>
        <row r="11">
          <cell r="P11">
            <v>347576</v>
          </cell>
        </row>
        <row r="12">
          <cell r="P12">
            <v>347575</v>
          </cell>
        </row>
        <row r="13">
          <cell r="P13">
            <v>347567</v>
          </cell>
        </row>
        <row r="14">
          <cell r="P14">
            <v>347581</v>
          </cell>
        </row>
        <row r="15">
          <cell r="P15">
            <v>347571</v>
          </cell>
        </row>
        <row r="16">
          <cell r="P16">
            <v>347579</v>
          </cell>
        </row>
        <row r="17">
          <cell r="P17">
            <v>347574</v>
          </cell>
        </row>
        <row r="18">
          <cell r="P18">
            <v>347584</v>
          </cell>
        </row>
      </sheetData>
      <sheetData sheetId="5"/>
      <sheetData sheetId="6">
        <row r="5">
          <cell r="H5" t="str">
            <v>NTT</v>
          </cell>
          <cell r="I5">
            <v>1</v>
          </cell>
          <cell r="J5">
            <v>1</v>
          </cell>
          <cell r="K5" t="str">
            <v>NTT</v>
          </cell>
          <cell r="L5" t="str">
            <v>NTT</v>
          </cell>
          <cell r="M5" t="str">
            <v>NTT</v>
          </cell>
          <cell r="N5">
            <v>1</v>
          </cell>
          <cell r="O5" t="str">
            <v>NTT</v>
          </cell>
          <cell r="P5">
            <v>0.94</v>
          </cell>
          <cell r="Q5">
            <v>1</v>
          </cell>
          <cell r="R5">
            <v>1</v>
          </cell>
          <cell r="S5">
            <v>1</v>
          </cell>
          <cell r="T5">
            <v>0.8</v>
          </cell>
          <cell r="U5">
            <v>1</v>
          </cell>
        </row>
        <row r="6">
          <cell r="H6" t="str">
            <v>NTT</v>
          </cell>
          <cell r="I6">
            <v>0.88</v>
          </cell>
          <cell r="J6">
            <v>1</v>
          </cell>
          <cell r="K6" t="str">
            <v>NTT</v>
          </cell>
          <cell r="L6" t="str">
            <v>NTT</v>
          </cell>
          <cell r="M6" t="str">
            <v>NTT</v>
          </cell>
          <cell r="N6">
            <v>1</v>
          </cell>
          <cell r="O6" t="str">
            <v>NTT</v>
          </cell>
          <cell r="P6">
            <v>0.94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</row>
        <row r="7">
          <cell r="H7" t="str">
            <v>NTT</v>
          </cell>
          <cell r="I7">
            <v>0.88</v>
          </cell>
          <cell r="J7">
            <v>1</v>
          </cell>
          <cell r="K7" t="str">
            <v>NTT</v>
          </cell>
          <cell r="L7" t="str">
            <v>NTT</v>
          </cell>
          <cell r="M7" t="str">
            <v>NTT</v>
          </cell>
          <cell r="N7">
            <v>1</v>
          </cell>
          <cell r="O7" t="str">
            <v>NTT</v>
          </cell>
          <cell r="P7">
            <v>0.94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</row>
        <row r="8">
          <cell r="H8" t="str">
            <v>NTT</v>
          </cell>
          <cell r="I8">
            <v>1</v>
          </cell>
          <cell r="J8">
            <v>1</v>
          </cell>
          <cell r="K8" t="str">
            <v>NTT</v>
          </cell>
          <cell r="L8" t="str">
            <v>NTT</v>
          </cell>
          <cell r="M8" t="str">
            <v>NTT</v>
          </cell>
          <cell r="N8">
            <v>1</v>
          </cell>
          <cell r="O8" t="str">
            <v>NTT</v>
          </cell>
          <cell r="P8">
            <v>0.88</v>
          </cell>
          <cell r="Q8">
            <v>1</v>
          </cell>
          <cell r="R8">
            <v>1</v>
          </cell>
          <cell r="S8">
            <v>0.88</v>
          </cell>
          <cell r="T8">
            <v>0.8</v>
          </cell>
          <cell r="U8">
            <v>0.83</v>
          </cell>
        </row>
        <row r="9">
          <cell r="H9" t="str">
            <v>NTT</v>
          </cell>
          <cell r="I9">
            <v>1</v>
          </cell>
          <cell r="J9">
            <v>1</v>
          </cell>
          <cell r="K9" t="str">
            <v>NTT</v>
          </cell>
          <cell r="L9" t="str">
            <v>NTT</v>
          </cell>
          <cell r="M9" t="str">
            <v>NTT</v>
          </cell>
          <cell r="N9">
            <v>1</v>
          </cell>
          <cell r="O9" t="str">
            <v>NTT</v>
          </cell>
          <cell r="P9">
            <v>0.94</v>
          </cell>
          <cell r="Q9">
            <v>1</v>
          </cell>
          <cell r="R9">
            <v>1</v>
          </cell>
          <cell r="S9">
            <v>0.88</v>
          </cell>
          <cell r="T9">
            <v>0.8</v>
          </cell>
          <cell r="U9">
            <v>0.9</v>
          </cell>
        </row>
        <row r="10"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</row>
        <row r="11">
          <cell r="H11" t="str">
            <v>NTT</v>
          </cell>
          <cell r="I11">
            <v>0.88</v>
          </cell>
          <cell r="J11">
            <v>0.8</v>
          </cell>
          <cell r="K11" t="str">
            <v>NTT</v>
          </cell>
          <cell r="L11" t="str">
            <v>NTT</v>
          </cell>
          <cell r="M11" t="str">
            <v>NTT</v>
          </cell>
          <cell r="N11">
            <v>1</v>
          </cell>
          <cell r="O11" t="str">
            <v>NTT</v>
          </cell>
          <cell r="P11">
            <v>0.88</v>
          </cell>
          <cell r="Q11">
            <v>1</v>
          </cell>
          <cell r="R11">
            <v>1</v>
          </cell>
          <cell r="S11">
            <v>0.86</v>
          </cell>
          <cell r="T11">
            <v>1</v>
          </cell>
          <cell r="U11">
            <v>1</v>
          </cell>
        </row>
        <row r="12">
          <cell r="H12" t="str">
            <v>NTT</v>
          </cell>
          <cell r="I12">
            <v>1</v>
          </cell>
          <cell r="J12">
            <v>1</v>
          </cell>
          <cell r="K12" t="str">
            <v>NTT</v>
          </cell>
          <cell r="L12" t="str">
            <v>NTT</v>
          </cell>
          <cell r="M12" t="str">
            <v>NTT</v>
          </cell>
          <cell r="N12">
            <v>1</v>
          </cell>
          <cell r="O12" t="str">
            <v>NTT</v>
          </cell>
          <cell r="P12">
            <v>0.82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0.9</v>
          </cell>
        </row>
        <row r="13">
          <cell r="H13" t="str">
            <v>NTT</v>
          </cell>
          <cell r="I13">
            <v>1</v>
          </cell>
          <cell r="J13">
            <v>0.8</v>
          </cell>
          <cell r="K13" t="str">
            <v>NTT</v>
          </cell>
          <cell r="L13" t="str">
            <v>NTT</v>
          </cell>
          <cell r="M13" t="str">
            <v>NTT</v>
          </cell>
          <cell r="N13">
            <v>1</v>
          </cell>
          <cell r="O13" t="str">
            <v>NTT</v>
          </cell>
          <cell r="P13">
            <v>0.98</v>
          </cell>
          <cell r="Q13">
            <v>1</v>
          </cell>
          <cell r="R13">
            <v>1</v>
          </cell>
          <cell r="S13">
            <v>0.94</v>
          </cell>
          <cell r="T13">
            <v>1</v>
          </cell>
          <cell r="U13">
            <v>0.83</v>
          </cell>
        </row>
        <row r="14">
          <cell r="H14" t="str">
            <v>NTT</v>
          </cell>
          <cell r="I14">
            <v>1</v>
          </cell>
          <cell r="J14">
            <v>1</v>
          </cell>
          <cell r="K14" t="str">
            <v>NTT</v>
          </cell>
          <cell r="L14" t="str">
            <v>NTT</v>
          </cell>
          <cell r="M14" t="str">
            <v>NTT</v>
          </cell>
          <cell r="N14">
            <v>1</v>
          </cell>
          <cell r="O14" t="str">
            <v>NTT</v>
          </cell>
          <cell r="P14">
            <v>0.94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0.9</v>
          </cell>
        </row>
        <row r="15">
          <cell r="H15" t="str">
            <v>NTT</v>
          </cell>
          <cell r="I15">
            <v>1</v>
          </cell>
          <cell r="J15">
            <v>1</v>
          </cell>
          <cell r="K15" t="str">
            <v>NTT</v>
          </cell>
          <cell r="L15" t="str">
            <v>NTT</v>
          </cell>
          <cell r="M15" t="str">
            <v>NTT</v>
          </cell>
          <cell r="N15">
            <v>1</v>
          </cell>
          <cell r="O15" t="str">
            <v>NTT</v>
          </cell>
          <cell r="P15">
            <v>0.88</v>
          </cell>
          <cell r="Q15">
            <v>1</v>
          </cell>
          <cell r="R15">
            <v>1</v>
          </cell>
          <cell r="S15">
            <v>0.8</v>
          </cell>
          <cell r="T15">
            <v>1</v>
          </cell>
          <cell r="U15">
            <v>0.8</v>
          </cell>
        </row>
        <row r="16">
          <cell r="H16" t="str">
            <v>NTT</v>
          </cell>
          <cell r="I16">
            <v>1</v>
          </cell>
          <cell r="J16">
            <v>1</v>
          </cell>
          <cell r="K16" t="str">
            <v>NTT</v>
          </cell>
          <cell r="L16" t="str">
            <v>NTT</v>
          </cell>
          <cell r="M16" t="str">
            <v>NTT</v>
          </cell>
          <cell r="N16">
            <v>1</v>
          </cell>
          <cell r="O16" t="str">
            <v>NTT</v>
          </cell>
          <cell r="P16">
            <v>0.88</v>
          </cell>
          <cell r="Q16">
            <v>1</v>
          </cell>
          <cell r="R16">
            <v>1</v>
          </cell>
          <cell r="S16">
            <v>0.8</v>
          </cell>
          <cell r="T16">
            <v>1</v>
          </cell>
          <cell r="U16">
            <v>0.8</v>
          </cell>
        </row>
        <row r="17">
          <cell r="H17" t="str">
            <v>NTT</v>
          </cell>
          <cell r="I17">
            <v>0.88</v>
          </cell>
          <cell r="J17">
            <v>1</v>
          </cell>
          <cell r="K17" t="str">
            <v>NTT</v>
          </cell>
          <cell r="L17" t="str">
            <v>NTT</v>
          </cell>
          <cell r="M17" t="str">
            <v>NTT</v>
          </cell>
          <cell r="N17">
            <v>1</v>
          </cell>
          <cell r="O17" t="str">
            <v>NTT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0.88</v>
          </cell>
        </row>
        <row r="18">
          <cell r="H18" t="str">
            <v>NTT</v>
          </cell>
          <cell r="I18">
            <v>1</v>
          </cell>
          <cell r="J18">
            <v>1</v>
          </cell>
          <cell r="K18" t="str">
            <v>NTT</v>
          </cell>
          <cell r="L18" t="str">
            <v>NTT</v>
          </cell>
          <cell r="M18" t="str">
            <v>NTT</v>
          </cell>
          <cell r="N18">
            <v>1</v>
          </cell>
          <cell r="O18" t="str">
            <v>NTT</v>
          </cell>
          <cell r="P18">
            <v>1</v>
          </cell>
          <cell r="Q18">
            <v>1</v>
          </cell>
          <cell r="R18">
            <v>1</v>
          </cell>
          <cell r="S18">
            <v>0.82</v>
          </cell>
          <cell r="T18">
            <v>0.8</v>
          </cell>
          <cell r="U1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Transition to Production</v>
          </cell>
          <cell r="F4" t="str">
            <v>Melody (Mel) Allague</v>
          </cell>
        </row>
        <row r="5">
          <cell r="C5" t="str">
            <v>Transition to Production</v>
          </cell>
          <cell r="F5" t="str">
            <v>John Carlo (JC) Aquino</v>
          </cell>
        </row>
        <row r="6">
          <cell r="C6" t="str">
            <v>Resigned Tier 1B</v>
          </cell>
          <cell r="F6" t="str">
            <v>Ennis (EA) Ayuste</v>
          </cell>
        </row>
        <row r="7">
          <cell r="C7" t="str">
            <v>Resigned-Nesting 3</v>
          </cell>
          <cell r="F7" t="str">
            <v>Lovely Mae Bansali</v>
          </cell>
        </row>
        <row r="8">
          <cell r="C8" t="str">
            <v>Transition to Production</v>
          </cell>
          <cell r="F8" t="str">
            <v>Lorrea (Joyce) Dela Cruz</v>
          </cell>
        </row>
        <row r="9">
          <cell r="C9" t="str">
            <v>Did not Start</v>
          </cell>
          <cell r="F9" t="str">
            <v>Eugene Domagas</v>
          </cell>
        </row>
        <row r="10">
          <cell r="C10" t="str">
            <v>Transition to Production</v>
          </cell>
          <cell r="F10" t="str">
            <v>Ginero Allan (Lan) Ducusin</v>
          </cell>
        </row>
        <row r="11">
          <cell r="C11" t="str">
            <v>Transition to Production</v>
          </cell>
          <cell r="F11" t="str">
            <v>Randolph (Randy) Equibal</v>
          </cell>
        </row>
        <row r="12">
          <cell r="C12" t="str">
            <v>Terminated-Nesting 3</v>
          </cell>
          <cell r="F12" t="str">
            <v>Roselle Mallari</v>
          </cell>
        </row>
        <row r="13">
          <cell r="C13" t="str">
            <v>Terminated Tier 1B</v>
          </cell>
          <cell r="F13" t="str">
            <v>Edelyn (Edz) Mangansakan</v>
          </cell>
        </row>
        <row r="14">
          <cell r="C14" t="str">
            <v>Terminated-Nesting 3</v>
          </cell>
          <cell r="F14" t="str">
            <v>Ronalyn (RR) Mendina</v>
          </cell>
        </row>
        <row r="15">
          <cell r="C15" t="str">
            <v>Moved/Joining Alternate Class/Program</v>
          </cell>
          <cell r="F15" t="str">
            <v>Patrick Verdillo</v>
          </cell>
        </row>
        <row r="16">
          <cell r="C16" t="str">
            <v>Terminated-Nesting 3</v>
          </cell>
          <cell r="F16" t="str">
            <v>Melissa (Mel) Villareal</v>
          </cell>
        </row>
        <row r="17">
          <cell r="C17" t="str">
            <v>Resigned-Nesting 3</v>
          </cell>
          <cell r="F17" t="str">
            <v>Keith Vizmanos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GM3FZ3O4S5J5DYZZNQFX2KAWOM">
      <xxl21:absoluteUrl r:id="rId2"/>
    </xxl21:alternateUrls>
    <sheetNames>
      <sheetName val="Quick Links"/>
      <sheetName val="One-Time Check List"/>
      <sheetName val="Daily Checklist"/>
      <sheetName val="Preprocess SWOT"/>
      <sheetName val="Perform Tier 2"/>
      <sheetName val="Performance RSA"/>
      <sheetName val="Preprocess Training Report"/>
      <sheetName val="Class Summary"/>
      <sheetName val="Student Data"/>
      <sheetName val="Skill Assessment"/>
      <sheetName val="Performance"/>
      <sheetName val="Attendance"/>
      <sheetName val="PCB Nesting Incentive Offshore"/>
      <sheetName val="Day 1 WFH Audit"/>
      <sheetName val="Nesting Sales"/>
      <sheetName val="RSA Fraud Error Summary"/>
      <sheetName val="PCB Handoff Page (Sales)"/>
      <sheetName val="QBR"/>
      <sheetName val="Daily Observation"/>
      <sheetName val="PCB Nesting QA"/>
      <sheetName val="Perf. Mgmnt"/>
      <sheetName val="PCB Handoff Page - (Non-Sales)"/>
      <sheetName val="PCB Nesting Incentive Onshore"/>
      <sheetName val="Repor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B11" t="str">
            <v>Kate Saigo</v>
          </cell>
        </row>
        <row r="12">
          <cell r="B12" t="str">
            <v>Robin Yasona </v>
          </cell>
        </row>
      </sheetData>
      <sheetData sheetId="8">
        <row r="5">
          <cell r="M5">
            <v>40808</v>
          </cell>
        </row>
        <row r="6">
          <cell r="M6">
            <v>40807</v>
          </cell>
        </row>
        <row r="7">
          <cell r="M7">
            <v>40810</v>
          </cell>
        </row>
        <row r="8">
          <cell r="M8">
            <v>40801</v>
          </cell>
        </row>
        <row r="9">
          <cell r="M9">
            <v>40804</v>
          </cell>
        </row>
        <row r="10">
          <cell r="M10">
            <v>40809</v>
          </cell>
        </row>
        <row r="11">
          <cell r="M11">
            <v>40813</v>
          </cell>
        </row>
        <row r="12">
          <cell r="M12">
            <v>40805</v>
          </cell>
        </row>
        <row r="13">
          <cell r="M13">
            <v>40670</v>
          </cell>
        </row>
        <row r="14">
          <cell r="M14">
            <v>40806</v>
          </cell>
        </row>
        <row r="15">
          <cell r="M15">
            <v>40812</v>
          </cell>
        </row>
        <row r="16">
          <cell r="M16">
            <v>40799</v>
          </cell>
        </row>
        <row r="17">
          <cell r="M17">
            <v>40800</v>
          </cell>
        </row>
        <row r="18">
          <cell r="M18">
            <v>40811</v>
          </cell>
        </row>
        <row r="19">
          <cell r="M19">
            <v>40802</v>
          </cell>
        </row>
        <row r="20">
          <cell r="M20">
            <v>40803</v>
          </cell>
        </row>
        <row r="21">
          <cell r="M21">
            <v>32307</v>
          </cell>
        </row>
      </sheetData>
      <sheetData sheetId="9"/>
      <sheetData sheetId="10">
        <row r="5">
          <cell r="H5">
            <v>1</v>
          </cell>
          <cell r="I5">
            <v>0.88</v>
          </cell>
          <cell r="J5">
            <v>1</v>
          </cell>
          <cell r="K5">
            <v>1</v>
          </cell>
          <cell r="L5">
            <v>0.89</v>
          </cell>
          <cell r="M5">
            <v>1</v>
          </cell>
          <cell r="N5">
            <v>1</v>
          </cell>
          <cell r="O5">
            <v>1</v>
          </cell>
          <cell r="P5">
            <v>0.91</v>
          </cell>
          <cell r="Q5">
            <v>1</v>
          </cell>
          <cell r="R5">
            <v>1</v>
          </cell>
          <cell r="S5"/>
          <cell r="T5">
            <v>0.8</v>
          </cell>
          <cell r="U5"/>
        </row>
        <row r="6">
          <cell r="H6">
            <v>1</v>
          </cell>
          <cell r="I6">
            <v>0.88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0.88</v>
          </cell>
          <cell r="T6">
            <v>1</v>
          </cell>
          <cell r="U6">
            <v>0.9</v>
          </cell>
        </row>
        <row r="7"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</row>
        <row r="8"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0.89</v>
          </cell>
          <cell r="M8">
            <v>1</v>
          </cell>
          <cell r="N8">
            <v>1</v>
          </cell>
          <cell r="O8">
            <v>1</v>
          </cell>
          <cell r="P8">
            <v>0.82</v>
          </cell>
          <cell r="Q8">
            <v>1</v>
          </cell>
          <cell r="R8">
            <v>1</v>
          </cell>
          <cell r="S8">
            <v>0.88</v>
          </cell>
          <cell r="T8">
            <v>1</v>
          </cell>
          <cell r="U8">
            <v>0.98</v>
          </cell>
        </row>
        <row r="9">
          <cell r="H9">
            <v>1</v>
          </cell>
          <cell r="I9">
            <v>1</v>
          </cell>
          <cell r="J9">
            <v>0.8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0.86</v>
          </cell>
          <cell r="P9">
            <v>0.86</v>
          </cell>
          <cell r="Q9">
            <v>1</v>
          </cell>
          <cell r="R9">
            <v>1</v>
          </cell>
          <cell r="S9">
            <v>0.92</v>
          </cell>
          <cell r="T9">
            <v>1</v>
          </cell>
          <cell r="U9">
            <v>0.9</v>
          </cell>
        </row>
        <row r="10">
          <cell r="H10">
            <v>1</v>
          </cell>
          <cell r="I10">
            <v>0.88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0.87</v>
          </cell>
          <cell r="P10">
            <v>1</v>
          </cell>
          <cell r="Q10">
            <v>1</v>
          </cell>
          <cell r="R10">
            <v>1</v>
          </cell>
          <cell r="S10">
            <v>0.96</v>
          </cell>
          <cell r="T10">
            <v>0.8</v>
          </cell>
          <cell r="U10">
            <v>0.95</v>
          </cell>
        </row>
        <row r="11">
          <cell r="H11">
            <v>1</v>
          </cell>
          <cell r="I11">
            <v>0.88</v>
          </cell>
          <cell r="J11">
            <v>0.8</v>
          </cell>
          <cell r="K11">
            <v>1</v>
          </cell>
          <cell r="L11">
            <v>0.89</v>
          </cell>
          <cell r="M11">
            <v>1</v>
          </cell>
          <cell r="N11">
            <v>1</v>
          </cell>
          <cell r="O11">
            <v>0.91</v>
          </cell>
          <cell r="P11">
            <v>0.94</v>
          </cell>
          <cell r="Q11">
            <v>1</v>
          </cell>
          <cell r="R11">
            <v>1</v>
          </cell>
          <cell r="S11">
            <v>0.96</v>
          </cell>
          <cell r="T11">
            <v>1</v>
          </cell>
          <cell r="U11">
            <v>0.98</v>
          </cell>
        </row>
        <row r="12">
          <cell r="H12">
            <v>1</v>
          </cell>
          <cell r="I12">
            <v>0.88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0.98</v>
          </cell>
        </row>
        <row r="13">
          <cell r="H13">
            <v>1</v>
          </cell>
          <cell r="I13">
            <v>0.88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0.91</v>
          </cell>
          <cell r="P13">
            <v>0.88</v>
          </cell>
          <cell r="Q13">
            <v>1</v>
          </cell>
          <cell r="R13">
            <v>1</v>
          </cell>
          <cell r="S13">
            <v>0.8</v>
          </cell>
          <cell r="T13">
            <v>1</v>
          </cell>
          <cell r="U13">
            <v>0.85</v>
          </cell>
        </row>
        <row r="14"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0.96</v>
          </cell>
          <cell r="P14">
            <v>0.82</v>
          </cell>
          <cell r="Q14">
            <v>1</v>
          </cell>
          <cell r="R14">
            <v>1</v>
          </cell>
          <cell r="S14">
            <v>0.92</v>
          </cell>
          <cell r="T14">
            <v>0.8</v>
          </cell>
          <cell r="U14">
            <v>0.93</v>
          </cell>
        </row>
        <row r="15">
          <cell r="H15">
            <v>1</v>
          </cell>
          <cell r="I15">
            <v>0.88</v>
          </cell>
          <cell r="J15">
            <v>1</v>
          </cell>
          <cell r="K15">
            <v>1</v>
          </cell>
          <cell r="L15">
            <v>0.89</v>
          </cell>
          <cell r="M15">
            <v>1</v>
          </cell>
          <cell r="N15">
            <v>1</v>
          </cell>
          <cell r="O15">
            <v>0.87</v>
          </cell>
          <cell r="P15">
            <v>0.92</v>
          </cell>
          <cell r="Q15">
            <v>1</v>
          </cell>
          <cell r="R15">
            <v>1</v>
          </cell>
          <cell r="S15">
            <v>0.88</v>
          </cell>
          <cell r="T15">
            <v>0.8</v>
          </cell>
          <cell r="U15">
            <v>0.95</v>
          </cell>
        </row>
        <row r="16"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0.91</v>
          </cell>
          <cell r="P16">
            <v>1</v>
          </cell>
          <cell r="Q16">
            <v>1</v>
          </cell>
          <cell r="R16">
            <v>1</v>
          </cell>
          <cell r="S16">
            <v>0.92</v>
          </cell>
          <cell r="T16">
            <v>0.8</v>
          </cell>
          <cell r="U16">
            <v>0.9</v>
          </cell>
        </row>
        <row r="17"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0.96</v>
          </cell>
          <cell r="P17">
            <v>1</v>
          </cell>
          <cell r="Q17">
            <v>1</v>
          </cell>
          <cell r="R17">
            <v>1</v>
          </cell>
          <cell r="S17">
            <v>0.8</v>
          </cell>
          <cell r="T17">
            <v>1</v>
          </cell>
          <cell r="U17">
            <v>0.85</v>
          </cell>
        </row>
        <row r="18">
          <cell r="H18">
            <v>1</v>
          </cell>
          <cell r="I18">
            <v>0.88</v>
          </cell>
          <cell r="J18">
            <v>1</v>
          </cell>
          <cell r="K18">
            <v>1</v>
          </cell>
          <cell r="L18">
            <v>0.89</v>
          </cell>
          <cell r="M18">
            <v>1</v>
          </cell>
          <cell r="N18">
            <v>1</v>
          </cell>
          <cell r="O18">
            <v>0.91</v>
          </cell>
          <cell r="P18">
            <v>0.88</v>
          </cell>
          <cell r="Q18">
            <v>1</v>
          </cell>
          <cell r="R18">
            <v>1</v>
          </cell>
          <cell r="S18">
            <v>0.84</v>
          </cell>
          <cell r="T18">
            <v>1</v>
          </cell>
          <cell r="U18">
            <v>1</v>
          </cell>
        </row>
        <row r="19"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0.89</v>
          </cell>
          <cell r="M19">
            <v>1</v>
          </cell>
          <cell r="N19">
            <v>1</v>
          </cell>
          <cell r="O19">
            <v>0.91</v>
          </cell>
          <cell r="P19">
            <v>1</v>
          </cell>
          <cell r="Q19">
            <v>1</v>
          </cell>
          <cell r="R19">
            <v>1</v>
          </cell>
          <cell r="S19">
            <v>0.94</v>
          </cell>
          <cell r="T19">
            <v>1</v>
          </cell>
          <cell r="U19">
            <v>0.95</v>
          </cell>
        </row>
        <row r="20"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0.89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0.9</v>
          </cell>
        </row>
        <row r="21"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0.91</v>
          </cell>
          <cell r="P21">
            <v>1</v>
          </cell>
          <cell r="Q21">
            <v>1</v>
          </cell>
          <cell r="R21">
            <v>1</v>
          </cell>
          <cell r="S21">
            <v>0.94</v>
          </cell>
          <cell r="T21">
            <v>0.8</v>
          </cell>
          <cell r="U21">
            <v>0.86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Resigned Tier 1A</v>
          </cell>
          <cell r="F4" t="str">
            <v>Aymane Bouchama</v>
          </cell>
        </row>
        <row r="5">
          <cell r="C5" t="str">
            <v>Resigned Tier 1A</v>
          </cell>
          <cell r="F5" t="str">
            <v>Fouziya Chouqi</v>
          </cell>
        </row>
        <row r="6">
          <cell r="C6" t="str">
            <v>Did not Start</v>
          </cell>
          <cell r="F6" t="str">
            <v>Ghita El Amrani</v>
          </cell>
        </row>
        <row r="7">
          <cell r="C7" t="str">
            <v>Resigned-Nesting 3</v>
          </cell>
          <cell r="F7" t="str">
            <v>Asmaa El Ghoufiri</v>
          </cell>
        </row>
        <row r="8">
          <cell r="C8" t="str">
            <v>Terminated-Nesting 3</v>
          </cell>
          <cell r="F8" t="str">
            <v>Falilou Fall</v>
          </cell>
        </row>
        <row r="9">
          <cell r="C9" t="str">
            <v>Resigned-Nesting 3</v>
          </cell>
          <cell r="F9" t="str">
            <v>Ilias Fousi</v>
          </cell>
        </row>
        <row r="10">
          <cell r="C10" t="str">
            <v>Resigned Tier 1B</v>
          </cell>
          <cell r="F10" t="str">
            <v>Rika Kamikazi</v>
          </cell>
        </row>
        <row r="11">
          <cell r="C11" t="str">
            <v>Terminated-Nesting 3</v>
          </cell>
          <cell r="F11" t="str">
            <v>Kayte Laporte</v>
          </cell>
        </row>
        <row r="12">
          <cell r="C12" t="str">
            <v>Terminated Tier 1B</v>
          </cell>
          <cell r="F12" t="str">
            <v>Max Mabano</v>
          </cell>
        </row>
        <row r="13">
          <cell r="C13" t="str">
            <v>Transition to Production with SMART plan</v>
          </cell>
          <cell r="F13" t="str">
            <v>Marie Luce Mardy Pierre</v>
          </cell>
        </row>
        <row r="14">
          <cell r="C14" t="str">
            <v>Resigned-Nesting 3</v>
          </cell>
          <cell r="F14" t="str">
            <v>Sylvie Martinez</v>
          </cell>
        </row>
        <row r="15">
          <cell r="C15" t="str">
            <v>Transition to Production with SMART plan</v>
          </cell>
          <cell r="F15" t="str">
            <v>Jannie Massu Fotso</v>
          </cell>
        </row>
        <row r="16">
          <cell r="C16" t="str">
            <v>Resigned Tier 1B</v>
          </cell>
          <cell r="F16" t="str">
            <v>Kiana Michaud</v>
          </cell>
        </row>
        <row r="17">
          <cell r="C17" t="str">
            <v>Transferred Out of Program</v>
          </cell>
          <cell r="F17" t="str">
            <v>Akshay Praveen Gopal</v>
          </cell>
        </row>
        <row r="18">
          <cell r="C18" t="str">
            <v>Terminated-Nesting 3</v>
          </cell>
          <cell r="F18" t="str">
            <v>Daniel Tamko Fotso</v>
          </cell>
        </row>
        <row r="19">
          <cell r="C19" t="str">
            <v>Transition to Production</v>
          </cell>
          <cell r="F19" t="str">
            <v>Mbunyi Kevin Tapiba</v>
          </cell>
        </row>
        <row r="20">
          <cell r="C20" t="str">
            <v>Resigned Tier 1A</v>
          </cell>
          <cell r="F20" t="str">
            <v>Lakesha Smith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FG3HYVQOBVTRDL5OVHSKVSRVLT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reprocess SWOT"/>
      <sheetName val="Performance"/>
      <sheetName val="Attendance"/>
      <sheetName val="Daily Observation"/>
      <sheetName val="Day 1 WFH Audit"/>
      <sheetName val="Perform Tier 2"/>
      <sheetName val="Performance RSA"/>
      <sheetName val="Preprocess Training Report"/>
      <sheetName val="Skill Assessment"/>
      <sheetName val="PCB Nesting QA"/>
      <sheetName val="KPI Tracker"/>
      <sheetName val="PCB Nesting Incentive Offshore"/>
      <sheetName val="PCB Handoff Page - (Non-Sales)"/>
      <sheetName val="Perf. Mgmnt"/>
      <sheetName val="Reporting"/>
      <sheetName val="Nesting Sales"/>
      <sheetName val="RSA Fraud Error Summary"/>
      <sheetName val="PCB Handoff Page (Sales)"/>
      <sheetName val="QBR"/>
    </sheetNames>
    <sheetDataSet>
      <sheetData sheetId="0"/>
      <sheetData sheetId="1"/>
      <sheetData sheetId="2"/>
      <sheetData sheetId="3">
        <row r="11">
          <cell r="B11" t="str">
            <v>Nancy Price/ Vera Hibaya</v>
          </cell>
        </row>
        <row r="12">
          <cell r="B12" t="str">
            <v>Kaylum Jonkers</v>
          </cell>
        </row>
      </sheetData>
      <sheetData sheetId="4">
        <row r="5">
          <cell r="M5">
            <v>508843</v>
          </cell>
        </row>
        <row r="6">
          <cell r="M6">
            <v>508844</v>
          </cell>
        </row>
        <row r="7">
          <cell r="M7">
            <v>508846</v>
          </cell>
        </row>
        <row r="8">
          <cell r="M8">
            <v>508842</v>
          </cell>
        </row>
        <row r="9">
          <cell r="M9">
            <v>508845</v>
          </cell>
        </row>
        <row r="10">
          <cell r="M10">
            <v>508841</v>
          </cell>
        </row>
        <row r="11">
          <cell r="M11">
            <v>508840</v>
          </cell>
        </row>
        <row r="12">
          <cell r="M12">
            <v>508876</v>
          </cell>
        </row>
        <row r="13">
          <cell r="M13">
            <v>508875</v>
          </cell>
        </row>
        <row r="14">
          <cell r="M14">
            <v>508873</v>
          </cell>
        </row>
        <row r="15">
          <cell r="M15">
            <v>508872</v>
          </cell>
        </row>
        <row r="16">
          <cell r="M16">
            <v>508877</v>
          </cell>
        </row>
        <row r="17">
          <cell r="M17">
            <v>508874</v>
          </cell>
        </row>
        <row r="18">
          <cell r="M18">
            <v>507828</v>
          </cell>
        </row>
        <row r="19">
          <cell r="M19">
            <v>507823</v>
          </cell>
        </row>
      </sheetData>
      <sheetData sheetId="5"/>
      <sheetData sheetId="6">
        <row r="5">
          <cell r="H5" t="str">
            <v>Merchants</v>
          </cell>
          <cell r="I5">
            <v>1</v>
          </cell>
          <cell r="J5">
            <v>1</v>
          </cell>
          <cell r="K5" t="str">
            <v>Merchants</v>
          </cell>
          <cell r="L5" t="str">
            <v>Merchants</v>
          </cell>
          <cell r="M5" t="str">
            <v>Merchants</v>
          </cell>
          <cell r="N5">
            <v>1</v>
          </cell>
          <cell r="O5" t="str">
            <v>Merchants</v>
          </cell>
          <cell r="P5">
            <v>0.94</v>
          </cell>
          <cell r="Q5">
            <v>1</v>
          </cell>
          <cell r="R5">
            <v>1</v>
          </cell>
          <cell r="S5">
            <v>0.92</v>
          </cell>
          <cell r="T5">
            <v>1</v>
          </cell>
          <cell r="U5">
            <v>0.95</v>
          </cell>
        </row>
        <row r="6">
          <cell r="H6" t="str">
            <v>Merchants</v>
          </cell>
          <cell r="I6">
            <v>1</v>
          </cell>
          <cell r="J6">
            <v>1</v>
          </cell>
          <cell r="K6" t="str">
            <v>Merchants</v>
          </cell>
          <cell r="L6" t="str">
            <v>Merchants</v>
          </cell>
          <cell r="M6" t="str">
            <v>Merchants</v>
          </cell>
          <cell r="N6">
            <v>1</v>
          </cell>
          <cell r="O6" t="str">
            <v>Merchants</v>
          </cell>
          <cell r="P6">
            <v>0.88</v>
          </cell>
          <cell r="Q6">
            <v>1</v>
          </cell>
          <cell r="R6">
            <v>1</v>
          </cell>
          <cell r="S6">
            <v>1</v>
          </cell>
          <cell r="T6">
            <v>0.8</v>
          </cell>
          <cell r="U6">
            <v>0.86</v>
          </cell>
        </row>
        <row r="7">
          <cell r="H7" t="str">
            <v>Merchants</v>
          </cell>
          <cell r="I7">
            <v>1</v>
          </cell>
          <cell r="J7">
            <v>1</v>
          </cell>
          <cell r="K7" t="str">
            <v>Merchants</v>
          </cell>
          <cell r="L7" t="str">
            <v>Merchants</v>
          </cell>
          <cell r="M7" t="str">
            <v>Merchants</v>
          </cell>
          <cell r="N7">
            <v>1</v>
          </cell>
          <cell r="O7" t="str">
            <v>Merchants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0.8</v>
          </cell>
          <cell r="U7">
            <v>0.87</v>
          </cell>
        </row>
        <row r="8">
          <cell r="H8" t="str">
            <v>Merchants</v>
          </cell>
          <cell r="I8">
            <v>0.88</v>
          </cell>
          <cell r="J8">
            <v>1</v>
          </cell>
          <cell r="K8" t="str">
            <v>Merchants</v>
          </cell>
          <cell r="L8" t="str">
            <v>Merchants</v>
          </cell>
          <cell r="M8" t="str">
            <v>Merchants</v>
          </cell>
          <cell r="N8">
            <v>1</v>
          </cell>
          <cell r="O8" t="str">
            <v>Merchants</v>
          </cell>
          <cell r="P8">
            <v>0.88</v>
          </cell>
          <cell r="Q8">
            <v>1</v>
          </cell>
          <cell r="R8">
            <v>1</v>
          </cell>
          <cell r="S8">
            <v>1</v>
          </cell>
          <cell r="T8">
            <v>0.8</v>
          </cell>
          <cell r="U8">
            <v>0.9</v>
          </cell>
        </row>
        <row r="9">
          <cell r="H9" t="str">
            <v>Merchants</v>
          </cell>
          <cell r="I9">
            <v>0.88</v>
          </cell>
          <cell r="J9">
            <v>1</v>
          </cell>
          <cell r="K9" t="str">
            <v>Merchants</v>
          </cell>
          <cell r="L9" t="str">
            <v>Merchants</v>
          </cell>
          <cell r="M9" t="str">
            <v>Merchants</v>
          </cell>
          <cell r="N9">
            <v>1</v>
          </cell>
          <cell r="O9" t="str">
            <v>Merchants</v>
          </cell>
          <cell r="P9">
            <v>0.88</v>
          </cell>
          <cell r="Q9">
            <v>1</v>
          </cell>
          <cell r="R9">
            <v>1</v>
          </cell>
          <cell r="S9">
            <v>0.82</v>
          </cell>
          <cell r="T9">
            <v>1</v>
          </cell>
          <cell r="U9">
            <v>0.9</v>
          </cell>
        </row>
        <row r="10">
          <cell r="H10" t="str">
            <v>Merchants</v>
          </cell>
          <cell r="I10">
            <v>0.88</v>
          </cell>
          <cell r="J10">
            <v>0.8</v>
          </cell>
          <cell r="K10" t="str">
            <v>Merchants</v>
          </cell>
          <cell r="L10" t="str">
            <v>Merchants</v>
          </cell>
          <cell r="M10" t="str">
            <v>Merchants</v>
          </cell>
          <cell r="N10">
            <v>1</v>
          </cell>
          <cell r="O10" t="str">
            <v>Merchants</v>
          </cell>
          <cell r="P10">
            <v>1</v>
          </cell>
          <cell r="Q10">
            <v>1</v>
          </cell>
          <cell r="R10">
            <v>1</v>
          </cell>
          <cell r="S10">
            <v>0.86</v>
          </cell>
          <cell r="T10">
            <v>0.8</v>
          </cell>
          <cell r="U10">
            <v>0.94</v>
          </cell>
        </row>
        <row r="11">
          <cell r="H11" t="str">
            <v>Merchants</v>
          </cell>
          <cell r="I11">
            <v>1</v>
          </cell>
          <cell r="J11">
            <v>1</v>
          </cell>
          <cell r="K11" t="str">
            <v>Merchants</v>
          </cell>
          <cell r="L11" t="str">
            <v>Merchants</v>
          </cell>
          <cell r="M11" t="str">
            <v>Merchants</v>
          </cell>
          <cell r="N11">
            <v>1</v>
          </cell>
          <cell r="O11" t="str">
            <v>Merchants</v>
          </cell>
          <cell r="P11">
            <v>0.82</v>
          </cell>
          <cell r="Q11">
            <v>1</v>
          </cell>
          <cell r="R11">
            <v>1</v>
          </cell>
          <cell r="S11">
            <v>0.9</v>
          </cell>
          <cell r="T11">
            <v>0.8</v>
          </cell>
          <cell r="U11">
            <v>0.9</v>
          </cell>
        </row>
        <row r="12">
          <cell r="H12" t="str">
            <v>Merchants</v>
          </cell>
          <cell r="I12">
            <v>1</v>
          </cell>
          <cell r="J12">
            <v>1</v>
          </cell>
          <cell r="K12" t="str">
            <v>Merchants</v>
          </cell>
          <cell r="L12" t="str">
            <v>Merchants</v>
          </cell>
          <cell r="M12" t="str">
            <v>Merchants</v>
          </cell>
          <cell r="N12">
            <v>1</v>
          </cell>
          <cell r="O12" t="str">
            <v>Merchants</v>
          </cell>
          <cell r="P12">
            <v>0.94</v>
          </cell>
          <cell r="Q12">
            <v>1</v>
          </cell>
          <cell r="R12">
            <v>1</v>
          </cell>
          <cell r="S12">
            <v>0.95</v>
          </cell>
          <cell r="T12">
            <v>0.8</v>
          </cell>
          <cell r="U12">
            <v>0.9</v>
          </cell>
        </row>
        <row r="13">
          <cell r="H13" t="str">
            <v>Merchants</v>
          </cell>
          <cell r="I13">
            <v>0.88</v>
          </cell>
          <cell r="J13">
            <v>1</v>
          </cell>
          <cell r="K13" t="str">
            <v>Merchants</v>
          </cell>
          <cell r="L13" t="str">
            <v>Merchants</v>
          </cell>
          <cell r="M13" t="str">
            <v>Merchants</v>
          </cell>
          <cell r="N13">
            <v>1</v>
          </cell>
          <cell r="O13" t="str">
            <v>Merchants</v>
          </cell>
          <cell r="P13">
            <v>0.82</v>
          </cell>
          <cell r="Q13">
            <v>1</v>
          </cell>
          <cell r="R13">
            <v>1</v>
          </cell>
          <cell r="S13">
            <v>0.82</v>
          </cell>
          <cell r="T13">
            <v>1</v>
          </cell>
          <cell r="U13">
            <v>1</v>
          </cell>
        </row>
        <row r="14">
          <cell r="H14" t="str">
            <v>Merchants</v>
          </cell>
          <cell r="I14">
            <v>0.88</v>
          </cell>
          <cell r="J14">
            <v>0.8</v>
          </cell>
          <cell r="K14" t="str">
            <v>Merchants</v>
          </cell>
          <cell r="L14" t="str">
            <v>Merchants</v>
          </cell>
          <cell r="M14" t="str">
            <v>Merchants</v>
          </cell>
          <cell r="N14">
            <v>1</v>
          </cell>
          <cell r="O14" t="str">
            <v>Merchants</v>
          </cell>
          <cell r="P14">
            <v>0.94</v>
          </cell>
          <cell r="Q14">
            <v>1</v>
          </cell>
          <cell r="R14">
            <v>1</v>
          </cell>
          <cell r="S14">
            <v>0.93</v>
          </cell>
          <cell r="T14">
            <v>0.8</v>
          </cell>
          <cell r="U14">
            <v>0.95</v>
          </cell>
        </row>
        <row r="15">
          <cell r="H15" t="str">
            <v>Merchants</v>
          </cell>
          <cell r="I15">
            <v>0.88</v>
          </cell>
          <cell r="J15">
            <v>1</v>
          </cell>
          <cell r="K15" t="str">
            <v>Merchants</v>
          </cell>
          <cell r="L15" t="str">
            <v>Merchants</v>
          </cell>
          <cell r="M15" t="str">
            <v>Merchants</v>
          </cell>
          <cell r="N15">
            <v>1</v>
          </cell>
          <cell r="O15" t="str">
            <v>Merchants</v>
          </cell>
          <cell r="P15">
            <v>0.82</v>
          </cell>
          <cell r="Q15">
            <v>1</v>
          </cell>
          <cell r="R15">
            <v>1</v>
          </cell>
          <cell r="S15">
            <v>0.88</v>
          </cell>
          <cell r="T15">
            <v>1</v>
          </cell>
          <cell r="U15">
            <v>0.83</v>
          </cell>
        </row>
        <row r="16">
          <cell r="H16" t="str">
            <v>Merchants</v>
          </cell>
          <cell r="I16">
            <v>1</v>
          </cell>
          <cell r="J16">
            <v>1</v>
          </cell>
          <cell r="K16" t="str">
            <v>Merchants</v>
          </cell>
          <cell r="L16" t="str">
            <v>Merchants</v>
          </cell>
          <cell r="M16" t="str">
            <v>Merchants</v>
          </cell>
          <cell r="N16">
            <v>1</v>
          </cell>
          <cell r="O16" t="str">
            <v>Merchants</v>
          </cell>
          <cell r="P16">
            <v>0.95</v>
          </cell>
          <cell r="Q16">
            <v>1</v>
          </cell>
          <cell r="R16">
            <v>1</v>
          </cell>
          <cell r="S16">
            <v>0.8</v>
          </cell>
          <cell r="T16">
            <v>0.8</v>
          </cell>
          <cell r="U16">
            <v>0.95</v>
          </cell>
        </row>
        <row r="17">
          <cell r="H17" t="str">
            <v>Merchants</v>
          </cell>
          <cell r="I17">
            <v>0.88</v>
          </cell>
          <cell r="J17">
            <v>1</v>
          </cell>
          <cell r="K17" t="str">
            <v>Merchants</v>
          </cell>
          <cell r="L17" t="str">
            <v>Merchants</v>
          </cell>
          <cell r="M17" t="str">
            <v>Merchants</v>
          </cell>
          <cell r="N17">
            <v>1</v>
          </cell>
          <cell r="O17" t="str">
            <v>Merchants</v>
          </cell>
          <cell r="P17">
            <v>0.82</v>
          </cell>
          <cell r="Q17">
            <v>1</v>
          </cell>
          <cell r="R17">
            <v>1</v>
          </cell>
          <cell r="S17">
            <v>0.88</v>
          </cell>
          <cell r="T17">
            <v>1</v>
          </cell>
          <cell r="U17">
            <v>1</v>
          </cell>
        </row>
        <row r="18">
          <cell r="H18" t="str">
            <v>Merchants</v>
          </cell>
          <cell r="I18">
            <v>1</v>
          </cell>
          <cell r="J18">
            <v>1</v>
          </cell>
          <cell r="K18" t="str">
            <v>Merchants</v>
          </cell>
          <cell r="L18" t="str">
            <v>Merchants</v>
          </cell>
          <cell r="M18" t="str">
            <v>Merchants</v>
          </cell>
          <cell r="N18">
            <v>1</v>
          </cell>
          <cell r="O18" t="str">
            <v>Merchants</v>
          </cell>
          <cell r="P18">
            <v>1</v>
          </cell>
          <cell r="Q18">
            <v>1</v>
          </cell>
          <cell r="R18">
            <v>1</v>
          </cell>
          <cell r="S18">
            <v>0.9</v>
          </cell>
          <cell r="T18">
            <v>1</v>
          </cell>
          <cell r="U18">
            <v>0.8</v>
          </cell>
        </row>
        <row r="19">
          <cell r="H19" t="str">
            <v>Merchants</v>
          </cell>
          <cell r="I19">
            <v>1</v>
          </cell>
          <cell r="J19">
            <v>1</v>
          </cell>
          <cell r="K19" t="str">
            <v>Merchants</v>
          </cell>
          <cell r="L19" t="str">
            <v>Merchants</v>
          </cell>
          <cell r="M19" t="str">
            <v>Merchants</v>
          </cell>
          <cell r="N19">
            <v>1</v>
          </cell>
          <cell r="O19" t="str">
            <v>Merchants</v>
          </cell>
          <cell r="P19">
            <v>0.88</v>
          </cell>
          <cell r="Q19">
            <v>1</v>
          </cell>
          <cell r="R19">
            <v>1</v>
          </cell>
          <cell r="S19">
            <v>0.8</v>
          </cell>
          <cell r="T19">
            <v>1</v>
          </cell>
          <cell r="U19">
            <v>0.9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C4" t="str">
            <v>Transition to Production with SMART plan</v>
          </cell>
          <cell r="F4" t="str">
            <v>Luyanda   Kgare</v>
          </cell>
        </row>
        <row r="5">
          <cell r="C5" t="str">
            <v>Transition to Production with SMART plan</v>
          </cell>
          <cell r="F5" t="str">
            <v>Bonolo   Motau</v>
          </cell>
        </row>
        <row r="6">
          <cell r="C6" t="str">
            <v>Transition to Production with SMART plan</v>
          </cell>
          <cell r="F6" t="str">
            <v>Colleen Yvette   Bowes</v>
          </cell>
        </row>
        <row r="7">
          <cell r="C7" t="str">
            <v>Transition to Production</v>
          </cell>
          <cell r="F7" t="str">
            <v>Lerato   Sebata</v>
          </cell>
        </row>
        <row r="8">
          <cell r="C8" t="str">
            <v>Transition to Production with SMART plan</v>
          </cell>
          <cell r="F8" t="str">
            <v>Boikanyo   Gabaraane</v>
          </cell>
        </row>
        <row r="9">
          <cell r="C9" t="str">
            <v>Transition to Production with SMART plan</v>
          </cell>
          <cell r="F9" t="str">
            <v>Siphumelele Annette   Mbubu</v>
          </cell>
        </row>
        <row r="10">
          <cell r="C10" t="str">
            <v>Transition to Production</v>
          </cell>
          <cell r="F10" t="str">
            <v>Thato    Mpete</v>
          </cell>
        </row>
        <row r="11">
          <cell r="C11" t="str">
            <v>Transition to Production with SMART plan</v>
          </cell>
          <cell r="F11" t="str">
            <v>Kgomotso  Molefe</v>
          </cell>
        </row>
        <row r="12">
          <cell r="C12" t="str">
            <v>Transition to Production with SMART plan</v>
          </cell>
          <cell r="F12" t="str">
            <v>Ntombenhle   Ndawonde</v>
          </cell>
        </row>
        <row r="13">
          <cell r="C13" t="str">
            <v>Transition to Production with SMART plan</v>
          </cell>
          <cell r="F13" t="str">
            <v>Kholofelo   Maisane</v>
          </cell>
        </row>
        <row r="14">
          <cell r="C14" t="str">
            <v>Transition to Production with SMART plan</v>
          </cell>
          <cell r="F14" t="str">
            <v>Themba Joseph   Maboya</v>
          </cell>
        </row>
        <row r="15">
          <cell r="C15" t="str">
            <v>LOA</v>
          </cell>
          <cell r="F15" t="str">
            <v>Mbali Mihle Mketsu</v>
          </cell>
        </row>
        <row r="16">
          <cell r="C16" t="str">
            <v>Resigned-Nesting</v>
          </cell>
          <cell r="F16" t="str">
            <v>Lwandle Adelaide Mzimela</v>
          </cell>
        </row>
        <row r="17">
          <cell r="C17" t="str">
            <v>Transition to Production</v>
          </cell>
          <cell r="F17" t="str">
            <v>Phindi    Darkie</v>
          </cell>
        </row>
        <row r="18">
          <cell r="C18" t="str">
            <v>Transition to Production</v>
          </cell>
          <cell r="F18" t="str">
            <v>Asakhe  Magawulana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B7HDKEVUXKBJDIFFOP7DY23FXS">
      <xxl21:absoluteUrl r:id="rId2"/>
    </xxl21:alternateUrls>
    <sheetNames>
      <sheetName val="Quick Links"/>
      <sheetName val="One-Time Check List"/>
      <sheetName val="Daily Checklist"/>
      <sheetName val="Class Summary"/>
      <sheetName val="Preprocess SWOT"/>
      <sheetName val="Student Data"/>
      <sheetName val="Attendance"/>
      <sheetName val="Daily Observation"/>
      <sheetName val="PCB Nesting QA"/>
      <sheetName val="Performance"/>
      <sheetName val="Day 1 WFH Audit"/>
      <sheetName val="Perform Tier 2"/>
      <sheetName val="Performance RSA"/>
      <sheetName val="Preprocess Training Report"/>
      <sheetName val="Skill Assessment"/>
      <sheetName val="PCB Handoff Page - (Non-Sales)"/>
      <sheetName val="PCB Nesting Incentive Offshore"/>
      <sheetName val="Nesting Sales"/>
      <sheetName val="RSA Fraud Error Summary"/>
      <sheetName val="PCB Handoff Page (Sales)"/>
      <sheetName val="QBR"/>
      <sheetName val="PCB Nesting Incentive Onshore"/>
      <sheetName val="Perf. Mgmnt"/>
      <sheetName val="Reporting"/>
    </sheetNames>
    <sheetDataSet>
      <sheetData sheetId="0"/>
      <sheetData sheetId="1"/>
      <sheetData sheetId="2"/>
      <sheetData sheetId="3">
        <row r="11">
          <cell r="B11" t="str">
            <v>Jeffrey Janda / Chase Argamosa</v>
          </cell>
        </row>
        <row r="12">
          <cell r="B12" t="str">
            <v>Mary Anne Cruz</v>
          </cell>
        </row>
      </sheetData>
      <sheetData sheetId="4"/>
      <sheetData sheetId="5">
        <row r="5">
          <cell r="P5"/>
        </row>
        <row r="6">
          <cell r="P6"/>
        </row>
        <row r="7">
          <cell r="P7"/>
        </row>
        <row r="8">
          <cell r="P8">
            <v>348394</v>
          </cell>
        </row>
        <row r="9">
          <cell r="P9">
            <v>348444</v>
          </cell>
        </row>
        <row r="10">
          <cell r="P10">
            <v>348445</v>
          </cell>
        </row>
        <row r="11">
          <cell r="P11">
            <v>348399</v>
          </cell>
        </row>
        <row r="12">
          <cell r="P12">
            <v>348396</v>
          </cell>
        </row>
        <row r="13">
          <cell r="P13">
            <v>348400</v>
          </cell>
        </row>
        <row r="14">
          <cell r="P14">
            <v>348397</v>
          </cell>
        </row>
        <row r="15">
          <cell r="P15">
            <v>348395</v>
          </cell>
        </row>
        <row r="16">
          <cell r="P16">
            <v>348398</v>
          </cell>
        </row>
        <row r="17">
          <cell r="P17">
            <v>348393</v>
          </cell>
        </row>
      </sheetData>
      <sheetData sheetId="6"/>
      <sheetData sheetId="7"/>
      <sheetData sheetId="8"/>
      <sheetData sheetId="9">
        <row r="5"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 t="str">
            <v>NA</v>
          </cell>
          <cell r="P5" t="str">
            <v>NA</v>
          </cell>
          <cell r="Q5" t="str">
            <v>NA</v>
          </cell>
          <cell r="R5" t="str">
            <v>NA</v>
          </cell>
          <cell r="S5" t="str">
            <v>NA</v>
          </cell>
          <cell r="T5" t="str">
            <v>NA</v>
          </cell>
          <cell r="U5" t="str">
            <v>NA</v>
          </cell>
        </row>
        <row r="6">
          <cell r="H6" t="str">
            <v>NTT</v>
          </cell>
          <cell r="I6">
            <v>1</v>
          </cell>
          <cell r="J6">
            <v>1</v>
          </cell>
          <cell r="K6" t="str">
            <v>NTT</v>
          </cell>
          <cell r="L6" t="str">
            <v>NTT</v>
          </cell>
          <cell r="M6" t="str">
            <v>NTT</v>
          </cell>
          <cell r="N6">
            <v>1</v>
          </cell>
          <cell r="O6" t="str">
            <v>NTT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</row>
        <row r="7">
          <cell r="H7" t="str">
            <v>NA</v>
          </cell>
          <cell r="I7">
            <v>0.88</v>
          </cell>
          <cell r="J7">
            <v>1</v>
          </cell>
          <cell r="K7" t="str">
            <v>NA</v>
          </cell>
          <cell r="L7" t="str">
            <v>NA</v>
          </cell>
          <cell r="M7" t="str">
            <v>NA</v>
          </cell>
          <cell r="N7">
            <v>1</v>
          </cell>
          <cell r="O7" t="str">
            <v>NTT</v>
          </cell>
          <cell r="P7">
            <v>0.82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</row>
        <row r="8">
          <cell r="H8" t="str">
            <v>NTT</v>
          </cell>
          <cell r="I8">
            <v>0.88</v>
          </cell>
          <cell r="J8">
            <v>1</v>
          </cell>
          <cell r="K8" t="str">
            <v>NTT</v>
          </cell>
          <cell r="L8" t="str">
            <v>NTT</v>
          </cell>
          <cell r="M8" t="str">
            <v>NA</v>
          </cell>
          <cell r="N8">
            <v>1</v>
          </cell>
          <cell r="O8" t="str">
            <v>NTT</v>
          </cell>
          <cell r="P8">
            <v>0.82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</row>
        <row r="9">
          <cell r="H9" t="str">
            <v>NTT</v>
          </cell>
          <cell r="I9">
            <v>1</v>
          </cell>
          <cell r="J9">
            <v>1</v>
          </cell>
          <cell r="K9" t="str">
            <v>NA</v>
          </cell>
          <cell r="L9" t="str">
            <v>NTT</v>
          </cell>
          <cell r="M9" t="str">
            <v>NTT</v>
          </cell>
          <cell r="N9">
            <v>1</v>
          </cell>
          <cell r="O9" t="str">
            <v>NTT</v>
          </cell>
          <cell r="P9">
            <v>0.94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</row>
        <row r="10">
          <cell r="H10" t="str">
            <v>NTT</v>
          </cell>
          <cell r="I10">
            <v>1</v>
          </cell>
          <cell r="J10">
            <v>0.8</v>
          </cell>
          <cell r="K10" t="str">
            <v>NTT</v>
          </cell>
          <cell r="L10" t="str">
            <v>NTT</v>
          </cell>
          <cell r="M10" t="str">
            <v>NTT</v>
          </cell>
          <cell r="N10">
            <v>1</v>
          </cell>
          <cell r="O10" t="str">
            <v>NTT</v>
          </cell>
          <cell r="P10">
            <v>0.88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</row>
        <row r="11">
          <cell r="H11" t="str">
            <v>NA</v>
          </cell>
          <cell r="I11">
            <v>1</v>
          </cell>
          <cell r="J11">
            <v>1</v>
          </cell>
          <cell r="K11" t="str">
            <v>NA</v>
          </cell>
          <cell r="L11" t="str">
            <v>NA</v>
          </cell>
          <cell r="M11" t="str">
            <v>NA</v>
          </cell>
          <cell r="N11">
            <v>1</v>
          </cell>
          <cell r="O11" t="str">
            <v>NTT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</row>
        <row r="12">
          <cell r="H12" t="str">
            <v>NTT</v>
          </cell>
          <cell r="I12">
            <v>1</v>
          </cell>
          <cell r="J12">
            <v>1</v>
          </cell>
          <cell r="K12" t="str">
            <v>NTT</v>
          </cell>
          <cell r="L12" t="str">
            <v>NTT</v>
          </cell>
          <cell r="M12" t="str">
            <v>NTT</v>
          </cell>
          <cell r="N12">
            <v>1</v>
          </cell>
          <cell r="O12" t="str">
            <v>NTT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</row>
        <row r="13">
          <cell r="H13" t="str">
            <v>NTT</v>
          </cell>
          <cell r="I13">
            <v>1</v>
          </cell>
          <cell r="J13">
            <v>1</v>
          </cell>
          <cell r="K13" t="str">
            <v>NTT</v>
          </cell>
          <cell r="L13" t="str">
            <v>NTT</v>
          </cell>
          <cell r="M13" t="str">
            <v>NTT</v>
          </cell>
          <cell r="N13">
            <v>1</v>
          </cell>
          <cell r="O13" t="str">
            <v>NTT</v>
          </cell>
          <cell r="P13">
            <v>0.82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</row>
        <row r="14"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 t="str">
            <v>NA</v>
          </cell>
          <cell r="M14" t="str">
            <v>NA</v>
          </cell>
          <cell r="N14" t="str">
            <v>NA</v>
          </cell>
          <cell r="O14" t="str">
            <v>NTT</v>
          </cell>
          <cell r="P14" t="str">
            <v>NA</v>
          </cell>
          <cell r="Q14" t="str">
            <v>NA</v>
          </cell>
          <cell r="R14" t="str">
            <v>NA</v>
          </cell>
          <cell r="S14" t="str">
            <v>NA</v>
          </cell>
          <cell r="T14" t="str">
            <v>NA</v>
          </cell>
          <cell r="U14" t="str">
            <v>NA</v>
          </cell>
        </row>
        <row r="15">
          <cell r="H15" t="str">
            <v>NTT</v>
          </cell>
          <cell r="I15">
            <v>1</v>
          </cell>
          <cell r="J15">
            <v>1</v>
          </cell>
          <cell r="K15" t="str">
            <v>NTT</v>
          </cell>
          <cell r="L15" t="str">
            <v>NTT</v>
          </cell>
          <cell r="M15" t="str">
            <v>NTT</v>
          </cell>
          <cell r="N15">
            <v>1</v>
          </cell>
          <cell r="O15" t="str">
            <v>NA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</row>
        <row r="16">
          <cell r="H16" t="str">
            <v>NTT</v>
          </cell>
          <cell r="I16">
            <v>1</v>
          </cell>
          <cell r="J16">
            <v>1</v>
          </cell>
          <cell r="K16" t="str">
            <v>NA</v>
          </cell>
          <cell r="L16" t="str">
            <v>NA</v>
          </cell>
          <cell r="M16" t="str">
            <v>NA</v>
          </cell>
          <cell r="N16">
            <v>1</v>
          </cell>
          <cell r="O16" t="str">
            <v>NTT</v>
          </cell>
          <cell r="P16">
            <v>0.88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</row>
        <row r="17"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 t="str">
            <v>NA</v>
          </cell>
          <cell r="P17" t="str">
            <v>NA</v>
          </cell>
          <cell r="Q17" t="str">
            <v>NA</v>
          </cell>
          <cell r="R17" t="str">
            <v>NA</v>
          </cell>
          <cell r="S17" t="str">
            <v>NA</v>
          </cell>
          <cell r="T17" t="str">
            <v>NA</v>
          </cell>
          <cell r="U17" t="str">
            <v>NA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Did not Start</v>
          </cell>
          <cell r="F4" t="str">
            <v>Jhon Ronniel Abello</v>
          </cell>
        </row>
        <row r="5">
          <cell r="C5" t="str">
            <v>Did not Start</v>
          </cell>
          <cell r="F5" t="str">
            <v>Lance Salamat</v>
          </cell>
        </row>
        <row r="6">
          <cell r="C6" t="str">
            <v>Did not Start</v>
          </cell>
          <cell r="F6" t="str">
            <v>Charles Tulipas</v>
          </cell>
        </row>
        <row r="7">
          <cell r="C7" t="str">
            <v>Moved/Joining Alternate Class/Program</v>
          </cell>
          <cell r="F7" t="str">
            <v>Shinji Manalo</v>
          </cell>
        </row>
        <row r="8">
          <cell r="C8" t="str">
            <v>Moved/Joining Alternate Class/Program</v>
          </cell>
          <cell r="F8" t="str">
            <v>Michael Andrei Moya</v>
          </cell>
        </row>
        <row r="9">
          <cell r="C9" t="str">
            <v>Moved/Joining Alternate Class/Program</v>
          </cell>
          <cell r="F9" t="str">
            <v>Rajan Sanchez</v>
          </cell>
        </row>
        <row r="10">
          <cell r="C10" t="str">
            <v>Terminated-Nesting 3</v>
          </cell>
          <cell r="F10" t="str">
            <v>Ian Lateda</v>
          </cell>
        </row>
        <row r="11">
          <cell r="C11" t="str">
            <v>Terminated-Nesting 3</v>
          </cell>
          <cell r="F11" t="str">
            <v>Ronnie Nakar Jr.</v>
          </cell>
        </row>
        <row r="12">
          <cell r="C12" t="str">
            <v>Transition to Production with SMART plan</v>
          </cell>
          <cell r="F12" t="str">
            <v>Maribeth Perez</v>
          </cell>
        </row>
        <row r="13">
          <cell r="C13" t="str">
            <v>Resigned Tier 1B</v>
          </cell>
          <cell r="F13" t="str">
            <v>Kristoffer Magistrado</v>
          </cell>
        </row>
        <row r="14">
          <cell r="C14" t="str">
            <v>Resigned Tier 1B</v>
          </cell>
          <cell r="F14" t="str">
            <v>Jarold James Santos</v>
          </cell>
        </row>
        <row r="15">
          <cell r="C15" t="str">
            <v>Resigned Tier 1B</v>
          </cell>
          <cell r="F15" t="str">
            <v>Nicole Natavio</v>
          </cell>
        </row>
        <row r="16">
          <cell r="C16" t="str">
            <v>Resigned-Nesting 3</v>
          </cell>
          <cell r="F16" t="str">
            <v>Benson Aldryn Reyes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TfCS0c2xLkCGCfzvIpiCxdPPHehbuwFMs1lcU19AV1vdkBaZHJdXSoau8NSZKvKh" itemId="01ZNW7L2DZ6P7JWDXZFNHJDYRAZBQGWGLO">
      <xxl21:absoluteUrl r:id="rId2"/>
    </xxl21:alternateUrls>
    <sheetNames>
      <sheetName val="Quick Links"/>
      <sheetName val="One-Time Check List"/>
      <sheetName val="Daily Checklist"/>
      <sheetName val="Class Summary"/>
      <sheetName val="Student Data"/>
      <sheetName val="Performance"/>
      <sheetName val="Daily Observation"/>
      <sheetName val="Preprocess SWOT"/>
      <sheetName val="Day 1 WFH Audit"/>
      <sheetName val="Perform Tier 2"/>
      <sheetName val="Performance RSA"/>
      <sheetName val="Preprocess Training Report"/>
      <sheetName val="Skill Assessment"/>
      <sheetName val="Attendance"/>
      <sheetName val="PCB Nesting Incentive Onshore"/>
      <sheetName val="PCB Nesting QA"/>
      <sheetName val="PCB Nesting Incentive Offshore"/>
      <sheetName val="Nesting Sales"/>
      <sheetName val="RSA Fraud Error Summary"/>
      <sheetName val="PCB Handoff Page (Sales)"/>
      <sheetName val="QBR"/>
      <sheetName val="Perf. Mgmnt"/>
      <sheetName val="PCB Handoff Page - (Non-Sales)"/>
      <sheetName val="Reporting"/>
    </sheetNames>
    <sheetDataSet>
      <sheetData sheetId="0"/>
      <sheetData sheetId="1"/>
      <sheetData sheetId="2"/>
      <sheetData sheetId="3">
        <row r="11">
          <cell r="B11" t="str">
            <v>Catherine Cachero</v>
          </cell>
        </row>
        <row r="12">
          <cell r="B12" t="str">
            <v>Patrick James Reosia</v>
          </cell>
        </row>
      </sheetData>
      <sheetData sheetId="4">
        <row r="5">
          <cell r="P5">
            <v>348694</v>
          </cell>
        </row>
        <row r="6">
          <cell r="P6">
            <v>348684</v>
          </cell>
        </row>
        <row r="7">
          <cell r="P7">
            <v>348688</v>
          </cell>
        </row>
        <row r="8">
          <cell r="P8">
            <v>348700</v>
          </cell>
        </row>
        <row r="9">
          <cell r="P9">
            <v>348682</v>
          </cell>
        </row>
        <row r="10">
          <cell r="P10">
            <v>348704</v>
          </cell>
        </row>
        <row r="11">
          <cell r="P11">
            <v>348695</v>
          </cell>
        </row>
        <row r="12">
          <cell r="P12">
            <v>348701</v>
          </cell>
        </row>
        <row r="13">
          <cell r="P13">
            <v>348692</v>
          </cell>
        </row>
        <row r="14">
          <cell r="P14">
            <v>348683</v>
          </cell>
        </row>
        <row r="15">
          <cell r="P15">
            <v>348703</v>
          </cell>
        </row>
        <row r="16">
          <cell r="P16">
            <v>348686</v>
          </cell>
        </row>
        <row r="17">
          <cell r="P17">
            <v>348687</v>
          </cell>
        </row>
        <row r="18">
          <cell r="P18">
            <v>348702</v>
          </cell>
        </row>
        <row r="19">
          <cell r="P19">
            <v>348685</v>
          </cell>
        </row>
        <row r="20">
          <cell r="P20">
            <v>348697</v>
          </cell>
        </row>
        <row r="21">
          <cell r="P21">
            <v>348691</v>
          </cell>
        </row>
        <row r="22">
          <cell r="P22">
            <v>348689</v>
          </cell>
        </row>
        <row r="23">
          <cell r="P23">
            <v>347579</v>
          </cell>
        </row>
      </sheetData>
      <sheetData sheetId="5">
        <row r="5">
          <cell r="H5" t="str">
            <v>N/A</v>
          </cell>
          <cell r="I5">
            <v>1</v>
          </cell>
          <cell r="J5">
            <v>1</v>
          </cell>
          <cell r="K5" t="str">
            <v>N/A</v>
          </cell>
          <cell r="L5" t="str">
            <v>N/A</v>
          </cell>
          <cell r="M5" t="str">
            <v>N/A</v>
          </cell>
          <cell r="N5">
            <v>1</v>
          </cell>
          <cell r="O5" t="str">
            <v>N/A</v>
          </cell>
          <cell r="P5">
            <v>1</v>
          </cell>
          <cell r="Q5">
            <v>1</v>
          </cell>
          <cell r="R5">
            <v>1</v>
          </cell>
          <cell r="S5">
            <v>0.94</v>
          </cell>
          <cell r="T5">
            <v>1</v>
          </cell>
          <cell r="U5">
            <v>0.85</v>
          </cell>
        </row>
        <row r="6">
          <cell r="H6" t="str">
            <v>N/A</v>
          </cell>
          <cell r="I6">
            <v>0.88</v>
          </cell>
          <cell r="J6">
            <v>1</v>
          </cell>
          <cell r="K6" t="str">
            <v>N/A</v>
          </cell>
          <cell r="L6" t="str">
            <v>N/A</v>
          </cell>
          <cell r="M6" t="str">
            <v>N/A</v>
          </cell>
          <cell r="N6">
            <v>1</v>
          </cell>
          <cell r="O6" t="str">
            <v>N/A</v>
          </cell>
          <cell r="P6">
            <v>0.92</v>
          </cell>
          <cell r="Q6">
            <v>1</v>
          </cell>
          <cell r="R6">
            <v>1</v>
          </cell>
          <cell r="S6">
            <v>0.96</v>
          </cell>
          <cell r="T6">
            <v>0.8</v>
          </cell>
          <cell r="U6">
            <v>0.93</v>
          </cell>
        </row>
        <row r="7">
          <cell r="H7" t="str">
            <v>N/A</v>
          </cell>
          <cell r="I7">
            <v>1</v>
          </cell>
          <cell r="J7">
            <v>1</v>
          </cell>
          <cell r="K7" t="str">
            <v>N/A</v>
          </cell>
          <cell r="L7" t="str">
            <v>N/A</v>
          </cell>
          <cell r="M7" t="str">
            <v>N/A</v>
          </cell>
          <cell r="N7">
            <v>1</v>
          </cell>
          <cell r="O7" t="str">
            <v>N/A</v>
          </cell>
          <cell r="P7">
            <v>0.88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</row>
        <row r="8">
          <cell r="H8" t="str">
            <v>N/A</v>
          </cell>
          <cell r="I8">
            <v>0.88</v>
          </cell>
          <cell r="J8">
            <v>1</v>
          </cell>
          <cell r="K8" t="str">
            <v>N/A</v>
          </cell>
          <cell r="L8" t="str">
            <v>N/A</v>
          </cell>
          <cell r="M8" t="str">
            <v>N/A</v>
          </cell>
          <cell r="N8">
            <v>1</v>
          </cell>
          <cell r="O8" t="str">
            <v>N/A</v>
          </cell>
          <cell r="P8">
            <v>1</v>
          </cell>
          <cell r="Q8">
            <v>1</v>
          </cell>
          <cell r="R8">
            <v>1</v>
          </cell>
          <cell r="S8">
            <v>0.8</v>
          </cell>
          <cell r="T8">
            <v>1</v>
          </cell>
          <cell r="U8">
            <v>0.9</v>
          </cell>
        </row>
        <row r="9">
          <cell r="H9" t="str">
            <v>N/A</v>
          </cell>
          <cell r="I9">
            <v>0.88</v>
          </cell>
          <cell r="J9">
            <v>1</v>
          </cell>
          <cell r="K9" t="str">
            <v>N/A</v>
          </cell>
          <cell r="L9" t="str">
            <v>N/A</v>
          </cell>
          <cell r="M9" t="str">
            <v>N/A</v>
          </cell>
          <cell r="N9">
            <v>1</v>
          </cell>
          <cell r="O9" t="str">
            <v>N/A</v>
          </cell>
          <cell r="P9">
            <v>0.82</v>
          </cell>
          <cell r="Q9">
            <v>1</v>
          </cell>
          <cell r="R9">
            <v>1</v>
          </cell>
          <cell r="S9">
            <v>0.83</v>
          </cell>
          <cell r="T9">
            <v>1</v>
          </cell>
          <cell r="U9">
            <v>0.9</v>
          </cell>
        </row>
        <row r="10">
          <cell r="H10" t="str">
            <v>N/A</v>
          </cell>
          <cell r="I10">
            <v>0.88</v>
          </cell>
          <cell r="J10">
            <v>1</v>
          </cell>
          <cell r="K10" t="str">
            <v>N/A</v>
          </cell>
          <cell r="L10" t="str">
            <v>N/A</v>
          </cell>
          <cell r="M10" t="str">
            <v>N/A</v>
          </cell>
          <cell r="N10">
            <v>1</v>
          </cell>
          <cell r="O10" t="str">
            <v>N/A</v>
          </cell>
          <cell r="P10">
            <v>0.88</v>
          </cell>
          <cell r="Q10">
            <v>1</v>
          </cell>
          <cell r="R10">
            <v>1</v>
          </cell>
          <cell r="S10">
            <v>0.92</v>
          </cell>
          <cell r="T10">
            <v>0.8</v>
          </cell>
          <cell r="U10">
            <v>0.8</v>
          </cell>
        </row>
        <row r="11">
          <cell r="H11" t="str">
            <v>N/A</v>
          </cell>
          <cell r="I11">
            <v>1</v>
          </cell>
          <cell r="J11">
            <v>1</v>
          </cell>
          <cell r="K11" t="str">
            <v>N/A</v>
          </cell>
          <cell r="L11" t="str">
            <v>N/A</v>
          </cell>
          <cell r="M11" t="str">
            <v>N/A</v>
          </cell>
          <cell r="N11">
            <v>1</v>
          </cell>
          <cell r="O11" t="str">
            <v>N/A</v>
          </cell>
          <cell r="P11">
            <v>0.94</v>
          </cell>
          <cell r="Q11">
            <v>1</v>
          </cell>
          <cell r="R11">
            <v>1</v>
          </cell>
          <cell r="S11">
            <v>0.82</v>
          </cell>
          <cell r="T11">
            <v>1</v>
          </cell>
          <cell r="U11">
            <v>0.9</v>
          </cell>
        </row>
        <row r="12">
          <cell r="H12" t="str">
            <v>N/A</v>
          </cell>
          <cell r="I12">
            <v>1</v>
          </cell>
          <cell r="J12">
            <v>1</v>
          </cell>
          <cell r="K12" t="str">
            <v>N/A</v>
          </cell>
          <cell r="L12" t="str">
            <v>N/A</v>
          </cell>
          <cell r="M12" t="str">
            <v>N/A</v>
          </cell>
          <cell r="N12">
            <v>1</v>
          </cell>
          <cell r="O12" t="str">
            <v>N/A</v>
          </cell>
          <cell r="P12">
            <v>1</v>
          </cell>
          <cell r="Q12">
            <v>1</v>
          </cell>
          <cell r="R12">
            <v>1</v>
          </cell>
          <cell r="S12">
            <v>0.86</v>
          </cell>
          <cell r="T12">
            <v>0.8</v>
          </cell>
          <cell r="U12">
            <v>0.98</v>
          </cell>
        </row>
        <row r="13">
          <cell r="H13" t="str">
            <v>N/A</v>
          </cell>
          <cell r="I13">
            <v>0.88</v>
          </cell>
          <cell r="J13">
            <v>1</v>
          </cell>
          <cell r="K13" t="str">
            <v>N/A</v>
          </cell>
          <cell r="L13" t="str">
            <v>N/A</v>
          </cell>
          <cell r="M13" t="str">
            <v>N/A</v>
          </cell>
          <cell r="N13">
            <v>1</v>
          </cell>
          <cell r="O13" t="str">
            <v>N/A</v>
          </cell>
          <cell r="P13">
            <v>1</v>
          </cell>
          <cell r="Q13">
            <v>1</v>
          </cell>
          <cell r="R13">
            <v>1</v>
          </cell>
          <cell r="S13">
            <v>0.8</v>
          </cell>
          <cell r="T13">
            <v>1</v>
          </cell>
          <cell r="U13">
            <v>0.9</v>
          </cell>
        </row>
        <row r="14">
          <cell r="H14" t="str">
            <v>N/A</v>
          </cell>
          <cell r="I14">
            <v>0.88</v>
          </cell>
          <cell r="J14">
            <v>0.8</v>
          </cell>
          <cell r="K14" t="str">
            <v>N/A</v>
          </cell>
          <cell r="L14" t="str">
            <v>N/A</v>
          </cell>
          <cell r="M14" t="str">
            <v>N/A</v>
          </cell>
          <cell r="N14">
            <v>1</v>
          </cell>
          <cell r="O14" t="str">
            <v>N/A</v>
          </cell>
          <cell r="P14">
            <v>1</v>
          </cell>
          <cell r="Q14">
            <v>1</v>
          </cell>
          <cell r="R14">
            <v>1</v>
          </cell>
          <cell r="S14">
            <v>0.8</v>
          </cell>
          <cell r="T14">
            <v>0.8</v>
          </cell>
          <cell r="U14">
            <v>1</v>
          </cell>
        </row>
        <row r="15">
          <cell r="H15" t="str">
            <v>N/A</v>
          </cell>
          <cell r="I15">
            <v>1</v>
          </cell>
          <cell r="J15">
            <v>1</v>
          </cell>
          <cell r="K15" t="str">
            <v>N/A</v>
          </cell>
          <cell r="L15" t="str">
            <v>N/A</v>
          </cell>
          <cell r="M15" t="str">
            <v>N/A</v>
          </cell>
          <cell r="N15">
            <v>1</v>
          </cell>
          <cell r="O15" t="str">
            <v>N/A</v>
          </cell>
          <cell r="P15">
            <v>0.88</v>
          </cell>
          <cell r="Q15">
            <v>1</v>
          </cell>
          <cell r="R15">
            <v>1</v>
          </cell>
          <cell r="S15">
            <v>0.86</v>
          </cell>
          <cell r="T15">
            <v>0.8</v>
          </cell>
          <cell r="U15">
            <v>0.85</v>
          </cell>
        </row>
        <row r="16">
          <cell r="H16" t="str">
            <v>N/A</v>
          </cell>
          <cell r="I16">
            <v>0.88</v>
          </cell>
          <cell r="J16">
            <v>1</v>
          </cell>
          <cell r="K16" t="str">
            <v>N/A</v>
          </cell>
          <cell r="L16" t="str">
            <v>N/A</v>
          </cell>
          <cell r="M16" t="str">
            <v>N/A</v>
          </cell>
          <cell r="N16">
            <v>1</v>
          </cell>
          <cell r="O16" t="str">
            <v>N/A</v>
          </cell>
          <cell r="P16">
            <v>0.94</v>
          </cell>
          <cell r="Q16">
            <v>1</v>
          </cell>
          <cell r="R16">
            <v>1</v>
          </cell>
          <cell r="S16">
            <v>0.94</v>
          </cell>
          <cell r="T16">
            <v>0.8</v>
          </cell>
          <cell r="U16">
            <v>1</v>
          </cell>
        </row>
        <row r="17">
          <cell r="H17" t="str">
            <v>N/A</v>
          </cell>
          <cell r="I17">
            <v>1</v>
          </cell>
          <cell r="J17">
            <v>0.8</v>
          </cell>
          <cell r="K17" t="str">
            <v>N/A</v>
          </cell>
          <cell r="L17" t="str">
            <v>N/A</v>
          </cell>
          <cell r="M17" t="str">
            <v>N/A</v>
          </cell>
          <cell r="N17">
            <v>1</v>
          </cell>
          <cell r="O17" t="str">
            <v>N/A</v>
          </cell>
          <cell r="P17">
            <v>0.94</v>
          </cell>
          <cell r="Q17">
            <v>1</v>
          </cell>
          <cell r="R17">
            <v>1</v>
          </cell>
          <cell r="S17">
            <v>0.94</v>
          </cell>
          <cell r="T17">
            <v>1</v>
          </cell>
          <cell r="U17">
            <v>0.8</v>
          </cell>
        </row>
        <row r="18">
          <cell r="H18" t="str">
            <v>N/A</v>
          </cell>
          <cell r="I18">
            <v>0.88</v>
          </cell>
          <cell r="J18">
            <v>0.8</v>
          </cell>
          <cell r="K18" t="str">
            <v>N/A</v>
          </cell>
          <cell r="L18" t="str">
            <v>N/A</v>
          </cell>
          <cell r="M18" t="str">
            <v>N/A</v>
          </cell>
          <cell r="N18">
            <v>1</v>
          </cell>
          <cell r="O18" t="str">
            <v>N/A</v>
          </cell>
          <cell r="P18">
            <v>1</v>
          </cell>
          <cell r="Q18">
            <v>1</v>
          </cell>
          <cell r="R18">
            <v>1</v>
          </cell>
          <cell r="S18">
            <v>0.94</v>
          </cell>
          <cell r="T18">
            <v>1</v>
          </cell>
          <cell r="U18">
            <v>1</v>
          </cell>
        </row>
        <row r="19">
          <cell r="H19" t="str">
            <v>N/A</v>
          </cell>
          <cell r="I19">
            <v>1</v>
          </cell>
          <cell r="J19">
            <v>1</v>
          </cell>
          <cell r="K19" t="str">
            <v>N/A</v>
          </cell>
          <cell r="L19" t="str">
            <v>N/A</v>
          </cell>
          <cell r="M19" t="str">
            <v>N/A</v>
          </cell>
          <cell r="N19">
            <v>1</v>
          </cell>
          <cell r="O19" t="str">
            <v>N/A</v>
          </cell>
          <cell r="P19">
            <v>0.94</v>
          </cell>
          <cell r="Q19">
            <v>1</v>
          </cell>
          <cell r="R19">
            <v>1</v>
          </cell>
          <cell r="S19">
            <v>0.94</v>
          </cell>
          <cell r="T19">
            <v>0.8</v>
          </cell>
          <cell r="U19">
            <v>0.98</v>
          </cell>
        </row>
        <row r="20">
          <cell r="H20" t="str">
            <v>N/A</v>
          </cell>
          <cell r="I20">
            <v>1</v>
          </cell>
          <cell r="J20">
            <v>1</v>
          </cell>
          <cell r="K20" t="str">
            <v>N/A</v>
          </cell>
          <cell r="L20" t="str">
            <v>N/A</v>
          </cell>
          <cell r="M20" t="str">
            <v>N/A</v>
          </cell>
          <cell r="N20">
            <v>1</v>
          </cell>
          <cell r="O20" t="str">
            <v>N/A</v>
          </cell>
          <cell r="P20">
            <v>0.94</v>
          </cell>
          <cell r="Q20">
            <v>1</v>
          </cell>
          <cell r="R20">
            <v>1</v>
          </cell>
          <cell r="S20">
            <v>0.92</v>
          </cell>
          <cell r="T20">
            <v>1</v>
          </cell>
          <cell r="U20">
            <v>1</v>
          </cell>
        </row>
        <row r="21">
          <cell r="H21" t="str">
            <v>N/A</v>
          </cell>
          <cell r="I21">
            <v>1</v>
          </cell>
          <cell r="J21">
            <v>0.8</v>
          </cell>
          <cell r="K21" t="str">
            <v>N/A</v>
          </cell>
          <cell r="L21" t="str">
            <v>N/A</v>
          </cell>
          <cell r="M21" t="str">
            <v>N/A</v>
          </cell>
          <cell r="N21">
            <v>1</v>
          </cell>
          <cell r="O21" t="str">
            <v>N/A</v>
          </cell>
          <cell r="P21">
            <v>0.82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0.85</v>
          </cell>
        </row>
        <row r="22">
          <cell r="H22" t="str">
            <v>N/A</v>
          </cell>
          <cell r="I22">
            <v>1</v>
          </cell>
          <cell r="J22">
            <v>0.8</v>
          </cell>
          <cell r="K22" t="str">
            <v>N/A</v>
          </cell>
          <cell r="L22" t="str">
            <v>N/A</v>
          </cell>
          <cell r="M22" t="str">
            <v>N/A</v>
          </cell>
          <cell r="N22">
            <v>1</v>
          </cell>
          <cell r="O22" t="str">
            <v>N/A</v>
          </cell>
          <cell r="P22">
            <v>1</v>
          </cell>
          <cell r="Q22">
            <v>1</v>
          </cell>
          <cell r="R22">
            <v>1</v>
          </cell>
          <cell r="S22">
            <v>0.87</v>
          </cell>
          <cell r="T22">
            <v>0.8</v>
          </cell>
          <cell r="U22">
            <v>0.84</v>
          </cell>
        </row>
        <row r="23">
          <cell r="H23" t="str">
            <v>N/A</v>
          </cell>
          <cell r="I23">
            <v>1</v>
          </cell>
          <cell r="J23">
            <v>1</v>
          </cell>
          <cell r="K23" t="str">
            <v>N/A</v>
          </cell>
          <cell r="L23" t="str">
            <v>N/A</v>
          </cell>
          <cell r="M23" t="str">
            <v>N/A</v>
          </cell>
          <cell r="N23">
            <v>1</v>
          </cell>
          <cell r="O23" t="str">
            <v>N/A</v>
          </cell>
          <cell r="P23">
            <v>0.88</v>
          </cell>
          <cell r="Q23">
            <v>1</v>
          </cell>
          <cell r="R23">
            <v>1</v>
          </cell>
          <cell r="S23">
            <v>0.8</v>
          </cell>
          <cell r="T23">
            <v>1</v>
          </cell>
          <cell r="U23">
            <v>0.8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C4" t="str">
            <v>Terminated-Nesting 1A</v>
          </cell>
          <cell r="F4" t="str">
            <v>Christian Bajo</v>
          </cell>
        </row>
        <row r="5">
          <cell r="C5" t="str">
            <v>Resigned-Nesting 3</v>
          </cell>
          <cell r="F5" t="str">
            <v>Ma. Recarlyn Andres</v>
          </cell>
        </row>
        <row r="6">
          <cell r="C6" t="str">
            <v>Resigned-Nesting 1B</v>
          </cell>
          <cell r="F6" t="str">
            <v>Rojane Magbanua</v>
          </cell>
        </row>
        <row r="7">
          <cell r="C7" t="str">
            <v>Resigned-Nesting 1B</v>
          </cell>
          <cell r="F7" t="str">
            <v>Jenny Palmerie</v>
          </cell>
        </row>
        <row r="8">
          <cell r="C8" t="str">
            <v>Resigned-Nesting 1B</v>
          </cell>
          <cell r="F8" t="str">
            <v>Arianne Sundiang</v>
          </cell>
        </row>
        <row r="9">
          <cell r="C9" t="str">
            <v>Resigned-Nesting 1B</v>
          </cell>
          <cell r="F9" t="str">
            <v>Mae Anne  Villar</v>
          </cell>
        </row>
        <row r="10">
          <cell r="C10" t="str">
            <v>Resigned-Nesting 3</v>
          </cell>
          <cell r="F10" t="str">
            <v>Eloisa Azagra</v>
          </cell>
        </row>
        <row r="11">
          <cell r="C11" t="str">
            <v>Terminated-Nesting 3</v>
          </cell>
          <cell r="F11" t="str">
            <v>Reymar de Vera</v>
          </cell>
        </row>
        <row r="12">
          <cell r="C12" t="str">
            <v>Transition to Production</v>
          </cell>
          <cell r="F12" t="str">
            <v>Jonacelle Aldaba</v>
          </cell>
        </row>
        <row r="13">
          <cell r="C13" t="str">
            <v>Transition to Production</v>
          </cell>
          <cell r="F13" t="str">
            <v>Mienhel Avelino</v>
          </cell>
        </row>
        <row r="14">
          <cell r="C14" t="str">
            <v>Transition to Production</v>
          </cell>
          <cell r="F14" t="str">
            <v>Alta Daniela Borres</v>
          </cell>
        </row>
        <row r="15">
          <cell r="C15" t="str">
            <v>Transition to Production</v>
          </cell>
          <cell r="F15" t="str">
            <v>Guia Cabadin</v>
          </cell>
        </row>
        <row r="16">
          <cell r="C16" t="str">
            <v>Transition to Production</v>
          </cell>
          <cell r="F16" t="str">
            <v>Rhea Mae Evardone</v>
          </cell>
        </row>
        <row r="17">
          <cell r="C17" t="str">
            <v>Transition to Production</v>
          </cell>
          <cell r="F17" t="str">
            <v>Sarah Jane Mapile</v>
          </cell>
        </row>
        <row r="18">
          <cell r="C18" t="str">
            <v>Transition to Production</v>
          </cell>
          <cell r="F18" t="str">
            <v>Lester Oliquino</v>
          </cell>
        </row>
        <row r="19">
          <cell r="C19" t="str">
            <v>Transition to Production</v>
          </cell>
          <cell r="F19" t="str">
            <v>Aaron Maverick  Prado</v>
          </cell>
        </row>
        <row r="20">
          <cell r="C20" t="str">
            <v>Transition to Production</v>
          </cell>
          <cell r="F20" t="str">
            <v>Anrie Magdalein Prado</v>
          </cell>
        </row>
        <row r="21">
          <cell r="C21" t="str">
            <v>Transition to Production</v>
          </cell>
          <cell r="F21" t="str">
            <v>Ynigo Rayne Valderrama</v>
          </cell>
        </row>
        <row r="22">
          <cell r="C22" t="str">
            <v>Transition to Production</v>
          </cell>
          <cell r="F22" t="str">
            <v>Patrick Verdillo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ily Checklist"/>
      <sheetName val="Class Summary"/>
      <sheetName val="Student Data"/>
      <sheetName val="Preprocess SWOT"/>
      <sheetName val="Attendance"/>
      <sheetName val="Day 1 WFH Audit"/>
      <sheetName val="Perform Tier 2"/>
      <sheetName val="Performance RSA"/>
      <sheetName val="Preprocess Training Report"/>
      <sheetName val="Performance"/>
      <sheetName val="Skill Assessment"/>
      <sheetName val="PCB Nesting QA"/>
      <sheetName val="Perf. Mgmnt"/>
      <sheetName val="Nesting Sales"/>
      <sheetName val="RSA Fraud Error Summary"/>
      <sheetName val="PCB Handoff Page (Sales)"/>
      <sheetName val="QBR"/>
      <sheetName val="Observation"/>
      <sheetName val="PCB Handoff Page - (Non-Sales)"/>
      <sheetName val="KPI Dashboard"/>
      <sheetName val="Reporting"/>
    </sheetNames>
    <sheetDataSet>
      <sheetData sheetId="0"/>
      <sheetData sheetId="1"/>
      <sheetData sheetId="2">
        <row r="10">
          <cell r="B10" t="str">
            <v>Hazel Vhea de Fiesta</v>
          </cell>
        </row>
        <row r="11">
          <cell r="B11" t="str">
            <v>Jarry Calilung</v>
          </cell>
        </row>
      </sheetData>
      <sheetData sheetId="3">
        <row r="5">
          <cell r="P5"/>
        </row>
        <row r="6">
          <cell r="P6">
            <v>349515</v>
          </cell>
        </row>
        <row r="7">
          <cell r="P7">
            <v>349518</v>
          </cell>
        </row>
        <row r="8">
          <cell r="P8">
            <v>349519</v>
          </cell>
        </row>
        <row r="9">
          <cell r="P9">
            <v>348394</v>
          </cell>
        </row>
        <row r="10">
          <cell r="P10">
            <v>349516</v>
          </cell>
        </row>
        <row r="11">
          <cell r="P11">
            <v>349521</v>
          </cell>
        </row>
        <row r="12">
          <cell r="P12">
            <v>349512</v>
          </cell>
        </row>
        <row r="13">
          <cell r="P13">
            <v>349503</v>
          </cell>
        </row>
        <row r="14">
          <cell r="P14">
            <v>349501</v>
          </cell>
        </row>
        <row r="15">
          <cell r="P15">
            <v>349508</v>
          </cell>
        </row>
        <row r="16">
          <cell r="P16">
            <v>349504</v>
          </cell>
        </row>
        <row r="17">
          <cell r="P17">
            <v>349514</v>
          </cell>
        </row>
        <row r="18">
          <cell r="P18">
            <v>349505</v>
          </cell>
        </row>
        <row r="19">
          <cell r="P19">
            <v>349511</v>
          </cell>
        </row>
        <row r="20">
          <cell r="P20">
            <v>349506</v>
          </cell>
        </row>
        <row r="21">
          <cell r="P21">
            <v>349502</v>
          </cell>
        </row>
        <row r="22">
          <cell r="P22">
            <v>349517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O5" t="str">
            <v>N/A</v>
          </cell>
          <cell r="P5">
            <v>0.88</v>
          </cell>
          <cell r="Q5">
            <v>1</v>
          </cell>
          <cell r="R5" t="str">
            <v>N/A</v>
          </cell>
          <cell r="S5" t="str">
            <v>N/A</v>
          </cell>
          <cell r="T5" t="str">
            <v>N/A</v>
          </cell>
          <cell r="U5">
            <v>1</v>
          </cell>
          <cell r="V5" t="str">
            <v>N/A</v>
          </cell>
          <cell r="W5">
            <v>0.86</v>
          </cell>
          <cell r="X5">
            <v>1</v>
          </cell>
          <cell r="Y5">
            <v>1</v>
          </cell>
          <cell r="Z5">
            <v>1</v>
          </cell>
          <cell r="AA5">
            <v>0.8</v>
          </cell>
          <cell r="AB5">
            <v>0.98</v>
          </cell>
        </row>
        <row r="6">
          <cell r="O6" t="str">
            <v>N/A</v>
          </cell>
          <cell r="P6">
            <v>0.88</v>
          </cell>
          <cell r="Q6">
            <v>1</v>
          </cell>
          <cell r="R6" t="str">
            <v>N/A</v>
          </cell>
          <cell r="S6" t="str">
            <v>N/A</v>
          </cell>
          <cell r="T6" t="str">
            <v>N/A</v>
          </cell>
          <cell r="U6">
            <v>1</v>
          </cell>
          <cell r="V6" t="str">
            <v>N/A</v>
          </cell>
          <cell r="W6">
            <v>1</v>
          </cell>
          <cell r="X6">
            <v>1</v>
          </cell>
          <cell r="Y6">
            <v>1</v>
          </cell>
          <cell r="Z6">
            <v>0.88</v>
          </cell>
          <cell r="AA6">
            <v>1</v>
          </cell>
          <cell r="AB6">
            <v>0.93</v>
          </cell>
        </row>
        <row r="7">
          <cell r="O7" t="str">
            <v>N/A</v>
          </cell>
          <cell r="P7">
            <v>1</v>
          </cell>
          <cell r="Q7">
            <v>1</v>
          </cell>
          <cell r="R7" t="str">
            <v>N/A</v>
          </cell>
          <cell r="S7" t="str">
            <v>N/A</v>
          </cell>
          <cell r="T7" t="str">
            <v>N/A</v>
          </cell>
          <cell r="U7">
            <v>1</v>
          </cell>
          <cell r="V7" t="str">
            <v>N/A</v>
          </cell>
          <cell r="W7">
            <v>0.83</v>
          </cell>
          <cell r="X7">
            <v>1</v>
          </cell>
          <cell r="Y7">
            <v>1</v>
          </cell>
          <cell r="Z7">
            <v>1</v>
          </cell>
          <cell r="AA7">
            <v>0.8</v>
          </cell>
          <cell r="AB7">
            <v>0.92</v>
          </cell>
        </row>
        <row r="8">
          <cell r="O8" t="str">
            <v>N/A</v>
          </cell>
          <cell r="P8" t="str">
            <v>N/A</v>
          </cell>
          <cell r="Q8" t="str">
            <v>N/A</v>
          </cell>
          <cell r="R8" t="str">
            <v>N/A</v>
          </cell>
          <cell r="S8" t="str">
            <v>N/A</v>
          </cell>
          <cell r="T8" t="str">
            <v>N/A</v>
          </cell>
          <cell r="U8" t="str">
            <v>N/A</v>
          </cell>
          <cell r="V8" t="str">
            <v>N/A</v>
          </cell>
          <cell r="W8" t="str">
            <v>N/A</v>
          </cell>
          <cell r="X8" t="str">
            <v>N/A</v>
          </cell>
          <cell r="Y8" t="str">
            <v>N/A</v>
          </cell>
          <cell r="Z8" t="str">
            <v>N/A</v>
          </cell>
          <cell r="AA8" t="str">
            <v>N/A</v>
          </cell>
          <cell r="AB8" t="str">
            <v>N/A</v>
          </cell>
        </row>
        <row r="9">
          <cell r="O9" t="str">
            <v>N/A</v>
          </cell>
          <cell r="P9">
            <v>1</v>
          </cell>
          <cell r="Q9">
            <v>0.8</v>
          </cell>
          <cell r="R9" t="str">
            <v>N/A</v>
          </cell>
          <cell r="S9" t="str">
            <v>N/A</v>
          </cell>
          <cell r="T9" t="str">
            <v>N/A</v>
          </cell>
          <cell r="U9">
            <v>1</v>
          </cell>
          <cell r="V9" t="str">
            <v>N/A</v>
          </cell>
          <cell r="W9">
            <v>0.94</v>
          </cell>
          <cell r="X9">
            <v>1</v>
          </cell>
          <cell r="Y9">
            <v>1</v>
          </cell>
          <cell r="Z9">
            <v>0.8</v>
          </cell>
          <cell r="AA9">
            <v>0.8</v>
          </cell>
          <cell r="AB9">
            <v>0.89</v>
          </cell>
        </row>
        <row r="10">
          <cell r="O10" t="str">
            <v>N/A</v>
          </cell>
          <cell r="P10">
            <v>1</v>
          </cell>
          <cell r="Q10">
            <v>1</v>
          </cell>
          <cell r="R10" t="str">
            <v>N/A</v>
          </cell>
          <cell r="S10" t="str">
            <v>N/A</v>
          </cell>
          <cell r="T10" t="str">
            <v>N/A</v>
          </cell>
          <cell r="U10">
            <v>1</v>
          </cell>
          <cell r="V10" t="str">
            <v>N/A</v>
          </cell>
          <cell r="W10">
            <v>0.88</v>
          </cell>
          <cell r="X10">
            <v>1</v>
          </cell>
          <cell r="Y10">
            <v>1</v>
          </cell>
          <cell r="Z10">
            <v>0.95</v>
          </cell>
          <cell r="AA10">
            <v>1</v>
          </cell>
          <cell r="AB10">
            <v>0.8</v>
          </cell>
        </row>
        <row r="11">
          <cell r="O11" t="str">
            <v>N/A</v>
          </cell>
          <cell r="P11">
            <v>1</v>
          </cell>
          <cell r="Q11">
            <v>1</v>
          </cell>
          <cell r="R11" t="str">
            <v>N/A</v>
          </cell>
          <cell r="S11" t="str">
            <v>N/A</v>
          </cell>
          <cell r="T11" t="str">
            <v>N/A</v>
          </cell>
          <cell r="U11">
            <v>1</v>
          </cell>
          <cell r="V11" t="str">
            <v>N/A</v>
          </cell>
          <cell r="W11">
            <v>0.82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0.8</v>
          </cell>
        </row>
        <row r="12">
          <cell r="O12" t="str">
            <v>N/A</v>
          </cell>
          <cell r="P12">
            <v>1</v>
          </cell>
          <cell r="Q12">
            <v>1</v>
          </cell>
          <cell r="R12" t="str">
            <v>N/A</v>
          </cell>
          <cell r="S12" t="str">
            <v>N/A</v>
          </cell>
          <cell r="T12" t="str">
            <v>N/A</v>
          </cell>
          <cell r="U12">
            <v>1</v>
          </cell>
          <cell r="V12" t="str">
            <v>N/A</v>
          </cell>
          <cell r="W12">
            <v>0.89</v>
          </cell>
          <cell r="X12">
            <v>1</v>
          </cell>
          <cell r="Y12">
            <v>1</v>
          </cell>
          <cell r="Z12">
            <v>0.94</v>
          </cell>
          <cell r="AA12">
            <v>1</v>
          </cell>
          <cell r="AB12">
            <v>0.93</v>
          </cell>
        </row>
        <row r="13">
          <cell r="O13" t="str">
            <v>N/A</v>
          </cell>
          <cell r="P13">
            <v>1</v>
          </cell>
          <cell r="Q13">
            <v>1</v>
          </cell>
          <cell r="R13" t="str">
            <v>N/A</v>
          </cell>
          <cell r="S13" t="str">
            <v>N/A</v>
          </cell>
          <cell r="T13" t="str">
            <v>N/A</v>
          </cell>
          <cell r="U13">
            <v>1</v>
          </cell>
          <cell r="V13" t="str">
            <v>N/A</v>
          </cell>
          <cell r="W13">
            <v>0.94</v>
          </cell>
          <cell r="X13">
            <v>1</v>
          </cell>
          <cell r="Y13">
            <v>1</v>
          </cell>
          <cell r="Z13">
            <v>0.94</v>
          </cell>
          <cell r="AA13">
            <v>1</v>
          </cell>
          <cell r="AB13">
            <v>0.9</v>
          </cell>
        </row>
        <row r="14">
          <cell r="O14" t="str">
            <v>N/A</v>
          </cell>
          <cell r="P14">
            <v>1</v>
          </cell>
          <cell r="Q14">
            <v>0.8</v>
          </cell>
          <cell r="R14" t="str">
            <v>N/A</v>
          </cell>
          <cell r="S14" t="str">
            <v>N/A</v>
          </cell>
          <cell r="T14" t="str">
            <v>N/A</v>
          </cell>
          <cell r="U14">
            <v>1</v>
          </cell>
          <cell r="V14" t="str">
            <v>N/A</v>
          </cell>
          <cell r="W14">
            <v>1</v>
          </cell>
          <cell r="X14">
            <v>1</v>
          </cell>
          <cell r="Y14">
            <v>1</v>
          </cell>
          <cell r="Z14">
            <v>0.88</v>
          </cell>
          <cell r="AA14">
            <v>0.8</v>
          </cell>
          <cell r="AB14">
            <v>0.95</v>
          </cell>
        </row>
        <row r="15">
          <cell r="O15" t="str">
            <v>N/A</v>
          </cell>
          <cell r="P15">
            <v>0.88</v>
          </cell>
          <cell r="Q15">
            <v>0.8</v>
          </cell>
          <cell r="R15" t="str">
            <v>N/A</v>
          </cell>
          <cell r="S15" t="str">
            <v>N/A</v>
          </cell>
          <cell r="T15" t="str">
            <v>N/A</v>
          </cell>
          <cell r="U15">
            <v>1</v>
          </cell>
          <cell r="V15" t="str">
            <v>N/A</v>
          </cell>
          <cell r="W15">
            <v>1</v>
          </cell>
          <cell r="X15">
            <v>1</v>
          </cell>
          <cell r="Y15">
            <v>1</v>
          </cell>
          <cell r="Z15">
            <v>0.94</v>
          </cell>
          <cell r="AA15">
            <v>1</v>
          </cell>
          <cell r="AB15">
            <v>0.83</v>
          </cell>
        </row>
        <row r="16">
          <cell r="O16" t="str">
            <v>N/A</v>
          </cell>
          <cell r="P16">
            <v>1</v>
          </cell>
          <cell r="Q16">
            <v>1</v>
          </cell>
          <cell r="R16" t="str">
            <v>N/A</v>
          </cell>
          <cell r="S16" t="str">
            <v>N/A</v>
          </cell>
          <cell r="T16" t="str">
            <v>N/A</v>
          </cell>
          <cell r="U16">
            <v>1</v>
          </cell>
          <cell r="V16" t="str">
            <v>N/A</v>
          </cell>
          <cell r="W16">
            <v>0.88</v>
          </cell>
          <cell r="X16">
            <v>1</v>
          </cell>
          <cell r="Y16">
            <v>1</v>
          </cell>
          <cell r="Z16">
            <v>0.8</v>
          </cell>
          <cell r="AA16">
            <v>0.8</v>
          </cell>
          <cell r="AB16">
            <v>0.81</v>
          </cell>
        </row>
        <row r="17">
          <cell r="O17" t="str">
            <v>N/A</v>
          </cell>
          <cell r="P17" t="str">
            <v>Absent</v>
          </cell>
          <cell r="Q17" t="str">
            <v>Absent</v>
          </cell>
          <cell r="R17" t="str">
            <v>N/A</v>
          </cell>
          <cell r="S17" t="str">
            <v>N/A</v>
          </cell>
          <cell r="T17" t="str">
            <v>N/A</v>
          </cell>
          <cell r="U17" t="str">
            <v>N/A</v>
          </cell>
          <cell r="V17" t="str">
            <v>N/A</v>
          </cell>
          <cell r="W17" t="str">
            <v>N/A</v>
          </cell>
          <cell r="X17" t="str">
            <v>N/A</v>
          </cell>
          <cell r="Y17" t="str">
            <v>N/A</v>
          </cell>
          <cell r="Z17" t="str">
            <v>N/A</v>
          </cell>
          <cell r="AA17" t="str">
            <v>N/A</v>
          </cell>
          <cell r="AB17" t="str">
            <v>N/A</v>
          </cell>
        </row>
        <row r="18">
          <cell r="O18" t="str">
            <v>N/A</v>
          </cell>
          <cell r="P18">
            <v>0.88</v>
          </cell>
          <cell r="Q18">
            <v>1</v>
          </cell>
          <cell r="R18" t="str">
            <v>N/A</v>
          </cell>
          <cell r="S18" t="str">
            <v>N/A</v>
          </cell>
          <cell r="T18" t="str">
            <v>N/A</v>
          </cell>
          <cell r="U18">
            <v>1</v>
          </cell>
          <cell r="V18" t="str">
            <v>N/A</v>
          </cell>
          <cell r="W18">
            <v>1</v>
          </cell>
          <cell r="X18">
            <v>1</v>
          </cell>
          <cell r="Y18">
            <v>1</v>
          </cell>
          <cell r="Z18">
            <v>0.88</v>
          </cell>
          <cell r="AA18">
            <v>1</v>
          </cell>
          <cell r="AB18">
            <v>0.91</v>
          </cell>
        </row>
        <row r="19">
          <cell r="O19" t="str">
            <v>N/A</v>
          </cell>
          <cell r="P19">
            <v>1</v>
          </cell>
          <cell r="Q19">
            <v>1</v>
          </cell>
          <cell r="R19" t="str">
            <v>N/A</v>
          </cell>
          <cell r="S19" t="str">
            <v>N/A</v>
          </cell>
          <cell r="T19" t="str">
            <v>N/A</v>
          </cell>
          <cell r="U19">
            <v>1</v>
          </cell>
          <cell r="V19" t="str">
            <v>N/A</v>
          </cell>
          <cell r="W19">
            <v>0.82</v>
          </cell>
          <cell r="X19">
            <v>1</v>
          </cell>
          <cell r="Y19">
            <v>1</v>
          </cell>
          <cell r="Z19">
            <v>0.87</v>
          </cell>
          <cell r="AA19">
            <v>1</v>
          </cell>
          <cell r="AB19">
            <v>0.85</v>
          </cell>
        </row>
        <row r="20">
          <cell r="O20" t="str">
            <v>N/A</v>
          </cell>
          <cell r="P20">
            <v>1</v>
          </cell>
          <cell r="Q20">
            <v>1</v>
          </cell>
          <cell r="R20" t="str">
            <v>N/A</v>
          </cell>
          <cell r="S20" t="str">
            <v>N/A</v>
          </cell>
          <cell r="T20" t="str">
            <v>N/A</v>
          </cell>
          <cell r="U20">
            <v>1</v>
          </cell>
          <cell r="V20" t="str">
            <v>N/A</v>
          </cell>
          <cell r="W20">
            <v>1</v>
          </cell>
          <cell r="X20">
            <v>1</v>
          </cell>
          <cell r="Y20">
            <v>1</v>
          </cell>
          <cell r="Z20">
            <v>0.94</v>
          </cell>
          <cell r="AA20">
            <v>0.8</v>
          </cell>
          <cell r="AB20">
            <v>0.82</v>
          </cell>
        </row>
        <row r="21">
          <cell r="O21" t="str">
            <v>N/A</v>
          </cell>
          <cell r="P21">
            <v>1</v>
          </cell>
          <cell r="Q21">
            <v>0.8</v>
          </cell>
          <cell r="R21" t="str">
            <v>N/A</v>
          </cell>
          <cell r="S21" t="str">
            <v>N/A</v>
          </cell>
          <cell r="T21" t="str">
            <v>N/A</v>
          </cell>
          <cell r="U21">
            <v>1</v>
          </cell>
          <cell r="V21" t="str">
            <v>N/A</v>
          </cell>
          <cell r="W21">
            <v>0.88</v>
          </cell>
          <cell r="X21">
            <v>1</v>
          </cell>
          <cell r="Y21">
            <v>1</v>
          </cell>
          <cell r="Z21">
            <v>0.84</v>
          </cell>
          <cell r="AA21">
            <v>1</v>
          </cell>
          <cell r="AB21">
            <v>0.95</v>
          </cell>
        </row>
        <row r="22">
          <cell r="O22" t="str">
            <v>N/A</v>
          </cell>
          <cell r="P22">
            <v>0.88</v>
          </cell>
          <cell r="Q22">
            <v>1</v>
          </cell>
          <cell r="R22" t="str">
            <v>N/A</v>
          </cell>
          <cell r="S22" t="str">
            <v>N/A</v>
          </cell>
          <cell r="T22" t="str">
            <v>N/A</v>
          </cell>
          <cell r="U22">
            <v>1</v>
          </cell>
          <cell r="V22" t="str">
            <v>N/A</v>
          </cell>
          <cell r="W22">
            <v>0.82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C4" t="str">
            <v>Did not Start</v>
          </cell>
          <cell r="F4" t="str">
            <v>Elsa Ayson</v>
          </cell>
        </row>
        <row r="5">
          <cell r="C5" t="str">
            <v>Moved/Joining Alternate Class/Program</v>
          </cell>
          <cell r="F5" t="str">
            <v>Kim Montano</v>
          </cell>
        </row>
        <row r="6">
          <cell r="C6" t="str">
            <v>Moved/Joining Alternate Class/Program</v>
          </cell>
          <cell r="F6" t="str">
            <v>Noren Sicheco</v>
          </cell>
        </row>
        <row r="7">
          <cell r="C7" t="str">
            <v>Resigned Tier 1A</v>
          </cell>
          <cell r="F7" t="str">
            <v>Stiphen Ivan Sayo</v>
          </cell>
        </row>
        <row r="8">
          <cell r="C8" t="str">
            <v>Resigned Tier 1B</v>
          </cell>
          <cell r="F8" t="str">
            <v>Shinji Manalo</v>
          </cell>
        </row>
        <row r="9">
          <cell r="C9" t="str">
            <v>Resigned-Nesting 3</v>
          </cell>
          <cell r="F9" t="str">
            <v>Manolito Jr Sison</v>
          </cell>
        </row>
        <row r="10">
          <cell r="C10" t="str">
            <v>Terminated-Nesting 1A</v>
          </cell>
          <cell r="F10" t="str">
            <v>Mary Jane Del Fonso</v>
          </cell>
        </row>
        <row r="11">
          <cell r="C11" t="str">
            <v>Terminated-Nesting 3</v>
          </cell>
          <cell r="F11" t="str">
            <v>Jhon Ronniel Abello</v>
          </cell>
        </row>
        <row r="12">
          <cell r="C12" t="str">
            <v>Terminated-Nesting 3</v>
          </cell>
          <cell r="F12" t="str">
            <v>Angelyn Joyosa</v>
          </cell>
        </row>
        <row r="13">
          <cell r="C13" t="str">
            <v>Terminated-Nesting 3</v>
          </cell>
          <cell r="F13" t="str">
            <v>Aljon Pacheco</v>
          </cell>
        </row>
        <row r="14">
          <cell r="C14" t="str">
            <v>Terminated-Nesting 3</v>
          </cell>
          <cell r="F14" t="str">
            <v>John Rey</v>
          </cell>
        </row>
        <row r="15">
          <cell r="C15" t="str">
            <v>Terminated-Nesting 3</v>
          </cell>
          <cell r="F15" t="str">
            <v>Cris Soriano</v>
          </cell>
        </row>
        <row r="16">
          <cell r="C16" t="str">
            <v>Terminated-Nesting 3</v>
          </cell>
          <cell r="F16" t="str">
            <v>Jonah Ross Valdez</v>
          </cell>
        </row>
        <row r="17">
          <cell r="C17" t="str">
            <v>Transition to Production</v>
          </cell>
          <cell r="F17" t="str">
            <v>Gesirey Abalona</v>
          </cell>
        </row>
        <row r="18">
          <cell r="C18" t="str">
            <v>Transition to Production</v>
          </cell>
          <cell r="F18" t="str">
            <v>Jean Reane Aresco</v>
          </cell>
        </row>
        <row r="19">
          <cell r="C19" t="str">
            <v>Transition to Production</v>
          </cell>
          <cell r="F19" t="str">
            <v>Mhark Cundiman</v>
          </cell>
        </row>
        <row r="20">
          <cell r="C20" t="str">
            <v>Transition to Production</v>
          </cell>
          <cell r="F20" t="str">
            <v>Allyzza Joaquin</v>
          </cell>
        </row>
        <row r="21">
          <cell r="C21" t="str">
            <v>Transition to Production</v>
          </cell>
          <cell r="F21" t="str">
            <v>Manolito Jr Manliclic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ily Checklist"/>
      <sheetName val="Class Summary"/>
      <sheetName val="Student Data"/>
      <sheetName val="Preprocess SWOT"/>
      <sheetName val="Day 1 WFH Audit"/>
      <sheetName val="Attendance"/>
      <sheetName val="Perform Tier 2"/>
      <sheetName val="Performance RSA"/>
      <sheetName val="Preprocess Training Report"/>
      <sheetName val="Skill Assessment"/>
      <sheetName val="Observation"/>
      <sheetName val="Performance"/>
      <sheetName val="PCB Nesting QA"/>
      <sheetName val="KPI Dashboard"/>
      <sheetName val="PCB Handoff Page - (Non-Sales)"/>
      <sheetName val="Perf. Mgmnt"/>
      <sheetName val="Nesting Sales"/>
      <sheetName val="RSA Fraud Error Summary"/>
      <sheetName val="PCB Handoff Page (Sales)"/>
      <sheetName val="QBR"/>
      <sheetName val="Reporting"/>
    </sheetNames>
    <sheetDataSet>
      <sheetData sheetId="0"/>
      <sheetData sheetId="1"/>
      <sheetData sheetId="2">
        <row r="10">
          <cell r="B10" t="str">
            <v>Irish Ferreras</v>
          </cell>
        </row>
        <row r="11">
          <cell r="B11" t="str">
            <v xml:space="preserve">Maynard Soriano </v>
          </cell>
        </row>
      </sheetData>
      <sheetData sheetId="3">
        <row r="5">
          <cell r="O5">
            <v>350076</v>
          </cell>
        </row>
        <row r="6">
          <cell r="O6">
            <v>350069</v>
          </cell>
        </row>
        <row r="7">
          <cell r="O7">
            <v>350067</v>
          </cell>
        </row>
        <row r="8">
          <cell r="O8">
            <v>350074</v>
          </cell>
        </row>
        <row r="9">
          <cell r="O9">
            <v>350077</v>
          </cell>
        </row>
        <row r="10">
          <cell r="O10">
            <v>350066</v>
          </cell>
        </row>
        <row r="11">
          <cell r="O11"/>
        </row>
        <row r="12">
          <cell r="O12">
            <v>350075</v>
          </cell>
        </row>
        <row r="13">
          <cell r="O13">
            <v>350073</v>
          </cell>
        </row>
        <row r="14">
          <cell r="O14">
            <v>350065</v>
          </cell>
        </row>
        <row r="15">
          <cell r="O15">
            <v>350071</v>
          </cell>
        </row>
        <row r="16">
          <cell r="O16">
            <v>350068</v>
          </cell>
        </row>
        <row r="17">
          <cell r="O17">
            <v>350072</v>
          </cell>
        </row>
        <row r="18">
          <cell r="O18">
            <v>350457</v>
          </cell>
        </row>
        <row r="19">
          <cell r="O19">
            <v>348444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I5">
            <v>1</v>
          </cell>
          <cell r="J5">
            <v>0.88</v>
          </cell>
          <cell r="K5">
            <v>1</v>
          </cell>
          <cell r="L5" t="str">
            <v>N/A</v>
          </cell>
          <cell r="M5" t="str">
            <v>N/A</v>
          </cell>
          <cell r="N5" t="str">
            <v>N/A</v>
          </cell>
          <cell r="O5">
            <v>1</v>
          </cell>
          <cell r="P5" t="str">
            <v>N/A</v>
          </cell>
          <cell r="Q5">
            <v>0.82</v>
          </cell>
          <cell r="R5">
            <v>1</v>
          </cell>
          <cell r="S5">
            <v>1</v>
          </cell>
          <cell r="T5">
            <v>0.94</v>
          </cell>
          <cell r="U5">
            <v>1</v>
          </cell>
          <cell r="V5">
            <v>0.87</v>
          </cell>
        </row>
        <row r="6">
          <cell r="I6">
            <v>1</v>
          </cell>
          <cell r="J6">
            <v>1</v>
          </cell>
          <cell r="K6">
            <v>0.8</v>
          </cell>
          <cell r="L6" t="str">
            <v>N/A</v>
          </cell>
          <cell r="M6" t="str">
            <v>N/A</v>
          </cell>
          <cell r="N6" t="str">
            <v>N/A</v>
          </cell>
          <cell r="O6">
            <v>1</v>
          </cell>
          <cell r="P6" t="str">
            <v>N/A</v>
          </cell>
          <cell r="Q6">
            <v>0.82</v>
          </cell>
          <cell r="R6">
            <v>1</v>
          </cell>
          <cell r="S6">
            <v>1</v>
          </cell>
          <cell r="T6">
            <v>0.92</v>
          </cell>
          <cell r="U6">
            <v>1</v>
          </cell>
          <cell r="V6">
            <v>0.93</v>
          </cell>
        </row>
        <row r="7">
          <cell r="I7">
            <v>1</v>
          </cell>
          <cell r="J7">
            <v>0.88</v>
          </cell>
          <cell r="K7">
            <v>0.8</v>
          </cell>
          <cell r="L7" t="str">
            <v>N/A</v>
          </cell>
          <cell r="M7" t="str">
            <v>N/A</v>
          </cell>
          <cell r="N7" t="str">
            <v>N/A</v>
          </cell>
          <cell r="O7">
            <v>1</v>
          </cell>
          <cell r="P7" t="str">
            <v>N/A</v>
          </cell>
          <cell r="Q7">
            <v>0.88</v>
          </cell>
          <cell r="R7">
            <v>1</v>
          </cell>
          <cell r="S7">
            <v>1</v>
          </cell>
          <cell r="T7">
            <v>0.88</v>
          </cell>
          <cell r="U7">
            <v>1</v>
          </cell>
          <cell r="V7">
            <v>0.85</v>
          </cell>
        </row>
        <row r="8">
          <cell r="I8">
            <v>1</v>
          </cell>
          <cell r="J8">
            <v>0.88</v>
          </cell>
          <cell r="K8">
            <v>1</v>
          </cell>
          <cell r="L8" t="str">
            <v>N/A</v>
          </cell>
          <cell r="M8" t="str">
            <v>N/A</v>
          </cell>
          <cell r="N8" t="str">
            <v>N/A</v>
          </cell>
          <cell r="O8">
            <v>1</v>
          </cell>
          <cell r="P8" t="str">
            <v>N/A</v>
          </cell>
          <cell r="Q8">
            <v>0.88</v>
          </cell>
          <cell r="R8">
            <v>1</v>
          </cell>
          <cell r="S8">
            <v>1</v>
          </cell>
          <cell r="T8">
            <v>1</v>
          </cell>
          <cell r="U8">
            <v>0.8</v>
          </cell>
          <cell r="V8">
            <v>0.87</v>
          </cell>
        </row>
        <row r="9">
          <cell r="I9">
            <v>1</v>
          </cell>
          <cell r="J9">
            <v>0.88</v>
          </cell>
          <cell r="K9">
            <v>1</v>
          </cell>
          <cell r="L9" t="str">
            <v>N/A</v>
          </cell>
          <cell r="M9" t="str">
            <v>N/A</v>
          </cell>
          <cell r="N9" t="str">
            <v>N/A</v>
          </cell>
          <cell r="O9">
            <v>1</v>
          </cell>
          <cell r="P9" t="str">
            <v>N/A</v>
          </cell>
          <cell r="Q9">
            <v>0.82</v>
          </cell>
          <cell r="R9">
            <v>1</v>
          </cell>
          <cell r="S9">
            <v>1</v>
          </cell>
          <cell r="T9">
            <v>1</v>
          </cell>
          <cell r="U9">
            <v>0.8</v>
          </cell>
          <cell r="V9">
            <v>1</v>
          </cell>
        </row>
        <row r="10">
          <cell r="I10">
            <v>1</v>
          </cell>
          <cell r="J10">
            <v>1</v>
          </cell>
          <cell r="K10">
            <v>1</v>
          </cell>
          <cell r="L10" t="str">
            <v>N/A</v>
          </cell>
          <cell r="M10" t="str">
            <v>N/A</v>
          </cell>
          <cell r="N10" t="str">
            <v>N/A</v>
          </cell>
          <cell r="O10">
            <v>1</v>
          </cell>
          <cell r="P10" t="str">
            <v>N/A</v>
          </cell>
          <cell r="Q10">
            <v>0.82</v>
          </cell>
          <cell r="R10">
            <v>1</v>
          </cell>
          <cell r="S10">
            <v>1</v>
          </cell>
          <cell r="T10">
            <v>1</v>
          </cell>
          <cell r="U10">
            <v>0.8</v>
          </cell>
          <cell r="V10">
            <v>0.95</v>
          </cell>
        </row>
        <row r="11">
          <cell r="I11" t="str">
            <v>Did Not Start</v>
          </cell>
          <cell r="J11" t="str">
            <v>Did Not Start</v>
          </cell>
          <cell r="K11" t="str">
            <v>Did Not Start</v>
          </cell>
          <cell r="L11" t="str">
            <v>N/A</v>
          </cell>
          <cell r="M11" t="str">
            <v>N/A</v>
          </cell>
          <cell r="N11" t="str">
            <v>N/A</v>
          </cell>
          <cell r="O11" t="str">
            <v>Did Not Start</v>
          </cell>
          <cell r="P11" t="str">
            <v>N/A</v>
          </cell>
          <cell r="Q11" t="str">
            <v>Did Not Start</v>
          </cell>
          <cell r="R11" t="str">
            <v>Did Not Start</v>
          </cell>
          <cell r="S11" t="str">
            <v>Did Not Start</v>
          </cell>
          <cell r="T11" t="str">
            <v>Did Not Start</v>
          </cell>
          <cell r="U11" t="str">
            <v>Did Not Start</v>
          </cell>
          <cell r="V11" t="str">
            <v>Did Not Start</v>
          </cell>
        </row>
        <row r="12">
          <cell r="I12">
            <v>1</v>
          </cell>
          <cell r="J12">
            <v>0.88</v>
          </cell>
          <cell r="K12">
            <v>1</v>
          </cell>
          <cell r="L12" t="str">
            <v>N/A</v>
          </cell>
          <cell r="M12" t="str">
            <v>N/A</v>
          </cell>
          <cell r="N12" t="str">
            <v>N/A</v>
          </cell>
          <cell r="O12">
            <v>1</v>
          </cell>
          <cell r="P12" t="str">
            <v>N/A</v>
          </cell>
          <cell r="Q12">
            <v>0.88</v>
          </cell>
          <cell r="R12">
            <v>1</v>
          </cell>
          <cell r="S12">
            <v>1</v>
          </cell>
          <cell r="T12">
            <v>1</v>
          </cell>
          <cell r="U12">
            <v>0.8</v>
          </cell>
          <cell r="V12" t="str">
            <v>Resigned</v>
          </cell>
        </row>
        <row r="13">
          <cell r="I13">
            <v>1</v>
          </cell>
          <cell r="J13">
            <v>0.88</v>
          </cell>
          <cell r="K13">
            <v>1</v>
          </cell>
          <cell r="L13" t="str">
            <v>N/A</v>
          </cell>
          <cell r="M13" t="str">
            <v>N/A</v>
          </cell>
          <cell r="N13" t="str">
            <v>N/A</v>
          </cell>
          <cell r="O13">
            <v>1</v>
          </cell>
          <cell r="P13" t="str">
            <v>N/A</v>
          </cell>
          <cell r="Q13">
            <v>0.83</v>
          </cell>
          <cell r="R13">
            <v>1</v>
          </cell>
          <cell r="S13">
            <v>1</v>
          </cell>
          <cell r="T13">
            <v>0.88</v>
          </cell>
          <cell r="U13">
            <v>1</v>
          </cell>
          <cell r="V13">
            <v>0.85</v>
          </cell>
        </row>
        <row r="14">
          <cell r="I14">
            <v>1</v>
          </cell>
          <cell r="J14">
            <v>1</v>
          </cell>
          <cell r="K14">
            <v>1</v>
          </cell>
          <cell r="L14" t="str">
            <v>N/A</v>
          </cell>
          <cell r="M14" t="str">
            <v>N/A</v>
          </cell>
          <cell r="N14" t="str">
            <v>N/A</v>
          </cell>
          <cell r="O14">
            <v>1</v>
          </cell>
          <cell r="P14" t="str">
            <v>N/A</v>
          </cell>
          <cell r="Q14">
            <v>0.94</v>
          </cell>
          <cell r="R14">
            <v>1</v>
          </cell>
          <cell r="S14">
            <v>1</v>
          </cell>
          <cell r="T14">
            <v>0.9</v>
          </cell>
          <cell r="U14">
            <v>0.8</v>
          </cell>
          <cell r="V14">
            <v>0.9</v>
          </cell>
        </row>
        <row r="15">
          <cell r="I15">
            <v>1</v>
          </cell>
          <cell r="J15">
            <v>0.88</v>
          </cell>
          <cell r="K15">
            <v>1</v>
          </cell>
          <cell r="L15" t="str">
            <v>N/A</v>
          </cell>
          <cell r="M15" t="str">
            <v>N/A</v>
          </cell>
          <cell r="N15" t="str">
            <v>N/A</v>
          </cell>
          <cell r="O15">
            <v>1</v>
          </cell>
          <cell r="P15" t="str">
            <v>N/A</v>
          </cell>
          <cell r="Q15">
            <v>0.8</v>
          </cell>
          <cell r="R15">
            <v>1</v>
          </cell>
          <cell r="S15">
            <v>1</v>
          </cell>
          <cell r="T15">
            <v>0.8</v>
          </cell>
          <cell r="U15">
            <v>1</v>
          </cell>
          <cell r="V15">
            <v>0.93</v>
          </cell>
        </row>
        <row r="16">
          <cell r="I16">
            <v>1</v>
          </cell>
          <cell r="J16">
            <v>0.88</v>
          </cell>
          <cell r="K16">
            <v>1</v>
          </cell>
          <cell r="L16" t="str">
            <v>N/A</v>
          </cell>
          <cell r="M16" t="str">
            <v>N/A</v>
          </cell>
          <cell r="N16" t="str">
            <v>N/A</v>
          </cell>
          <cell r="O16">
            <v>1</v>
          </cell>
          <cell r="P16" t="str">
            <v>N/A</v>
          </cell>
          <cell r="Q16">
            <v>1</v>
          </cell>
          <cell r="R16">
            <v>1</v>
          </cell>
          <cell r="S16">
            <v>1</v>
          </cell>
          <cell r="T16">
            <v>0.94</v>
          </cell>
          <cell r="U16">
            <v>1</v>
          </cell>
          <cell r="V16">
            <v>0.98</v>
          </cell>
        </row>
        <row r="17">
          <cell r="I17">
            <v>1</v>
          </cell>
          <cell r="J17">
            <v>1</v>
          </cell>
          <cell r="K17">
            <v>1</v>
          </cell>
          <cell r="L17" t="str">
            <v>N/A</v>
          </cell>
          <cell r="M17" t="str">
            <v>N/A</v>
          </cell>
          <cell r="N17" t="str">
            <v>N/A</v>
          </cell>
          <cell r="O17">
            <v>1</v>
          </cell>
          <cell r="P17" t="str">
            <v>N/A</v>
          </cell>
          <cell r="Q17">
            <v>1</v>
          </cell>
          <cell r="R17">
            <v>1</v>
          </cell>
          <cell r="S17">
            <v>1</v>
          </cell>
          <cell r="T17">
            <v>0.88</v>
          </cell>
          <cell r="U17">
            <v>1</v>
          </cell>
          <cell r="V17">
            <v>1</v>
          </cell>
        </row>
        <row r="18">
          <cell r="I18">
            <v>1</v>
          </cell>
          <cell r="J18">
            <v>1</v>
          </cell>
          <cell r="K18">
            <v>1</v>
          </cell>
          <cell r="L18" t="str">
            <v>N/A</v>
          </cell>
          <cell r="M18" t="str">
            <v>N/A</v>
          </cell>
          <cell r="N18" t="str">
            <v>N/A</v>
          </cell>
          <cell r="O18">
            <v>1</v>
          </cell>
          <cell r="P18" t="str">
            <v>N/A</v>
          </cell>
          <cell r="Q18">
            <v>0.88</v>
          </cell>
          <cell r="R18">
            <v>1</v>
          </cell>
          <cell r="S18">
            <v>1</v>
          </cell>
          <cell r="T18">
            <v>0.94</v>
          </cell>
          <cell r="U18">
            <v>1</v>
          </cell>
          <cell r="V18">
            <v>0.89</v>
          </cell>
        </row>
        <row r="19">
          <cell r="I19" t="str">
            <v>NTT</v>
          </cell>
          <cell r="J19">
            <v>1</v>
          </cell>
          <cell r="K19">
            <v>1</v>
          </cell>
          <cell r="L19" t="str">
            <v>N/A</v>
          </cell>
          <cell r="M19" t="str">
            <v>N/A</v>
          </cell>
          <cell r="N19" t="str">
            <v>N/A</v>
          </cell>
          <cell r="O19">
            <v>1</v>
          </cell>
          <cell r="P19" t="str">
            <v>N/A</v>
          </cell>
          <cell r="Q19">
            <v>0.94</v>
          </cell>
          <cell r="R19">
            <v>1</v>
          </cell>
          <cell r="S19"/>
          <cell r="T19">
            <v>1</v>
          </cell>
          <cell r="U19"/>
          <cell r="V19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C4" t="str">
            <v>Resigned-Nesting 3</v>
          </cell>
          <cell r="F4" t="str">
            <v>Al-nair Zambrano</v>
          </cell>
        </row>
        <row r="5">
          <cell r="C5" t="str">
            <v>Moved/Joining Alternate Class/Program</v>
          </cell>
          <cell r="F5" t="str">
            <v>Elsa Ayson</v>
          </cell>
        </row>
        <row r="6">
          <cell r="C6" t="str">
            <v>Nesting 3</v>
          </cell>
          <cell r="F6" t="str">
            <v>Anna Luisa Badong</v>
          </cell>
        </row>
        <row r="7">
          <cell r="C7" t="str">
            <v>Nesting 3</v>
          </cell>
          <cell r="F7" t="str">
            <v>Joan Dangalan</v>
          </cell>
        </row>
        <row r="8">
          <cell r="C8" t="str">
            <v>Nesting 3</v>
          </cell>
          <cell r="F8" t="str">
            <v>Joana Marie Endegado</v>
          </cell>
        </row>
        <row r="9">
          <cell r="C9" t="str">
            <v>Nesting 3</v>
          </cell>
          <cell r="F9" t="str">
            <v>Anne Margarette Endrina</v>
          </cell>
        </row>
        <row r="10">
          <cell r="C10" t="str">
            <v>Did not Start</v>
          </cell>
          <cell r="F10" t="str">
            <v>Dave Adrian Gutierrez</v>
          </cell>
        </row>
        <row r="11">
          <cell r="C11" t="str">
            <v>Resigned Tier 1A</v>
          </cell>
          <cell r="F11" t="str">
            <v>Lady Grace Latoja</v>
          </cell>
        </row>
        <row r="12">
          <cell r="C12" t="str">
            <v>Moved/Joining Alternate Class/Program</v>
          </cell>
          <cell r="F12" t="str">
            <v>Shiane Magyaya</v>
          </cell>
        </row>
        <row r="13">
          <cell r="C13" t="str">
            <v>Resigned-Nesting 3</v>
          </cell>
          <cell r="F13" t="str">
            <v>Alyssa Mariz Reglos</v>
          </cell>
        </row>
        <row r="14">
          <cell r="C14" t="str">
            <v>Terminated-Nesting 1B</v>
          </cell>
          <cell r="F14" t="str">
            <v>Emarie Mae Ricafranca</v>
          </cell>
        </row>
        <row r="15">
          <cell r="C15" t="str">
            <v>Nesting 3</v>
          </cell>
          <cell r="F15" t="str">
            <v>Cassandra Vito</v>
          </cell>
        </row>
        <row r="16">
          <cell r="C16" t="str">
            <v>Nesting 3</v>
          </cell>
          <cell r="F16" t="str">
            <v>Glemuel Ganiron</v>
          </cell>
        </row>
        <row r="17">
          <cell r="C17" t="str">
            <v>Moved/Joining Alternate Class/Program</v>
          </cell>
          <cell r="F17" t="str">
            <v>Ronaldo Solis</v>
          </cell>
        </row>
        <row r="18">
          <cell r="C18" t="str">
            <v>Resigned-Nesting 1A</v>
          </cell>
          <cell r="F18" t="str">
            <v>Michael Andrei  Moya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ily Checklist"/>
      <sheetName val="Class Summary"/>
      <sheetName val="Preprocess SWOT"/>
      <sheetName val="Student Data"/>
      <sheetName val="Performance"/>
      <sheetName val="Attendance"/>
      <sheetName val="Perform Tier 2"/>
      <sheetName val="Performance RSA"/>
      <sheetName val="Preprocess Training Report"/>
      <sheetName val="Skill Assessment"/>
      <sheetName val="PCB Nesting QA"/>
      <sheetName val="Observation"/>
      <sheetName val="PCB Handoff Page - (Non-Sales)"/>
      <sheetName val="KPI Dashboard"/>
      <sheetName val="Perf. Mgmnt"/>
      <sheetName val="Nesting Sales"/>
      <sheetName val="RSA Fraud Error Summary"/>
      <sheetName val="PCB Handoff Page (Sales)"/>
      <sheetName val="QBR"/>
      <sheetName val="Reporting"/>
      <sheetName val="Day 1 WFH Audit"/>
    </sheetNames>
    <sheetDataSet>
      <sheetData sheetId="0"/>
      <sheetData sheetId="1"/>
      <sheetData sheetId="2"/>
      <sheetData sheetId="3"/>
      <sheetData sheetId="4">
        <row r="5">
          <cell r="G5" t="str">
            <v>Nesting 3</v>
          </cell>
          <cell r="O5">
            <v>509514</v>
          </cell>
        </row>
        <row r="6">
          <cell r="G6" t="str">
            <v>Nesting 3</v>
          </cell>
          <cell r="O6">
            <v>509492</v>
          </cell>
        </row>
        <row r="7">
          <cell r="G7" t="str">
            <v>Nesting 3</v>
          </cell>
          <cell r="O7">
            <v>509722</v>
          </cell>
        </row>
        <row r="8">
          <cell r="G8" t="str">
            <v>Nesting 3</v>
          </cell>
          <cell r="O8">
            <v>509512</v>
          </cell>
        </row>
        <row r="9">
          <cell r="G9" t="str">
            <v>Nesting 3</v>
          </cell>
          <cell r="O9">
            <v>509487</v>
          </cell>
        </row>
        <row r="10">
          <cell r="G10" t="str">
            <v>Nesting 3</v>
          </cell>
          <cell r="O10">
            <v>509516</v>
          </cell>
        </row>
        <row r="11">
          <cell r="G11" t="str">
            <v>Nesting 3</v>
          </cell>
          <cell r="O11">
            <v>509520</v>
          </cell>
        </row>
        <row r="12">
          <cell r="G12" t="str">
            <v>Nesting 3</v>
          </cell>
          <cell r="O12">
            <v>509519</v>
          </cell>
        </row>
        <row r="13">
          <cell r="G13" t="str">
            <v>Nesting 3</v>
          </cell>
          <cell r="O13">
            <v>509517</v>
          </cell>
        </row>
        <row r="14">
          <cell r="G14" t="str">
            <v>Nesting 3</v>
          </cell>
          <cell r="O14">
            <v>509489</v>
          </cell>
        </row>
        <row r="15">
          <cell r="G15" t="str">
            <v>Nesting 3</v>
          </cell>
          <cell r="O15">
            <v>509511</v>
          </cell>
        </row>
        <row r="16">
          <cell r="G16" t="str">
            <v>Nesting 3</v>
          </cell>
          <cell r="O16">
            <v>509513</v>
          </cell>
        </row>
        <row r="17">
          <cell r="G17" t="str">
            <v>Nesting 3</v>
          </cell>
          <cell r="O17">
            <v>509491</v>
          </cell>
        </row>
        <row r="18">
          <cell r="G18" t="str">
            <v>Nesting 3</v>
          </cell>
          <cell r="O18">
            <v>509515</v>
          </cell>
        </row>
        <row r="19">
          <cell r="G19" t="str">
            <v>Nesting 3</v>
          </cell>
          <cell r="O19">
            <v>509521</v>
          </cell>
        </row>
        <row r="20">
          <cell r="G20" t="str">
            <v>Nesting 3</v>
          </cell>
          <cell r="O20">
            <v>509523</v>
          </cell>
        </row>
      </sheetData>
      <sheetData sheetId="5">
        <row r="5">
          <cell r="I5" t="str">
            <v>NA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/>
          <cell r="P5">
            <v>1</v>
          </cell>
          <cell r="Q5">
            <v>1</v>
          </cell>
          <cell r="X5">
            <v>1</v>
          </cell>
          <cell r="Y5">
            <v>1</v>
          </cell>
          <cell r="Z5">
            <v>0.92</v>
          </cell>
          <cell r="AA5">
            <v>1</v>
          </cell>
          <cell r="AB5">
            <v>0.8</v>
          </cell>
        </row>
        <row r="6">
          <cell r="I6" t="str">
            <v>NA</v>
          </cell>
          <cell r="J6" t="str">
            <v>NA</v>
          </cell>
          <cell r="K6" t="str">
            <v>NA</v>
          </cell>
          <cell r="L6" t="str">
            <v>NA</v>
          </cell>
          <cell r="M6" t="str">
            <v>NA</v>
          </cell>
          <cell r="N6" t="str">
            <v>NA</v>
          </cell>
          <cell r="O6"/>
          <cell r="P6">
            <v>1</v>
          </cell>
          <cell r="Q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0.9</v>
          </cell>
        </row>
        <row r="7">
          <cell r="I7" t="str">
            <v>NA</v>
          </cell>
          <cell r="J7" t="str">
            <v>NA</v>
          </cell>
          <cell r="K7" t="str">
            <v>NA</v>
          </cell>
          <cell r="L7" t="str">
            <v>NA</v>
          </cell>
          <cell r="M7" t="str">
            <v>NA</v>
          </cell>
          <cell r="N7" t="str">
            <v>NA</v>
          </cell>
          <cell r="O7"/>
          <cell r="P7">
            <v>1</v>
          </cell>
          <cell r="Q7">
            <v>1</v>
          </cell>
          <cell r="X7">
            <v>1</v>
          </cell>
          <cell r="Y7">
            <v>1</v>
          </cell>
          <cell r="Z7">
            <v>0.84</v>
          </cell>
          <cell r="AA7">
            <v>1</v>
          </cell>
          <cell r="AB7">
            <v>0.9</v>
          </cell>
        </row>
        <row r="8">
          <cell r="I8" t="str">
            <v>NA</v>
          </cell>
          <cell r="J8" t="str">
            <v>NA</v>
          </cell>
          <cell r="K8" t="str">
            <v>NA</v>
          </cell>
          <cell r="L8" t="str">
            <v>NA</v>
          </cell>
          <cell r="M8" t="str">
            <v>NA</v>
          </cell>
          <cell r="N8" t="str">
            <v>NA</v>
          </cell>
          <cell r="O8"/>
          <cell r="P8">
            <v>0.88</v>
          </cell>
          <cell r="Q8">
            <v>1</v>
          </cell>
          <cell r="X8">
            <v>1</v>
          </cell>
          <cell r="Y8">
            <v>1</v>
          </cell>
          <cell r="Z8">
            <v>1</v>
          </cell>
          <cell r="AA8">
            <v>0.8</v>
          </cell>
          <cell r="AB8">
            <v>1</v>
          </cell>
        </row>
        <row r="9">
          <cell r="I9" t="str">
            <v>NA</v>
          </cell>
          <cell r="J9" t="str">
            <v>NA</v>
          </cell>
          <cell r="K9" t="str">
            <v>NA</v>
          </cell>
          <cell r="L9" t="str">
            <v>NA</v>
          </cell>
          <cell r="M9" t="str">
            <v>NA</v>
          </cell>
          <cell r="N9" t="str">
            <v>NA</v>
          </cell>
          <cell r="O9"/>
          <cell r="P9">
            <v>0.88</v>
          </cell>
          <cell r="Q9">
            <v>1</v>
          </cell>
          <cell r="X9">
            <v>1</v>
          </cell>
          <cell r="Y9">
            <v>1</v>
          </cell>
          <cell r="Z9">
            <v>0.86</v>
          </cell>
          <cell r="AA9">
            <v>0.8</v>
          </cell>
          <cell r="AB9">
            <v>0.88</v>
          </cell>
        </row>
        <row r="10">
          <cell r="I10" t="str">
            <v>NA</v>
          </cell>
          <cell r="J10" t="str">
            <v>NA</v>
          </cell>
          <cell r="K10" t="str">
            <v>NA</v>
          </cell>
          <cell r="L10" t="str">
            <v>NA</v>
          </cell>
          <cell r="M10" t="str">
            <v>NA</v>
          </cell>
          <cell r="N10" t="str">
            <v>NA</v>
          </cell>
          <cell r="O10"/>
          <cell r="P10">
            <v>0.88</v>
          </cell>
          <cell r="Q10">
            <v>1</v>
          </cell>
          <cell r="X10">
            <v>1</v>
          </cell>
          <cell r="Y10">
            <v>1</v>
          </cell>
          <cell r="Z10">
            <v>0.9</v>
          </cell>
          <cell r="AA10">
            <v>0.8</v>
          </cell>
          <cell r="AB10">
            <v>0.88</v>
          </cell>
        </row>
        <row r="11">
          <cell r="I11" t="str">
            <v>NA</v>
          </cell>
          <cell r="J11" t="str">
            <v>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NA</v>
          </cell>
          <cell r="O11"/>
          <cell r="P11">
            <v>0.88</v>
          </cell>
          <cell r="Q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0.9</v>
          </cell>
        </row>
        <row r="12">
          <cell r="I12" t="str">
            <v>NA</v>
          </cell>
          <cell r="J12" t="str">
            <v>NA</v>
          </cell>
          <cell r="K12" t="str">
            <v>NA</v>
          </cell>
          <cell r="L12" t="str">
            <v>NA</v>
          </cell>
          <cell r="M12" t="str">
            <v>NA</v>
          </cell>
          <cell r="N12" t="str">
            <v>NA</v>
          </cell>
          <cell r="O12"/>
          <cell r="P12">
            <v>1</v>
          </cell>
          <cell r="Q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0.9</v>
          </cell>
        </row>
        <row r="13">
          <cell r="I13" t="str">
            <v>NA</v>
          </cell>
          <cell r="J13" t="str">
            <v>NA</v>
          </cell>
          <cell r="K13" t="str">
            <v>NA</v>
          </cell>
          <cell r="L13" t="str">
            <v>NA</v>
          </cell>
          <cell r="M13" t="str">
            <v>NA</v>
          </cell>
          <cell r="N13" t="str">
            <v>NA</v>
          </cell>
          <cell r="O13"/>
          <cell r="P13">
            <v>1</v>
          </cell>
          <cell r="Q13">
            <v>0.8</v>
          </cell>
          <cell r="X13">
            <v>1</v>
          </cell>
          <cell r="Y13">
            <v>1</v>
          </cell>
          <cell r="Z13">
            <v>0.92</v>
          </cell>
          <cell r="AA13">
            <v>0.8</v>
          </cell>
          <cell r="AB13">
            <v>0.95</v>
          </cell>
        </row>
        <row r="14">
          <cell r="I14" t="str">
            <v>NA</v>
          </cell>
          <cell r="J14" t="str">
            <v>NA</v>
          </cell>
          <cell r="K14" t="str">
            <v>NA</v>
          </cell>
          <cell r="L14" t="str">
            <v>NA</v>
          </cell>
          <cell r="M14" t="str">
            <v>NA</v>
          </cell>
          <cell r="N14" t="str">
            <v>NA</v>
          </cell>
          <cell r="O14"/>
          <cell r="P14">
            <v>1</v>
          </cell>
          <cell r="Q14">
            <v>1</v>
          </cell>
          <cell r="X14">
            <v>1</v>
          </cell>
          <cell r="Y14">
            <v>1</v>
          </cell>
          <cell r="Z14">
            <v>0.92</v>
          </cell>
          <cell r="AA14">
            <v>0.8</v>
          </cell>
          <cell r="AB14">
            <v>0.95</v>
          </cell>
        </row>
        <row r="15">
          <cell r="I15" t="str">
            <v>NA</v>
          </cell>
          <cell r="J15" t="str">
            <v>NA</v>
          </cell>
          <cell r="K15" t="str">
            <v>NA</v>
          </cell>
          <cell r="L15" t="str">
            <v>NA</v>
          </cell>
          <cell r="M15" t="str">
            <v>NA</v>
          </cell>
          <cell r="N15" t="str">
            <v>NA</v>
          </cell>
          <cell r="O15"/>
          <cell r="P15">
            <v>1</v>
          </cell>
          <cell r="Q15">
            <v>1</v>
          </cell>
          <cell r="X15">
            <v>1</v>
          </cell>
          <cell r="Y15">
            <v>1</v>
          </cell>
          <cell r="Z15">
            <v>0.88</v>
          </cell>
          <cell r="AA15">
            <v>1</v>
          </cell>
          <cell r="AB15">
            <v>0.95</v>
          </cell>
        </row>
        <row r="16">
          <cell r="I16" t="str">
            <v>NA</v>
          </cell>
          <cell r="J16" t="str">
            <v>NA</v>
          </cell>
          <cell r="K16" t="str">
            <v>NA</v>
          </cell>
          <cell r="L16" t="str">
            <v>NA</v>
          </cell>
          <cell r="M16" t="str">
            <v>NA</v>
          </cell>
          <cell r="N16" t="str">
            <v>NA</v>
          </cell>
          <cell r="O16"/>
          <cell r="P16">
            <v>1</v>
          </cell>
          <cell r="Q16">
            <v>1</v>
          </cell>
          <cell r="X16">
            <v>1</v>
          </cell>
          <cell r="Y16">
            <v>1</v>
          </cell>
          <cell r="Z16">
            <v>0.94</v>
          </cell>
          <cell r="AA16">
            <v>1</v>
          </cell>
          <cell r="AB16">
            <v>0.9</v>
          </cell>
        </row>
        <row r="17">
          <cell r="I17" t="str">
            <v>NA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/>
          <cell r="P17">
            <v>0.88</v>
          </cell>
          <cell r="Q17">
            <v>1</v>
          </cell>
          <cell r="X17">
            <v>1</v>
          </cell>
          <cell r="Y17">
            <v>1</v>
          </cell>
          <cell r="Z17">
            <v>0.81</v>
          </cell>
          <cell r="AA17">
            <v>1</v>
          </cell>
          <cell r="AB17">
            <v>0.9</v>
          </cell>
        </row>
        <row r="18">
          <cell r="I18" t="str">
            <v>NA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/>
          <cell r="P18">
            <v>1</v>
          </cell>
          <cell r="Q18">
            <v>0.8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0.9</v>
          </cell>
        </row>
        <row r="19">
          <cell r="I19" t="str">
            <v>NA</v>
          </cell>
          <cell r="J19" t="str">
            <v>NA</v>
          </cell>
          <cell r="K19" t="str">
            <v>NA</v>
          </cell>
          <cell r="L19" t="str">
            <v>NA</v>
          </cell>
          <cell r="M19" t="str">
            <v>NA</v>
          </cell>
          <cell r="N19" t="str">
            <v>NA</v>
          </cell>
          <cell r="O19"/>
          <cell r="P19">
            <v>1</v>
          </cell>
          <cell r="Q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</row>
        <row r="20">
          <cell r="I20"/>
          <cell r="J20"/>
          <cell r="K20"/>
          <cell r="L20"/>
          <cell r="M20"/>
          <cell r="N20"/>
          <cell r="O20"/>
          <cell r="P20">
            <v>1</v>
          </cell>
          <cell r="Q20">
            <v>1</v>
          </cell>
          <cell r="X20">
            <v>1</v>
          </cell>
          <cell r="Y20">
            <v>1</v>
          </cell>
          <cell r="Z20">
            <v>0.9</v>
          </cell>
          <cell r="AA20">
            <v>1</v>
          </cell>
          <cell r="AB20">
            <v>0.9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Deogratias Biembe Bikopo</v>
          </cell>
        </row>
        <row r="5">
          <cell r="F5" t="str">
            <v>Thiabu Gemima Buloba</v>
          </cell>
        </row>
        <row r="6">
          <cell r="F6" t="str">
            <v>Nadine Empompo Mbaya</v>
          </cell>
        </row>
        <row r="7">
          <cell r="F7" t="str">
            <v>Kevin Kadima</v>
          </cell>
        </row>
        <row r="8">
          <cell r="F8" t="str">
            <v>Benjamin Kalenga Kazembe</v>
          </cell>
        </row>
        <row r="9">
          <cell r="F9" t="str">
            <v>Mboma Thierry Kusaka</v>
          </cell>
        </row>
        <row r="10">
          <cell r="F10" t="str">
            <v>Bansimba Michael Lumbu</v>
          </cell>
        </row>
        <row r="11">
          <cell r="F11" t="str">
            <v>Hardiesse Longo Luyeye</v>
          </cell>
        </row>
        <row r="12">
          <cell r="F12" t="str">
            <v>Bonard Koyo Mayama</v>
          </cell>
        </row>
        <row r="13">
          <cell r="F13" t="str">
            <v>Mbikayi Mbombo</v>
          </cell>
        </row>
        <row r="14">
          <cell r="F14" t="str">
            <v>Rachel Mimboro</v>
          </cell>
        </row>
        <row r="15">
          <cell r="F15" t="str">
            <v>Ukundji Keny Mubanga</v>
          </cell>
        </row>
        <row r="16">
          <cell r="F16" t="str">
            <v>Zoka Sylvanny Nzumba</v>
          </cell>
        </row>
        <row r="17">
          <cell r="F17" t="str">
            <v>Junny Mutanda Tshamala</v>
          </cell>
        </row>
        <row r="18">
          <cell r="F18" t="str">
            <v>Jean Didier Tshibende</v>
          </cell>
        </row>
        <row r="19">
          <cell r="F19" t="str">
            <v xml:space="preserve">Donciela Itele Loola </v>
          </cell>
        </row>
      </sheetData>
      <sheetData sheetId="2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Checklist"/>
      <sheetName val="READ ME"/>
      <sheetName val="Class Summary"/>
      <sheetName val="Preprocess SWOT"/>
      <sheetName val="Student Data"/>
      <sheetName val="Attendance"/>
      <sheetName val="Performance"/>
      <sheetName val="Observation"/>
      <sheetName val="PCB Nesting QA"/>
      <sheetName val="KPI Dashboard"/>
      <sheetName val="PCB Handoff Page - (Non-Sales)"/>
      <sheetName val="Perform Tier 2"/>
      <sheetName val="Performance RSA"/>
      <sheetName val="Preprocess Training Report"/>
      <sheetName val="Skill Assessment"/>
      <sheetName val="Perf. Mgmnt"/>
      <sheetName val="Nesting Sales"/>
      <sheetName val="RSA Fraud Error Summary"/>
      <sheetName val="PCB Handoff Page (Sales)"/>
      <sheetName val="QBR"/>
      <sheetName val="Reporting"/>
      <sheetName val="Day 1 WFH Audit"/>
    </sheetNames>
    <sheetDataSet>
      <sheetData sheetId="0"/>
      <sheetData sheetId="1"/>
      <sheetData sheetId="2"/>
      <sheetData sheetId="3"/>
      <sheetData sheetId="4">
        <row r="5">
          <cell r="G5" t="str">
            <v>Nesting 3</v>
          </cell>
        </row>
        <row r="6">
          <cell r="G6" t="str">
            <v>LOA</v>
          </cell>
        </row>
        <row r="7">
          <cell r="G7" t="str">
            <v>Nesting 3</v>
          </cell>
        </row>
        <row r="8">
          <cell r="G8" t="str">
            <v>Nesting 3</v>
          </cell>
        </row>
        <row r="9">
          <cell r="G9" t="str">
            <v>Moved/Joining Alternate Class/Program</v>
          </cell>
        </row>
        <row r="10">
          <cell r="G10" t="str">
            <v>Nesting 3</v>
          </cell>
        </row>
        <row r="11">
          <cell r="G11" t="str">
            <v>Nesting 3</v>
          </cell>
        </row>
        <row r="12">
          <cell r="G12" t="str">
            <v>Nesting 3</v>
          </cell>
        </row>
        <row r="13">
          <cell r="G13" t="str">
            <v>Nesting 3</v>
          </cell>
        </row>
        <row r="14">
          <cell r="G14" t="str">
            <v>Nesting 3</v>
          </cell>
        </row>
        <row r="15">
          <cell r="G15" t="str">
            <v>Nesting 3</v>
          </cell>
        </row>
        <row r="16">
          <cell r="G16" t="str">
            <v>Nesting 3</v>
          </cell>
        </row>
        <row r="17">
          <cell r="G17" t="str">
            <v>Nesting 3</v>
          </cell>
        </row>
        <row r="18">
          <cell r="G18" t="str">
            <v>LOA</v>
          </cell>
        </row>
        <row r="19">
          <cell r="G19" t="str">
            <v>Nesting 3</v>
          </cell>
        </row>
      </sheetData>
      <sheetData sheetId="5">
        <row r="21">
          <cell r="C21">
            <v>509493</v>
          </cell>
        </row>
        <row r="22">
          <cell r="C22">
            <v>509395</v>
          </cell>
        </row>
        <row r="23">
          <cell r="C23">
            <v>509396</v>
          </cell>
        </row>
        <row r="24">
          <cell r="C24">
            <v>507831</v>
          </cell>
        </row>
        <row r="25">
          <cell r="C25">
            <v>119445</v>
          </cell>
        </row>
        <row r="26">
          <cell r="C26">
            <v>509637</v>
          </cell>
        </row>
        <row r="27">
          <cell r="C27">
            <v>509635</v>
          </cell>
        </row>
        <row r="28">
          <cell r="C28">
            <v>509488</v>
          </cell>
        </row>
        <row r="29">
          <cell r="C29">
            <v>509494</v>
          </cell>
        </row>
        <row r="30">
          <cell r="C30">
            <v>509639</v>
          </cell>
        </row>
        <row r="31">
          <cell r="C31">
            <v>509636</v>
          </cell>
        </row>
        <row r="32">
          <cell r="C32">
            <v>509638</v>
          </cell>
        </row>
        <row r="33">
          <cell r="C33">
            <v>509522</v>
          </cell>
        </row>
        <row r="34">
          <cell r="C34">
            <v>509486</v>
          </cell>
        </row>
        <row r="35">
          <cell r="C35">
            <v>509490</v>
          </cell>
        </row>
      </sheetData>
      <sheetData sheetId="6">
        <row r="5">
          <cell r="I5" t="str">
            <v>Merchants</v>
          </cell>
          <cell r="J5" t="str">
            <v>NA</v>
          </cell>
          <cell r="K5" t="str">
            <v>NA</v>
          </cell>
          <cell r="L5" t="str">
            <v>NA</v>
          </cell>
          <cell r="M5" t="str">
            <v>NA</v>
          </cell>
          <cell r="N5" t="str">
            <v>NA</v>
          </cell>
          <cell r="O5" t="str">
            <v>Merchants</v>
          </cell>
          <cell r="P5">
            <v>1</v>
          </cell>
          <cell r="Q5">
            <v>1</v>
          </cell>
          <cell r="X5">
            <v>1</v>
          </cell>
          <cell r="Y5">
            <v>1</v>
          </cell>
          <cell r="Z5">
            <v>0.94</v>
          </cell>
          <cell r="AA5">
            <v>1</v>
          </cell>
          <cell r="AB5">
            <v>1</v>
          </cell>
        </row>
        <row r="6">
          <cell r="I6" t="str">
            <v>Merchants</v>
          </cell>
          <cell r="J6" t="str">
            <v>NA</v>
          </cell>
          <cell r="K6" t="str">
            <v>NA</v>
          </cell>
          <cell r="L6" t="str">
            <v>NA</v>
          </cell>
          <cell r="M6" t="str">
            <v>NA</v>
          </cell>
          <cell r="N6" t="str">
            <v>NA</v>
          </cell>
          <cell r="O6" t="str">
            <v>Merchants</v>
          </cell>
          <cell r="P6">
            <v>0.88</v>
          </cell>
          <cell r="Q6">
            <v>0.8</v>
          </cell>
          <cell r="X6">
            <v>1</v>
          </cell>
          <cell r="Y6">
            <v>1</v>
          </cell>
          <cell r="Z6">
            <v>0.97</v>
          </cell>
          <cell r="AA6">
            <v>0.8</v>
          </cell>
          <cell r="AB6">
            <v>1</v>
          </cell>
        </row>
        <row r="7">
          <cell r="I7" t="str">
            <v>Merchants</v>
          </cell>
          <cell r="J7" t="str">
            <v>NA</v>
          </cell>
          <cell r="K7" t="str">
            <v>NA</v>
          </cell>
          <cell r="L7" t="str">
            <v>NA</v>
          </cell>
          <cell r="M7" t="str">
            <v>NA</v>
          </cell>
          <cell r="N7" t="str">
            <v>NA</v>
          </cell>
          <cell r="O7" t="str">
            <v>Merchants</v>
          </cell>
          <cell r="P7">
            <v>1</v>
          </cell>
          <cell r="Q7">
            <v>0.8</v>
          </cell>
          <cell r="X7">
            <v>1</v>
          </cell>
          <cell r="Y7">
            <v>1</v>
          </cell>
          <cell r="Z7">
            <v>0.94</v>
          </cell>
          <cell r="AA7">
            <v>1</v>
          </cell>
          <cell r="AB7">
            <v>0.98</v>
          </cell>
        </row>
        <row r="8">
          <cell r="I8" t="str">
            <v>Merchants</v>
          </cell>
          <cell r="J8" t="str">
            <v>NA</v>
          </cell>
          <cell r="K8" t="str">
            <v>NA</v>
          </cell>
          <cell r="L8" t="str">
            <v>NA</v>
          </cell>
          <cell r="M8" t="str">
            <v>NA</v>
          </cell>
          <cell r="N8" t="str">
            <v>NA</v>
          </cell>
          <cell r="O8" t="str">
            <v>Merchants</v>
          </cell>
          <cell r="P8">
            <v>1</v>
          </cell>
          <cell r="Q8">
            <v>1</v>
          </cell>
          <cell r="X8">
            <v>1</v>
          </cell>
          <cell r="Y8">
            <v>1</v>
          </cell>
          <cell r="Z8">
            <v>0.88</v>
          </cell>
          <cell r="AA8">
            <v>0.8</v>
          </cell>
          <cell r="AB8">
            <v>0.96</v>
          </cell>
        </row>
        <row r="9">
          <cell r="I9" t="str">
            <v>Merchants</v>
          </cell>
          <cell r="J9" t="str">
            <v>NA</v>
          </cell>
          <cell r="K9" t="str">
            <v>NA</v>
          </cell>
          <cell r="L9" t="str">
            <v>NA</v>
          </cell>
          <cell r="M9" t="str">
            <v>NA</v>
          </cell>
          <cell r="N9" t="str">
            <v>NA</v>
          </cell>
          <cell r="O9" t="str">
            <v>Merchants</v>
          </cell>
          <cell r="P9">
            <v>1</v>
          </cell>
          <cell r="Q9">
            <v>0.8</v>
          </cell>
          <cell r="X9">
            <v>1</v>
          </cell>
          <cell r="Y9">
            <v>1</v>
          </cell>
          <cell r="Z9">
            <v>0.88</v>
          </cell>
          <cell r="AA9">
            <v>1</v>
          </cell>
          <cell r="AB9">
            <v>0.88</v>
          </cell>
        </row>
        <row r="10">
          <cell r="I10" t="str">
            <v>Merchants</v>
          </cell>
          <cell r="J10" t="str">
            <v>NA</v>
          </cell>
          <cell r="K10" t="str">
            <v>NA</v>
          </cell>
          <cell r="L10" t="str">
            <v>NA</v>
          </cell>
          <cell r="M10" t="str">
            <v>NA</v>
          </cell>
          <cell r="N10" t="str">
            <v>NA</v>
          </cell>
          <cell r="O10" t="str">
            <v>Merchants</v>
          </cell>
          <cell r="P10">
            <v>0.88</v>
          </cell>
          <cell r="Q10">
            <v>1</v>
          </cell>
          <cell r="X10">
            <v>1</v>
          </cell>
          <cell r="Y10">
            <v>1</v>
          </cell>
          <cell r="Z10">
            <v>0.88</v>
          </cell>
          <cell r="AA10">
            <v>0.8</v>
          </cell>
          <cell r="AB10">
            <v>0.88</v>
          </cell>
        </row>
        <row r="11">
          <cell r="I11" t="str">
            <v>Merchants</v>
          </cell>
          <cell r="J11" t="str">
            <v>NA</v>
          </cell>
          <cell r="K11" t="str">
            <v>NA</v>
          </cell>
          <cell r="L11" t="str">
            <v>NA</v>
          </cell>
          <cell r="M11" t="str">
            <v>NA</v>
          </cell>
          <cell r="N11" t="str">
            <v>NA</v>
          </cell>
          <cell r="O11" t="str">
            <v>Merchants</v>
          </cell>
          <cell r="P11">
            <v>0.88</v>
          </cell>
          <cell r="Q11">
            <v>1</v>
          </cell>
          <cell r="X11">
            <v>1</v>
          </cell>
          <cell r="Y11">
            <v>1</v>
          </cell>
          <cell r="Z11">
            <v>0.94</v>
          </cell>
          <cell r="AA11">
            <v>1</v>
          </cell>
          <cell r="AB11">
            <v>0.83</v>
          </cell>
        </row>
        <row r="12">
          <cell r="I12" t="str">
            <v>Merchants</v>
          </cell>
          <cell r="J12" t="str">
            <v>NA</v>
          </cell>
          <cell r="K12" t="str">
            <v>NA</v>
          </cell>
          <cell r="L12" t="str">
            <v>NA</v>
          </cell>
          <cell r="M12" t="str">
            <v>NA</v>
          </cell>
          <cell r="N12" t="str">
            <v>NA</v>
          </cell>
          <cell r="O12" t="str">
            <v>Merchants</v>
          </cell>
          <cell r="P12">
            <v>1</v>
          </cell>
          <cell r="Q12">
            <v>0.8</v>
          </cell>
          <cell r="X12">
            <v>1</v>
          </cell>
          <cell r="Y12">
            <v>1</v>
          </cell>
          <cell r="Z12">
            <v>0.82</v>
          </cell>
          <cell r="AA12">
            <v>1</v>
          </cell>
          <cell r="AB12">
            <v>0.88</v>
          </cell>
        </row>
        <row r="13">
          <cell r="I13" t="str">
            <v>Merchants</v>
          </cell>
          <cell r="J13" t="str">
            <v>NA</v>
          </cell>
          <cell r="K13" t="str">
            <v>NA</v>
          </cell>
          <cell r="L13" t="str">
            <v>NA</v>
          </cell>
          <cell r="M13" t="str">
            <v>NA</v>
          </cell>
          <cell r="N13" t="str">
            <v>NA</v>
          </cell>
          <cell r="O13" t="str">
            <v>Merchants</v>
          </cell>
          <cell r="P13">
            <v>0.88</v>
          </cell>
          <cell r="Q13">
            <v>1</v>
          </cell>
          <cell r="X13">
            <v>1</v>
          </cell>
          <cell r="Y13">
            <v>1</v>
          </cell>
          <cell r="Z13">
            <v>0.94</v>
          </cell>
          <cell r="AA13">
            <v>0.8</v>
          </cell>
          <cell r="AB13">
            <v>0.9</v>
          </cell>
        </row>
        <row r="14">
          <cell r="I14" t="str">
            <v>Merchants</v>
          </cell>
          <cell r="J14" t="str">
            <v>NA</v>
          </cell>
          <cell r="K14" t="str">
            <v>NA</v>
          </cell>
          <cell r="L14" t="str">
            <v>NA</v>
          </cell>
          <cell r="M14" t="str">
            <v>NA</v>
          </cell>
          <cell r="N14" t="str">
            <v>NA</v>
          </cell>
          <cell r="O14" t="str">
            <v>Merchants</v>
          </cell>
          <cell r="P14">
            <v>1</v>
          </cell>
          <cell r="Q14">
            <v>1</v>
          </cell>
          <cell r="X14">
            <v>1</v>
          </cell>
          <cell r="Y14">
            <v>1</v>
          </cell>
          <cell r="Z14">
            <v>0.94</v>
          </cell>
          <cell r="AA14">
            <v>0.8</v>
          </cell>
          <cell r="AB14">
            <v>0.9</v>
          </cell>
        </row>
        <row r="15">
          <cell r="I15" t="str">
            <v>Merchants</v>
          </cell>
          <cell r="J15" t="str">
            <v>NA</v>
          </cell>
          <cell r="K15" t="str">
            <v>NA</v>
          </cell>
          <cell r="L15" t="str">
            <v>NA</v>
          </cell>
          <cell r="M15" t="str">
            <v>NA</v>
          </cell>
          <cell r="N15" t="str">
            <v>NA</v>
          </cell>
          <cell r="O15" t="str">
            <v>Merchants</v>
          </cell>
          <cell r="P15">
            <v>1</v>
          </cell>
          <cell r="Q15">
            <v>0.8</v>
          </cell>
          <cell r="X15">
            <v>1</v>
          </cell>
          <cell r="Y15">
            <v>1</v>
          </cell>
          <cell r="Z15">
            <v>0.82</v>
          </cell>
          <cell r="AA15">
            <v>0.8</v>
          </cell>
          <cell r="AB15">
            <v>0.82</v>
          </cell>
        </row>
        <row r="16">
          <cell r="I16" t="str">
            <v>Merchants</v>
          </cell>
          <cell r="J16" t="str">
            <v>NA</v>
          </cell>
          <cell r="K16" t="str">
            <v>NA</v>
          </cell>
          <cell r="L16" t="str">
            <v>NA</v>
          </cell>
          <cell r="M16" t="str">
            <v>NA</v>
          </cell>
          <cell r="N16" t="str">
            <v>NA</v>
          </cell>
          <cell r="O16" t="str">
            <v>Merchants</v>
          </cell>
          <cell r="P16">
            <v>0.88</v>
          </cell>
          <cell r="Q16">
            <v>1</v>
          </cell>
          <cell r="X16">
            <v>1</v>
          </cell>
          <cell r="Y16">
            <v>1</v>
          </cell>
          <cell r="Z16">
            <v>0.86</v>
          </cell>
          <cell r="AA16">
            <v>1</v>
          </cell>
          <cell r="AB16">
            <v>0.93</v>
          </cell>
        </row>
        <row r="17">
          <cell r="I17" t="str">
            <v>Merchants</v>
          </cell>
          <cell r="J17" t="str">
            <v>NA</v>
          </cell>
          <cell r="K17" t="str">
            <v>NA</v>
          </cell>
          <cell r="L17" t="str">
            <v>NA</v>
          </cell>
          <cell r="M17" t="str">
            <v>NA</v>
          </cell>
          <cell r="N17" t="str">
            <v>NA</v>
          </cell>
          <cell r="O17" t="str">
            <v>Merchants</v>
          </cell>
          <cell r="P17">
            <v>1</v>
          </cell>
          <cell r="Q17">
            <v>0.8</v>
          </cell>
          <cell r="X17">
            <v>1</v>
          </cell>
          <cell r="Y17">
            <v>1</v>
          </cell>
          <cell r="Z17">
            <v>0.92</v>
          </cell>
          <cell r="AA17">
            <v>1</v>
          </cell>
          <cell r="AB17">
            <v>0.9</v>
          </cell>
        </row>
        <row r="18">
          <cell r="I18" t="str">
            <v>Merchants</v>
          </cell>
          <cell r="J18" t="str">
            <v>NA</v>
          </cell>
          <cell r="K18" t="str">
            <v>NA</v>
          </cell>
          <cell r="L18" t="str">
            <v>NA</v>
          </cell>
          <cell r="M18" t="str">
            <v>NA</v>
          </cell>
          <cell r="N18" t="str">
            <v>NA</v>
          </cell>
          <cell r="O18" t="str">
            <v>Merchants</v>
          </cell>
          <cell r="P18">
            <v>0.88</v>
          </cell>
          <cell r="Q18">
            <v>1</v>
          </cell>
          <cell r="X18">
            <v>1</v>
          </cell>
          <cell r="Y18">
            <v>1</v>
          </cell>
          <cell r="Z18">
            <v>0.89</v>
          </cell>
          <cell r="AA18">
            <v>0.8</v>
          </cell>
          <cell r="AB18">
            <v>1</v>
          </cell>
        </row>
        <row r="19">
          <cell r="I19" t="str">
            <v>Merchants</v>
          </cell>
          <cell r="J19" t="str">
            <v>NA</v>
          </cell>
          <cell r="K19" t="str">
            <v>NA</v>
          </cell>
          <cell r="L19" t="str">
            <v>NA</v>
          </cell>
          <cell r="M19" t="str">
            <v>NA</v>
          </cell>
          <cell r="N19" t="str">
            <v>NA</v>
          </cell>
          <cell r="O19" t="str">
            <v>Merchants</v>
          </cell>
          <cell r="P19">
            <v>1</v>
          </cell>
          <cell r="Q19">
            <v>1</v>
          </cell>
          <cell r="X19">
            <v>1</v>
          </cell>
          <cell r="Y19">
            <v>1</v>
          </cell>
          <cell r="Z19">
            <v>0.84</v>
          </cell>
          <cell r="AA19">
            <v>0.8</v>
          </cell>
          <cell r="AB19">
            <v>0.8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Ebondo Claudia Mulimbi</v>
          </cell>
        </row>
        <row r="5">
          <cell r="F5" t="str">
            <v>Bandile Banda</v>
          </cell>
        </row>
        <row r="6">
          <cell r="F6" t="str">
            <v>Dimpho Nosipho Khumalo</v>
          </cell>
        </row>
        <row r="7">
          <cell r="F7" t="str">
            <v>Pretty Palesa Mahlangu</v>
          </cell>
        </row>
        <row r="8">
          <cell r="F8" t="str">
            <v>Nozithelo Clase Mabaso</v>
          </cell>
        </row>
        <row r="9">
          <cell r="F9" t="str">
            <v>Clara Kadjidja</v>
          </cell>
        </row>
        <row r="10">
          <cell r="F10" t="str">
            <v>Alain Menenga Bakama</v>
          </cell>
        </row>
        <row r="11">
          <cell r="F11" t="str">
            <v>Kikadi Johnny Kiwewa</v>
          </cell>
        </row>
        <row r="12">
          <cell r="F12" t="str">
            <v>Mbayo  Muleli</v>
          </cell>
        </row>
        <row r="13">
          <cell r="F13" t="str">
            <v>Annette Tshizanga</v>
          </cell>
        </row>
        <row r="14">
          <cell r="F14" t="str">
            <v>Atou Bosend-Ju</v>
          </cell>
        </row>
        <row r="15">
          <cell r="F15" t="str">
            <v>Alexis Diata  Kalala</v>
          </cell>
        </row>
        <row r="16">
          <cell r="F16" t="str">
            <v>Bahati Samuel Kandolo</v>
          </cell>
        </row>
        <row r="17">
          <cell r="F17" t="str">
            <v>Mvita Hortense Kabanyishi</v>
          </cell>
        </row>
        <row r="18">
          <cell r="F18" t="str">
            <v>Kateba Virginie Lumanya</v>
          </cell>
        </row>
      </sheetData>
      <sheetData sheetId="2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Daily Checklist"/>
      <sheetName val="Class Summary"/>
      <sheetName val="Student Data"/>
      <sheetName val="Preprocess SWOT"/>
      <sheetName val="Attendance"/>
      <sheetName val="Performance"/>
      <sheetName val="Observation"/>
      <sheetName val="Perform Tier 2"/>
      <sheetName val="Performance RSA"/>
      <sheetName val="Preprocess Training Report"/>
      <sheetName val="Skill Assessment"/>
      <sheetName val="PCB Nesting QA"/>
      <sheetName val="KPI Dashboard"/>
      <sheetName val="Perf. Mgmnt"/>
      <sheetName val="PCB Handoff Page - (Non-Sales)"/>
      <sheetName val="Reporting"/>
      <sheetName val="Nesting Sales"/>
      <sheetName val="RSA Fraud Error Summary"/>
      <sheetName val="PCB Handoff Page (Sales)"/>
      <sheetName val="QBR"/>
      <sheetName val="Day 1 WFH Audit"/>
    </sheetNames>
    <sheetDataSet>
      <sheetData sheetId="0"/>
      <sheetData sheetId="1"/>
      <sheetData sheetId="2"/>
      <sheetData sheetId="3">
        <row r="5">
          <cell r="O5">
            <v>509719</v>
          </cell>
        </row>
        <row r="6">
          <cell r="O6">
            <v>509726</v>
          </cell>
        </row>
        <row r="7">
          <cell r="O7">
            <v>509717</v>
          </cell>
        </row>
        <row r="8">
          <cell r="O8">
            <v>509727</v>
          </cell>
        </row>
        <row r="9">
          <cell r="O9">
            <v>509718</v>
          </cell>
        </row>
        <row r="10">
          <cell r="O10">
            <v>509720</v>
          </cell>
        </row>
        <row r="11">
          <cell r="O11">
            <v>509728</v>
          </cell>
        </row>
        <row r="12">
          <cell r="O12">
            <v>509735</v>
          </cell>
        </row>
        <row r="13">
          <cell r="O13">
            <v>509734</v>
          </cell>
        </row>
        <row r="14">
          <cell r="O14">
            <v>509737</v>
          </cell>
        </row>
        <row r="15">
          <cell r="O15">
            <v>509738</v>
          </cell>
        </row>
        <row r="16">
          <cell r="O16">
            <v>509751</v>
          </cell>
        </row>
        <row r="17">
          <cell r="O17">
            <v>509752</v>
          </cell>
        </row>
        <row r="18">
          <cell r="O18">
            <v>509777</v>
          </cell>
        </row>
        <row r="19">
          <cell r="O19">
            <v>509659</v>
          </cell>
        </row>
        <row r="20">
          <cell r="O20">
            <v>509716</v>
          </cell>
        </row>
        <row r="21">
          <cell r="O21">
            <v>508877</v>
          </cell>
        </row>
        <row r="22">
          <cell r="O22">
            <v>509733</v>
          </cell>
        </row>
      </sheetData>
      <sheetData sheetId="4"/>
      <sheetData sheetId="5"/>
      <sheetData sheetId="6">
        <row r="5">
          <cell r="I5" t="str">
            <v>Merchants</v>
          </cell>
          <cell r="J5" t="str">
            <v>Merchants</v>
          </cell>
          <cell r="K5" t="str">
            <v>Merchants</v>
          </cell>
          <cell r="L5" t="str">
            <v>Merchants</v>
          </cell>
          <cell r="M5" t="str">
            <v>Merchants</v>
          </cell>
          <cell r="N5" t="str">
            <v>Merchants</v>
          </cell>
          <cell r="O5" t="str">
            <v>Merchants</v>
          </cell>
          <cell r="P5">
            <v>1</v>
          </cell>
          <cell r="Q5">
            <v>0.8</v>
          </cell>
          <cell r="X5">
            <v>1</v>
          </cell>
          <cell r="Y5">
            <v>1</v>
          </cell>
          <cell r="Z5">
            <v>0.9</v>
          </cell>
          <cell r="AA5">
            <v>0.8</v>
          </cell>
          <cell r="AB5">
            <v>0.9</v>
          </cell>
        </row>
        <row r="6">
          <cell r="I6" t="str">
            <v>Merchants</v>
          </cell>
          <cell r="J6" t="str">
            <v>Merchants</v>
          </cell>
          <cell r="K6" t="str">
            <v>Merchants</v>
          </cell>
          <cell r="L6" t="str">
            <v>Merchants</v>
          </cell>
          <cell r="M6" t="str">
            <v>Merchants</v>
          </cell>
          <cell r="N6" t="str">
            <v>Merchants</v>
          </cell>
          <cell r="O6" t="str">
            <v>Merchants</v>
          </cell>
          <cell r="P6">
            <v>1</v>
          </cell>
          <cell r="Q6">
            <v>1</v>
          </cell>
          <cell r="X6">
            <v>1</v>
          </cell>
          <cell r="Y6">
            <v>1</v>
          </cell>
          <cell r="Z6">
            <v>0.95</v>
          </cell>
          <cell r="AA6">
            <v>0.8</v>
          </cell>
          <cell r="AB6">
            <v>0.95</v>
          </cell>
        </row>
        <row r="7">
          <cell r="I7" t="str">
            <v>Merchants</v>
          </cell>
          <cell r="J7" t="str">
            <v>Merchants</v>
          </cell>
          <cell r="K7" t="str">
            <v>Merchants</v>
          </cell>
          <cell r="L7" t="str">
            <v>Merchants</v>
          </cell>
          <cell r="M7" t="str">
            <v>Merchants</v>
          </cell>
          <cell r="N7" t="str">
            <v>Merchants</v>
          </cell>
          <cell r="O7" t="str">
            <v>Merchants</v>
          </cell>
          <cell r="P7">
            <v>1</v>
          </cell>
          <cell r="Q7">
            <v>1</v>
          </cell>
          <cell r="X7">
            <v>1</v>
          </cell>
          <cell r="Y7">
            <v>1</v>
          </cell>
          <cell r="Z7">
            <v>0.86</v>
          </cell>
          <cell r="AA7">
            <v>0.8</v>
          </cell>
          <cell r="AB7">
            <v>1</v>
          </cell>
        </row>
        <row r="8">
          <cell r="I8" t="str">
            <v>Merchants</v>
          </cell>
          <cell r="J8" t="str">
            <v>Merchants</v>
          </cell>
          <cell r="K8" t="str">
            <v>Merchants</v>
          </cell>
          <cell r="L8" t="str">
            <v>Merchants</v>
          </cell>
          <cell r="M8" t="str">
            <v>Merchants</v>
          </cell>
          <cell r="N8" t="str">
            <v>Merchants</v>
          </cell>
          <cell r="O8" t="str">
            <v>Merchants</v>
          </cell>
          <cell r="P8">
            <v>0.88</v>
          </cell>
          <cell r="Q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0.8</v>
          </cell>
        </row>
        <row r="9">
          <cell r="I9" t="str">
            <v>Merchants</v>
          </cell>
          <cell r="J9" t="str">
            <v>Merchants</v>
          </cell>
          <cell r="K9" t="str">
            <v>Merchants</v>
          </cell>
          <cell r="L9" t="str">
            <v>Merchants</v>
          </cell>
          <cell r="M9" t="str">
            <v>Merchants</v>
          </cell>
          <cell r="N9" t="str">
            <v>Merchants</v>
          </cell>
          <cell r="O9" t="str">
            <v>Merchants</v>
          </cell>
          <cell r="P9">
            <v>0.88</v>
          </cell>
          <cell r="Q9">
            <v>0.8</v>
          </cell>
          <cell r="X9">
            <v>1</v>
          </cell>
          <cell r="Y9">
            <v>1</v>
          </cell>
          <cell r="Z9">
            <v>0.96</v>
          </cell>
          <cell r="AA9">
            <v>0.8</v>
          </cell>
          <cell r="AB9">
            <v>0.9</v>
          </cell>
        </row>
        <row r="10">
          <cell r="I10" t="str">
            <v>Merchants</v>
          </cell>
          <cell r="J10" t="str">
            <v>Merchants</v>
          </cell>
          <cell r="K10" t="str">
            <v>Merchants</v>
          </cell>
          <cell r="L10" t="str">
            <v>Merchants</v>
          </cell>
          <cell r="M10" t="str">
            <v>Merchants</v>
          </cell>
          <cell r="N10" t="str">
            <v>Merchants</v>
          </cell>
          <cell r="O10" t="str">
            <v>Merchants</v>
          </cell>
          <cell r="P10">
            <v>1</v>
          </cell>
          <cell r="Q10">
            <v>1</v>
          </cell>
          <cell r="X10">
            <v>1</v>
          </cell>
          <cell r="Y10">
            <v>1</v>
          </cell>
          <cell r="Z10" t="str">
            <v>NLE</v>
          </cell>
          <cell r="AA10">
            <v>0.8</v>
          </cell>
          <cell r="AB10" t="str">
            <v>NLE</v>
          </cell>
        </row>
        <row r="11">
          <cell r="I11" t="str">
            <v>Merchants</v>
          </cell>
          <cell r="J11" t="str">
            <v>Merchants</v>
          </cell>
          <cell r="K11" t="str">
            <v>Merchants</v>
          </cell>
          <cell r="L11" t="str">
            <v>Merchants</v>
          </cell>
          <cell r="M11" t="str">
            <v>Merchants</v>
          </cell>
          <cell r="N11" t="str">
            <v>Merchants</v>
          </cell>
          <cell r="O11" t="str">
            <v>Merchants</v>
          </cell>
          <cell r="P11"/>
          <cell r="Q11"/>
          <cell r="X11"/>
          <cell r="Y11"/>
          <cell r="Z11"/>
          <cell r="AA11"/>
          <cell r="AB11"/>
        </row>
        <row r="12">
          <cell r="I12" t="str">
            <v>Merchants</v>
          </cell>
          <cell r="J12" t="str">
            <v>Merchants</v>
          </cell>
          <cell r="K12" t="str">
            <v>Merchants</v>
          </cell>
          <cell r="L12" t="str">
            <v>Merchants</v>
          </cell>
          <cell r="M12" t="str">
            <v>Merchants</v>
          </cell>
          <cell r="N12" t="str">
            <v>Merchants</v>
          </cell>
          <cell r="O12" t="str">
            <v>Merchants</v>
          </cell>
          <cell r="P12">
            <v>0.88</v>
          </cell>
          <cell r="Q12">
            <v>0.8</v>
          </cell>
          <cell r="X12">
            <v>1</v>
          </cell>
          <cell r="Y12">
            <v>1</v>
          </cell>
          <cell r="Z12">
            <v>0.94</v>
          </cell>
          <cell r="AA12">
            <v>0.8</v>
          </cell>
          <cell r="AB12">
            <v>0.95</v>
          </cell>
        </row>
        <row r="13">
          <cell r="I13" t="str">
            <v>Merchants</v>
          </cell>
          <cell r="J13" t="str">
            <v>Merchants</v>
          </cell>
          <cell r="K13" t="str">
            <v>Merchants</v>
          </cell>
          <cell r="L13" t="str">
            <v>Merchants</v>
          </cell>
          <cell r="M13" t="str">
            <v>Merchants</v>
          </cell>
          <cell r="N13" t="str">
            <v>Merchants</v>
          </cell>
          <cell r="O13" t="str">
            <v>Merchants</v>
          </cell>
          <cell r="P13">
            <v>1</v>
          </cell>
          <cell r="Q13">
            <v>0.8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0.99</v>
          </cell>
        </row>
        <row r="14">
          <cell r="I14" t="str">
            <v>Merchants</v>
          </cell>
          <cell r="J14" t="str">
            <v>Merchants</v>
          </cell>
          <cell r="K14" t="str">
            <v>Merchants</v>
          </cell>
          <cell r="L14" t="str">
            <v>Merchants</v>
          </cell>
          <cell r="M14" t="str">
            <v>Merchants</v>
          </cell>
          <cell r="N14" t="str">
            <v>Merchants</v>
          </cell>
          <cell r="O14" t="str">
            <v>Merchants</v>
          </cell>
          <cell r="P14"/>
          <cell r="Q14"/>
          <cell r="X14"/>
          <cell r="Y14"/>
          <cell r="Z14"/>
          <cell r="AA14"/>
          <cell r="AB14"/>
        </row>
        <row r="15">
          <cell r="I15" t="str">
            <v>Merchants</v>
          </cell>
          <cell r="J15" t="str">
            <v>Merchants</v>
          </cell>
          <cell r="K15" t="str">
            <v>Merchants</v>
          </cell>
          <cell r="L15" t="str">
            <v>Merchants</v>
          </cell>
          <cell r="M15" t="str">
            <v>Merchants</v>
          </cell>
          <cell r="N15" t="str">
            <v>Merchants</v>
          </cell>
          <cell r="O15" t="str">
            <v>Merchants</v>
          </cell>
          <cell r="P15">
            <v>1</v>
          </cell>
          <cell r="Q15">
            <v>1</v>
          </cell>
          <cell r="X15">
            <v>1</v>
          </cell>
          <cell r="Y15">
            <v>1</v>
          </cell>
          <cell r="Z15">
            <v>1</v>
          </cell>
          <cell r="AA15">
            <v>0.8</v>
          </cell>
          <cell r="AB15">
            <v>0.83</v>
          </cell>
        </row>
        <row r="16">
          <cell r="I16" t="str">
            <v>Merchants</v>
          </cell>
          <cell r="J16" t="str">
            <v>Merchants</v>
          </cell>
          <cell r="K16" t="str">
            <v>Merchants</v>
          </cell>
          <cell r="L16" t="str">
            <v>Merchants</v>
          </cell>
          <cell r="M16" t="str">
            <v>Merchants</v>
          </cell>
          <cell r="N16" t="str">
            <v>Merchants</v>
          </cell>
          <cell r="O16" t="str">
            <v>Merchants</v>
          </cell>
          <cell r="P16">
            <v>1</v>
          </cell>
          <cell r="Q16">
            <v>1</v>
          </cell>
          <cell r="X16">
            <v>1</v>
          </cell>
          <cell r="Y16">
            <v>1</v>
          </cell>
          <cell r="Z16">
            <v>0.89</v>
          </cell>
          <cell r="AA16">
            <v>0.8</v>
          </cell>
          <cell r="AB16">
            <v>0.95</v>
          </cell>
        </row>
        <row r="17">
          <cell r="I17" t="str">
            <v>Merchants</v>
          </cell>
          <cell r="J17" t="str">
            <v>Merchants</v>
          </cell>
          <cell r="K17" t="str">
            <v>Merchants</v>
          </cell>
          <cell r="L17" t="str">
            <v>Merchants</v>
          </cell>
          <cell r="M17" t="str">
            <v>Merchants</v>
          </cell>
          <cell r="N17" t="str">
            <v>Merchants</v>
          </cell>
          <cell r="O17" t="str">
            <v>Merchants</v>
          </cell>
          <cell r="P17">
            <v>1</v>
          </cell>
          <cell r="Q17">
            <v>1</v>
          </cell>
          <cell r="X17">
            <v>1</v>
          </cell>
          <cell r="Y17">
            <v>1</v>
          </cell>
          <cell r="Z17">
            <v>0.94</v>
          </cell>
          <cell r="AA17">
            <v>0.8</v>
          </cell>
          <cell r="AB17">
            <v>0.83</v>
          </cell>
        </row>
        <row r="18">
          <cell r="I18" t="str">
            <v>Merchants</v>
          </cell>
          <cell r="J18" t="str">
            <v>Merchants</v>
          </cell>
          <cell r="K18" t="str">
            <v>Merchants</v>
          </cell>
          <cell r="L18" t="str">
            <v>Merchants</v>
          </cell>
          <cell r="M18" t="str">
            <v>Merchants</v>
          </cell>
          <cell r="N18" t="str">
            <v>Merchants</v>
          </cell>
          <cell r="O18" t="str">
            <v>Merchants</v>
          </cell>
          <cell r="P18">
            <v>1</v>
          </cell>
          <cell r="Q18">
            <v>1</v>
          </cell>
          <cell r="X18">
            <v>1</v>
          </cell>
          <cell r="Y18">
            <v>1</v>
          </cell>
          <cell r="Z18">
            <v>0.83</v>
          </cell>
          <cell r="AA18">
            <v>0.8</v>
          </cell>
          <cell r="AB18">
            <v>0.85</v>
          </cell>
        </row>
        <row r="19">
          <cell r="I19" t="str">
            <v>Merchants</v>
          </cell>
          <cell r="J19" t="str">
            <v>Merchants</v>
          </cell>
          <cell r="K19" t="str">
            <v>Merchants</v>
          </cell>
          <cell r="L19" t="str">
            <v>Merchants</v>
          </cell>
          <cell r="M19" t="str">
            <v>Merchants</v>
          </cell>
          <cell r="N19" t="str">
            <v>Merchants</v>
          </cell>
          <cell r="O19" t="str">
            <v>Merchants</v>
          </cell>
          <cell r="P19">
            <v>1</v>
          </cell>
          <cell r="Q19">
            <v>1</v>
          </cell>
          <cell r="X19">
            <v>1</v>
          </cell>
          <cell r="Y19">
            <v>1</v>
          </cell>
          <cell r="Z19">
            <v>1</v>
          </cell>
          <cell r="AA19">
            <v>0.8</v>
          </cell>
          <cell r="AB19">
            <v>0.9</v>
          </cell>
        </row>
        <row r="20">
          <cell r="I20" t="str">
            <v>Merchants</v>
          </cell>
          <cell r="J20" t="str">
            <v>Merchants</v>
          </cell>
          <cell r="K20" t="str">
            <v>Merchants</v>
          </cell>
          <cell r="L20" t="str">
            <v>Merchants</v>
          </cell>
          <cell r="M20" t="str">
            <v>Merchants</v>
          </cell>
          <cell r="N20" t="str">
            <v>Merchants</v>
          </cell>
          <cell r="O20" t="str">
            <v>Merchants</v>
          </cell>
          <cell r="P20">
            <v>1</v>
          </cell>
          <cell r="Q20">
            <v>1</v>
          </cell>
          <cell r="X20">
            <v>1</v>
          </cell>
          <cell r="Y20">
            <v>1</v>
          </cell>
          <cell r="Z20">
            <v>0.88</v>
          </cell>
          <cell r="AA20">
            <v>1</v>
          </cell>
          <cell r="AB20">
            <v>1</v>
          </cell>
        </row>
        <row r="21">
          <cell r="I21" t="str">
            <v>Merchants</v>
          </cell>
          <cell r="J21" t="str">
            <v>Merchants</v>
          </cell>
          <cell r="K21" t="str">
            <v>Merchants</v>
          </cell>
          <cell r="L21" t="str">
            <v>Merchants</v>
          </cell>
          <cell r="M21" t="str">
            <v>Merchants</v>
          </cell>
          <cell r="N21" t="str">
            <v>Merchants</v>
          </cell>
          <cell r="O21" t="str">
            <v>Merchants</v>
          </cell>
          <cell r="P21">
            <v>1</v>
          </cell>
          <cell r="Q21">
            <v>1</v>
          </cell>
          <cell r="X21">
            <v>1</v>
          </cell>
          <cell r="Y21">
            <v>1</v>
          </cell>
          <cell r="Z21">
            <v>0.9</v>
          </cell>
          <cell r="AA21">
            <v>1</v>
          </cell>
          <cell r="AB21">
            <v>0.95</v>
          </cell>
        </row>
        <row r="22">
          <cell r="I22" t="str">
            <v>Merchants</v>
          </cell>
          <cell r="J22" t="str">
            <v>Merchants</v>
          </cell>
          <cell r="K22" t="str">
            <v>Merchants</v>
          </cell>
          <cell r="L22" t="str">
            <v>Merchants</v>
          </cell>
          <cell r="M22" t="str">
            <v>Merchants</v>
          </cell>
          <cell r="N22" t="str">
            <v>Merchants</v>
          </cell>
          <cell r="O22" t="str">
            <v>Merchants</v>
          </cell>
          <cell r="P22">
            <v>1</v>
          </cell>
          <cell r="Q22">
            <v>1</v>
          </cell>
          <cell r="X22">
            <v>1</v>
          </cell>
          <cell r="Y22">
            <v>1</v>
          </cell>
          <cell r="Z22">
            <v>0.89</v>
          </cell>
          <cell r="AA22">
            <v>0.8</v>
          </cell>
          <cell r="AB22">
            <v>0.83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C4" t="str">
            <v>Nesting 3</v>
          </cell>
          <cell r="F4" t="str">
            <v xml:space="preserve">Mpania  Kasongo </v>
          </cell>
        </row>
        <row r="5">
          <cell r="C5" t="str">
            <v>Nesting 3</v>
          </cell>
          <cell r="F5" t="str">
            <v>Joel Kunda  Mukuna</v>
          </cell>
        </row>
        <row r="6">
          <cell r="C6" t="str">
            <v>Nesting 3</v>
          </cell>
          <cell r="F6" t="str">
            <v>Cledia Kamanda</v>
          </cell>
        </row>
        <row r="7">
          <cell r="C7" t="str">
            <v>Nesting 3</v>
          </cell>
          <cell r="F7" t="str">
            <v>Gad Kizing Musema</v>
          </cell>
        </row>
        <row r="8">
          <cell r="C8" t="str">
            <v>Nesting 3</v>
          </cell>
          <cell r="F8" t="str">
            <v>Roland Kamanga  Mayombo</v>
          </cell>
        </row>
        <row r="9">
          <cell r="C9" t="str">
            <v>Resigned Tier 1A</v>
          </cell>
          <cell r="F9" t="str">
            <v xml:space="preserve">Matthieu Kanagila  Matumba </v>
          </cell>
        </row>
        <row r="10">
          <cell r="C10" t="str">
            <v>Nesting 3</v>
          </cell>
          <cell r="F10" t="str">
            <v>Georgiana  Mwambay</v>
          </cell>
        </row>
        <row r="11">
          <cell r="C11" t="str">
            <v>Nesting 3</v>
          </cell>
          <cell r="F11" t="str">
            <v>Robert  Van Heerden</v>
          </cell>
        </row>
        <row r="12">
          <cell r="C12" t="str">
            <v>Nesting 3</v>
          </cell>
          <cell r="F12" t="str">
            <v>Thembelihle  Madonsela</v>
          </cell>
        </row>
        <row r="13">
          <cell r="C13" t="str">
            <v>Nesting 3</v>
          </cell>
          <cell r="F13" t="str">
            <v>Mbalenhle  Ngcobo</v>
          </cell>
        </row>
        <row r="14">
          <cell r="C14" t="str">
            <v>Nesting 3</v>
          </cell>
          <cell r="F14" t="str">
            <v>Adora Emmanuel Ogbeide</v>
          </cell>
        </row>
        <row r="15">
          <cell r="C15" t="str">
            <v>Nesting 3</v>
          </cell>
          <cell r="F15" t="str">
            <v>Siyasanga  Seya</v>
          </cell>
        </row>
        <row r="16">
          <cell r="C16" t="str">
            <v>Nesting 3</v>
          </cell>
          <cell r="F16" t="str">
            <v>Kobe Grenny Moja</v>
          </cell>
        </row>
        <row r="17">
          <cell r="C17" t="str">
            <v>Nesting 3</v>
          </cell>
          <cell r="F17" t="str">
            <v>Emeldah Molefe</v>
          </cell>
        </row>
        <row r="18">
          <cell r="C18" t="str">
            <v>Nesting 3</v>
          </cell>
          <cell r="F18" t="str">
            <v>Alain Mpata</v>
          </cell>
        </row>
        <row r="19">
          <cell r="C19" t="str">
            <v>Nesting 3</v>
          </cell>
          <cell r="F19" t="str">
            <v>Dorcas Niati</v>
          </cell>
        </row>
        <row r="20">
          <cell r="C20" t="str">
            <v>Did not Start</v>
          </cell>
          <cell r="F20" t="str">
            <v>Mbali Kumane</v>
          </cell>
        </row>
        <row r="21">
          <cell r="C21" t="str">
            <v>Did not Start</v>
          </cell>
          <cell r="F21" t="str">
            <v xml:space="preserve">Henoc Kazadi Mukendi 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Checklist"/>
      <sheetName val="READ ME"/>
      <sheetName val="Class Summary"/>
      <sheetName val="Attendance"/>
      <sheetName val="Observation"/>
      <sheetName val="KPI Dashboard"/>
      <sheetName val="PCB Nesting QA"/>
      <sheetName val="Preprocess SWOT"/>
      <sheetName val="Performance"/>
      <sheetName val="Perform Tier 2"/>
      <sheetName val="Performance RSA"/>
      <sheetName val="Preprocess Training Report"/>
      <sheetName val="Skill Assessment"/>
      <sheetName val="Student Data"/>
      <sheetName val="PCB Handoff Page - (Non-Sales)"/>
      <sheetName val="Perf. Mgmnt"/>
      <sheetName val="Nesting Sales"/>
      <sheetName val="RSA Fraud Error Summary"/>
      <sheetName val="PCB Handoff Page (Sales)"/>
      <sheetName val="QBR"/>
      <sheetName val="Reporting"/>
      <sheetName val="Day 1 WFH 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5" t="str">
            <v>N/A</v>
          </cell>
          <cell r="J5" t="str">
            <v>N/A</v>
          </cell>
          <cell r="K5" t="str">
            <v>N/A</v>
          </cell>
          <cell r="L5" t="str">
            <v>N/A</v>
          </cell>
          <cell r="M5" t="str">
            <v>N/A</v>
          </cell>
          <cell r="N5" t="str">
            <v>N/A</v>
          </cell>
          <cell r="O5" t="str">
            <v>N/A</v>
          </cell>
          <cell r="P5">
            <v>0.88</v>
          </cell>
          <cell r="Q5">
            <v>1</v>
          </cell>
          <cell r="X5">
            <v>1</v>
          </cell>
          <cell r="Y5">
            <v>1</v>
          </cell>
          <cell r="Z5">
            <v>0.88</v>
          </cell>
          <cell r="AA5">
            <v>0.8</v>
          </cell>
          <cell r="AB5">
            <v>0.9</v>
          </cell>
        </row>
        <row r="6">
          <cell r="I6"/>
          <cell r="J6"/>
          <cell r="K6"/>
          <cell r="L6"/>
          <cell r="M6"/>
          <cell r="N6"/>
          <cell r="O6"/>
          <cell r="P6"/>
          <cell r="Q6"/>
          <cell r="X6"/>
          <cell r="Y6"/>
          <cell r="Z6"/>
          <cell r="AA6"/>
          <cell r="AB6"/>
        </row>
        <row r="7">
          <cell r="I7" t="str">
            <v>N/A</v>
          </cell>
          <cell r="J7" t="str">
            <v>N/A</v>
          </cell>
          <cell r="K7" t="str">
            <v>N/A</v>
          </cell>
          <cell r="L7" t="str">
            <v>N/A</v>
          </cell>
          <cell r="M7" t="str">
            <v>N/A</v>
          </cell>
          <cell r="N7" t="str">
            <v>N/A</v>
          </cell>
          <cell r="O7" t="str">
            <v>N/A</v>
          </cell>
          <cell r="P7">
            <v>0.88</v>
          </cell>
          <cell r="Q7">
            <v>1</v>
          </cell>
          <cell r="X7">
            <v>1</v>
          </cell>
          <cell r="Y7">
            <v>1</v>
          </cell>
          <cell r="Z7">
            <v>1</v>
          </cell>
          <cell r="AA7">
            <v>0.8</v>
          </cell>
          <cell r="AB7">
            <v>0.8</v>
          </cell>
        </row>
        <row r="8">
          <cell r="I8"/>
          <cell r="J8"/>
          <cell r="K8"/>
          <cell r="L8"/>
          <cell r="M8"/>
          <cell r="N8"/>
          <cell r="O8"/>
          <cell r="P8"/>
          <cell r="Q8"/>
          <cell r="X8"/>
          <cell r="Y8"/>
          <cell r="Z8"/>
          <cell r="AA8"/>
          <cell r="AB8"/>
        </row>
        <row r="9">
          <cell r="I9" t="str">
            <v>N/A</v>
          </cell>
          <cell r="J9" t="str">
            <v>N/A</v>
          </cell>
          <cell r="K9" t="str">
            <v>N/A</v>
          </cell>
          <cell r="L9" t="str">
            <v>N/A</v>
          </cell>
          <cell r="M9" t="str">
            <v>N/A</v>
          </cell>
          <cell r="N9" t="str">
            <v>N/A</v>
          </cell>
          <cell r="O9" t="str">
            <v>N/A</v>
          </cell>
          <cell r="P9">
            <v>1</v>
          </cell>
          <cell r="Q9">
            <v>0.8</v>
          </cell>
          <cell r="X9">
            <v>1</v>
          </cell>
          <cell r="Y9">
            <v>1</v>
          </cell>
          <cell r="Z9">
            <v>0.9</v>
          </cell>
          <cell r="AA9">
            <v>0.8</v>
          </cell>
          <cell r="AB9">
            <v>0.99</v>
          </cell>
        </row>
        <row r="10">
          <cell r="I10" t="str">
            <v>N/A</v>
          </cell>
          <cell r="J10" t="str">
            <v>N/A</v>
          </cell>
          <cell r="K10" t="str">
            <v>N/A</v>
          </cell>
          <cell r="L10" t="str">
            <v>N/A</v>
          </cell>
          <cell r="M10" t="str">
            <v>N/A</v>
          </cell>
          <cell r="N10" t="str">
            <v>N/A</v>
          </cell>
          <cell r="O10" t="str">
            <v>N/A</v>
          </cell>
          <cell r="P10">
            <v>1</v>
          </cell>
          <cell r="Q10">
            <v>1</v>
          </cell>
          <cell r="X10">
            <v>1</v>
          </cell>
          <cell r="Y10">
            <v>1</v>
          </cell>
          <cell r="Z10">
            <v>0.94</v>
          </cell>
          <cell r="AA10">
            <v>0.8</v>
          </cell>
          <cell r="AB10">
            <v>0.9</v>
          </cell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X11"/>
          <cell r="Y11"/>
          <cell r="Z11"/>
          <cell r="AA11"/>
          <cell r="AB11"/>
        </row>
        <row r="12">
          <cell r="I12" t="str">
            <v>N/A</v>
          </cell>
          <cell r="J12" t="str">
            <v>N/A</v>
          </cell>
          <cell r="K12" t="str">
            <v>N/A</v>
          </cell>
          <cell r="L12" t="str">
            <v>N/A</v>
          </cell>
          <cell r="M12" t="str">
            <v>N/A</v>
          </cell>
          <cell r="N12" t="str">
            <v>N/A</v>
          </cell>
          <cell r="O12" t="str">
            <v>N/A</v>
          </cell>
          <cell r="P12">
            <v>0.88</v>
          </cell>
          <cell r="Q12">
            <v>1</v>
          </cell>
          <cell r="X12">
            <v>1</v>
          </cell>
          <cell r="Y12">
            <v>1</v>
          </cell>
          <cell r="Z12">
            <v>0.88</v>
          </cell>
          <cell r="AA12">
            <v>1</v>
          </cell>
          <cell r="AB12">
            <v>0.9</v>
          </cell>
        </row>
        <row r="13">
          <cell r="I13"/>
          <cell r="J13"/>
          <cell r="K13"/>
          <cell r="L13"/>
          <cell r="M13"/>
          <cell r="N13"/>
          <cell r="O13"/>
          <cell r="P13"/>
          <cell r="Q13"/>
          <cell r="X13"/>
          <cell r="Y13"/>
          <cell r="Z13"/>
          <cell r="AA13"/>
          <cell r="AB13"/>
        </row>
        <row r="14">
          <cell r="I14" t="str">
            <v>N/A</v>
          </cell>
          <cell r="J14" t="str">
            <v>N/A</v>
          </cell>
          <cell r="K14" t="str">
            <v>N/A</v>
          </cell>
          <cell r="L14" t="str">
            <v>N/A</v>
          </cell>
          <cell r="M14" t="str">
            <v>N/A</v>
          </cell>
          <cell r="N14" t="str">
            <v>N/A</v>
          </cell>
          <cell r="O14" t="str">
            <v>N/A</v>
          </cell>
          <cell r="P14">
            <v>1</v>
          </cell>
          <cell r="Q14">
            <v>1</v>
          </cell>
          <cell r="X14">
            <v>1</v>
          </cell>
          <cell r="Y14">
            <v>1</v>
          </cell>
          <cell r="Z14">
            <v>0.94</v>
          </cell>
          <cell r="AA14">
            <v>1</v>
          </cell>
          <cell r="AB14">
            <v>1</v>
          </cell>
        </row>
        <row r="15">
          <cell r="I15" t="str">
            <v>N/A</v>
          </cell>
          <cell r="J15" t="str">
            <v>N/A</v>
          </cell>
          <cell r="K15" t="str">
            <v>N/A</v>
          </cell>
          <cell r="L15" t="str">
            <v>N/A</v>
          </cell>
          <cell r="M15" t="str">
            <v>N/A</v>
          </cell>
          <cell r="N15" t="str">
            <v>N/A</v>
          </cell>
          <cell r="O15" t="str">
            <v>N/A</v>
          </cell>
          <cell r="P15" t="str">
            <v>ABSENT</v>
          </cell>
          <cell r="Q15" t="str">
            <v>ABSENT</v>
          </cell>
          <cell r="X15" t="str">
            <v>ABSENT</v>
          </cell>
          <cell r="Y15" t="str">
            <v>ABSENT</v>
          </cell>
          <cell r="Z15" t="str">
            <v>ABSENT</v>
          </cell>
          <cell r="AA15" t="str">
            <v>ABSENT</v>
          </cell>
          <cell r="AB15" t="str">
            <v>ABSENT</v>
          </cell>
        </row>
        <row r="16">
          <cell r="I16"/>
          <cell r="J16"/>
          <cell r="K16"/>
          <cell r="L16"/>
          <cell r="M16"/>
          <cell r="N16"/>
          <cell r="O16"/>
          <cell r="P16"/>
          <cell r="Q16"/>
          <cell r="X16"/>
          <cell r="Y16"/>
          <cell r="Z16"/>
          <cell r="AA16"/>
          <cell r="AB16"/>
        </row>
        <row r="17">
          <cell r="I17" t="str">
            <v>N/A</v>
          </cell>
          <cell r="J17" t="str">
            <v>N/A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N/A</v>
          </cell>
          <cell r="O17" t="str">
            <v>N/A</v>
          </cell>
          <cell r="P17">
            <v>1</v>
          </cell>
          <cell r="Q17">
            <v>1</v>
          </cell>
          <cell r="X17">
            <v>1</v>
          </cell>
          <cell r="Y17">
            <v>1</v>
          </cell>
          <cell r="Z17">
            <v>0.88</v>
          </cell>
          <cell r="AA17">
            <v>1</v>
          </cell>
          <cell r="AB17">
            <v>0.85</v>
          </cell>
        </row>
        <row r="18">
          <cell r="I18" t="str">
            <v>N/A</v>
          </cell>
          <cell r="J18" t="str">
            <v>N/A</v>
          </cell>
          <cell r="K18" t="str">
            <v>N/A</v>
          </cell>
          <cell r="L18" t="str">
            <v>N/A</v>
          </cell>
          <cell r="M18" t="str">
            <v>N/A</v>
          </cell>
          <cell r="N18" t="str">
            <v>N/A</v>
          </cell>
          <cell r="O18" t="str">
            <v>N/A</v>
          </cell>
          <cell r="P18">
            <v>0.88</v>
          </cell>
          <cell r="Q18">
            <v>0.8</v>
          </cell>
          <cell r="X18">
            <v>1</v>
          </cell>
          <cell r="Y18">
            <v>1</v>
          </cell>
          <cell r="Z18">
            <v>0.9</v>
          </cell>
          <cell r="AA18">
            <v>0.8</v>
          </cell>
          <cell r="AB18">
            <v>0.9</v>
          </cell>
        </row>
        <row r="19">
          <cell r="I19" t="str">
            <v>N/A</v>
          </cell>
          <cell r="J19" t="str">
            <v>N/A</v>
          </cell>
          <cell r="K19" t="str">
            <v>N/A</v>
          </cell>
          <cell r="L19" t="str">
            <v>N/A</v>
          </cell>
          <cell r="M19" t="str">
            <v>N/A</v>
          </cell>
          <cell r="N19" t="str">
            <v>N/A</v>
          </cell>
          <cell r="O19" t="str">
            <v>N/A</v>
          </cell>
          <cell r="P19">
            <v>0.88</v>
          </cell>
          <cell r="Q19">
            <v>1</v>
          </cell>
          <cell r="X19">
            <v>1</v>
          </cell>
          <cell r="Y19">
            <v>1</v>
          </cell>
          <cell r="Z19">
            <v>0.88</v>
          </cell>
          <cell r="AA19">
            <v>0.8</v>
          </cell>
          <cell r="AB19">
            <v>1</v>
          </cell>
        </row>
        <row r="20">
          <cell r="I20" t="str">
            <v>N/A</v>
          </cell>
          <cell r="J20" t="str">
            <v>N/A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N/A</v>
          </cell>
          <cell r="O20" t="str">
            <v>N/A</v>
          </cell>
          <cell r="P20">
            <v>1</v>
          </cell>
          <cell r="Q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B20">
            <v>0.93</v>
          </cell>
        </row>
        <row r="21">
          <cell r="I21" t="str">
            <v>N/A</v>
          </cell>
          <cell r="J21" t="str">
            <v>N/A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N/A</v>
          </cell>
          <cell r="O21" t="str">
            <v>N/A</v>
          </cell>
          <cell r="P21">
            <v>1</v>
          </cell>
          <cell r="Q21">
            <v>1</v>
          </cell>
          <cell r="X21">
            <v>1</v>
          </cell>
          <cell r="Y21">
            <v>1</v>
          </cell>
          <cell r="Z21">
            <v>0.86</v>
          </cell>
          <cell r="AA21">
            <v>1</v>
          </cell>
          <cell r="AB21">
            <v>0.81</v>
          </cell>
        </row>
        <row r="22">
          <cell r="I22" t="str">
            <v>N/A</v>
          </cell>
          <cell r="J22" t="str">
            <v>N/A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N/A</v>
          </cell>
          <cell r="O22" t="str">
            <v>N/A</v>
          </cell>
          <cell r="P22">
            <v>1</v>
          </cell>
          <cell r="Q22">
            <v>0.8</v>
          </cell>
          <cell r="X22">
            <v>1</v>
          </cell>
          <cell r="Y22">
            <v>1</v>
          </cell>
          <cell r="Z22">
            <v>0.8</v>
          </cell>
          <cell r="AA22">
            <v>1</v>
          </cell>
          <cell r="AB22">
            <v>1</v>
          </cell>
        </row>
        <row r="23">
          <cell r="I23" t="str">
            <v>N/A</v>
          </cell>
          <cell r="J23" t="str">
            <v>N/A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N/A</v>
          </cell>
          <cell r="O23" t="str">
            <v>N/A</v>
          </cell>
          <cell r="P23">
            <v>1</v>
          </cell>
          <cell r="Q23">
            <v>1</v>
          </cell>
          <cell r="X23">
            <v>1</v>
          </cell>
          <cell r="Y23">
            <v>1</v>
          </cell>
          <cell r="Z23">
            <v>0.94</v>
          </cell>
          <cell r="AA23">
            <v>1</v>
          </cell>
          <cell r="AB23">
            <v>1</v>
          </cell>
        </row>
      </sheetData>
      <sheetData sheetId="9"/>
      <sheetData sheetId="10"/>
      <sheetData sheetId="11"/>
      <sheetData sheetId="12"/>
      <sheetData sheetId="13">
        <row r="5">
          <cell r="G5" t="str">
            <v>Tier 1B Nesting</v>
          </cell>
          <cell r="O5">
            <v>350578</v>
          </cell>
        </row>
        <row r="6">
          <cell r="G6" t="str">
            <v>Tier 1B Nesting</v>
          </cell>
          <cell r="O6"/>
        </row>
        <row r="7">
          <cell r="G7" t="str">
            <v>Tier 1B Nesting</v>
          </cell>
          <cell r="O7">
            <v>350580</v>
          </cell>
        </row>
        <row r="8">
          <cell r="G8" t="str">
            <v>Tier 1B Nesting</v>
          </cell>
          <cell r="O8"/>
        </row>
        <row r="9">
          <cell r="G9" t="str">
            <v>Tier 1B Nesting</v>
          </cell>
          <cell r="O9">
            <v>350579</v>
          </cell>
        </row>
        <row r="10">
          <cell r="G10" t="str">
            <v>Tier 1B Nesting</v>
          </cell>
          <cell r="O10">
            <v>350574</v>
          </cell>
        </row>
        <row r="11">
          <cell r="G11" t="str">
            <v>Tier 1B Nesting</v>
          </cell>
          <cell r="O11"/>
        </row>
        <row r="12">
          <cell r="G12" t="str">
            <v>Tier 1B Nesting</v>
          </cell>
          <cell r="O12">
            <v>350581</v>
          </cell>
        </row>
        <row r="13">
          <cell r="G13" t="str">
            <v>Tier 1B Nesting</v>
          </cell>
          <cell r="O13"/>
        </row>
        <row r="14">
          <cell r="G14" t="str">
            <v>Tier 1B Nesting</v>
          </cell>
          <cell r="O14">
            <v>350571</v>
          </cell>
        </row>
        <row r="15">
          <cell r="G15" t="str">
            <v>Tier 1B Nesting</v>
          </cell>
          <cell r="O15">
            <v>350582</v>
          </cell>
        </row>
        <row r="16">
          <cell r="G16" t="str">
            <v>Tier 1B Nesting</v>
          </cell>
          <cell r="O16"/>
        </row>
        <row r="17">
          <cell r="G17" t="str">
            <v>Tier 1B Nesting</v>
          </cell>
          <cell r="O17">
            <v>350572</v>
          </cell>
        </row>
        <row r="18">
          <cell r="G18" t="str">
            <v>Tier 1B Nesting</v>
          </cell>
          <cell r="O18">
            <v>350584</v>
          </cell>
        </row>
        <row r="19">
          <cell r="G19" t="str">
            <v>Tier 1B Nesting</v>
          </cell>
          <cell r="O19">
            <v>350575</v>
          </cell>
        </row>
        <row r="20">
          <cell r="G20" t="str">
            <v>Tier 1B Nesting</v>
          </cell>
          <cell r="O20">
            <v>350573</v>
          </cell>
        </row>
        <row r="21">
          <cell r="G21" t="str">
            <v>Tier 1B Nesting</v>
          </cell>
          <cell r="O21">
            <v>350577</v>
          </cell>
        </row>
        <row r="22">
          <cell r="G22" t="str">
            <v>Tier 1B Nesting</v>
          </cell>
          <cell r="O22">
            <v>350576</v>
          </cell>
        </row>
        <row r="23">
          <cell r="G23" t="str">
            <v>Tier 1B Nesting</v>
          </cell>
          <cell r="O23">
            <v>350583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Norsana Andi</v>
          </cell>
        </row>
        <row r="5">
          <cell r="F5" t="str">
            <v>John Carlo Atienza</v>
          </cell>
        </row>
        <row r="6">
          <cell r="F6" t="str">
            <v>Justin Bebita</v>
          </cell>
        </row>
        <row r="7">
          <cell r="F7" t="str">
            <v>April Jane Enoy</v>
          </cell>
        </row>
        <row r="8">
          <cell r="F8" t="str">
            <v>Dara Lorraine Espinas</v>
          </cell>
        </row>
        <row r="9">
          <cell r="F9" t="str">
            <v>John Loyd  Guasis</v>
          </cell>
        </row>
        <row r="10">
          <cell r="F10" t="str">
            <v>Dave AdrIan Gutierez</v>
          </cell>
        </row>
        <row r="11">
          <cell r="F11" t="str">
            <v>Caitlyn Ibanez</v>
          </cell>
        </row>
        <row r="12">
          <cell r="F12" t="str">
            <v>Sheena Lopez</v>
          </cell>
        </row>
        <row r="13">
          <cell r="F13" t="str">
            <v>Sheryl Manuel</v>
          </cell>
        </row>
        <row r="14">
          <cell r="F14" t="str">
            <v>Remegeh Marquez</v>
          </cell>
        </row>
        <row r="15">
          <cell r="F15" t="str">
            <v>Iralynd Marquez</v>
          </cell>
        </row>
        <row r="16">
          <cell r="F16" t="str">
            <v>Leslie Ann Menorca</v>
          </cell>
        </row>
        <row r="17">
          <cell r="F17" t="str">
            <v>Lian Mesina</v>
          </cell>
        </row>
        <row r="18">
          <cell r="F18" t="str">
            <v>Francis Raven Narboneta</v>
          </cell>
        </row>
        <row r="19">
          <cell r="F19" t="str">
            <v>Elealene Sahagun</v>
          </cell>
        </row>
        <row r="20">
          <cell r="F20" t="str">
            <v>Gayle Mhelline Sandoval</v>
          </cell>
        </row>
        <row r="21">
          <cell r="F21" t="str">
            <v>Rhesty Victa</v>
          </cell>
        </row>
        <row r="22">
          <cell r="F22" t="str">
            <v>Bryan Ceazar Capulong</v>
          </cell>
        </row>
      </sheetData>
      <sheetData sheetId="2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ily Checklist"/>
      <sheetName val="Class Summary"/>
      <sheetName val="Student Data"/>
      <sheetName val="Preprocess SWOT"/>
      <sheetName val="Performance"/>
      <sheetName val="Attendance"/>
      <sheetName val="Observation"/>
      <sheetName val="PCB Nesting QA"/>
      <sheetName val="Perform Tier 2"/>
      <sheetName val="Performance RSA"/>
      <sheetName val="Preprocess Training Report"/>
      <sheetName val="Skill Assessment"/>
      <sheetName val="PCB Handoff Page - (Non-Sales)"/>
      <sheetName val="KPI Dashboard"/>
      <sheetName val="Perf. Mgmnt"/>
      <sheetName val="Nesting Sales"/>
      <sheetName val="RSA Fraud Error Summary"/>
      <sheetName val="PCB Handoff Page (Sales)"/>
      <sheetName val="QBR"/>
      <sheetName val="Reporting"/>
      <sheetName val="Day 1 WFH Audit"/>
    </sheetNames>
    <sheetDataSet>
      <sheetData sheetId="0"/>
      <sheetData sheetId="1"/>
      <sheetData sheetId="2"/>
      <sheetData sheetId="3">
        <row r="5">
          <cell r="G5" t="str">
            <v>Tier 1B</v>
          </cell>
          <cell r="O5">
            <v>351149</v>
          </cell>
        </row>
        <row r="6">
          <cell r="G6" t="str">
            <v>Moved/Joining Alternate Class</v>
          </cell>
          <cell r="O6"/>
        </row>
        <row r="7">
          <cell r="G7" t="str">
            <v>Tier 1B</v>
          </cell>
          <cell r="O7">
            <v>351164</v>
          </cell>
        </row>
        <row r="8">
          <cell r="G8" t="str">
            <v>Did not Start</v>
          </cell>
          <cell r="O8"/>
        </row>
        <row r="9">
          <cell r="G9" t="str">
            <v>Tier 1B</v>
          </cell>
          <cell r="O9">
            <v>351157</v>
          </cell>
        </row>
        <row r="10">
          <cell r="G10" t="str">
            <v>Tier 1B</v>
          </cell>
          <cell r="O10">
            <v>351163</v>
          </cell>
        </row>
        <row r="11">
          <cell r="G11" t="str">
            <v>Tier 1B</v>
          </cell>
          <cell r="O11">
            <v>351150</v>
          </cell>
        </row>
        <row r="12">
          <cell r="G12" t="str">
            <v>Did not Start</v>
          </cell>
          <cell r="O12"/>
        </row>
        <row r="13">
          <cell r="G13" t="str">
            <v>Did not Start</v>
          </cell>
          <cell r="O13"/>
        </row>
        <row r="14">
          <cell r="G14" t="str">
            <v>Tier 1B</v>
          </cell>
          <cell r="O14">
            <v>351165</v>
          </cell>
        </row>
        <row r="15">
          <cell r="G15" t="str">
            <v>Tier 1B</v>
          </cell>
          <cell r="O15">
            <v>351160</v>
          </cell>
        </row>
        <row r="16">
          <cell r="G16" t="str">
            <v>Tier 1B</v>
          </cell>
          <cell r="O16">
            <v>351152</v>
          </cell>
        </row>
        <row r="17">
          <cell r="G17" t="str">
            <v>Tier 1B</v>
          </cell>
          <cell r="O17">
            <v>351156</v>
          </cell>
        </row>
        <row r="18">
          <cell r="G18" t="str">
            <v>Tier 1B</v>
          </cell>
          <cell r="O18">
            <v>351151</v>
          </cell>
        </row>
        <row r="19">
          <cell r="G19" t="str">
            <v>Tier 1B</v>
          </cell>
          <cell r="O19">
            <v>350457</v>
          </cell>
        </row>
        <row r="20">
          <cell r="G20" t="str">
            <v>Tier 1B</v>
          </cell>
          <cell r="O20">
            <v>349518</v>
          </cell>
        </row>
      </sheetData>
      <sheetData sheetId="4"/>
      <sheetData sheetId="5">
        <row r="5">
          <cell r="O5" t="str">
            <v>N/A</v>
          </cell>
          <cell r="P5"/>
          <cell r="Q5"/>
          <cell r="R5" t="str">
            <v>N/A</v>
          </cell>
          <cell r="S5" t="str">
            <v>N/A</v>
          </cell>
          <cell r="T5" t="str">
            <v>N/A</v>
          </cell>
          <cell r="U5"/>
          <cell r="V5" t="str">
            <v>N/A</v>
          </cell>
          <cell r="W5"/>
          <cell r="X5">
            <v>1</v>
          </cell>
          <cell r="Y5">
            <v>1</v>
          </cell>
          <cell r="Z5">
            <v>0.94</v>
          </cell>
          <cell r="AA5">
            <v>1</v>
          </cell>
          <cell r="AB5">
            <v>0.93</v>
          </cell>
        </row>
        <row r="6">
          <cell r="O6" t="str">
            <v>N/A</v>
          </cell>
          <cell r="P6"/>
          <cell r="Q6"/>
          <cell r="R6" t="str">
            <v>N/A</v>
          </cell>
          <cell r="S6" t="str">
            <v>N/A</v>
          </cell>
          <cell r="T6" t="str">
            <v>N/A</v>
          </cell>
          <cell r="U6"/>
          <cell r="V6" t="str">
            <v>N/A</v>
          </cell>
          <cell r="W6"/>
          <cell r="X6"/>
          <cell r="Y6"/>
          <cell r="Z6"/>
          <cell r="AA6"/>
          <cell r="AB6"/>
        </row>
        <row r="7">
          <cell r="O7" t="str">
            <v>N/A</v>
          </cell>
          <cell r="P7"/>
          <cell r="Q7"/>
          <cell r="R7" t="str">
            <v>N/A</v>
          </cell>
          <cell r="S7" t="str">
            <v>N/A</v>
          </cell>
          <cell r="T7" t="str">
            <v>N/A</v>
          </cell>
          <cell r="U7"/>
          <cell r="V7" t="str">
            <v>N/A</v>
          </cell>
          <cell r="W7"/>
          <cell r="X7">
            <v>1</v>
          </cell>
          <cell r="Y7">
            <v>1</v>
          </cell>
          <cell r="Z7">
            <v>0.89</v>
          </cell>
          <cell r="AA7">
            <v>1</v>
          </cell>
          <cell r="AB7">
            <v>0.85</v>
          </cell>
        </row>
        <row r="8">
          <cell r="O8" t="str">
            <v>N/A</v>
          </cell>
          <cell r="P8"/>
          <cell r="Q8"/>
          <cell r="R8" t="str">
            <v>N/A</v>
          </cell>
          <cell r="S8" t="str">
            <v>N/A</v>
          </cell>
          <cell r="T8" t="str">
            <v>N/A</v>
          </cell>
          <cell r="U8"/>
          <cell r="V8" t="str">
            <v>N/A</v>
          </cell>
          <cell r="W8"/>
          <cell r="X8"/>
          <cell r="Y8"/>
          <cell r="Z8"/>
          <cell r="AA8"/>
          <cell r="AB8"/>
        </row>
        <row r="9">
          <cell r="O9" t="str">
            <v>N/A</v>
          </cell>
          <cell r="P9"/>
          <cell r="Q9"/>
          <cell r="R9" t="str">
            <v>N/A</v>
          </cell>
          <cell r="S9" t="str">
            <v>N/A</v>
          </cell>
          <cell r="T9" t="str">
            <v>N/A</v>
          </cell>
          <cell r="U9"/>
          <cell r="V9" t="str">
            <v>N/A</v>
          </cell>
          <cell r="W9"/>
          <cell r="X9">
            <v>1</v>
          </cell>
          <cell r="Y9">
            <v>1</v>
          </cell>
          <cell r="Z9">
            <v>0.94</v>
          </cell>
          <cell r="AA9">
            <v>0.8</v>
          </cell>
          <cell r="AB9">
            <v>0.93</v>
          </cell>
        </row>
        <row r="10">
          <cell r="O10" t="str">
            <v>N/A</v>
          </cell>
          <cell r="P10"/>
          <cell r="Q10"/>
          <cell r="R10" t="str">
            <v>N/A</v>
          </cell>
          <cell r="S10" t="str">
            <v>N/A</v>
          </cell>
          <cell r="T10" t="str">
            <v>N/A</v>
          </cell>
          <cell r="U10"/>
          <cell r="V10" t="str">
            <v>N/A</v>
          </cell>
          <cell r="W10"/>
          <cell r="X10">
            <v>1</v>
          </cell>
          <cell r="Y10">
            <v>1</v>
          </cell>
          <cell r="Z10">
            <v>0.97</v>
          </cell>
          <cell r="AA10">
            <v>1</v>
          </cell>
          <cell r="AB10">
            <v>0.95</v>
          </cell>
        </row>
        <row r="11">
          <cell r="O11" t="str">
            <v>N/A</v>
          </cell>
          <cell r="P11"/>
          <cell r="Q11"/>
          <cell r="R11" t="str">
            <v>N/A</v>
          </cell>
          <cell r="S11" t="str">
            <v>N/A</v>
          </cell>
          <cell r="T11" t="str">
            <v>N/A</v>
          </cell>
          <cell r="U11"/>
          <cell r="V11" t="str">
            <v>N/A</v>
          </cell>
          <cell r="W11"/>
          <cell r="X11">
            <v>1</v>
          </cell>
          <cell r="Y11">
            <v>1</v>
          </cell>
          <cell r="Z11">
            <v>0.88</v>
          </cell>
          <cell r="AA11">
            <v>0.8</v>
          </cell>
          <cell r="AB11">
            <v>0.8</v>
          </cell>
        </row>
        <row r="12">
          <cell r="O12" t="str">
            <v>N/A</v>
          </cell>
          <cell r="P12"/>
          <cell r="Q12"/>
          <cell r="R12" t="str">
            <v>N/A</v>
          </cell>
          <cell r="S12" t="str">
            <v>N/A</v>
          </cell>
          <cell r="T12" t="str">
            <v>N/A</v>
          </cell>
          <cell r="U12"/>
          <cell r="V12" t="str">
            <v>N/A</v>
          </cell>
          <cell r="W12"/>
          <cell r="X12"/>
          <cell r="Y12"/>
          <cell r="Z12"/>
          <cell r="AA12"/>
          <cell r="AB12"/>
        </row>
        <row r="13">
          <cell r="O13" t="str">
            <v>N/A</v>
          </cell>
          <cell r="P13"/>
          <cell r="Q13"/>
          <cell r="R13" t="str">
            <v>N/A</v>
          </cell>
          <cell r="S13" t="str">
            <v>N/A</v>
          </cell>
          <cell r="T13" t="str">
            <v>N/A</v>
          </cell>
          <cell r="U13"/>
          <cell r="V13" t="str">
            <v>N/A</v>
          </cell>
          <cell r="W13"/>
          <cell r="X13"/>
          <cell r="Y13"/>
          <cell r="Z13"/>
          <cell r="AA13"/>
          <cell r="AB13"/>
        </row>
        <row r="14">
          <cell r="O14" t="str">
            <v>N/A</v>
          </cell>
          <cell r="P14"/>
          <cell r="Q14"/>
          <cell r="R14" t="str">
            <v>N/A</v>
          </cell>
          <cell r="S14" t="str">
            <v>N/A</v>
          </cell>
          <cell r="T14" t="str">
            <v>N/A</v>
          </cell>
          <cell r="U14"/>
          <cell r="V14" t="str">
            <v>N/A</v>
          </cell>
          <cell r="W14"/>
          <cell r="X14">
            <v>1</v>
          </cell>
          <cell r="Y14">
            <v>1</v>
          </cell>
          <cell r="Z14">
            <v>0.86</v>
          </cell>
          <cell r="AA14">
            <v>1</v>
          </cell>
          <cell r="AB14">
            <v>0.83</v>
          </cell>
        </row>
        <row r="15">
          <cell r="O15" t="str">
            <v>N/A</v>
          </cell>
          <cell r="P15"/>
          <cell r="Q15"/>
          <cell r="R15" t="str">
            <v>N/A</v>
          </cell>
          <cell r="S15" t="str">
            <v>N/A</v>
          </cell>
          <cell r="T15" t="str">
            <v>N/A</v>
          </cell>
          <cell r="U15"/>
          <cell r="V15" t="str">
            <v>N/A</v>
          </cell>
          <cell r="W15"/>
          <cell r="X15">
            <v>1</v>
          </cell>
          <cell r="Y15">
            <v>1</v>
          </cell>
          <cell r="Z15">
            <v>0.94</v>
          </cell>
          <cell r="AA15">
            <v>1</v>
          </cell>
          <cell r="AB15">
            <v>0.8</v>
          </cell>
        </row>
        <row r="16">
          <cell r="O16" t="str">
            <v>N/A</v>
          </cell>
          <cell r="P16"/>
          <cell r="Q16"/>
          <cell r="R16" t="str">
            <v>N/A</v>
          </cell>
          <cell r="S16" t="str">
            <v>N/A</v>
          </cell>
          <cell r="T16" t="str">
            <v>N/A</v>
          </cell>
          <cell r="U16"/>
          <cell r="V16" t="str">
            <v>N/A</v>
          </cell>
          <cell r="W16"/>
          <cell r="X16">
            <v>1</v>
          </cell>
          <cell r="Y16">
            <v>1</v>
          </cell>
          <cell r="Z16">
            <v>0.9</v>
          </cell>
          <cell r="AA16">
            <v>0.8</v>
          </cell>
          <cell r="AB16">
            <v>0.83</v>
          </cell>
        </row>
        <row r="17">
          <cell r="O17" t="str">
            <v>N/A</v>
          </cell>
          <cell r="P17"/>
          <cell r="Q17"/>
          <cell r="R17" t="str">
            <v>N/A</v>
          </cell>
          <cell r="S17" t="str">
            <v>N/A</v>
          </cell>
          <cell r="T17" t="str">
            <v>N/A</v>
          </cell>
          <cell r="U17"/>
          <cell r="V17" t="str">
            <v>N/A</v>
          </cell>
          <cell r="W17"/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0.95</v>
          </cell>
        </row>
        <row r="18">
          <cell r="O18" t="str">
            <v>N/A</v>
          </cell>
          <cell r="P18"/>
          <cell r="Q18"/>
          <cell r="R18" t="str">
            <v>N/A</v>
          </cell>
          <cell r="S18" t="str">
            <v>N/A</v>
          </cell>
          <cell r="T18" t="str">
            <v>N/A</v>
          </cell>
          <cell r="U18"/>
          <cell r="V18" t="str">
            <v>N/A</v>
          </cell>
          <cell r="W18"/>
          <cell r="X18">
            <v>1</v>
          </cell>
          <cell r="Y18">
            <v>1</v>
          </cell>
          <cell r="Z18">
            <v>0.88</v>
          </cell>
          <cell r="AA18">
            <v>1</v>
          </cell>
          <cell r="AB18">
            <v>1</v>
          </cell>
        </row>
        <row r="19"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</row>
        <row r="20"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Nixon Ador</v>
          </cell>
        </row>
        <row r="5">
          <cell r="F5" t="str">
            <v>Karissa Adriano</v>
          </cell>
        </row>
        <row r="6">
          <cell r="F6" t="str">
            <v>Tifany Azarcon</v>
          </cell>
        </row>
        <row r="7">
          <cell r="F7" t="str">
            <v>Mark Anthony  Cuevas</v>
          </cell>
        </row>
        <row r="8">
          <cell r="F8" t="str">
            <v>April Jane  Enoy</v>
          </cell>
        </row>
        <row r="9">
          <cell r="F9" t="str">
            <v>Melanie Hamor</v>
          </cell>
        </row>
        <row r="10">
          <cell r="F10" t="str">
            <v>Loida Ignacio</v>
          </cell>
        </row>
        <row r="11">
          <cell r="F11" t="str">
            <v>Francis Mamangun</v>
          </cell>
        </row>
        <row r="12">
          <cell r="F12" t="str">
            <v>Queen Marzan</v>
          </cell>
        </row>
        <row r="13">
          <cell r="F13" t="str">
            <v>Ivy Christine Ramiscal</v>
          </cell>
        </row>
        <row r="14">
          <cell r="F14" t="str">
            <v>Giovanni Regalado</v>
          </cell>
        </row>
        <row r="15">
          <cell r="F15" t="str">
            <v>Patricia Monique Relevo</v>
          </cell>
        </row>
        <row r="16">
          <cell r="F16" t="str">
            <v>Rose Ann  Victoria</v>
          </cell>
        </row>
        <row r="17">
          <cell r="F17" t="str">
            <v>Julius Renzo Villegas</v>
          </cell>
        </row>
        <row r="18">
          <cell r="F18" t="str">
            <v>Ronaldo Solis</v>
          </cell>
        </row>
        <row r="19">
          <cell r="F19" t="str">
            <v>Noren Sicheco</v>
          </cell>
        </row>
      </sheetData>
      <sheetData sheetId="2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ily Checklist"/>
      <sheetName val="Class Summary"/>
      <sheetName val="Student Data"/>
      <sheetName val="Preprocess SWOT"/>
      <sheetName val="Performance"/>
      <sheetName val="Attendance"/>
      <sheetName val="Observation"/>
      <sheetName val="Perform Tier 2"/>
      <sheetName val="Performance RSA"/>
      <sheetName val="Preprocess Training Report"/>
      <sheetName val="Skill Assessment"/>
      <sheetName val="PCB Handoff Page - (Non-Sales)"/>
      <sheetName val="PCB Nesting QA"/>
      <sheetName val="KPI Dashboard"/>
      <sheetName val="Perf. Mgmnt"/>
      <sheetName val="Nesting Sales"/>
      <sheetName val="RSA Fraud Error Summary"/>
      <sheetName val="PCB Handoff Page (Sales)"/>
      <sheetName val="QBR"/>
      <sheetName val="Reporting"/>
      <sheetName val="Day 1 WFH Audit"/>
    </sheetNames>
    <sheetDataSet>
      <sheetData sheetId="0"/>
      <sheetData sheetId="1"/>
      <sheetData sheetId="2"/>
      <sheetData sheetId="3">
        <row r="5">
          <cell r="G5" t="str">
            <v>Tier 1A Nesting</v>
          </cell>
          <cell r="O5">
            <v>509779</v>
          </cell>
        </row>
        <row r="6">
          <cell r="G6" t="str">
            <v>Tier 1A Nesting</v>
          </cell>
          <cell r="O6">
            <v>509970</v>
          </cell>
        </row>
        <row r="7">
          <cell r="G7" t="str">
            <v>Tier 1A Nesting</v>
          </cell>
          <cell r="O7">
            <v>509972</v>
          </cell>
        </row>
        <row r="8">
          <cell r="G8" t="str">
            <v>Tier 1A Nesting</v>
          </cell>
          <cell r="O8">
            <v>509973</v>
          </cell>
        </row>
        <row r="9">
          <cell r="G9" t="str">
            <v>Tier 1A Nesting</v>
          </cell>
          <cell r="O9">
            <v>509974</v>
          </cell>
        </row>
        <row r="10">
          <cell r="G10" t="str">
            <v>Tier 1A Nesting</v>
          </cell>
          <cell r="O10">
            <v>509975</v>
          </cell>
        </row>
        <row r="11">
          <cell r="G11" t="str">
            <v>Tier 1A Nesting</v>
          </cell>
          <cell r="O11">
            <v>509976</v>
          </cell>
        </row>
        <row r="12">
          <cell r="G12" t="str">
            <v>Tier 1A Nesting</v>
          </cell>
          <cell r="O12">
            <v>509977</v>
          </cell>
        </row>
        <row r="13">
          <cell r="G13" t="str">
            <v>Tier 1A Nesting</v>
          </cell>
          <cell r="O13">
            <v>509982</v>
          </cell>
        </row>
        <row r="14">
          <cell r="G14" t="str">
            <v>Tier 1A Nesting</v>
          </cell>
          <cell r="O14">
            <v>509978</v>
          </cell>
        </row>
        <row r="15">
          <cell r="G15" t="str">
            <v>Tier 1A Nesting</v>
          </cell>
          <cell r="O15">
            <v>509979</v>
          </cell>
        </row>
        <row r="16">
          <cell r="G16" t="str">
            <v>Tier 1A Nesting</v>
          </cell>
          <cell r="O16">
            <v>509980</v>
          </cell>
        </row>
        <row r="17">
          <cell r="G17" t="str">
            <v>Tier 1A Nesting</v>
          </cell>
          <cell r="O17">
            <v>509981</v>
          </cell>
        </row>
        <row r="18">
          <cell r="G18" t="str">
            <v>Tier 1A Nesting</v>
          </cell>
          <cell r="O18">
            <v>509971</v>
          </cell>
        </row>
        <row r="19">
          <cell r="G19" t="str">
            <v>Resigned Tier 1A</v>
          </cell>
          <cell r="O19">
            <v>509983</v>
          </cell>
        </row>
        <row r="20">
          <cell r="G20" t="str">
            <v>Tier 1A Nesting</v>
          </cell>
          <cell r="O20">
            <v>510072</v>
          </cell>
        </row>
      </sheetData>
      <sheetData sheetId="4"/>
      <sheetData sheetId="5">
        <row r="5">
          <cell r="O5" t="str">
            <v>Merchants</v>
          </cell>
          <cell r="P5">
            <v>0.88</v>
          </cell>
          <cell r="Q5">
            <v>1</v>
          </cell>
          <cell r="R5" t="str">
            <v>Merchants</v>
          </cell>
          <cell r="S5" t="str">
            <v>Merchants</v>
          </cell>
          <cell r="T5" t="str">
            <v>Merchants</v>
          </cell>
          <cell r="U5">
            <v>1</v>
          </cell>
          <cell r="V5" t="str">
            <v>Merchants</v>
          </cell>
          <cell r="W5">
            <v>1</v>
          </cell>
          <cell r="X5">
            <v>1</v>
          </cell>
          <cell r="Y5">
            <v>1</v>
          </cell>
          <cell r="Z5">
            <v>0.98</v>
          </cell>
          <cell r="AA5">
            <v>1</v>
          </cell>
          <cell r="AB5">
            <v>0.9</v>
          </cell>
        </row>
        <row r="6">
          <cell r="O6" t="str">
            <v>Merchants</v>
          </cell>
          <cell r="P6">
            <v>1</v>
          </cell>
          <cell r="Q6">
            <v>1</v>
          </cell>
          <cell r="R6" t="str">
            <v>Merchants</v>
          </cell>
          <cell r="S6" t="str">
            <v>Merchants</v>
          </cell>
          <cell r="T6" t="str">
            <v>Merchants</v>
          </cell>
          <cell r="U6">
            <v>1</v>
          </cell>
          <cell r="V6" t="str">
            <v>Merchants</v>
          </cell>
          <cell r="W6">
            <v>1</v>
          </cell>
          <cell r="X6">
            <v>1</v>
          </cell>
          <cell r="Y6">
            <v>1</v>
          </cell>
          <cell r="Z6">
            <v>0.94</v>
          </cell>
          <cell r="AA6">
            <v>1</v>
          </cell>
          <cell r="AB6">
            <v>0.8</v>
          </cell>
        </row>
        <row r="7">
          <cell r="O7" t="str">
            <v>Merchants</v>
          </cell>
          <cell r="P7">
            <v>0.88</v>
          </cell>
          <cell r="Q7">
            <v>0.8</v>
          </cell>
          <cell r="R7" t="str">
            <v>Merchants</v>
          </cell>
          <cell r="S7" t="str">
            <v>Merchants</v>
          </cell>
          <cell r="T7" t="str">
            <v>Merchants</v>
          </cell>
          <cell r="U7">
            <v>1</v>
          </cell>
          <cell r="V7" t="str">
            <v>Merchants</v>
          </cell>
          <cell r="W7">
            <v>1</v>
          </cell>
          <cell r="X7">
            <v>1</v>
          </cell>
          <cell r="Y7">
            <v>1</v>
          </cell>
          <cell r="Z7">
            <v>0.9</v>
          </cell>
          <cell r="AA7">
            <v>0.8</v>
          </cell>
          <cell r="AB7">
            <v>1</v>
          </cell>
        </row>
        <row r="8">
          <cell r="O8" t="str">
            <v>Merchants</v>
          </cell>
          <cell r="P8">
            <v>0.88</v>
          </cell>
          <cell r="Q8">
            <v>1</v>
          </cell>
          <cell r="R8" t="str">
            <v>Merchants</v>
          </cell>
          <cell r="S8" t="str">
            <v>Merchants</v>
          </cell>
          <cell r="T8" t="str">
            <v>Merchants</v>
          </cell>
          <cell r="U8">
            <v>1</v>
          </cell>
          <cell r="V8" t="str">
            <v>Merchants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0.8</v>
          </cell>
          <cell r="AB8">
            <v>0.9</v>
          </cell>
        </row>
        <row r="9">
          <cell r="O9" t="str">
            <v>Merchants</v>
          </cell>
          <cell r="P9">
            <v>0.88</v>
          </cell>
          <cell r="Q9">
            <v>1</v>
          </cell>
          <cell r="R9" t="str">
            <v>Merchants</v>
          </cell>
          <cell r="S9" t="str">
            <v>Merchants</v>
          </cell>
          <cell r="T9" t="str">
            <v>Merchants</v>
          </cell>
          <cell r="U9">
            <v>1</v>
          </cell>
          <cell r="V9" t="str">
            <v>Merchants</v>
          </cell>
          <cell r="W9">
            <v>0.94</v>
          </cell>
          <cell r="X9">
            <v>1</v>
          </cell>
          <cell r="Y9">
            <v>1</v>
          </cell>
          <cell r="Z9">
            <v>1</v>
          </cell>
          <cell r="AA9">
            <v>0.8</v>
          </cell>
          <cell r="AB9">
            <v>0.95</v>
          </cell>
        </row>
        <row r="10">
          <cell r="O10" t="str">
            <v>Merchants</v>
          </cell>
          <cell r="P10">
            <v>1</v>
          </cell>
          <cell r="Q10">
            <v>1</v>
          </cell>
          <cell r="R10" t="str">
            <v>Merchants</v>
          </cell>
          <cell r="S10" t="str">
            <v>Merchants</v>
          </cell>
          <cell r="T10" t="str">
            <v>Merchants</v>
          </cell>
          <cell r="U10">
            <v>1</v>
          </cell>
          <cell r="V10" t="str">
            <v>Merchants</v>
          </cell>
          <cell r="W10">
            <v>1</v>
          </cell>
          <cell r="X10">
            <v>1</v>
          </cell>
          <cell r="Y10">
            <v>1</v>
          </cell>
          <cell r="Z10">
            <v>0.88</v>
          </cell>
          <cell r="AA10">
            <v>1</v>
          </cell>
          <cell r="AB10">
            <v>0.91</v>
          </cell>
        </row>
        <row r="11">
          <cell r="O11" t="str">
            <v>Merchants</v>
          </cell>
          <cell r="P11">
            <v>1</v>
          </cell>
          <cell r="Q11">
            <v>1</v>
          </cell>
          <cell r="R11" t="str">
            <v>Merchants</v>
          </cell>
          <cell r="S11" t="str">
            <v>Merchants</v>
          </cell>
          <cell r="T11" t="str">
            <v>Merchants</v>
          </cell>
          <cell r="U11">
            <v>1</v>
          </cell>
          <cell r="V11" t="str">
            <v>Merchants</v>
          </cell>
          <cell r="W11">
            <v>1</v>
          </cell>
          <cell r="X11">
            <v>1</v>
          </cell>
          <cell r="Y11">
            <v>1</v>
          </cell>
          <cell r="Z11">
            <v>0.94</v>
          </cell>
          <cell r="AA11">
            <v>1</v>
          </cell>
          <cell r="AB11">
            <v>0.95</v>
          </cell>
        </row>
        <row r="12">
          <cell r="O12" t="str">
            <v>Merchants</v>
          </cell>
          <cell r="P12">
            <v>1</v>
          </cell>
          <cell r="Q12">
            <v>1</v>
          </cell>
          <cell r="R12" t="str">
            <v>Merchants</v>
          </cell>
          <cell r="S12" t="str">
            <v>Merchants</v>
          </cell>
          <cell r="T12" t="str">
            <v>Merchants</v>
          </cell>
          <cell r="U12">
            <v>1</v>
          </cell>
          <cell r="V12" t="str">
            <v>Merchants</v>
          </cell>
          <cell r="W12">
            <v>1</v>
          </cell>
          <cell r="X12">
            <v>1</v>
          </cell>
          <cell r="Y12">
            <v>1</v>
          </cell>
          <cell r="Z12">
            <v>0.86</v>
          </cell>
          <cell r="AA12">
            <v>0.8</v>
          </cell>
          <cell r="AB12">
            <v>0.8</v>
          </cell>
        </row>
        <row r="13">
          <cell r="O13" t="str">
            <v>Merchants</v>
          </cell>
          <cell r="P13">
            <v>1</v>
          </cell>
          <cell r="Q13">
            <v>1</v>
          </cell>
          <cell r="R13" t="str">
            <v>Merchants</v>
          </cell>
          <cell r="S13" t="str">
            <v>Merchants</v>
          </cell>
          <cell r="T13" t="str">
            <v>Merchants</v>
          </cell>
          <cell r="U13">
            <v>1</v>
          </cell>
          <cell r="V13" t="str">
            <v>Merchants</v>
          </cell>
          <cell r="W13">
            <v>1</v>
          </cell>
          <cell r="X13">
            <v>1</v>
          </cell>
          <cell r="Y13">
            <v>1</v>
          </cell>
          <cell r="Z13">
            <v>0.86</v>
          </cell>
          <cell r="AA13">
            <v>0.8</v>
          </cell>
          <cell r="AB13">
            <v>0.9</v>
          </cell>
        </row>
        <row r="14">
          <cell r="O14" t="str">
            <v>Merchants</v>
          </cell>
          <cell r="P14">
            <v>1</v>
          </cell>
          <cell r="Q14">
            <v>1</v>
          </cell>
          <cell r="R14" t="str">
            <v>Merchants</v>
          </cell>
          <cell r="S14" t="str">
            <v>Merchants</v>
          </cell>
          <cell r="T14" t="str">
            <v>Merchants</v>
          </cell>
          <cell r="U14">
            <v>1</v>
          </cell>
          <cell r="V14" t="str">
            <v>Merchants</v>
          </cell>
          <cell r="W14">
            <v>0.94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0.9</v>
          </cell>
        </row>
        <row r="15">
          <cell r="O15" t="str">
            <v>Merchants</v>
          </cell>
          <cell r="P15">
            <v>0.88</v>
          </cell>
          <cell r="Q15">
            <v>1</v>
          </cell>
          <cell r="R15" t="str">
            <v>Merchants</v>
          </cell>
          <cell r="S15" t="str">
            <v>Merchants</v>
          </cell>
          <cell r="T15" t="str">
            <v>Merchants</v>
          </cell>
          <cell r="U15">
            <v>1</v>
          </cell>
          <cell r="V15" t="str">
            <v>Merchants</v>
          </cell>
          <cell r="W15">
            <v>0.94</v>
          </cell>
          <cell r="X15">
            <v>1</v>
          </cell>
          <cell r="Y15">
            <v>1</v>
          </cell>
          <cell r="Z15">
            <v>0.86</v>
          </cell>
          <cell r="AA15">
            <v>1</v>
          </cell>
          <cell r="AB15">
            <v>0.85</v>
          </cell>
        </row>
        <row r="16">
          <cell r="O16" t="str">
            <v>Merchants</v>
          </cell>
          <cell r="P16">
            <v>0.88</v>
          </cell>
          <cell r="Q16">
            <v>1</v>
          </cell>
          <cell r="R16" t="str">
            <v>Merchants</v>
          </cell>
          <cell r="S16" t="str">
            <v>Merchants</v>
          </cell>
          <cell r="T16" t="str">
            <v>Merchants</v>
          </cell>
          <cell r="U16">
            <v>1</v>
          </cell>
          <cell r="V16" t="str">
            <v>Merchants</v>
          </cell>
          <cell r="W16">
            <v>1</v>
          </cell>
          <cell r="X16">
            <v>1</v>
          </cell>
          <cell r="Y16">
            <v>1</v>
          </cell>
          <cell r="Z16">
            <v>0.95</v>
          </cell>
          <cell r="AA16">
            <v>1</v>
          </cell>
          <cell r="AB16">
            <v>0.9</v>
          </cell>
        </row>
        <row r="17">
          <cell r="O17" t="str">
            <v>Merchants</v>
          </cell>
          <cell r="P17">
            <v>1</v>
          </cell>
          <cell r="Q17">
            <v>1</v>
          </cell>
          <cell r="R17" t="str">
            <v>Merchants</v>
          </cell>
          <cell r="S17" t="str">
            <v>Merchants</v>
          </cell>
          <cell r="T17" t="str">
            <v>Merchants</v>
          </cell>
          <cell r="U17">
            <v>1</v>
          </cell>
          <cell r="V17" t="str">
            <v>Merchants</v>
          </cell>
          <cell r="W17">
            <v>0.92</v>
          </cell>
          <cell r="X17">
            <v>1</v>
          </cell>
          <cell r="Y17">
            <v>1</v>
          </cell>
          <cell r="Z17">
            <v>0.9</v>
          </cell>
          <cell r="AA17">
            <v>1</v>
          </cell>
          <cell r="AB17">
            <v>0.8</v>
          </cell>
        </row>
        <row r="18">
          <cell r="O18" t="str">
            <v>Merchants</v>
          </cell>
          <cell r="P18">
            <v>0.88</v>
          </cell>
          <cell r="Q18">
            <v>1</v>
          </cell>
          <cell r="R18" t="str">
            <v>Merchants</v>
          </cell>
          <cell r="S18" t="str">
            <v>Merchants</v>
          </cell>
          <cell r="T18" t="str">
            <v>Merchants</v>
          </cell>
          <cell r="U18">
            <v>1</v>
          </cell>
          <cell r="V18" t="str">
            <v>Merchants</v>
          </cell>
          <cell r="W18">
            <v>1</v>
          </cell>
          <cell r="X18">
            <v>1</v>
          </cell>
          <cell r="Y18">
            <v>1</v>
          </cell>
          <cell r="Z18">
            <v>0.92</v>
          </cell>
          <cell r="AA18">
            <v>1</v>
          </cell>
          <cell r="AB18">
            <v>0.91</v>
          </cell>
        </row>
        <row r="19">
          <cell r="O19" t="str">
            <v>Merchants</v>
          </cell>
          <cell r="P19">
            <v>1</v>
          </cell>
          <cell r="Q19">
            <v>1</v>
          </cell>
          <cell r="R19" t="str">
            <v>Merchants</v>
          </cell>
          <cell r="S19" t="str">
            <v>Merchants</v>
          </cell>
          <cell r="T19" t="str">
            <v>Merchants</v>
          </cell>
          <cell r="U19">
            <v>1</v>
          </cell>
          <cell r="V19" t="str">
            <v>Merchants</v>
          </cell>
          <cell r="W19">
            <v>0.94</v>
          </cell>
          <cell r="X19">
            <v>1</v>
          </cell>
          <cell r="Y19">
            <v>1</v>
          </cell>
          <cell r="Z19" t="str">
            <v>N/A</v>
          </cell>
          <cell r="AA19">
            <v>0.8</v>
          </cell>
          <cell r="AB19" t="str">
            <v>N/A</v>
          </cell>
        </row>
        <row r="20">
          <cell r="O20" t="str">
            <v>Merchants</v>
          </cell>
          <cell r="P20">
            <v>0.88</v>
          </cell>
          <cell r="Q20">
            <v>1</v>
          </cell>
          <cell r="R20" t="str">
            <v>Merchants</v>
          </cell>
          <cell r="S20" t="str">
            <v>Merchants</v>
          </cell>
          <cell r="T20" t="str">
            <v>Merchants</v>
          </cell>
          <cell r="U20">
            <v>1</v>
          </cell>
          <cell r="V20" t="str">
            <v>Merchants</v>
          </cell>
          <cell r="W20">
            <v>0.86</v>
          </cell>
          <cell r="X20">
            <v>1</v>
          </cell>
          <cell r="Y20">
            <v>1</v>
          </cell>
          <cell r="Z20">
            <v>0.84</v>
          </cell>
          <cell r="AA20">
            <v>0.8</v>
          </cell>
          <cell r="AB20">
            <v>0.89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F4" t="str">
            <v>Yonela Mbolekwa</v>
          </cell>
        </row>
        <row r="5">
          <cell r="F5" t="str">
            <v xml:space="preserve">Soeurette Mukole </v>
          </cell>
        </row>
        <row r="6">
          <cell r="F6" t="str">
            <v>Ania  Mbuyi</v>
          </cell>
        </row>
        <row r="7">
          <cell r="F7" t="str">
            <v>Vance Kamalenga</v>
          </cell>
        </row>
        <row r="8">
          <cell r="F8" t="str">
            <v>Ange Kazadi</v>
          </cell>
        </row>
        <row r="9">
          <cell r="F9" t="str">
            <v>Kabeya(Mireille) Mireille</v>
          </cell>
        </row>
        <row r="10">
          <cell r="F10" t="str">
            <v>Regine  Musafiri</v>
          </cell>
        </row>
        <row r="11">
          <cell r="F11" t="str">
            <v>Mukandi (Ivon) Nkunabu</v>
          </cell>
        </row>
        <row r="12">
          <cell r="F12" t="str">
            <v>Parfait  Kay</v>
          </cell>
        </row>
        <row r="13">
          <cell r="F13" t="str">
            <v xml:space="preserve">Bajana Ilunga </v>
          </cell>
        </row>
        <row r="14">
          <cell r="F14" t="str">
            <v>Rocky  Shongo</v>
          </cell>
        </row>
        <row r="15">
          <cell r="F15" t="str">
            <v xml:space="preserve">Lingole  Bohume </v>
          </cell>
        </row>
        <row r="16">
          <cell r="F16" t="str">
            <v>Bin Milambo</v>
          </cell>
        </row>
        <row r="17">
          <cell r="F17" t="str">
            <v>Herve Mubenga</v>
          </cell>
        </row>
        <row r="18">
          <cell r="F18" t="str">
            <v>Ntsassa (Bettina) Mussaana</v>
          </cell>
        </row>
        <row r="19">
          <cell r="F19" t="str">
            <v>Karabo Radiokana</v>
          </cell>
        </row>
      </sheetData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isa Roberts" refreshedDate="46002.525736574076" createdVersion="8" refreshedVersion="8" minRefreshableVersion="3" recordCount="59" xr:uid="{8DDA003A-67E8-4773-AEAF-68892CF42603}">
  <cacheSource type="worksheet">
    <worksheetSource ref="A1:R1048576" sheet="Dashboard"/>
  </cacheSource>
  <cacheFields count="18">
    <cacheField name="Class Start Date" numFmtId="0">
      <sharedItems containsDate="1" containsBlank="1" containsMixedTypes="1" minDate="2025-04-14T00:00:00" maxDate="2025-05-27T00:00:00"/>
    </cacheField>
    <cacheField name="Trainer Name" numFmtId="0">
      <sharedItems containsBlank="1" count="34">
        <m/>
        <s v="Jean LuZada"/>
        <s v="Mel Cajucom"/>
        <s v="Irish Ferreras"/>
        <s v="Chase Argamosa"/>
        <s v="Vera Hibaya"/>
        <s v="Catherine Cachero"/>
        <s v="Nancy Price"/>
        <s v="Kate Saigo"/>
        <s v="Donna Caliling"/>
        <s v="Jeff Janda"/>
        <s v="Viena Lacena"/>
        <s v="Kate Postres"/>
        <s v="Vhea De Fiesta"/>
        <s v="Maynard Soriano"/>
        <s v="Jennifer Ramirez"/>
        <s v="Anabelle Pizon"/>
        <s v="Sneha Menda"/>
        <s v="Maria Lourdes Tendenilla"/>
        <s v="Robin Yasona "/>
        <s v="Kaylum Jonkers"/>
        <s v="Mary Anne Cruz"/>
        <s v="Patrick James Reosia"/>
        <s v="Jarry Calilung"/>
        <s v="Maynard Soriano "/>
        <s v="Jack Malumbelumbe"/>
        <s v="Maleka Legodi"/>
        <s v="Surprise Mosehla"/>
        <s v="Tshepo Nkumelini"/>
        <s v="Siyabulele Mvimbi"/>
        <s v="Kenneth Vera Hibaya"/>
        <s v="Belle Pizon" u="1"/>
        <s v="Robin Yasona" u="1"/>
        <s v="Vhea deFiesta" u="1"/>
      </sharedItems>
    </cacheField>
    <cacheField name="Number of Agent Transition to Nesting" numFmtId="0">
      <sharedItems containsString="0" containsBlank="1" containsNumber="1" containsInteger="1" minValue="0" maxValue="31"/>
    </cacheField>
    <cacheField name="Whistleblowing" numFmtId="0">
      <sharedItems containsString="0" containsBlank="1" containsNumber="1" containsInteger="1" minValue="10" maxValue="37"/>
    </cacheField>
    <cacheField name="PCB Compliance Coaching Model" numFmtId="0">
      <sharedItems containsString="0" containsBlank="1" containsNumber="1" containsInteger="1" minValue="10" maxValue="37"/>
    </cacheField>
    <cacheField name="Complaint Management Theory" numFmtId="0">
      <sharedItems containsString="0" containsBlank="1" containsNumber="1" containsInteger="1" minValue="0" maxValue="34"/>
    </cacheField>
    <cacheField name="NTT BPO PCB AML - General" numFmtId="0">
      <sharedItems containsString="0" containsBlank="1" containsNumber="1" containsInteger="1" minValue="10" maxValue="36"/>
    </cacheField>
    <cacheField name="Senior's Fraud" numFmtId="0">
      <sharedItems containsString="0" containsBlank="1" containsNumber="1" containsInteger="1" minValue="0" maxValue="35"/>
    </cacheField>
    <cacheField name="Corporate Policy and Procedure Employee Sign off" numFmtId="0">
      <sharedItems containsBlank="1" containsMixedTypes="1" containsNumber="1" containsInteger="1" minValue="0" maxValue="37"/>
    </cacheField>
    <cacheField name="NTT BPO CASL" numFmtId="0">
      <sharedItems containsString="0" containsBlank="1" containsNumber="1" containsInteger="1" minValue="0" maxValue="36"/>
    </cacheField>
    <cacheField name="NTT BPO AODA" numFmtId="0">
      <sharedItems containsString="0" containsBlank="1" containsNumber="1" containsInteger="1" minValue="0" maxValue="37"/>
    </cacheField>
    <cacheField name="NTT BPO Health and Safety - Onshore or Offshore version" numFmtId="0">
      <sharedItems containsBlank="1" containsMixedTypes="1" containsNumber="1" containsInteger="1" minValue="0" maxValue="37"/>
    </cacheField>
    <cacheField name="NTT BPO WHMIS" numFmtId="0">
      <sharedItems containsBlank="1" containsMixedTypes="1" containsNumber="1" containsInteger="1" minValue="0" maxValue="37"/>
    </cacheField>
    <cacheField name="NTT BPO Violence and Harassment in the Workplace Quiz" numFmtId="0">
      <sharedItems containsBlank="1" containsMixedTypes="1" containsNumber="1" containsInteger="1" minValue="0" maxValue="37"/>
    </cacheField>
    <cacheField name="NTT BPO Insider Fraud Awareness_x000a_" numFmtId="0">
      <sharedItems containsString="0" containsBlank="1" containsNumber="1" containsInteger="1" minValue="0" maxValue="37"/>
    </cacheField>
    <cacheField name="NTT BPO Privacy + Security" numFmtId="0">
      <sharedItems containsBlank="1" containsMixedTypes="1" containsNumber="1" containsInteger="1" minValue="11" maxValue="36"/>
    </cacheField>
    <cacheField name="NTT BPO Human Rights Code" numFmtId="0">
      <sharedItems containsString="0" containsBlank="1" containsNumber="1" containsInteger="1" minValue="10" maxValue="33"/>
    </cacheField>
    <cacheField name="Total Complete" numFmtId="0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m/>
    <x v="0"/>
    <m/>
    <m/>
    <m/>
    <m/>
    <m/>
    <m/>
    <m/>
    <m/>
    <m/>
    <m/>
    <m/>
    <m/>
    <m/>
    <m/>
    <m/>
    <m/>
  </r>
  <r>
    <s v="03.10.2025"/>
    <x v="1"/>
    <n v="18"/>
    <n v="25"/>
    <n v="25"/>
    <n v="22"/>
    <n v="25"/>
    <n v="22"/>
    <n v="25"/>
    <n v="25"/>
    <n v="25"/>
    <n v="25"/>
    <n v="1"/>
    <n v="1"/>
    <n v="25"/>
    <n v="25"/>
    <n v="25"/>
    <n v="1"/>
  </r>
  <r>
    <s v="03.10.2025"/>
    <x v="2"/>
    <n v="18"/>
    <n v="25"/>
    <n v="25"/>
    <n v="22"/>
    <n v="25"/>
    <n v="22"/>
    <n v="25"/>
    <n v="25"/>
    <n v="25"/>
    <n v="25"/>
    <n v="1"/>
    <n v="1"/>
    <n v="25"/>
    <n v="25"/>
    <n v="25"/>
    <n v="1"/>
  </r>
  <r>
    <s v="03.24.2025"/>
    <x v="3"/>
    <n v="31"/>
    <n v="33"/>
    <n v="33"/>
    <n v="30"/>
    <n v="33"/>
    <n v="27"/>
    <n v="11"/>
    <n v="33"/>
    <n v="33"/>
    <n v="11"/>
    <n v="11"/>
    <n v="11"/>
    <n v="32"/>
    <n v="11"/>
    <n v="33"/>
    <n v="11"/>
  </r>
  <r>
    <s v="03.24.2025"/>
    <x v="4"/>
    <n v="31"/>
    <n v="33"/>
    <n v="33"/>
    <n v="30"/>
    <n v="33"/>
    <n v="27"/>
    <n v="11"/>
    <n v="33"/>
    <n v="33"/>
    <n v="11"/>
    <n v="11"/>
    <n v="11"/>
    <n v="32"/>
    <n v="11"/>
    <n v="33"/>
    <n v="11"/>
  </r>
  <r>
    <d v="2025-04-14T00:00:00"/>
    <x v="5"/>
    <n v="18"/>
    <n v="19"/>
    <n v="19"/>
    <n v="18"/>
    <n v="19"/>
    <n v="18"/>
    <s v="N/A"/>
    <n v="19"/>
    <n v="19"/>
    <s v="N/A"/>
    <s v="N/A"/>
    <s v="N/A"/>
    <n v="19"/>
    <s v="N/A"/>
    <n v="19"/>
    <n v="18"/>
  </r>
  <r>
    <d v="2025-04-14T00:00:00"/>
    <x v="6"/>
    <n v="18"/>
    <n v="19"/>
    <n v="19"/>
    <n v="18"/>
    <n v="19"/>
    <n v="18"/>
    <s v="N/A"/>
    <n v="19"/>
    <n v="19"/>
    <s v="N/A"/>
    <s v="N/A"/>
    <s v="N/A"/>
    <n v="19"/>
    <s v="N/A"/>
    <n v="19"/>
    <n v="18"/>
  </r>
  <r>
    <d v="2025-04-21T00:00:00"/>
    <x v="7"/>
    <n v="18"/>
    <n v="19"/>
    <n v="19"/>
    <n v="18"/>
    <n v="19"/>
    <n v="18"/>
    <n v="19"/>
    <n v="19"/>
    <n v="19"/>
    <n v="19"/>
    <n v="19"/>
    <n v="19"/>
    <n v="19"/>
    <n v="19"/>
    <n v="19"/>
    <n v="18"/>
  </r>
  <r>
    <d v="2025-04-21T00:00:00"/>
    <x v="8"/>
    <n v="18"/>
    <n v="19"/>
    <n v="19"/>
    <n v="18"/>
    <n v="19"/>
    <n v="18"/>
    <n v="19"/>
    <n v="19"/>
    <n v="19"/>
    <n v="19"/>
    <n v="19"/>
    <n v="19"/>
    <n v="19"/>
    <n v="19"/>
    <n v="19"/>
    <n v="18"/>
  </r>
  <r>
    <d v="2025-04-28T00:00:00"/>
    <x v="9"/>
    <n v="13"/>
    <n v="15"/>
    <n v="15"/>
    <n v="14"/>
    <n v="15"/>
    <n v="14"/>
    <n v="15"/>
    <n v="15"/>
    <n v="15"/>
    <n v="15"/>
    <n v="15"/>
    <n v="15"/>
    <n v="15"/>
    <n v="15"/>
    <n v="15"/>
    <n v="14"/>
  </r>
  <r>
    <d v="2025-04-28T00:00:00"/>
    <x v="10"/>
    <n v="13"/>
    <n v="15"/>
    <n v="15"/>
    <n v="14"/>
    <n v="15"/>
    <n v="14"/>
    <n v="15"/>
    <n v="15"/>
    <n v="15"/>
    <n v="15"/>
    <n v="15"/>
    <n v="15"/>
    <n v="15"/>
    <n v="15"/>
    <n v="15"/>
    <n v="14"/>
  </r>
  <r>
    <d v="2025-05-12T00:00:00"/>
    <x v="11"/>
    <n v="16"/>
    <n v="18"/>
    <n v="18"/>
    <n v="16"/>
    <n v="18"/>
    <n v="16"/>
    <n v="16"/>
    <n v="18"/>
    <n v="18"/>
    <n v="17"/>
    <n v="17"/>
    <n v="17"/>
    <n v="18"/>
    <n v="17"/>
    <n v="18"/>
    <n v="16"/>
  </r>
  <r>
    <d v="2025-05-12T00:00:00"/>
    <x v="12"/>
    <n v="16"/>
    <n v="18"/>
    <n v="18"/>
    <n v="16"/>
    <n v="18"/>
    <n v="16"/>
    <n v="16"/>
    <n v="18"/>
    <n v="18"/>
    <n v="17"/>
    <n v="17"/>
    <n v="17"/>
    <n v="18"/>
    <n v="17"/>
    <n v="18"/>
    <n v="16"/>
  </r>
  <r>
    <d v="2025-05-20T00:00:00"/>
    <x v="4"/>
    <n v="11"/>
    <n v="12"/>
    <n v="12"/>
    <n v="11"/>
    <n v="12"/>
    <n v="12"/>
    <n v="11"/>
    <n v="12"/>
    <n v="12"/>
    <n v="11"/>
    <n v="11"/>
    <n v="12"/>
    <n v="12"/>
    <n v="12"/>
    <n v="11"/>
    <n v="11"/>
  </r>
  <r>
    <d v="2025-05-20T00:00:00"/>
    <x v="13"/>
    <n v="11"/>
    <n v="12"/>
    <n v="12"/>
    <n v="11"/>
    <n v="12"/>
    <n v="12"/>
    <n v="11"/>
    <n v="12"/>
    <n v="12"/>
    <n v="11"/>
    <n v="11"/>
    <n v="12"/>
    <n v="12"/>
    <n v="12"/>
    <n v="11"/>
    <n v="11"/>
  </r>
  <r>
    <d v="2025-05-26T00:00:00"/>
    <x v="1"/>
    <n v="14"/>
    <n v="16"/>
    <n v="16"/>
    <n v="15"/>
    <n v="16"/>
    <n v="15"/>
    <s v="N/A"/>
    <n v="16"/>
    <n v="16"/>
    <s v="N/A"/>
    <s v="N/A"/>
    <s v="N/A"/>
    <n v="16"/>
    <s v="N/A"/>
    <n v="16"/>
    <n v="15"/>
  </r>
  <r>
    <d v="2025-05-26T00:00:00"/>
    <x v="14"/>
    <n v="14"/>
    <n v="16"/>
    <n v="16"/>
    <n v="15"/>
    <n v="16"/>
    <n v="15"/>
    <s v="N/A"/>
    <n v="16"/>
    <n v="16"/>
    <s v="N/A"/>
    <s v="N/A"/>
    <s v="N/A"/>
    <n v="16"/>
    <s v="N/A"/>
    <n v="16"/>
    <n v="15"/>
  </r>
  <r>
    <d v="2025-05-26T00:00:00"/>
    <x v="15"/>
    <n v="14"/>
    <n v="16"/>
    <n v="16"/>
    <n v="15"/>
    <n v="16"/>
    <n v="15"/>
    <s v="N/A"/>
    <n v="16"/>
    <n v="16"/>
    <s v="N/A"/>
    <s v="N/A"/>
    <s v="N/A"/>
    <n v="16"/>
    <s v="N/A"/>
    <n v="16"/>
    <n v="15"/>
  </r>
  <r>
    <s v="06.09.2025"/>
    <x v="16"/>
    <n v="14"/>
    <n v="15"/>
    <n v="15"/>
    <n v="15"/>
    <n v="15"/>
    <n v="15"/>
    <s v="N/A"/>
    <n v="15"/>
    <n v="15"/>
    <s v="N/A"/>
    <s v="N/A"/>
    <s v="N/A"/>
    <n v="15"/>
    <s v="N/A"/>
    <n v="15"/>
    <n v="15"/>
  </r>
  <r>
    <s v="06.09.2025"/>
    <x v="3"/>
    <n v="14"/>
    <n v="15"/>
    <n v="15"/>
    <n v="15"/>
    <n v="15"/>
    <n v="15"/>
    <s v="N/A"/>
    <n v="15"/>
    <n v="15"/>
    <s v="N/A"/>
    <s v="N/A"/>
    <s v="N/A"/>
    <n v="15"/>
    <s v="N/A"/>
    <n v="15"/>
    <n v="15"/>
  </r>
  <r>
    <s v="06.23.2025"/>
    <x v="8"/>
    <n v="10"/>
    <n v="11"/>
    <n v="11"/>
    <n v="11"/>
    <n v="11"/>
    <n v="11"/>
    <n v="10"/>
    <n v="11"/>
    <n v="11"/>
    <n v="10"/>
    <n v="10"/>
    <n v="10"/>
    <n v="11"/>
    <n v="11"/>
    <n v="11"/>
    <n v="10"/>
  </r>
  <r>
    <s v="06.23.2025"/>
    <x v="10"/>
    <n v="10"/>
    <n v="11"/>
    <n v="11"/>
    <n v="11"/>
    <n v="11"/>
    <n v="11"/>
    <n v="10"/>
    <n v="11"/>
    <n v="11"/>
    <n v="10"/>
    <n v="10"/>
    <n v="10"/>
    <n v="11"/>
    <n v="11"/>
    <n v="11"/>
    <n v="10"/>
  </r>
  <r>
    <s v="06.23.2025"/>
    <x v="7"/>
    <n v="30"/>
    <n v="37"/>
    <n v="37"/>
    <n v="34"/>
    <n v="36"/>
    <n v="35"/>
    <n v="37"/>
    <n v="36"/>
    <n v="37"/>
    <n v="37"/>
    <n v="37"/>
    <n v="37"/>
    <n v="37"/>
    <n v="36"/>
    <n v="25"/>
    <n v="25"/>
  </r>
  <r>
    <s v="06.23.2025"/>
    <x v="17"/>
    <n v="30"/>
    <n v="37"/>
    <n v="37"/>
    <n v="34"/>
    <n v="36"/>
    <n v="35"/>
    <n v="37"/>
    <n v="36"/>
    <n v="37"/>
    <n v="37"/>
    <n v="37"/>
    <n v="37"/>
    <n v="37"/>
    <n v="36"/>
    <n v="25"/>
    <n v="25"/>
  </r>
  <r>
    <s v="06.23.2025"/>
    <x v="2"/>
    <n v="30"/>
    <n v="37"/>
    <n v="37"/>
    <n v="34"/>
    <n v="36"/>
    <n v="35"/>
    <n v="37"/>
    <n v="36"/>
    <n v="37"/>
    <n v="37"/>
    <n v="37"/>
    <n v="37"/>
    <n v="37"/>
    <n v="36"/>
    <n v="25"/>
    <n v="25"/>
  </r>
  <r>
    <s v="06.23.2025"/>
    <x v="14"/>
    <n v="30"/>
    <n v="37"/>
    <n v="37"/>
    <n v="34"/>
    <n v="36"/>
    <n v="35"/>
    <n v="37"/>
    <n v="36"/>
    <n v="37"/>
    <n v="37"/>
    <n v="37"/>
    <n v="37"/>
    <n v="37"/>
    <n v="36"/>
    <n v="25"/>
    <n v="25"/>
  </r>
  <r>
    <s v="06.30.2025"/>
    <x v="5"/>
    <n v="31"/>
    <n v="22"/>
    <n v="22"/>
    <n v="22"/>
    <n v="22"/>
    <n v="22"/>
    <s v="N/A"/>
    <n v="22"/>
    <n v="22"/>
    <s v="N/A"/>
    <s v="N/A"/>
    <s v="N/A"/>
    <n v="22"/>
    <s v="N/A"/>
    <n v="22"/>
    <n v="22"/>
  </r>
  <r>
    <s v="06.30.2025"/>
    <x v="6"/>
    <n v="31"/>
    <n v="22"/>
    <n v="22"/>
    <n v="22"/>
    <n v="22"/>
    <n v="22"/>
    <s v="N/A"/>
    <n v="22"/>
    <n v="22"/>
    <s v="N/A"/>
    <s v="N/A"/>
    <s v="N/A"/>
    <n v="22"/>
    <s v="N/A"/>
    <n v="22"/>
    <n v="22"/>
  </r>
  <r>
    <s v="07.07.2025"/>
    <x v="1"/>
    <n v="10"/>
    <n v="10"/>
    <n v="10"/>
    <n v="10"/>
    <n v="10"/>
    <n v="9"/>
    <s v="N/A"/>
    <n v="10"/>
    <n v="10"/>
    <s v="N/A"/>
    <s v="N/A"/>
    <s v="N/A"/>
    <n v="10"/>
    <s v="N/A"/>
    <n v="10"/>
    <n v="9"/>
  </r>
  <r>
    <s v="07.07.2025"/>
    <x v="13"/>
    <n v="10"/>
    <n v="10"/>
    <n v="10"/>
    <n v="10"/>
    <n v="10"/>
    <n v="9"/>
    <s v="N/A"/>
    <n v="10"/>
    <n v="10"/>
    <s v="N/A"/>
    <s v="N/A"/>
    <s v="N/A"/>
    <n v="10"/>
    <s v="N/A"/>
    <n v="10"/>
    <n v="9"/>
  </r>
  <r>
    <s v="7.22.2025"/>
    <x v="3"/>
    <n v="14"/>
    <n v="14"/>
    <n v="14"/>
    <n v="14"/>
    <n v="14"/>
    <n v="15"/>
    <s v="N/A"/>
    <n v="14"/>
    <n v="14"/>
    <s v="N/A"/>
    <s v="N/A"/>
    <s v="N/A"/>
    <n v="14"/>
    <s v="N/A"/>
    <n v="14"/>
    <n v="14"/>
  </r>
  <r>
    <s v="7.22.2025"/>
    <x v="12"/>
    <n v="14"/>
    <n v="14"/>
    <n v="14"/>
    <n v="14"/>
    <n v="14"/>
    <n v="15"/>
    <s v="N/A"/>
    <n v="14"/>
    <n v="14"/>
    <s v="N/A"/>
    <s v="N/A"/>
    <s v="N/A"/>
    <n v="14"/>
    <s v="N/A"/>
    <n v="14"/>
    <n v="14"/>
  </r>
  <r>
    <s v="07.28.2025"/>
    <x v="1"/>
    <n v="15"/>
    <n v="17"/>
    <n v="17"/>
    <n v="16"/>
    <n v="17"/>
    <n v="16"/>
    <n v="17"/>
    <n v="18"/>
    <n v="18"/>
    <n v="17"/>
    <n v="17"/>
    <n v="18"/>
    <n v="17"/>
    <n v="18"/>
    <n v="18"/>
    <n v="16"/>
  </r>
  <r>
    <s v="07.28.2025"/>
    <x v="18"/>
    <n v="15"/>
    <n v="17"/>
    <n v="17"/>
    <n v="16"/>
    <n v="17"/>
    <n v="16"/>
    <n v="17"/>
    <n v="18"/>
    <n v="18"/>
    <n v="17"/>
    <n v="17"/>
    <n v="18"/>
    <n v="17"/>
    <n v="18"/>
    <n v="18"/>
    <n v="16"/>
  </r>
  <r>
    <s v="08.18.2025"/>
    <x v="16"/>
    <n v="12"/>
    <n v="13"/>
    <n v="13"/>
    <n v="13"/>
    <n v="13"/>
    <n v="13"/>
    <s v="N/A"/>
    <n v="13"/>
    <n v="13"/>
    <s v="N/A"/>
    <s v="N/A"/>
    <s v="N/A"/>
    <n v="13"/>
    <s v="N/A"/>
    <n v="13"/>
    <n v="13"/>
  </r>
  <r>
    <s v="08.18.2025"/>
    <x v="15"/>
    <n v="12"/>
    <n v="13"/>
    <n v="13"/>
    <n v="13"/>
    <n v="13"/>
    <n v="13"/>
    <s v="N/A"/>
    <n v="13"/>
    <n v="13"/>
    <s v="N/A"/>
    <s v="N/A"/>
    <s v="N/A"/>
    <n v="13"/>
    <s v="N/A"/>
    <n v="13"/>
    <n v="13"/>
  </r>
  <r>
    <s v="08.18.2025"/>
    <x v="8"/>
    <n v="13"/>
    <n v="16"/>
    <n v="16"/>
    <n v="15"/>
    <n v="16"/>
    <n v="15"/>
    <n v="16"/>
    <n v="16"/>
    <n v="16"/>
    <n v="16"/>
    <n v="16"/>
    <n v="16"/>
    <n v="16"/>
    <n v="16"/>
    <n v="16"/>
    <n v="15"/>
  </r>
  <r>
    <s v="08.18.2025"/>
    <x v="19"/>
    <n v="13"/>
    <n v="16"/>
    <n v="16"/>
    <n v="15"/>
    <n v="16"/>
    <n v="15"/>
    <n v="16"/>
    <n v="16"/>
    <n v="16"/>
    <n v="16"/>
    <n v="16"/>
    <n v="16"/>
    <n v="16"/>
    <n v="16"/>
    <n v="16"/>
    <n v="15"/>
  </r>
  <r>
    <s v="08.18.2025"/>
    <x v="7"/>
    <n v="14"/>
    <n v="15"/>
    <n v="15"/>
    <n v="15"/>
    <n v="15"/>
    <n v="15"/>
    <s v="N/A"/>
    <n v="15"/>
    <n v="15"/>
    <s v="N/A"/>
    <s v="N/A"/>
    <s v="N/A"/>
    <n v="15"/>
    <s v="N/A"/>
    <n v="15"/>
    <n v="15"/>
  </r>
  <r>
    <s v="08.18.2025"/>
    <x v="5"/>
    <n v="14"/>
    <n v="15"/>
    <n v="15"/>
    <n v="15"/>
    <n v="15"/>
    <n v="15"/>
    <s v="N/A"/>
    <n v="15"/>
    <n v="15"/>
    <s v="N/A"/>
    <s v="N/A"/>
    <s v="N/A"/>
    <n v="15"/>
    <s v="N/A"/>
    <n v="15"/>
    <n v="15"/>
  </r>
  <r>
    <s v="08.18.2025"/>
    <x v="20"/>
    <n v="14"/>
    <n v="15"/>
    <n v="15"/>
    <n v="15"/>
    <n v="15"/>
    <n v="15"/>
    <s v="N/A"/>
    <n v="15"/>
    <n v="15"/>
    <s v="N/A"/>
    <s v="N/A"/>
    <s v="N/A"/>
    <n v="15"/>
    <s v="N/A"/>
    <n v="15"/>
    <n v="15"/>
  </r>
  <r>
    <s v="08.26.2025"/>
    <x v="10"/>
    <n v="4"/>
    <n v="10"/>
    <n v="10"/>
    <n v="10"/>
    <n v="10"/>
    <n v="10"/>
    <s v="N/A"/>
    <n v="10"/>
    <n v="10"/>
    <s v="N/A"/>
    <s v="N/A"/>
    <s v="N/A"/>
    <n v="10"/>
    <s v="N/A"/>
    <n v="10"/>
    <n v="10"/>
  </r>
  <r>
    <s v="08.26.2025"/>
    <x v="4"/>
    <n v="4"/>
    <n v="10"/>
    <n v="10"/>
    <n v="10"/>
    <n v="10"/>
    <n v="10"/>
    <s v="N/A"/>
    <n v="10"/>
    <n v="10"/>
    <s v="N/A"/>
    <s v="N/A"/>
    <s v="N/A"/>
    <n v="10"/>
    <s v="N/A"/>
    <n v="10"/>
    <n v="10"/>
  </r>
  <r>
    <s v="08.26.2025"/>
    <x v="21"/>
    <n v="4"/>
    <n v="10"/>
    <n v="10"/>
    <n v="10"/>
    <n v="10"/>
    <n v="10"/>
    <s v="N/A"/>
    <n v="10"/>
    <n v="10"/>
    <s v="N/A"/>
    <s v="N/A"/>
    <s v="N/A"/>
    <n v="10"/>
    <s v="N/A"/>
    <n v="10"/>
    <n v="10"/>
  </r>
  <r>
    <s v="09.11.2025"/>
    <x v="6"/>
    <n v="19"/>
    <n v="19"/>
    <n v="19"/>
    <n v="19"/>
    <n v="19"/>
    <n v="19"/>
    <s v="N/A"/>
    <n v="19"/>
    <n v="19"/>
    <s v="N/A"/>
    <s v="N/A"/>
    <s v="N/A"/>
    <n v="19"/>
    <s v="N/A"/>
    <n v="19"/>
    <n v="19"/>
  </r>
  <r>
    <s v="09.11.2025"/>
    <x v="22"/>
    <n v="19"/>
    <n v="19"/>
    <n v="19"/>
    <n v="19"/>
    <n v="19"/>
    <n v="19"/>
    <s v="N/A"/>
    <n v="19"/>
    <n v="19"/>
    <s v="N/A"/>
    <s v="N/A"/>
    <s v="N/A"/>
    <n v="19"/>
    <s v="N/A"/>
    <n v="19"/>
    <n v="19"/>
  </r>
  <r>
    <s v="09.22.2025"/>
    <x v="13"/>
    <n v="16"/>
    <n v="16"/>
    <n v="16"/>
    <n v="16"/>
    <n v="16"/>
    <n v="16"/>
    <s v="N/A"/>
    <n v="16"/>
    <n v="16"/>
    <s v="N/A"/>
    <s v="N/A"/>
    <s v="N/A"/>
    <n v="16"/>
    <s v="N/A"/>
    <n v="16"/>
    <n v="16"/>
  </r>
  <r>
    <s v="09.22.2025"/>
    <x v="23"/>
    <n v="16"/>
    <n v="16"/>
    <n v="16"/>
    <n v="16"/>
    <n v="16"/>
    <n v="16"/>
    <s v="N/A"/>
    <n v="16"/>
    <n v="16"/>
    <s v="N/A"/>
    <s v="N/A"/>
    <s v="N/A"/>
    <n v="16"/>
    <s v="N/A"/>
    <n v="16"/>
    <n v="16"/>
  </r>
  <r>
    <s v="10.06.2025"/>
    <x v="3"/>
    <n v="13"/>
    <n v="15"/>
    <n v="14"/>
    <n v="15"/>
    <n v="14"/>
    <n v="14"/>
    <n v="13"/>
    <n v="14"/>
    <n v="14"/>
    <s v="N/A"/>
    <s v="N/A"/>
    <s v="N/A"/>
    <n v="14"/>
    <s v="N/A"/>
    <n v="15"/>
    <n v="13"/>
  </r>
  <r>
    <s v="10.06.2025"/>
    <x v="24"/>
    <n v="13"/>
    <n v="15"/>
    <n v="14"/>
    <n v="15"/>
    <n v="14"/>
    <n v="14"/>
    <n v="13"/>
    <n v="14"/>
    <n v="14"/>
    <s v="N/A"/>
    <s v="N/A"/>
    <s v="N/A"/>
    <n v="14"/>
    <s v="N/A"/>
    <n v="15"/>
    <n v="13"/>
  </r>
  <r>
    <s v="10.13.2025"/>
    <x v="25"/>
    <n v="0"/>
    <n v="16"/>
    <n v="16"/>
    <n v="16"/>
    <n v="16"/>
    <n v="16"/>
    <n v="0"/>
    <n v="0"/>
    <n v="0"/>
    <s v="N/A"/>
    <s v="N/A"/>
    <s v="N/A"/>
    <n v="0"/>
    <s v="N/A"/>
    <n v="16"/>
    <n v="0"/>
  </r>
  <r>
    <s v="10.13.2025"/>
    <x v="26"/>
    <n v="0"/>
    <n v="16"/>
    <n v="16"/>
    <n v="16"/>
    <n v="16"/>
    <n v="16"/>
    <n v="0"/>
    <n v="0"/>
    <n v="0"/>
    <s v="N/A"/>
    <s v="N/A"/>
    <s v="N/A"/>
    <n v="0"/>
    <s v="N/A"/>
    <n v="16"/>
    <n v="0"/>
  </r>
  <r>
    <s v="10.13.2025"/>
    <x v="27"/>
    <n v="0"/>
    <n v="15"/>
    <n v="15"/>
    <n v="15"/>
    <n v="15"/>
    <n v="15"/>
    <n v="0"/>
    <n v="0"/>
    <n v="0"/>
    <n v="0"/>
    <n v="0"/>
    <n v="0"/>
    <n v="0"/>
    <n v="15"/>
    <n v="15"/>
    <n v="0"/>
  </r>
  <r>
    <s v="10.13.2025"/>
    <x v="28"/>
    <n v="0"/>
    <n v="15"/>
    <n v="15"/>
    <n v="15"/>
    <n v="15"/>
    <n v="15"/>
    <n v="0"/>
    <n v="0"/>
    <n v="0"/>
    <n v="0"/>
    <n v="0"/>
    <n v="0"/>
    <n v="0"/>
    <n v="15"/>
    <n v="15"/>
    <n v="0"/>
  </r>
  <r>
    <s v="10.20.2025"/>
    <x v="20"/>
    <n v="0"/>
    <n v="16"/>
    <n v="16"/>
    <n v="0"/>
    <n v="16"/>
    <n v="0"/>
    <n v="0"/>
    <n v="0"/>
    <n v="0"/>
    <n v="0"/>
    <n v="0"/>
    <n v="0"/>
    <n v="0"/>
    <n v="16"/>
    <n v="16"/>
    <n v="0"/>
  </r>
  <r>
    <s v="10.20.2025"/>
    <x v="29"/>
    <n v="0"/>
    <n v="16"/>
    <n v="16"/>
    <n v="0"/>
    <n v="16"/>
    <n v="0"/>
    <n v="0"/>
    <n v="0"/>
    <n v="0"/>
    <n v="0"/>
    <n v="0"/>
    <n v="0"/>
    <n v="0"/>
    <n v="16"/>
    <n v="16"/>
    <n v="0"/>
  </r>
  <r>
    <s v="10.20.2025"/>
    <x v="30"/>
    <n v="19"/>
    <n v="13"/>
    <n v="13"/>
    <n v="13"/>
    <n v="13"/>
    <n v="13"/>
    <n v="0"/>
    <n v="0"/>
    <n v="0"/>
    <n v="0"/>
    <n v="0"/>
    <n v="0"/>
    <n v="0"/>
    <n v="13"/>
    <n v="13"/>
    <n v="0"/>
  </r>
  <r>
    <s v="10.20.2025"/>
    <x v="21"/>
    <n v="19"/>
    <n v="13"/>
    <n v="13"/>
    <n v="13"/>
    <n v="13"/>
    <n v="13"/>
    <n v="0"/>
    <n v="0"/>
    <n v="0"/>
    <n v="0"/>
    <n v="0"/>
    <n v="0"/>
    <n v="0"/>
    <n v="13"/>
    <n v="13"/>
    <n v="0"/>
  </r>
  <r>
    <m/>
    <x v="0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3922E-149C-4DE9-BAE1-BF29A9FB37A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2:W34" firstHeaderRow="0" firstDataRow="1" firstDataCol="1"/>
  <pivotFields count="18">
    <pivotField compact="0" outline="0" showAll="0"/>
    <pivotField axis="axisRow" compact="0" outline="0" showAll="0">
      <items count="35">
        <item m="1" x="31"/>
        <item x="6"/>
        <item x="4"/>
        <item x="9"/>
        <item x="3"/>
        <item x="1"/>
        <item x="10"/>
        <item x="15"/>
        <item x="12"/>
        <item x="8"/>
        <item x="30"/>
        <item x="18"/>
        <item x="14"/>
        <item x="2"/>
        <item x="7"/>
        <item x="17"/>
        <item x="5"/>
        <item x="13"/>
        <item m="1" x="33"/>
        <item x="11"/>
        <item x="0"/>
        <item m="1" x="32"/>
        <item x="20"/>
        <item x="21"/>
        <item x="22"/>
        <item x="23"/>
        <item x="16"/>
        <item x="19"/>
        <item x="24"/>
        <item x="25"/>
        <item x="26"/>
        <item x="27"/>
        <item x="28"/>
        <item x="29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Agent Transition to Nesting" fld="2" baseField="0" baseItem="0"/>
    <dataField name="Sum of Total Complete" fld="1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workbookViewId="0">
      <pane ySplit="1" topLeftCell="A2" activePane="bottomLeft" state="frozen"/>
      <selection pane="bottomLeft" activeCell="A50" sqref="A50"/>
    </sheetView>
  </sheetViews>
  <sheetFormatPr defaultRowHeight="14.4" x14ac:dyDescent="0.3"/>
  <cols>
    <col min="1" max="1" width="11" customWidth="1"/>
    <col min="2" max="2" width="36.88671875" bestFit="1" customWidth="1"/>
    <col min="4" max="4" width="8.88671875" customWidth="1"/>
    <col min="11" max="11" width="11.44140625" customWidth="1"/>
    <col min="13" max="13" width="10.88671875" customWidth="1"/>
    <col min="21" max="21" width="23" bestFit="1" customWidth="1"/>
    <col min="22" max="22" width="41.88671875" bestFit="1" customWidth="1"/>
    <col min="23" max="23" width="21.33203125" bestFit="1" customWidth="1"/>
  </cols>
  <sheetData>
    <row r="1" spans="1:25" s="1" customFormat="1" ht="42" customHeight="1" x14ac:dyDescent="0.3">
      <c r="A1" s="1" t="s">
        <v>0</v>
      </c>
      <c r="B1" s="2" t="s">
        <v>1</v>
      </c>
      <c r="C1" s="3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7" t="s">
        <v>16</v>
      </c>
      <c r="R1" s="1" t="s">
        <v>17</v>
      </c>
    </row>
    <row r="2" spans="1:2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U2" s="48" t="s">
        <v>1</v>
      </c>
      <c r="V2" t="s">
        <v>18</v>
      </c>
      <c r="W2" t="s">
        <v>19</v>
      </c>
      <c r="Y2" t="s">
        <v>20</v>
      </c>
    </row>
    <row r="3" spans="1:25" x14ac:dyDescent="0.3">
      <c r="A3" s="4" t="str">
        <f>'Q1'!A2</f>
        <v>03.10.2025</v>
      </c>
      <c r="B3" s="4" t="str">
        <f>'Q1'!B2</f>
        <v>Jean LuZada</v>
      </c>
      <c r="C3" s="4">
        <f>'Q1'!D2</f>
        <v>18</v>
      </c>
      <c r="D3" s="4">
        <f>'Q1'!E2</f>
        <v>25</v>
      </c>
      <c r="E3" s="4">
        <f>'Q1'!F2</f>
        <v>25</v>
      </c>
      <c r="F3" s="4">
        <f>'Q1'!G2</f>
        <v>22</v>
      </c>
      <c r="G3" s="4">
        <f>'Q1'!H2</f>
        <v>25</v>
      </c>
      <c r="H3" s="4">
        <f>'Q1'!I2</f>
        <v>22</v>
      </c>
      <c r="I3" s="4">
        <f>'Q1'!J2</f>
        <v>25</v>
      </c>
      <c r="J3" s="4">
        <f>'Q1'!K2</f>
        <v>25</v>
      </c>
      <c r="K3" s="4">
        <f>'Q1'!L2</f>
        <v>25</v>
      </c>
      <c r="L3" s="4">
        <f>'Q1'!M2</f>
        <v>25</v>
      </c>
      <c r="M3" s="4">
        <f>'Q1'!N2</f>
        <v>1</v>
      </c>
      <c r="N3" s="4">
        <f>'Q1'!O2</f>
        <v>1</v>
      </c>
      <c r="O3" s="4">
        <f>'Q1'!P2</f>
        <v>25</v>
      </c>
      <c r="P3" s="4">
        <f>'Q1'!Q2</f>
        <v>25</v>
      </c>
      <c r="Q3" s="4">
        <f>'Q1'!R2</f>
        <v>25</v>
      </c>
      <c r="R3">
        <f t="shared" ref="R3:R15" si="0">MIN(D3:Q3)</f>
        <v>1</v>
      </c>
      <c r="U3" t="s">
        <v>21</v>
      </c>
      <c r="V3" s="50">
        <v>68</v>
      </c>
      <c r="W3" s="50">
        <v>59</v>
      </c>
      <c r="X3" s="11">
        <f>V3/W3</f>
        <v>1.152542372881356</v>
      </c>
      <c r="Y3" s="11">
        <f>W3/V3</f>
        <v>0.86764705882352944</v>
      </c>
    </row>
    <row r="4" spans="1:25" x14ac:dyDescent="0.3">
      <c r="A4" s="4" t="str">
        <f>'Q1'!A2</f>
        <v>03.10.2025</v>
      </c>
      <c r="B4" s="4" t="str">
        <f>'Q1'!C2</f>
        <v>Mel Cajucom</v>
      </c>
      <c r="C4" s="4">
        <f>'Q1'!D2</f>
        <v>18</v>
      </c>
      <c r="D4" s="4">
        <f>'Q1'!E2</f>
        <v>25</v>
      </c>
      <c r="E4" s="4">
        <f>'Q1'!F2</f>
        <v>25</v>
      </c>
      <c r="F4" s="4">
        <f>'Q1'!G2</f>
        <v>22</v>
      </c>
      <c r="G4" s="4">
        <f>'Q1'!H2</f>
        <v>25</v>
      </c>
      <c r="H4" s="4">
        <f>'Q1'!I2</f>
        <v>22</v>
      </c>
      <c r="I4" s="4">
        <f>'Q1'!J2</f>
        <v>25</v>
      </c>
      <c r="J4" s="4">
        <f>'Q1'!K2</f>
        <v>25</v>
      </c>
      <c r="K4" s="4">
        <f>'Q1'!L2</f>
        <v>25</v>
      </c>
      <c r="L4" s="4">
        <f>'Q1'!M2</f>
        <v>25</v>
      </c>
      <c r="M4" s="4">
        <f>'Q1'!N2</f>
        <v>1</v>
      </c>
      <c r="N4" s="4">
        <f>'Q1'!O2</f>
        <v>1</v>
      </c>
      <c r="O4" s="4">
        <f>'Q1'!P2</f>
        <v>25</v>
      </c>
      <c r="P4" s="4">
        <f>'Q1'!Q2</f>
        <v>25</v>
      </c>
      <c r="Q4" s="4">
        <f>'Q1'!R2</f>
        <v>25</v>
      </c>
      <c r="R4">
        <f t="shared" ref="R4" si="1">MIN(D4:Q4)</f>
        <v>1</v>
      </c>
      <c r="U4" t="s">
        <v>22</v>
      </c>
      <c r="V4" s="50">
        <v>46</v>
      </c>
      <c r="W4" s="50">
        <v>32</v>
      </c>
      <c r="X4" s="11">
        <f t="shared" ref="X4:X25" si="2">V4/W4</f>
        <v>1.4375</v>
      </c>
      <c r="Y4" s="11">
        <f t="shared" ref="Y4:Y27" si="3">W4/V4</f>
        <v>0.69565217391304346</v>
      </c>
    </row>
    <row r="5" spans="1:25" x14ac:dyDescent="0.3">
      <c r="A5" s="4" t="str">
        <f>'Q1'!A32</f>
        <v>03.24.2025</v>
      </c>
      <c r="B5" s="4" t="str">
        <f>'Q1'!B32</f>
        <v>Irish Ferreras</v>
      </c>
      <c r="C5" s="4">
        <f>'Q1'!D32</f>
        <v>31</v>
      </c>
      <c r="D5" s="4">
        <f>'Q1'!E32</f>
        <v>33</v>
      </c>
      <c r="E5" s="4">
        <f>'Q1'!F32</f>
        <v>33</v>
      </c>
      <c r="F5" s="4">
        <f>'Q1'!G32</f>
        <v>30</v>
      </c>
      <c r="G5" s="4">
        <f>'Q1'!H32</f>
        <v>33</v>
      </c>
      <c r="H5" s="4">
        <f>'Q1'!I32</f>
        <v>27</v>
      </c>
      <c r="I5" s="4">
        <f>'Q1'!J32</f>
        <v>11</v>
      </c>
      <c r="J5" s="4">
        <f>'Q1'!K32</f>
        <v>33</v>
      </c>
      <c r="K5" s="4">
        <f>'Q1'!L32</f>
        <v>33</v>
      </c>
      <c r="L5" s="4">
        <f>'Q1'!M32</f>
        <v>11</v>
      </c>
      <c r="M5" s="4">
        <f>'Q1'!N32</f>
        <v>11</v>
      </c>
      <c r="N5" s="4">
        <f>'Q1'!O32</f>
        <v>11</v>
      </c>
      <c r="O5" s="4">
        <f>'Q1'!P32</f>
        <v>32</v>
      </c>
      <c r="P5" s="4">
        <f>'Q1'!Q32</f>
        <v>11</v>
      </c>
      <c r="Q5" s="4">
        <f>'Q1'!R32</f>
        <v>33</v>
      </c>
      <c r="R5">
        <f t="shared" si="0"/>
        <v>11</v>
      </c>
      <c r="U5" t="s">
        <v>23</v>
      </c>
      <c r="V5" s="50">
        <v>13</v>
      </c>
      <c r="W5" s="50">
        <v>14</v>
      </c>
      <c r="X5" s="11">
        <f t="shared" si="2"/>
        <v>0.9285714285714286</v>
      </c>
      <c r="Y5" s="11">
        <f t="shared" si="3"/>
        <v>1.0769230769230769</v>
      </c>
    </row>
    <row r="6" spans="1:25" x14ac:dyDescent="0.3">
      <c r="A6" s="4" t="str">
        <f>'Q1'!A32</f>
        <v>03.24.2025</v>
      </c>
      <c r="B6" s="4" t="str">
        <f>'Q1'!C32</f>
        <v>Chase Argamosa</v>
      </c>
      <c r="C6" s="4">
        <f>'Q1'!D32</f>
        <v>31</v>
      </c>
      <c r="D6" s="4">
        <f>'Q1'!E32</f>
        <v>33</v>
      </c>
      <c r="E6" s="4">
        <f>'Q1'!F32</f>
        <v>33</v>
      </c>
      <c r="F6" s="4">
        <f>'Q1'!G32</f>
        <v>30</v>
      </c>
      <c r="G6" s="4">
        <f>'Q1'!H32</f>
        <v>33</v>
      </c>
      <c r="H6" s="4">
        <f>'Q1'!I32</f>
        <v>27</v>
      </c>
      <c r="I6" s="4">
        <f>'Q1'!J32</f>
        <v>11</v>
      </c>
      <c r="J6" s="4">
        <f>'Q1'!K32</f>
        <v>33</v>
      </c>
      <c r="K6" s="4">
        <f>'Q1'!L32</f>
        <v>33</v>
      </c>
      <c r="L6" s="4">
        <f>'Q1'!M32</f>
        <v>11</v>
      </c>
      <c r="M6" s="4">
        <f>'Q1'!N32</f>
        <v>11</v>
      </c>
      <c r="N6" s="4">
        <f>'Q1'!O32</f>
        <v>11</v>
      </c>
      <c r="O6" s="4">
        <f>'Q1'!P32</f>
        <v>32</v>
      </c>
      <c r="P6" s="4">
        <f>'Q1'!Q32</f>
        <v>11</v>
      </c>
      <c r="Q6" s="4">
        <f>'Q1'!R32</f>
        <v>33</v>
      </c>
      <c r="R6">
        <f t="shared" ref="R6" si="4">MIN(D6:Q6)</f>
        <v>11</v>
      </c>
      <c r="U6" t="s">
        <v>24</v>
      </c>
      <c r="V6" s="50">
        <v>72</v>
      </c>
      <c r="W6" s="50">
        <v>53</v>
      </c>
      <c r="X6" s="11">
        <f t="shared" si="2"/>
        <v>1.3584905660377358</v>
      </c>
      <c r="Y6" s="11">
        <f t="shared" si="3"/>
        <v>0.73611111111111116</v>
      </c>
    </row>
    <row r="7" spans="1:25" x14ac:dyDescent="0.3">
      <c r="A7" s="25">
        <f>'Q1'!A78</f>
        <v>45761</v>
      </c>
      <c r="B7" s="4" t="str">
        <f>'Q1'!B78</f>
        <v>Vera Hibaya</v>
      </c>
      <c r="C7" s="4">
        <f>'Q1'!D78</f>
        <v>18</v>
      </c>
      <c r="D7" s="4">
        <f>'Q1'!E78</f>
        <v>19</v>
      </c>
      <c r="E7" s="4">
        <f>'Q1'!F78</f>
        <v>19</v>
      </c>
      <c r="F7" s="4">
        <f>'Q1'!G78</f>
        <v>18</v>
      </c>
      <c r="G7" s="4">
        <f>'Q1'!H78</f>
        <v>19</v>
      </c>
      <c r="H7" s="4">
        <f>'Q1'!I78</f>
        <v>18</v>
      </c>
      <c r="I7" s="4" t="s">
        <v>25</v>
      </c>
      <c r="J7" s="4">
        <f>'Q1'!K78</f>
        <v>19</v>
      </c>
      <c r="K7" s="4">
        <f>'Q1'!L78</f>
        <v>19</v>
      </c>
      <c r="L7" s="4" t="s">
        <v>25</v>
      </c>
      <c r="M7" s="4" t="s">
        <v>25</v>
      </c>
      <c r="N7" s="4" t="s">
        <v>25</v>
      </c>
      <c r="O7" s="4">
        <f>'Q1'!P78</f>
        <v>19</v>
      </c>
      <c r="P7" s="4" t="s">
        <v>25</v>
      </c>
      <c r="Q7" s="4">
        <f>'Q1'!R78</f>
        <v>19</v>
      </c>
      <c r="R7">
        <f t="shared" si="0"/>
        <v>18</v>
      </c>
      <c r="U7" t="s">
        <v>26</v>
      </c>
      <c r="V7" s="50">
        <v>57</v>
      </c>
      <c r="W7" s="50">
        <v>41</v>
      </c>
      <c r="X7" s="11">
        <f t="shared" si="2"/>
        <v>1.3902439024390243</v>
      </c>
      <c r="Y7" s="11">
        <f t="shared" si="3"/>
        <v>0.7192982456140351</v>
      </c>
    </row>
    <row r="8" spans="1:25" x14ac:dyDescent="0.3">
      <c r="A8" s="25">
        <f>'Q1'!A78</f>
        <v>45761</v>
      </c>
      <c r="B8" s="4" t="str">
        <f>'Q1'!C78</f>
        <v>Catherine Cachero</v>
      </c>
      <c r="C8" s="4">
        <f>'Q1'!D78</f>
        <v>18</v>
      </c>
      <c r="D8" s="4">
        <f>'Q1'!E78</f>
        <v>19</v>
      </c>
      <c r="E8" s="4">
        <f>'Q1'!F78</f>
        <v>19</v>
      </c>
      <c r="F8" s="4">
        <f>'Q1'!G78</f>
        <v>18</v>
      </c>
      <c r="G8" s="4">
        <f>'Q1'!H78</f>
        <v>19</v>
      </c>
      <c r="H8" s="4">
        <f>'Q1'!I78</f>
        <v>18</v>
      </c>
      <c r="I8" s="4" t="s">
        <v>25</v>
      </c>
      <c r="J8" s="4">
        <f>'Q1'!K78</f>
        <v>19</v>
      </c>
      <c r="K8" s="4">
        <f>'Q1'!L78</f>
        <v>19</v>
      </c>
      <c r="L8" s="4" t="s">
        <v>25</v>
      </c>
      <c r="M8" s="4" t="s">
        <v>25</v>
      </c>
      <c r="N8" s="4" t="s">
        <v>25</v>
      </c>
      <c r="O8" s="4">
        <f>'Q1'!P78</f>
        <v>19</v>
      </c>
      <c r="P8" s="4" t="s">
        <v>25</v>
      </c>
      <c r="Q8" s="4">
        <f>'Q1'!R78</f>
        <v>19</v>
      </c>
      <c r="R8">
        <f t="shared" ref="R8" si="5">MIN(D8:Q8)</f>
        <v>18</v>
      </c>
      <c r="U8" t="s">
        <v>27</v>
      </c>
      <c r="V8" s="50">
        <v>27</v>
      </c>
      <c r="W8" s="50">
        <v>34</v>
      </c>
      <c r="X8" s="11">
        <f t="shared" si="2"/>
        <v>0.79411764705882348</v>
      </c>
      <c r="Y8" s="11">
        <f t="shared" si="3"/>
        <v>1.2592592592592593</v>
      </c>
    </row>
    <row r="9" spans="1:25" x14ac:dyDescent="0.3">
      <c r="A9" s="25">
        <f>'Q1'!A99</f>
        <v>45768</v>
      </c>
      <c r="B9" s="25" t="str">
        <f>'Q1'!B99</f>
        <v>Nancy Price</v>
      </c>
      <c r="C9" s="4">
        <f>'Q1'!D99</f>
        <v>18</v>
      </c>
      <c r="D9" s="4">
        <f>'Q1'!E99</f>
        <v>19</v>
      </c>
      <c r="E9" s="4">
        <f>'Q1'!F99</f>
        <v>19</v>
      </c>
      <c r="F9" s="4">
        <f>'Q1'!G99</f>
        <v>18</v>
      </c>
      <c r="G9" s="4">
        <f>'Q1'!H99</f>
        <v>19</v>
      </c>
      <c r="H9" s="4">
        <f>'Q1'!I99</f>
        <v>18</v>
      </c>
      <c r="I9" s="4">
        <f>'Q1'!J99</f>
        <v>19</v>
      </c>
      <c r="J9" s="4">
        <f>'Q1'!K99</f>
        <v>19</v>
      </c>
      <c r="K9" s="4">
        <f>'Q1'!L99</f>
        <v>19</v>
      </c>
      <c r="L9" s="4">
        <f>'Q1'!M99</f>
        <v>19</v>
      </c>
      <c r="M9" s="4">
        <f>'Q1'!N99</f>
        <v>19</v>
      </c>
      <c r="N9" s="4">
        <f>'Q1'!O99</f>
        <v>19</v>
      </c>
      <c r="O9" s="4">
        <f>'Q1'!P99</f>
        <v>19</v>
      </c>
      <c r="P9" s="4">
        <f>'Q1'!Q99</f>
        <v>19</v>
      </c>
      <c r="Q9" s="4">
        <f>'Q1'!R99</f>
        <v>19</v>
      </c>
      <c r="R9">
        <f>MIN(D9:Q9)</f>
        <v>18</v>
      </c>
      <c r="U9" t="s">
        <v>28</v>
      </c>
      <c r="V9" s="50">
        <v>26</v>
      </c>
      <c r="W9" s="50">
        <v>28</v>
      </c>
      <c r="X9" s="11">
        <f t="shared" si="2"/>
        <v>0.9285714285714286</v>
      </c>
      <c r="Y9" s="11">
        <f t="shared" si="3"/>
        <v>1.0769230769230769</v>
      </c>
    </row>
    <row r="10" spans="1:25" x14ac:dyDescent="0.3">
      <c r="A10" s="25">
        <f>'Q1'!A99</f>
        <v>45768</v>
      </c>
      <c r="B10" s="25" t="str">
        <f>'Q1'!C99</f>
        <v>Kate Saigo</v>
      </c>
      <c r="C10" s="4">
        <f>'Q1'!D99</f>
        <v>18</v>
      </c>
      <c r="D10" s="4">
        <f>'Q1'!E99</f>
        <v>19</v>
      </c>
      <c r="E10" s="4">
        <f>'Q1'!F99</f>
        <v>19</v>
      </c>
      <c r="F10" s="4">
        <f>'Q1'!G99</f>
        <v>18</v>
      </c>
      <c r="G10" s="4">
        <f>'Q1'!H99</f>
        <v>19</v>
      </c>
      <c r="H10" s="4">
        <f>'Q1'!I99</f>
        <v>18</v>
      </c>
      <c r="I10" s="4">
        <f>'Q1'!J99</f>
        <v>19</v>
      </c>
      <c r="J10" s="4">
        <f>'Q1'!K99</f>
        <v>19</v>
      </c>
      <c r="K10" s="4">
        <f>'Q1'!L99</f>
        <v>19</v>
      </c>
      <c r="L10" s="4">
        <f>'Q1'!M99</f>
        <v>19</v>
      </c>
      <c r="M10" s="4">
        <f>'Q1'!N99</f>
        <v>19</v>
      </c>
      <c r="N10" s="4">
        <f>'Q1'!O99</f>
        <v>19</v>
      </c>
      <c r="O10" s="4">
        <f>'Q1'!P99</f>
        <v>19</v>
      </c>
      <c r="P10" s="4">
        <f>'Q1'!Q99</f>
        <v>19</v>
      </c>
      <c r="Q10" s="4">
        <f>'Q1'!R99</f>
        <v>19</v>
      </c>
      <c r="R10">
        <f>MIN(D10:Q10)</f>
        <v>18</v>
      </c>
      <c r="U10" t="s">
        <v>29</v>
      </c>
      <c r="V10" s="50">
        <v>30</v>
      </c>
      <c r="W10" s="50">
        <v>30</v>
      </c>
      <c r="X10" s="11">
        <f t="shared" si="2"/>
        <v>1</v>
      </c>
      <c r="Y10" s="11">
        <f t="shared" si="3"/>
        <v>1</v>
      </c>
    </row>
    <row r="11" spans="1:25" x14ac:dyDescent="0.3">
      <c r="A11" s="25">
        <f>'Q1'!A119</f>
        <v>45775</v>
      </c>
      <c r="B11" s="25" t="str">
        <f>'Q1'!B119</f>
        <v>Donna Caliling</v>
      </c>
      <c r="C11" s="4">
        <f>'Q1'!D119</f>
        <v>13</v>
      </c>
      <c r="D11" s="4">
        <f>'Q1'!E119</f>
        <v>15</v>
      </c>
      <c r="E11" s="4">
        <f>'Q1'!F119</f>
        <v>15</v>
      </c>
      <c r="F11" s="4">
        <f>'Q1'!G119</f>
        <v>14</v>
      </c>
      <c r="G11" s="4">
        <f>'Q1'!H119</f>
        <v>15</v>
      </c>
      <c r="H11" s="4">
        <f>'Q1'!I119</f>
        <v>14</v>
      </c>
      <c r="I11" s="4">
        <f>'Q1'!J119</f>
        <v>15</v>
      </c>
      <c r="J11" s="4">
        <f>'Q1'!K119</f>
        <v>15</v>
      </c>
      <c r="K11" s="4">
        <f>'Q1'!L119</f>
        <v>15</v>
      </c>
      <c r="L11" s="4">
        <f>'Q1'!M119</f>
        <v>15</v>
      </c>
      <c r="M11" s="4">
        <f>'Q1'!N119</f>
        <v>15</v>
      </c>
      <c r="N11" s="4">
        <f>'Q1'!O119</f>
        <v>15</v>
      </c>
      <c r="O11" s="4">
        <f>'Q1'!P119</f>
        <v>15</v>
      </c>
      <c r="P11" s="4">
        <f>'Q1'!Q119</f>
        <v>15</v>
      </c>
      <c r="Q11" s="4">
        <f>'Q1'!R119</f>
        <v>15</v>
      </c>
      <c r="R11">
        <f t="shared" si="0"/>
        <v>14</v>
      </c>
      <c r="U11" t="s">
        <v>30</v>
      </c>
      <c r="V11" s="50">
        <v>41</v>
      </c>
      <c r="W11" s="50">
        <v>43</v>
      </c>
      <c r="X11" s="11">
        <f t="shared" si="2"/>
        <v>0.95348837209302328</v>
      </c>
      <c r="Y11" s="11">
        <f t="shared" si="3"/>
        <v>1.0487804878048781</v>
      </c>
    </row>
    <row r="12" spans="1:25" x14ac:dyDescent="0.3">
      <c r="A12" s="25">
        <f>'Q1'!A119</f>
        <v>45775</v>
      </c>
      <c r="B12" s="25" t="str">
        <f>'Q1'!C119</f>
        <v>Jeff Janda</v>
      </c>
      <c r="C12" s="4">
        <f>'Q1'!D119</f>
        <v>13</v>
      </c>
      <c r="D12" s="4">
        <f>'Q1'!E119</f>
        <v>15</v>
      </c>
      <c r="E12" s="4">
        <f>'Q1'!F119</f>
        <v>15</v>
      </c>
      <c r="F12" s="4">
        <f>'Q1'!G119</f>
        <v>14</v>
      </c>
      <c r="G12" s="4">
        <f>'Q1'!H119</f>
        <v>15</v>
      </c>
      <c r="H12" s="4">
        <f>'Q1'!I119</f>
        <v>14</v>
      </c>
      <c r="I12" s="4">
        <f>'Q1'!J119</f>
        <v>15</v>
      </c>
      <c r="J12" s="4">
        <f>'Q1'!K119</f>
        <v>15</v>
      </c>
      <c r="K12" s="4">
        <f>'Q1'!L119</f>
        <v>15</v>
      </c>
      <c r="L12" s="4">
        <f>'Q1'!M119</f>
        <v>15</v>
      </c>
      <c r="M12" s="4">
        <f>'Q1'!N119</f>
        <v>15</v>
      </c>
      <c r="N12" s="4">
        <f>'Q1'!O119</f>
        <v>15</v>
      </c>
      <c r="O12" s="4">
        <f>'Q1'!P119</f>
        <v>15</v>
      </c>
      <c r="P12" s="4">
        <f>'Q1'!Q119</f>
        <v>15</v>
      </c>
      <c r="Q12" s="4">
        <f>'Q1'!R119</f>
        <v>15</v>
      </c>
      <c r="R12">
        <f t="shared" ref="R12" si="6">MIN(D12:Q12)</f>
        <v>14</v>
      </c>
      <c r="U12" t="s">
        <v>72</v>
      </c>
      <c r="V12" s="50">
        <v>19</v>
      </c>
      <c r="W12" s="50">
        <v>0</v>
      </c>
      <c r="X12" s="11" t="e">
        <f t="shared" si="2"/>
        <v>#DIV/0!</v>
      </c>
      <c r="Y12" s="11">
        <f t="shared" si="3"/>
        <v>0</v>
      </c>
    </row>
    <row r="13" spans="1:25" x14ac:dyDescent="0.3">
      <c r="A13" s="25">
        <f>'Q1'!A139</f>
        <v>45789</v>
      </c>
      <c r="B13" s="25" t="str">
        <f>'Q1'!B139</f>
        <v>Viena Lacena</v>
      </c>
      <c r="C13" s="4">
        <f>'Q1'!D139</f>
        <v>16</v>
      </c>
      <c r="D13" s="4">
        <f>'Q1'!E139</f>
        <v>18</v>
      </c>
      <c r="E13" s="4">
        <f>'Q1'!F139</f>
        <v>18</v>
      </c>
      <c r="F13" s="4">
        <f>'Q1'!G139</f>
        <v>16</v>
      </c>
      <c r="G13" s="4">
        <f>'Q1'!H139</f>
        <v>18</v>
      </c>
      <c r="H13" s="4">
        <f>'Q1'!I139</f>
        <v>16</v>
      </c>
      <c r="I13" s="4">
        <f>'Q1'!J139</f>
        <v>16</v>
      </c>
      <c r="J13" s="4">
        <f>'Q1'!K139</f>
        <v>18</v>
      </c>
      <c r="K13" s="4">
        <f>'Q1'!L139</f>
        <v>18</v>
      </c>
      <c r="L13" s="4">
        <f>'Q1'!M139</f>
        <v>17</v>
      </c>
      <c r="M13" s="4">
        <f>'Q1'!N139</f>
        <v>17</v>
      </c>
      <c r="N13" s="4">
        <f>'Q1'!O139</f>
        <v>17</v>
      </c>
      <c r="O13" s="4">
        <f>'Q1'!P139</f>
        <v>18</v>
      </c>
      <c r="P13" s="4">
        <f>'Q1'!Q139</f>
        <v>17</v>
      </c>
      <c r="Q13" s="4">
        <f>'Q1'!R139</f>
        <v>18</v>
      </c>
      <c r="R13">
        <f t="shared" si="0"/>
        <v>16</v>
      </c>
      <c r="U13" t="s">
        <v>31</v>
      </c>
      <c r="V13" s="50">
        <v>15</v>
      </c>
      <c r="W13" s="50">
        <v>16</v>
      </c>
      <c r="X13" s="11">
        <f t="shared" si="2"/>
        <v>0.9375</v>
      </c>
      <c r="Y13" s="11">
        <f t="shared" si="3"/>
        <v>1.0666666666666667</v>
      </c>
    </row>
    <row r="14" spans="1:25" x14ac:dyDescent="0.3">
      <c r="A14" s="25">
        <f>'Q1'!A139</f>
        <v>45789</v>
      </c>
      <c r="B14" s="25" t="str">
        <f>'Q1'!C139</f>
        <v>Kate Postres</v>
      </c>
      <c r="C14" s="4">
        <f>'Q1'!D139</f>
        <v>16</v>
      </c>
      <c r="D14" s="4">
        <f>'Q1'!E139</f>
        <v>18</v>
      </c>
      <c r="E14" s="4">
        <f>'Q1'!F139</f>
        <v>18</v>
      </c>
      <c r="F14" s="4">
        <f>'Q1'!G139</f>
        <v>16</v>
      </c>
      <c r="G14" s="4">
        <f>'Q1'!H139</f>
        <v>18</v>
      </c>
      <c r="H14" s="4">
        <f>'Q1'!I139</f>
        <v>16</v>
      </c>
      <c r="I14" s="4">
        <f>'Q1'!J139</f>
        <v>16</v>
      </c>
      <c r="J14" s="4">
        <f>'Q1'!K139</f>
        <v>18</v>
      </c>
      <c r="K14" s="4">
        <f>'Q1'!L139</f>
        <v>18</v>
      </c>
      <c r="L14" s="4">
        <f>'Q1'!M139</f>
        <v>17</v>
      </c>
      <c r="M14" s="4">
        <f>'Q1'!N139</f>
        <v>17</v>
      </c>
      <c r="N14" s="4">
        <f>'Q1'!O139</f>
        <v>17</v>
      </c>
      <c r="O14" s="4">
        <f>'Q1'!P139</f>
        <v>18</v>
      </c>
      <c r="P14" s="4">
        <f>'Q1'!Q139</f>
        <v>17</v>
      </c>
      <c r="Q14" s="4">
        <f>'Q1'!R139</f>
        <v>18</v>
      </c>
      <c r="R14">
        <f t="shared" ref="R14" si="7">MIN(D14:Q14)</f>
        <v>16</v>
      </c>
      <c r="U14" t="s">
        <v>32</v>
      </c>
      <c r="V14" s="50">
        <v>44</v>
      </c>
      <c r="W14" s="50">
        <v>40</v>
      </c>
      <c r="X14" s="11">
        <f t="shared" si="2"/>
        <v>1.1000000000000001</v>
      </c>
      <c r="Y14" s="11">
        <f t="shared" si="3"/>
        <v>0.90909090909090906</v>
      </c>
    </row>
    <row r="15" spans="1:25" x14ac:dyDescent="0.3">
      <c r="A15" s="25">
        <f>'Q1'!A163</f>
        <v>45797</v>
      </c>
      <c r="B15" s="25" t="str">
        <f>'Q1'!B163</f>
        <v>Chase Argamosa</v>
      </c>
      <c r="C15" s="4">
        <f>'Q1'!D163</f>
        <v>11</v>
      </c>
      <c r="D15" s="4">
        <f>'Q1'!E163</f>
        <v>12</v>
      </c>
      <c r="E15" s="4">
        <f>'Q1'!F163</f>
        <v>12</v>
      </c>
      <c r="F15" s="4">
        <f>'Q1'!G163</f>
        <v>11</v>
      </c>
      <c r="G15" s="4">
        <f>'Q1'!H163</f>
        <v>12</v>
      </c>
      <c r="H15" s="4">
        <f>'Q1'!I163</f>
        <v>12</v>
      </c>
      <c r="I15" s="4">
        <f>'Q1'!J163</f>
        <v>11</v>
      </c>
      <c r="J15" s="4">
        <f>'Q1'!K163</f>
        <v>12</v>
      </c>
      <c r="K15" s="5">
        <f>'Q1'!L163</f>
        <v>12</v>
      </c>
      <c r="L15" s="4">
        <f>'Q1'!M163</f>
        <v>11</v>
      </c>
      <c r="M15" s="4">
        <f>'Q1'!N163</f>
        <v>11</v>
      </c>
      <c r="N15" s="4">
        <f>'Q1'!O163</f>
        <v>12</v>
      </c>
      <c r="O15" s="4">
        <f>'Q1'!P163</f>
        <v>12</v>
      </c>
      <c r="P15" s="4">
        <f>'Q1'!Q163</f>
        <v>12</v>
      </c>
      <c r="Q15" s="4">
        <f>'Q1'!R163</f>
        <v>11</v>
      </c>
      <c r="R15">
        <f t="shared" si="0"/>
        <v>11</v>
      </c>
      <c r="U15" t="s">
        <v>33</v>
      </c>
      <c r="V15" s="50">
        <v>48</v>
      </c>
      <c r="W15" s="50">
        <v>26</v>
      </c>
      <c r="X15" s="11">
        <f t="shared" si="2"/>
        <v>1.8461538461538463</v>
      </c>
      <c r="Y15" s="11">
        <f t="shared" si="3"/>
        <v>0.54166666666666663</v>
      </c>
    </row>
    <row r="16" spans="1:25" x14ac:dyDescent="0.3">
      <c r="A16" s="25">
        <f>'Q1'!A163</f>
        <v>45797</v>
      </c>
      <c r="B16" s="25" t="str">
        <f>'Q1'!C163</f>
        <v>Vhea De Fiesta</v>
      </c>
      <c r="C16" s="4">
        <f>'Q1'!D163</f>
        <v>11</v>
      </c>
      <c r="D16" s="4">
        <f>'Q1'!E163</f>
        <v>12</v>
      </c>
      <c r="E16" s="4">
        <f>'Q1'!F163</f>
        <v>12</v>
      </c>
      <c r="F16" s="4">
        <f>'Q1'!G163</f>
        <v>11</v>
      </c>
      <c r="G16" s="4">
        <f>'Q1'!H163</f>
        <v>12</v>
      </c>
      <c r="H16" s="4">
        <f>'Q1'!I163</f>
        <v>12</v>
      </c>
      <c r="I16" s="4">
        <f>'Q1'!J163</f>
        <v>11</v>
      </c>
      <c r="J16" s="4">
        <f>'Q1'!K163</f>
        <v>12</v>
      </c>
      <c r="K16" s="5">
        <f>'Q1'!L163</f>
        <v>12</v>
      </c>
      <c r="L16" s="4">
        <f>'Q1'!M163</f>
        <v>11</v>
      </c>
      <c r="M16" s="4">
        <f>'Q1'!N163</f>
        <v>11</v>
      </c>
      <c r="N16" s="4">
        <f>'Q1'!O163</f>
        <v>12</v>
      </c>
      <c r="O16" s="4">
        <f>'Q1'!P163</f>
        <v>12</v>
      </c>
      <c r="P16" s="4">
        <f>'Q1'!Q163</f>
        <v>12</v>
      </c>
      <c r="Q16" s="4">
        <f>'Q1'!R163</f>
        <v>11</v>
      </c>
      <c r="R16">
        <f t="shared" ref="R16" si="8">MIN(D16:Q16)</f>
        <v>11</v>
      </c>
      <c r="U16" t="s">
        <v>34</v>
      </c>
      <c r="V16" s="50">
        <v>62</v>
      </c>
      <c r="W16" s="50">
        <v>58</v>
      </c>
      <c r="X16" s="11">
        <f t="shared" si="2"/>
        <v>1.0689655172413792</v>
      </c>
      <c r="Y16" s="11">
        <f t="shared" si="3"/>
        <v>0.93548387096774188</v>
      </c>
    </row>
    <row r="17" spans="1:25" x14ac:dyDescent="0.3">
      <c r="A17" s="25">
        <f>'Q1'!A178</f>
        <v>45803</v>
      </c>
      <c r="B17" s="25" t="str">
        <f>'Q1'!B178</f>
        <v>Jean Luzada</v>
      </c>
      <c r="C17" s="4">
        <f>'Q1'!D178</f>
        <v>14</v>
      </c>
      <c r="D17" s="4">
        <f>'Q1'!E178</f>
        <v>16</v>
      </c>
      <c r="E17" s="4">
        <f>'Q1'!F178</f>
        <v>16</v>
      </c>
      <c r="F17" s="4">
        <f>'Q1'!G178</f>
        <v>15</v>
      </c>
      <c r="G17" s="4">
        <f>'Q1'!H178</f>
        <v>16</v>
      </c>
      <c r="H17" s="4">
        <f>'Q1'!I178</f>
        <v>15</v>
      </c>
      <c r="I17" s="4" t="s">
        <v>25</v>
      </c>
      <c r="J17" s="4">
        <f>'Q1'!K178</f>
        <v>16</v>
      </c>
      <c r="K17" s="5">
        <f>'Q1'!L178</f>
        <v>16</v>
      </c>
      <c r="L17" s="4" t="s">
        <v>25</v>
      </c>
      <c r="M17" s="4" t="s">
        <v>25</v>
      </c>
      <c r="N17" s="4" t="s">
        <v>25</v>
      </c>
      <c r="O17" s="4">
        <f>'Q1'!P178</f>
        <v>16</v>
      </c>
      <c r="P17" s="4" t="s">
        <v>25</v>
      </c>
      <c r="Q17" s="4">
        <f>'Q1'!R178</f>
        <v>16</v>
      </c>
      <c r="R17">
        <f t="shared" ref="R17:R59" si="9">MIN(D17:Q17)</f>
        <v>15</v>
      </c>
      <c r="U17" t="s">
        <v>35</v>
      </c>
      <c r="V17" s="50">
        <v>30</v>
      </c>
      <c r="W17" s="50">
        <v>25</v>
      </c>
      <c r="X17" s="11">
        <f t="shared" si="2"/>
        <v>1.2</v>
      </c>
      <c r="Y17" s="11">
        <f t="shared" si="3"/>
        <v>0.83333333333333337</v>
      </c>
    </row>
    <row r="18" spans="1:25" x14ac:dyDescent="0.3">
      <c r="A18" s="25">
        <f>'Q1'!A178</f>
        <v>45803</v>
      </c>
      <c r="B18" s="25" t="str">
        <f>'Q1'!C178</f>
        <v>Maynard Soriano</v>
      </c>
      <c r="C18" s="4">
        <f>'Q1'!D178</f>
        <v>14</v>
      </c>
      <c r="D18" s="4">
        <f>'Q1'!E178</f>
        <v>16</v>
      </c>
      <c r="E18" s="4">
        <f>'Q1'!F178</f>
        <v>16</v>
      </c>
      <c r="F18" s="4">
        <f>'Q1'!G178</f>
        <v>15</v>
      </c>
      <c r="G18" s="4">
        <f>'Q1'!H178</f>
        <v>16</v>
      </c>
      <c r="H18" s="4">
        <f>'Q1'!I178</f>
        <v>15</v>
      </c>
      <c r="I18" s="4" t="s">
        <v>25</v>
      </c>
      <c r="J18" s="4">
        <f>'Q1'!K178</f>
        <v>16</v>
      </c>
      <c r="K18" s="5">
        <f>'Q1'!L178</f>
        <v>16</v>
      </c>
      <c r="L18" s="4" t="s">
        <v>25</v>
      </c>
      <c r="M18" s="4" t="s">
        <v>25</v>
      </c>
      <c r="N18" s="4" t="s">
        <v>25</v>
      </c>
      <c r="O18" s="4">
        <f>'Q1'!P178</f>
        <v>16</v>
      </c>
      <c r="P18" s="4" t="s">
        <v>25</v>
      </c>
      <c r="Q18" s="4">
        <f>'Q1'!R178</f>
        <v>16</v>
      </c>
      <c r="R18">
        <f t="shared" si="9"/>
        <v>15</v>
      </c>
      <c r="U18" t="s">
        <v>36</v>
      </c>
      <c r="V18" s="50">
        <v>63</v>
      </c>
      <c r="W18" s="50">
        <v>55</v>
      </c>
      <c r="X18" s="11">
        <f t="shared" si="2"/>
        <v>1.1454545454545455</v>
      </c>
      <c r="Y18" s="11">
        <f t="shared" si="3"/>
        <v>0.87301587301587302</v>
      </c>
    </row>
    <row r="19" spans="1:25" x14ac:dyDescent="0.3">
      <c r="A19" s="25">
        <f>'Q1'!A178</f>
        <v>45803</v>
      </c>
      <c r="B19" s="25" t="str">
        <f>'Q1'!U178</f>
        <v>Jennifer Ramirez</v>
      </c>
      <c r="C19" s="4">
        <f>'Q1'!D178</f>
        <v>14</v>
      </c>
      <c r="D19" s="4">
        <f>'Q1'!E178</f>
        <v>16</v>
      </c>
      <c r="E19" s="4">
        <f>'Q1'!F178</f>
        <v>16</v>
      </c>
      <c r="F19" s="4">
        <f>'Q1'!G178</f>
        <v>15</v>
      </c>
      <c r="G19" s="4">
        <f>'Q1'!H178</f>
        <v>16</v>
      </c>
      <c r="H19" s="4">
        <f>'Q1'!I178</f>
        <v>15</v>
      </c>
      <c r="I19" s="4" t="s">
        <v>25</v>
      </c>
      <c r="J19" s="4">
        <f>'Q1'!K178</f>
        <v>16</v>
      </c>
      <c r="K19" s="5">
        <f>'Q1'!L178</f>
        <v>16</v>
      </c>
      <c r="L19" s="4" t="s">
        <v>25</v>
      </c>
      <c r="M19" s="4" t="s">
        <v>25</v>
      </c>
      <c r="N19" s="4" t="s">
        <v>25</v>
      </c>
      <c r="O19" s="4">
        <f>'Q1'!P178</f>
        <v>16</v>
      </c>
      <c r="P19" s="4" t="s">
        <v>25</v>
      </c>
      <c r="Q19" s="4">
        <f>'Q1'!R178</f>
        <v>16</v>
      </c>
      <c r="R19">
        <f t="shared" si="9"/>
        <v>15</v>
      </c>
      <c r="U19" t="s">
        <v>37</v>
      </c>
      <c r="V19" s="50">
        <v>37</v>
      </c>
      <c r="W19" s="50">
        <v>36</v>
      </c>
      <c r="X19" s="11">
        <f>V19/W19</f>
        <v>1.0277777777777777</v>
      </c>
      <c r="Y19" s="11">
        <f t="shared" si="3"/>
        <v>0.97297297297297303</v>
      </c>
    </row>
    <row r="20" spans="1:25" x14ac:dyDescent="0.3">
      <c r="A20" s="25" t="str">
        <f>'Q2'!A2</f>
        <v>06.09.2025</v>
      </c>
      <c r="B20" s="25" t="str">
        <f>'Q2'!B2</f>
        <v>Anabelle Pizon</v>
      </c>
      <c r="C20" s="4">
        <f>'Q2'!D2</f>
        <v>14</v>
      </c>
      <c r="D20" s="4">
        <f>'Q2'!E2</f>
        <v>15</v>
      </c>
      <c r="E20" s="4">
        <f>'Q2'!F2</f>
        <v>15</v>
      </c>
      <c r="F20" s="4">
        <f>'Q2'!G2</f>
        <v>15</v>
      </c>
      <c r="G20" s="4">
        <f>'Q2'!H2</f>
        <v>15</v>
      </c>
      <c r="H20" s="4">
        <f>'Q2'!I2</f>
        <v>15</v>
      </c>
      <c r="I20" s="4" t="s">
        <v>25</v>
      </c>
      <c r="J20" s="4">
        <f>'Q2'!K2</f>
        <v>15</v>
      </c>
      <c r="K20" s="5">
        <f>'Q2'!L2</f>
        <v>15</v>
      </c>
      <c r="L20" s="4" t="s">
        <v>25</v>
      </c>
      <c r="M20" s="4" t="s">
        <v>25</v>
      </c>
      <c r="N20" s="4" t="s">
        <v>25</v>
      </c>
      <c r="O20" s="4">
        <f>'Q2'!P2</f>
        <v>15</v>
      </c>
      <c r="P20" s="4" t="s">
        <v>25</v>
      </c>
      <c r="Q20" s="4">
        <f>'Q2'!R2</f>
        <v>15</v>
      </c>
      <c r="R20">
        <f t="shared" si="9"/>
        <v>15</v>
      </c>
      <c r="U20" t="s">
        <v>38</v>
      </c>
      <c r="V20" s="50">
        <v>16</v>
      </c>
      <c r="W20" s="50">
        <v>16</v>
      </c>
      <c r="X20" s="11">
        <f t="shared" si="2"/>
        <v>1</v>
      </c>
      <c r="Y20" s="11">
        <f t="shared" si="3"/>
        <v>1</v>
      </c>
    </row>
    <row r="21" spans="1:25" x14ac:dyDescent="0.3">
      <c r="A21" s="25" t="str">
        <f>'Q2'!A2</f>
        <v>06.09.2025</v>
      </c>
      <c r="B21" s="25" t="str">
        <f>'Q2'!C2</f>
        <v>Irish Ferreras</v>
      </c>
      <c r="C21" s="4">
        <f>'Q2'!D2</f>
        <v>14</v>
      </c>
      <c r="D21" s="4">
        <f>'Q2'!E2</f>
        <v>15</v>
      </c>
      <c r="E21" s="4">
        <f>'Q2'!F2</f>
        <v>15</v>
      </c>
      <c r="F21" s="4">
        <f>'Q2'!G2</f>
        <v>15</v>
      </c>
      <c r="G21" s="4">
        <f>'Q2'!H2</f>
        <v>15</v>
      </c>
      <c r="H21" s="4">
        <f>'Q2'!I2</f>
        <v>15</v>
      </c>
      <c r="I21" s="4" t="s">
        <v>25</v>
      </c>
      <c r="J21" s="4">
        <f>'Q2'!K2</f>
        <v>15</v>
      </c>
      <c r="K21" s="5">
        <f>'Q2'!L2</f>
        <v>15</v>
      </c>
      <c r="L21" s="4" t="s">
        <v>25</v>
      </c>
      <c r="M21" s="4" t="s">
        <v>25</v>
      </c>
      <c r="N21" s="4" t="s">
        <v>25</v>
      </c>
      <c r="O21" s="4">
        <f>'Q2'!P2</f>
        <v>15</v>
      </c>
      <c r="P21" s="4" t="s">
        <v>25</v>
      </c>
      <c r="Q21" s="4">
        <f>'Q2'!R2</f>
        <v>15</v>
      </c>
      <c r="R21">
        <f t="shared" si="9"/>
        <v>15</v>
      </c>
      <c r="U21" t="s">
        <v>39</v>
      </c>
      <c r="V21" s="50"/>
      <c r="W21" s="50"/>
      <c r="X21" s="11" t="e">
        <f t="shared" si="2"/>
        <v>#DIV/0!</v>
      </c>
      <c r="Y21" s="11" t="e">
        <f t="shared" si="3"/>
        <v>#DIV/0!</v>
      </c>
    </row>
    <row r="22" spans="1:25" x14ac:dyDescent="0.3">
      <c r="A22" s="25" t="str">
        <f>'Q2'!A22</f>
        <v>06.23.2025</v>
      </c>
      <c r="B22" s="25" t="str">
        <f>'Q2'!B22</f>
        <v>Kate Saigo</v>
      </c>
      <c r="C22" s="4">
        <f>'Q2'!D22</f>
        <v>10</v>
      </c>
      <c r="D22" s="4">
        <f>'Q2'!E22</f>
        <v>11</v>
      </c>
      <c r="E22" s="4">
        <f>'Q2'!F22</f>
        <v>11</v>
      </c>
      <c r="F22" s="4">
        <f>'Q2'!G22</f>
        <v>11</v>
      </c>
      <c r="G22" s="4">
        <f>'Q2'!H22</f>
        <v>11</v>
      </c>
      <c r="H22" s="4">
        <f>'Q2'!I22</f>
        <v>11</v>
      </c>
      <c r="I22" s="4">
        <f>'Q2'!J22</f>
        <v>10</v>
      </c>
      <c r="J22" s="4">
        <f>'Q2'!K22</f>
        <v>11</v>
      </c>
      <c r="K22" s="5">
        <f>'Q2'!L22</f>
        <v>11</v>
      </c>
      <c r="L22" s="5">
        <f>'Q2'!M22</f>
        <v>10</v>
      </c>
      <c r="M22" s="4">
        <f>'Q2'!N22</f>
        <v>10</v>
      </c>
      <c r="N22" s="4">
        <f>'Q2'!O22</f>
        <v>10</v>
      </c>
      <c r="O22" s="4">
        <f>'Q2'!P22</f>
        <v>11</v>
      </c>
      <c r="P22" s="4">
        <f>'Q2'!Q22</f>
        <v>11</v>
      </c>
      <c r="Q22" s="4">
        <f>'Q2'!R22</f>
        <v>11</v>
      </c>
      <c r="R22" s="37">
        <f t="shared" si="9"/>
        <v>10</v>
      </c>
      <c r="U22" t="s">
        <v>40</v>
      </c>
      <c r="V22" s="50">
        <v>14</v>
      </c>
      <c r="W22" s="50">
        <v>15</v>
      </c>
      <c r="X22" s="11">
        <f t="shared" si="2"/>
        <v>0.93333333333333335</v>
      </c>
      <c r="Y22" s="11">
        <f t="shared" si="3"/>
        <v>1.0714285714285714</v>
      </c>
    </row>
    <row r="23" spans="1:25" x14ac:dyDescent="0.3">
      <c r="A23" s="25" t="str">
        <f>'Q2'!A22</f>
        <v>06.23.2025</v>
      </c>
      <c r="B23" s="25" t="str">
        <f>'Q2'!C22</f>
        <v>Jeff Janda</v>
      </c>
      <c r="C23" s="4">
        <f>'Q2'!D22</f>
        <v>10</v>
      </c>
      <c r="D23" s="4">
        <f>'Q2'!E22</f>
        <v>11</v>
      </c>
      <c r="E23" s="4">
        <f>'Q2'!F22</f>
        <v>11</v>
      </c>
      <c r="F23" s="4">
        <f>'Q2'!G22</f>
        <v>11</v>
      </c>
      <c r="G23" s="4">
        <f>'Q2'!H22</f>
        <v>11</v>
      </c>
      <c r="H23" s="4">
        <f>'Q2'!I22</f>
        <v>11</v>
      </c>
      <c r="I23" s="4">
        <f>'Q2'!J22</f>
        <v>10</v>
      </c>
      <c r="J23" s="4">
        <f>'Q2'!K22</f>
        <v>11</v>
      </c>
      <c r="K23" s="5">
        <f>'Q2'!L22</f>
        <v>11</v>
      </c>
      <c r="L23" s="5">
        <f>'Q2'!M22</f>
        <v>10</v>
      </c>
      <c r="M23" s="4">
        <f>'Q2'!N22</f>
        <v>10</v>
      </c>
      <c r="N23" s="4">
        <f>'Q2'!O22</f>
        <v>10</v>
      </c>
      <c r="O23" s="4">
        <f>'Q2'!P22</f>
        <v>11</v>
      </c>
      <c r="P23" s="4">
        <f>'Q2'!Q22</f>
        <v>11</v>
      </c>
      <c r="Q23" s="4">
        <f>'Q2'!R22</f>
        <v>11</v>
      </c>
      <c r="R23" s="37">
        <f t="shared" si="9"/>
        <v>10</v>
      </c>
      <c r="U23" t="s">
        <v>41</v>
      </c>
      <c r="V23" s="50">
        <v>23</v>
      </c>
      <c r="W23" s="50">
        <v>10</v>
      </c>
      <c r="X23" s="11">
        <f t="shared" si="2"/>
        <v>2.2999999999999998</v>
      </c>
      <c r="Y23" s="11">
        <f t="shared" si="3"/>
        <v>0.43478260869565216</v>
      </c>
    </row>
    <row r="24" spans="1:25" x14ac:dyDescent="0.3">
      <c r="A24" s="25" t="str">
        <f>'Q2'!A36</f>
        <v>06.23.2025</v>
      </c>
      <c r="B24" s="25" t="str">
        <f>'Q2'!B36</f>
        <v>Nancy Price</v>
      </c>
      <c r="C24" s="4">
        <f>'Q2'!D36</f>
        <v>30</v>
      </c>
      <c r="D24" s="4">
        <f>'Q2'!E36</f>
        <v>37</v>
      </c>
      <c r="E24" s="4">
        <f>'Q2'!F36</f>
        <v>37</v>
      </c>
      <c r="F24" s="4">
        <f>'Q2'!G36</f>
        <v>34</v>
      </c>
      <c r="G24" s="4">
        <f>'Q2'!H36</f>
        <v>36</v>
      </c>
      <c r="H24" s="4">
        <f>'Q2'!I36</f>
        <v>35</v>
      </c>
      <c r="I24" s="4">
        <f>'Q2'!J36</f>
        <v>37</v>
      </c>
      <c r="J24" s="4">
        <f>'Q2'!K36</f>
        <v>36</v>
      </c>
      <c r="K24" s="5">
        <f>'Q2'!L36</f>
        <v>37</v>
      </c>
      <c r="L24" s="5">
        <f>'Q2'!M36</f>
        <v>37</v>
      </c>
      <c r="M24" s="4">
        <f>'Q2'!N36</f>
        <v>37</v>
      </c>
      <c r="N24" s="4">
        <f>'Q2'!O36</f>
        <v>37</v>
      </c>
      <c r="O24" s="4">
        <f>'Q2'!P36</f>
        <v>37</v>
      </c>
      <c r="P24" s="4">
        <f>'Q2'!Q36</f>
        <v>36</v>
      </c>
      <c r="Q24" s="4">
        <f>'Q2'!R36</f>
        <v>25</v>
      </c>
      <c r="R24">
        <f t="shared" si="9"/>
        <v>25</v>
      </c>
      <c r="U24" t="s">
        <v>42</v>
      </c>
      <c r="V24" s="50">
        <v>19</v>
      </c>
      <c r="W24" s="50">
        <v>19</v>
      </c>
      <c r="X24" s="11">
        <f t="shared" si="2"/>
        <v>1</v>
      </c>
      <c r="Y24" s="11">
        <f t="shared" si="3"/>
        <v>1</v>
      </c>
    </row>
    <row r="25" spans="1:25" x14ac:dyDescent="0.3">
      <c r="A25" s="25" t="str">
        <f>'Q2'!A36</f>
        <v>06.23.2025</v>
      </c>
      <c r="B25" s="25" t="str">
        <f>'Q2'!C36</f>
        <v>Sneha Menda</v>
      </c>
      <c r="C25" s="4">
        <f>'Q2'!D36</f>
        <v>30</v>
      </c>
      <c r="D25" s="4">
        <f>'Q2'!E36</f>
        <v>37</v>
      </c>
      <c r="E25" s="4">
        <f>'Q2'!F36</f>
        <v>37</v>
      </c>
      <c r="F25" s="4">
        <f>'Q2'!G36</f>
        <v>34</v>
      </c>
      <c r="G25" s="4">
        <f>'Q2'!H36</f>
        <v>36</v>
      </c>
      <c r="H25" s="4">
        <f>'Q2'!I36</f>
        <v>35</v>
      </c>
      <c r="I25" s="4">
        <f>'Q2'!J36</f>
        <v>37</v>
      </c>
      <c r="J25" s="4">
        <f>'Q2'!K36</f>
        <v>36</v>
      </c>
      <c r="K25" s="5">
        <f>'Q2'!L36</f>
        <v>37</v>
      </c>
      <c r="L25" s="5">
        <f>'Q2'!M36</f>
        <v>37</v>
      </c>
      <c r="M25" s="4">
        <f>'Q2'!N36</f>
        <v>37</v>
      </c>
      <c r="N25" s="4">
        <f>'Q2'!O36</f>
        <v>37</v>
      </c>
      <c r="O25" s="4">
        <f>'Q2'!P36</f>
        <v>37</v>
      </c>
      <c r="P25" s="4">
        <f>'Q2'!Q36</f>
        <v>36</v>
      </c>
      <c r="Q25" s="4">
        <f>'Q2'!R36</f>
        <v>25</v>
      </c>
      <c r="R25">
        <f t="shared" si="9"/>
        <v>25</v>
      </c>
      <c r="U25" t="s">
        <v>43</v>
      </c>
      <c r="V25" s="50">
        <v>16</v>
      </c>
      <c r="W25" s="50">
        <v>16</v>
      </c>
      <c r="X25" s="11">
        <f t="shared" si="2"/>
        <v>1</v>
      </c>
      <c r="Y25" s="11">
        <f t="shared" si="3"/>
        <v>1</v>
      </c>
    </row>
    <row r="26" spans="1:25" x14ac:dyDescent="0.3">
      <c r="A26" s="25" t="str">
        <f>'Q2'!A36</f>
        <v>06.23.2025</v>
      </c>
      <c r="B26" s="25" t="str">
        <f>'Q2'!U36</f>
        <v>Mel Cajucom</v>
      </c>
      <c r="C26" s="4">
        <f>'Q2'!D36</f>
        <v>30</v>
      </c>
      <c r="D26" s="4">
        <f>'Q2'!E36</f>
        <v>37</v>
      </c>
      <c r="E26" s="4">
        <f>'Q2'!F36</f>
        <v>37</v>
      </c>
      <c r="F26" s="4">
        <f>'Q2'!G36</f>
        <v>34</v>
      </c>
      <c r="G26" s="4">
        <f>'Q2'!H36</f>
        <v>36</v>
      </c>
      <c r="H26" s="4">
        <f>'Q2'!I36</f>
        <v>35</v>
      </c>
      <c r="I26" s="4">
        <f>'Q2'!J36</f>
        <v>37</v>
      </c>
      <c r="J26" s="4">
        <f>'Q2'!K36</f>
        <v>36</v>
      </c>
      <c r="K26" s="5">
        <f>'Q2'!L36</f>
        <v>37</v>
      </c>
      <c r="L26" s="5">
        <f>'Q2'!M36</f>
        <v>37</v>
      </c>
      <c r="M26" s="4">
        <f>'Q2'!N36</f>
        <v>37</v>
      </c>
      <c r="N26" s="4">
        <f>'Q2'!O36</f>
        <v>37</v>
      </c>
      <c r="O26" s="4">
        <f>'Q2'!P36</f>
        <v>37</v>
      </c>
      <c r="P26" s="4">
        <f>'Q2'!Q36</f>
        <v>36</v>
      </c>
      <c r="Q26" s="4">
        <f>'Q2'!R36</f>
        <v>25</v>
      </c>
      <c r="R26">
        <f t="shared" si="9"/>
        <v>25</v>
      </c>
      <c r="U26" t="s">
        <v>44</v>
      </c>
      <c r="V26" s="50">
        <v>26</v>
      </c>
      <c r="W26" s="50">
        <v>28</v>
      </c>
      <c r="X26" s="11">
        <f>V26/W26</f>
        <v>0.9285714285714286</v>
      </c>
      <c r="Y26" s="11">
        <f t="shared" si="3"/>
        <v>1.0769230769230769</v>
      </c>
    </row>
    <row r="27" spans="1:25" x14ac:dyDescent="0.3">
      <c r="A27" s="32" t="str">
        <f>'Q2'!A36</f>
        <v>06.23.2025</v>
      </c>
      <c r="B27" s="32" t="str">
        <f>'Q2'!V36</f>
        <v>Maynard Soriano</v>
      </c>
      <c r="C27" s="33">
        <f>'Q2'!D36</f>
        <v>30</v>
      </c>
      <c r="D27" s="33">
        <f>'Q2'!E36</f>
        <v>37</v>
      </c>
      <c r="E27" s="33">
        <f>'Q2'!F36</f>
        <v>37</v>
      </c>
      <c r="F27" s="33">
        <f>'Q2'!G36</f>
        <v>34</v>
      </c>
      <c r="G27" s="33">
        <f>'Q2'!H36</f>
        <v>36</v>
      </c>
      <c r="H27" s="33">
        <f>'Q2'!I36</f>
        <v>35</v>
      </c>
      <c r="I27" s="33">
        <f>'Q2'!J36</f>
        <v>37</v>
      </c>
      <c r="J27" s="33">
        <f>'Q2'!K36</f>
        <v>36</v>
      </c>
      <c r="K27" s="34">
        <f>'Q2'!L36</f>
        <v>37</v>
      </c>
      <c r="L27" s="34">
        <f>'Q2'!M36</f>
        <v>37</v>
      </c>
      <c r="M27" s="33">
        <f>'Q2'!N36</f>
        <v>37</v>
      </c>
      <c r="N27" s="33">
        <f>'Q2'!O36</f>
        <v>37</v>
      </c>
      <c r="O27" s="33">
        <f>'Q2'!P36</f>
        <v>37</v>
      </c>
      <c r="P27" s="33">
        <f>'Q2'!Q36</f>
        <v>36</v>
      </c>
      <c r="Q27" s="33">
        <f>'Q2'!R36</f>
        <v>25</v>
      </c>
      <c r="R27">
        <f t="shared" si="9"/>
        <v>25</v>
      </c>
      <c r="U27" t="s">
        <v>45</v>
      </c>
      <c r="V27" s="50">
        <v>13</v>
      </c>
      <c r="W27" s="50">
        <v>15</v>
      </c>
      <c r="X27" s="11">
        <f>V27/W27</f>
        <v>0.8666666666666667</v>
      </c>
      <c r="Y27" s="11">
        <f t="shared" si="3"/>
        <v>1.1538461538461537</v>
      </c>
    </row>
    <row r="28" spans="1:25" x14ac:dyDescent="0.3">
      <c r="A28" s="35" t="s">
        <v>47</v>
      </c>
      <c r="B28" s="36" t="str">
        <f>'Q2'!B81</f>
        <v>Vera Hibaya</v>
      </c>
      <c r="C28" s="36">
        <f>'Q2'!D81</f>
        <v>31</v>
      </c>
      <c r="D28" s="36">
        <f>'Q2'!E81</f>
        <v>22</v>
      </c>
      <c r="E28" s="36">
        <f>'Q2'!F81</f>
        <v>22</v>
      </c>
      <c r="F28" s="36">
        <f>'Q2'!G81</f>
        <v>22</v>
      </c>
      <c r="G28" s="36">
        <f>'Q2'!H81</f>
        <v>22</v>
      </c>
      <c r="H28" s="36">
        <f>'Q2'!I81</f>
        <v>22</v>
      </c>
      <c r="I28" s="36" t="str">
        <f>'Q2'!J81</f>
        <v>N/A</v>
      </c>
      <c r="J28" s="36">
        <f>'Q2'!K81</f>
        <v>22</v>
      </c>
      <c r="K28" s="36">
        <f>'Q2'!L81</f>
        <v>22</v>
      </c>
      <c r="L28" s="36" t="str">
        <f>'Q2'!M81</f>
        <v>N/A</v>
      </c>
      <c r="M28" s="36" t="str">
        <f>'Q2'!N81</f>
        <v>N/A</v>
      </c>
      <c r="N28" s="36" t="str">
        <f>'Q2'!O81</f>
        <v>N/A</v>
      </c>
      <c r="O28" s="36">
        <f>'Q2'!P81</f>
        <v>22</v>
      </c>
      <c r="P28" s="36" t="str">
        <f>'Q2'!Q81</f>
        <v>N/A</v>
      </c>
      <c r="Q28" s="36">
        <f>'Q2'!R81</f>
        <v>22</v>
      </c>
      <c r="R28">
        <f t="shared" si="9"/>
        <v>22</v>
      </c>
      <c r="U28" t="s">
        <v>46</v>
      </c>
      <c r="V28" s="50">
        <v>13</v>
      </c>
      <c r="W28" s="50">
        <v>13</v>
      </c>
    </row>
    <row r="29" spans="1:25" x14ac:dyDescent="0.3">
      <c r="A29" s="35" t="s">
        <v>47</v>
      </c>
      <c r="B29" s="36" t="s">
        <v>21</v>
      </c>
      <c r="C29" s="36">
        <f>'Q2'!D81</f>
        <v>31</v>
      </c>
      <c r="D29" s="36">
        <f>'Q2'!E81</f>
        <v>22</v>
      </c>
      <c r="E29" s="36">
        <f>'Q2'!F81</f>
        <v>22</v>
      </c>
      <c r="F29" s="36">
        <f>'Q2'!G81</f>
        <v>22</v>
      </c>
      <c r="G29" s="36">
        <f>'Q2'!H81</f>
        <v>22</v>
      </c>
      <c r="H29" s="36">
        <f>'Q2'!I81</f>
        <v>22</v>
      </c>
      <c r="I29" s="36" t="str">
        <f>'Q2'!J81</f>
        <v>N/A</v>
      </c>
      <c r="J29" s="36">
        <f>'Q2'!K81</f>
        <v>22</v>
      </c>
      <c r="K29" s="36">
        <f>'Q2'!L81</f>
        <v>22</v>
      </c>
      <c r="L29" s="36" t="str">
        <f>'Q2'!M81</f>
        <v>N/A</v>
      </c>
      <c r="M29" s="36" t="str">
        <f>'Q2'!N81</f>
        <v>N/A</v>
      </c>
      <c r="N29" s="36" t="str">
        <f>'Q2'!O81</f>
        <v>N/A</v>
      </c>
      <c r="O29" s="36">
        <f>'Q2'!P81</f>
        <v>22</v>
      </c>
      <c r="P29" s="36" t="str">
        <f>'Q2'!Q81</f>
        <v>N/A</v>
      </c>
      <c r="Q29" s="36">
        <f>'Q2'!R81</f>
        <v>22</v>
      </c>
      <c r="R29">
        <f t="shared" si="9"/>
        <v>22</v>
      </c>
      <c r="U29" t="s">
        <v>70</v>
      </c>
      <c r="V29" s="50">
        <v>0</v>
      </c>
      <c r="W29" s="50">
        <v>0</v>
      </c>
    </row>
    <row r="30" spans="1:25" x14ac:dyDescent="0.3">
      <c r="A30" s="35" t="str">
        <f>'Q2'!A98</f>
        <v>07.07.2025</v>
      </c>
      <c r="B30" s="6" t="str">
        <f>'Q2'!B98</f>
        <v>Jean Luzada</v>
      </c>
      <c r="C30" s="6">
        <f>'Q2'!D98</f>
        <v>10</v>
      </c>
      <c r="D30" s="6">
        <f>'Q2'!E98</f>
        <v>10</v>
      </c>
      <c r="E30" s="6">
        <f>'Q2'!F98</f>
        <v>10</v>
      </c>
      <c r="F30" s="6">
        <f>'Q2'!G98</f>
        <v>10</v>
      </c>
      <c r="G30" s="6">
        <f>'Q2'!H98</f>
        <v>10</v>
      </c>
      <c r="H30" s="6">
        <f>'Q2'!I98</f>
        <v>9</v>
      </c>
      <c r="I30" s="6" t="str">
        <f>'Q2'!J98</f>
        <v>N/A</v>
      </c>
      <c r="J30" s="6">
        <f>'Q2'!K98</f>
        <v>10</v>
      </c>
      <c r="K30" s="6">
        <f>'Q2'!L98</f>
        <v>10</v>
      </c>
      <c r="L30" s="6" t="str">
        <f>'Q2'!M98</f>
        <v>N/A</v>
      </c>
      <c r="M30" s="6" t="str">
        <f>'Q2'!N98</f>
        <v>N/A</v>
      </c>
      <c r="N30" s="6" t="str">
        <f>'Q2'!O98</f>
        <v>N/A</v>
      </c>
      <c r="O30" s="6">
        <f>'Q2'!P98</f>
        <v>10</v>
      </c>
      <c r="P30" s="6" t="str">
        <f>'Q2'!Q98</f>
        <v>N/A</v>
      </c>
      <c r="Q30" s="6">
        <f>'Q2'!R98</f>
        <v>10</v>
      </c>
      <c r="R30" s="37">
        <f t="shared" si="9"/>
        <v>9</v>
      </c>
      <c r="U30" t="s">
        <v>71</v>
      </c>
      <c r="V30" s="50">
        <v>0</v>
      </c>
      <c r="W30" s="50">
        <v>0</v>
      </c>
    </row>
    <row r="31" spans="1:25" x14ac:dyDescent="0.3">
      <c r="A31" s="35" t="str">
        <f>'Q2'!A98</f>
        <v>07.07.2025</v>
      </c>
      <c r="B31" s="6" t="str">
        <f>'Q2'!C98</f>
        <v>Vhea De Fiesta</v>
      </c>
      <c r="C31" s="6">
        <v>10</v>
      </c>
      <c r="D31" s="6">
        <v>10</v>
      </c>
      <c r="E31" s="6">
        <v>10</v>
      </c>
      <c r="F31" s="6">
        <v>10</v>
      </c>
      <c r="G31" s="6">
        <v>10</v>
      </c>
      <c r="H31" s="6">
        <v>9</v>
      </c>
      <c r="I31" s="6" t="s">
        <v>25</v>
      </c>
      <c r="J31" s="6">
        <v>10</v>
      </c>
      <c r="K31" s="6">
        <v>10</v>
      </c>
      <c r="L31" s="6" t="s">
        <v>25</v>
      </c>
      <c r="M31" s="6" t="s">
        <v>25</v>
      </c>
      <c r="N31" s="6" t="s">
        <v>25</v>
      </c>
      <c r="O31" s="6">
        <v>10</v>
      </c>
      <c r="P31" s="6" t="s">
        <v>25</v>
      </c>
      <c r="Q31" s="6">
        <v>10</v>
      </c>
      <c r="R31" s="37">
        <f t="shared" si="9"/>
        <v>9</v>
      </c>
      <c r="U31" t="s">
        <v>57</v>
      </c>
      <c r="V31" s="50">
        <v>0</v>
      </c>
      <c r="W31" s="50">
        <v>0</v>
      </c>
    </row>
    <row r="32" spans="1:25" x14ac:dyDescent="0.3">
      <c r="A32" s="42" t="s">
        <v>49</v>
      </c>
      <c r="B32" s="6" t="str">
        <f>'Q2'!B116</f>
        <v>Irish Ferreras</v>
      </c>
      <c r="C32" s="6">
        <f>'Q2'!D116</f>
        <v>14</v>
      </c>
      <c r="D32" s="6">
        <f>'Q2'!E116</f>
        <v>14</v>
      </c>
      <c r="E32" s="6">
        <f>'Q2'!F116</f>
        <v>14</v>
      </c>
      <c r="F32" s="6">
        <f>'Q2'!G116</f>
        <v>14</v>
      </c>
      <c r="G32" s="6">
        <f>'Q2'!H116</f>
        <v>14</v>
      </c>
      <c r="H32" s="6">
        <f>'Q2'!I116</f>
        <v>15</v>
      </c>
      <c r="I32" s="6" t="str">
        <f>'Q2'!J116</f>
        <v>N/A</v>
      </c>
      <c r="J32" s="6">
        <f>'Q2'!K116</f>
        <v>14</v>
      </c>
      <c r="K32" s="6">
        <f>'Q2'!L116</f>
        <v>14</v>
      </c>
      <c r="L32" s="6" t="str">
        <f>'Q2'!M116</f>
        <v>N/A</v>
      </c>
      <c r="M32" s="6" t="str">
        <f>'Q2'!N116</f>
        <v>N/A</v>
      </c>
      <c r="N32" s="6" t="str">
        <f>'Q2'!O116</f>
        <v>N/A</v>
      </c>
      <c r="O32" s="6">
        <f>'Q2'!P116</f>
        <v>14</v>
      </c>
      <c r="P32" s="6" t="str">
        <f>'Q2'!Q116</f>
        <v>N/A</v>
      </c>
      <c r="Q32" s="6">
        <f>'Q2'!R116</f>
        <v>14</v>
      </c>
      <c r="R32">
        <f t="shared" si="9"/>
        <v>14</v>
      </c>
      <c r="U32" t="s">
        <v>58</v>
      </c>
      <c r="V32" s="50">
        <v>0</v>
      </c>
      <c r="W32" s="50">
        <v>0</v>
      </c>
    </row>
    <row r="33" spans="1:23" x14ac:dyDescent="0.3">
      <c r="A33" s="42" t="s">
        <v>49</v>
      </c>
      <c r="B33" s="41" t="str">
        <f>'Q2'!C116</f>
        <v>Kate Postres</v>
      </c>
      <c r="C33" s="6">
        <f>'Q2'!D116</f>
        <v>14</v>
      </c>
      <c r="D33" s="6">
        <f>'Q2'!E116</f>
        <v>14</v>
      </c>
      <c r="E33" s="6">
        <f>'Q2'!F116</f>
        <v>14</v>
      </c>
      <c r="F33" s="6">
        <f>'Q2'!G116</f>
        <v>14</v>
      </c>
      <c r="G33" s="6">
        <f>'Q2'!H116</f>
        <v>14</v>
      </c>
      <c r="H33" s="6">
        <f>'Q2'!I116</f>
        <v>15</v>
      </c>
      <c r="I33" s="6" t="str">
        <f>'Q2'!J116</f>
        <v>N/A</v>
      </c>
      <c r="J33" s="6">
        <f>'Q2'!K116</f>
        <v>14</v>
      </c>
      <c r="K33" s="6">
        <f>'Q2'!L116</f>
        <v>14</v>
      </c>
      <c r="L33" s="6" t="str">
        <f>'Q2'!M116</f>
        <v>N/A</v>
      </c>
      <c r="M33" s="6" t="str">
        <f>'Q2'!N116</f>
        <v>N/A</v>
      </c>
      <c r="N33" s="6" t="str">
        <f>'Q2'!O116</f>
        <v>N/A</v>
      </c>
      <c r="O33" s="6">
        <f>'Q2'!P116</f>
        <v>14</v>
      </c>
      <c r="P33" s="6" t="str">
        <f>'Q2'!Q116</f>
        <v>N/A</v>
      </c>
      <c r="Q33" s="6">
        <f>'Q2'!R116</f>
        <v>14</v>
      </c>
      <c r="R33">
        <f t="shared" si="9"/>
        <v>14</v>
      </c>
      <c r="U33" t="s">
        <v>60</v>
      </c>
      <c r="V33" s="50">
        <v>0</v>
      </c>
      <c r="W33" s="50">
        <v>0</v>
      </c>
    </row>
    <row r="34" spans="1:23" x14ac:dyDescent="0.3">
      <c r="A34" s="35" t="s">
        <v>50</v>
      </c>
      <c r="B34" s="45" t="str">
        <f>'[1]Class Summary'!$B$11</f>
        <v>Jean Luzada</v>
      </c>
      <c r="C34" s="6">
        <f>'Q2'!D135</f>
        <v>15</v>
      </c>
      <c r="D34" s="6">
        <f>'Q2'!E135</f>
        <v>17</v>
      </c>
      <c r="E34" s="6">
        <f>'Q2'!F135</f>
        <v>17</v>
      </c>
      <c r="F34" s="6">
        <f>'Q2'!G135</f>
        <v>16</v>
      </c>
      <c r="G34" s="6">
        <f>'Q2'!H135</f>
        <v>17</v>
      </c>
      <c r="H34" s="6">
        <f>'Q2'!I135</f>
        <v>16</v>
      </c>
      <c r="I34" s="6">
        <f>'Q2'!J135</f>
        <v>17</v>
      </c>
      <c r="J34" s="6">
        <f>'Q2'!K135</f>
        <v>18</v>
      </c>
      <c r="K34" s="6">
        <f>'Q2'!L135</f>
        <v>18</v>
      </c>
      <c r="L34" s="6">
        <f>'Q2'!M135</f>
        <v>17</v>
      </c>
      <c r="M34" s="6">
        <f>'Q2'!N135</f>
        <v>17</v>
      </c>
      <c r="N34" s="6">
        <f>'Q2'!O135</f>
        <v>18</v>
      </c>
      <c r="O34" s="6">
        <f>'Q2'!P135</f>
        <v>17</v>
      </c>
      <c r="P34" s="6">
        <f>'Q2'!Q135</f>
        <v>18</v>
      </c>
      <c r="Q34" s="6">
        <f>'Q2'!R135</f>
        <v>18</v>
      </c>
      <c r="R34">
        <f t="shared" si="9"/>
        <v>16</v>
      </c>
      <c r="U34" t="s">
        <v>48</v>
      </c>
      <c r="V34" s="50">
        <v>838</v>
      </c>
      <c r="W34" s="50">
        <v>722</v>
      </c>
    </row>
    <row r="35" spans="1:23" x14ac:dyDescent="0.3">
      <c r="A35" s="35" t="s">
        <v>50</v>
      </c>
      <c r="B35" s="45" t="str">
        <f>'[1]Class Summary'!$B$12</f>
        <v>Maria Lourdes Tendenilla</v>
      </c>
      <c r="C35" s="6">
        <f>'Q2'!D135</f>
        <v>15</v>
      </c>
      <c r="D35" s="6">
        <f>'Q2'!E135</f>
        <v>17</v>
      </c>
      <c r="E35" s="6">
        <f>'Q2'!F135</f>
        <v>17</v>
      </c>
      <c r="F35" s="6">
        <f>'Q2'!G135</f>
        <v>16</v>
      </c>
      <c r="G35" s="6">
        <f>'Q2'!H135</f>
        <v>17</v>
      </c>
      <c r="H35" s="6">
        <f>'Q2'!I135</f>
        <v>16</v>
      </c>
      <c r="I35" s="6">
        <f>'Q2'!J135</f>
        <v>17</v>
      </c>
      <c r="J35" s="6">
        <f>'Q2'!K135</f>
        <v>18</v>
      </c>
      <c r="K35" s="6">
        <f>'Q2'!L135</f>
        <v>18</v>
      </c>
      <c r="L35" s="6">
        <f>'Q2'!M135</f>
        <v>17</v>
      </c>
      <c r="M35" s="6">
        <f>'Q2'!N135</f>
        <v>17</v>
      </c>
      <c r="N35" s="6">
        <f>'Q2'!O135</f>
        <v>18</v>
      </c>
      <c r="O35" s="6">
        <f>'Q2'!P135</f>
        <v>17</v>
      </c>
      <c r="P35" s="6">
        <f>'Q2'!Q135</f>
        <v>18</v>
      </c>
      <c r="Q35" s="6">
        <f>'Q2'!R135</f>
        <v>18</v>
      </c>
      <c r="R35">
        <f t="shared" si="9"/>
        <v>16</v>
      </c>
    </row>
    <row r="36" spans="1:23" x14ac:dyDescent="0.3">
      <c r="A36" s="35" t="s">
        <v>51</v>
      </c>
      <c r="B36" s="45" t="str">
        <f>'Q2'!B154</f>
        <v>Anabelle Pizon</v>
      </c>
      <c r="C36" s="6">
        <f>'Q2'!D154</f>
        <v>12</v>
      </c>
      <c r="D36" s="6">
        <f>'Q2'!E154</f>
        <v>13</v>
      </c>
      <c r="E36" s="6">
        <f>'Q2'!F154</f>
        <v>13</v>
      </c>
      <c r="F36" s="6">
        <f>'Q2'!G154</f>
        <v>13</v>
      </c>
      <c r="G36" s="6">
        <f>'Q2'!H154</f>
        <v>13</v>
      </c>
      <c r="H36" s="6">
        <f>'Q2'!I154</f>
        <v>13</v>
      </c>
      <c r="I36" s="6" t="str">
        <f>'Q2'!J154</f>
        <v>N/A</v>
      </c>
      <c r="J36" s="6">
        <f>'Q2'!K154</f>
        <v>13</v>
      </c>
      <c r="K36" s="6">
        <f>'Q2'!L154</f>
        <v>13</v>
      </c>
      <c r="L36" s="6" t="str">
        <f>'Q2'!M154</f>
        <v>N/A</v>
      </c>
      <c r="M36" s="6" t="str">
        <f>'Q2'!N154</f>
        <v>N/A</v>
      </c>
      <c r="N36" s="6" t="str">
        <f>'Q2'!O154</f>
        <v>N/A</v>
      </c>
      <c r="O36" s="6">
        <f>'Q2'!P154</f>
        <v>13</v>
      </c>
      <c r="P36" s="6" t="str">
        <f>'Q2'!Q154</f>
        <v>N/A</v>
      </c>
      <c r="Q36" s="6">
        <f>'Q2'!R154</f>
        <v>13</v>
      </c>
      <c r="R36">
        <f t="shared" si="9"/>
        <v>13</v>
      </c>
    </row>
    <row r="37" spans="1:23" x14ac:dyDescent="0.3">
      <c r="A37" s="35" t="s">
        <v>51</v>
      </c>
      <c r="B37" s="45" t="str">
        <f>'Q2'!C154</f>
        <v>Jennifer Ramirez</v>
      </c>
      <c r="C37" s="6">
        <f>'Q2'!D154</f>
        <v>12</v>
      </c>
      <c r="D37" s="6">
        <f>'Q2'!E154</f>
        <v>13</v>
      </c>
      <c r="E37" s="6">
        <f>'Q2'!F154</f>
        <v>13</v>
      </c>
      <c r="F37" s="6">
        <f>'Q2'!G154</f>
        <v>13</v>
      </c>
      <c r="G37" s="6">
        <f>'Q2'!H154</f>
        <v>13</v>
      </c>
      <c r="H37" s="6">
        <f>'Q2'!I154</f>
        <v>13</v>
      </c>
      <c r="I37" s="6" t="str">
        <f>'Q2'!J154</f>
        <v>N/A</v>
      </c>
      <c r="J37" s="6">
        <f>'Q2'!K154</f>
        <v>13</v>
      </c>
      <c r="K37" s="6">
        <f>'Q2'!L154</f>
        <v>13</v>
      </c>
      <c r="L37" s="6" t="str">
        <f>'Q2'!M154</f>
        <v>N/A</v>
      </c>
      <c r="M37" s="6" t="str">
        <f>'Q2'!N154</f>
        <v>N/A</v>
      </c>
      <c r="N37" s="6" t="str">
        <f>'Q2'!O154</f>
        <v>N/A</v>
      </c>
      <c r="O37" s="6">
        <f>'Q2'!P154</f>
        <v>13</v>
      </c>
      <c r="P37" s="6" t="str">
        <f>'Q2'!Q154</f>
        <v>N/A</v>
      </c>
      <c r="Q37" s="6">
        <f>'Q2'!R154</f>
        <v>13</v>
      </c>
      <c r="R37">
        <f>MIN(D37:Q37)</f>
        <v>13</v>
      </c>
    </row>
    <row r="38" spans="1:23" x14ac:dyDescent="0.3">
      <c r="A38" s="35" t="s">
        <v>51</v>
      </c>
      <c r="B38" s="45" t="str">
        <f>'Q2'!B169</f>
        <v>Kate Saigo</v>
      </c>
      <c r="C38" s="6">
        <f>'Q2'!D169</f>
        <v>13</v>
      </c>
      <c r="D38" s="6">
        <f>'Q2'!E169</f>
        <v>16</v>
      </c>
      <c r="E38" s="6">
        <f>'Q2'!F169</f>
        <v>16</v>
      </c>
      <c r="F38" s="6">
        <f>'Q2'!G169</f>
        <v>15</v>
      </c>
      <c r="G38" s="6">
        <f>'Q2'!H169</f>
        <v>16</v>
      </c>
      <c r="H38" s="6">
        <f>'Q2'!I169</f>
        <v>15</v>
      </c>
      <c r="I38" s="6">
        <f>'Q2'!J169</f>
        <v>16</v>
      </c>
      <c r="J38" s="6">
        <f>'Q2'!K169</f>
        <v>16</v>
      </c>
      <c r="K38" s="6">
        <f>'Q2'!L169</f>
        <v>16</v>
      </c>
      <c r="L38" s="6">
        <f>'Q2'!M169</f>
        <v>16</v>
      </c>
      <c r="M38" s="6">
        <f>'Q2'!N169</f>
        <v>16</v>
      </c>
      <c r="N38" s="6">
        <f>'Q2'!O169</f>
        <v>16</v>
      </c>
      <c r="O38" s="6">
        <f>'Q2'!P169</f>
        <v>16</v>
      </c>
      <c r="P38" s="6">
        <f>'Q2'!Q169</f>
        <v>16</v>
      </c>
      <c r="Q38" s="6">
        <f>'Q2'!R169</f>
        <v>16</v>
      </c>
      <c r="R38">
        <f>MIN(D38:Q38)</f>
        <v>15</v>
      </c>
    </row>
    <row r="39" spans="1:23" x14ac:dyDescent="0.3">
      <c r="A39" s="35" t="s">
        <v>51</v>
      </c>
      <c r="B39" s="45" t="str">
        <f>'Q2'!C169</f>
        <v>Robin Yasona </v>
      </c>
      <c r="C39" s="6">
        <f>'Q2'!D169</f>
        <v>13</v>
      </c>
      <c r="D39" s="6">
        <f>'Q2'!E169</f>
        <v>16</v>
      </c>
      <c r="E39" s="6">
        <f>'Q2'!F169</f>
        <v>16</v>
      </c>
      <c r="F39" s="6">
        <f>'Q2'!G169</f>
        <v>15</v>
      </c>
      <c r="G39" s="6">
        <f>'Q2'!H169</f>
        <v>16</v>
      </c>
      <c r="H39" s="6">
        <f>'Q2'!I169</f>
        <v>15</v>
      </c>
      <c r="I39" s="6">
        <f>'Q2'!J169</f>
        <v>16</v>
      </c>
      <c r="J39" s="6">
        <f>'Q2'!K169</f>
        <v>16</v>
      </c>
      <c r="K39" s="6">
        <f>'Q2'!L169</f>
        <v>16</v>
      </c>
      <c r="L39" s="6">
        <f>'Q2'!M169</f>
        <v>16</v>
      </c>
      <c r="M39" s="6">
        <f>'Q2'!N169</f>
        <v>16</v>
      </c>
      <c r="N39" s="6">
        <f>'Q2'!O169</f>
        <v>16</v>
      </c>
      <c r="O39" s="6">
        <f>'Q2'!P169</f>
        <v>16</v>
      </c>
      <c r="P39" s="6">
        <f>'Q2'!Q169</f>
        <v>16</v>
      </c>
      <c r="Q39" s="6">
        <f>'Q2'!R169</f>
        <v>16</v>
      </c>
      <c r="R39">
        <f>MIN(D39:Q39)</f>
        <v>15</v>
      </c>
    </row>
    <row r="40" spans="1:23" x14ac:dyDescent="0.3">
      <c r="A40" s="35" t="s">
        <v>51</v>
      </c>
      <c r="B40" s="45" t="s">
        <v>34</v>
      </c>
      <c r="C40" s="6">
        <f>'Q2'!D187</f>
        <v>14</v>
      </c>
      <c r="D40" s="6">
        <f>'Q2'!E187</f>
        <v>15</v>
      </c>
      <c r="E40" s="6">
        <f>'Q2'!F187</f>
        <v>15</v>
      </c>
      <c r="F40" s="6">
        <f>'Q2'!G187</f>
        <v>15</v>
      </c>
      <c r="G40" s="6">
        <f>'Q2'!H187</f>
        <v>15</v>
      </c>
      <c r="H40" s="6">
        <f>'Q2'!I187</f>
        <v>15</v>
      </c>
      <c r="I40" s="6" t="str">
        <f>'Q2'!J187</f>
        <v>N/A</v>
      </c>
      <c r="J40" s="6">
        <f>'Q2'!K187</f>
        <v>15</v>
      </c>
      <c r="K40" s="6">
        <f>'Q2'!L187</f>
        <v>15</v>
      </c>
      <c r="L40" s="6" t="str">
        <f>'Q2'!M187</f>
        <v>N/A</v>
      </c>
      <c r="M40" s="6" t="str">
        <f>'Q2'!N187</f>
        <v>N/A</v>
      </c>
      <c r="N40" s="6" t="str">
        <f>'Q2'!O187</f>
        <v>N/A</v>
      </c>
      <c r="O40" s="6">
        <f>'Q2'!P187</f>
        <v>15</v>
      </c>
      <c r="P40" s="6" t="str">
        <f>'Q2'!Q187</f>
        <v>N/A</v>
      </c>
      <c r="Q40" s="6">
        <f>'Q2'!R187</f>
        <v>15</v>
      </c>
      <c r="R40">
        <f>MIN(D40:Q40)</f>
        <v>15</v>
      </c>
    </row>
    <row r="41" spans="1:23" x14ac:dyDescent="0.3">
      <c r="A41" s="35" t="s">
        <v>51</v>
      </c>
      <c r="B41" s="45" t="s">
        <v>36</v>
      </c>
      <c r="C41" s="6">
        <f>'Q2'!D187</f>
        <v>14</v>
      </c>
      <c r="D41" s="6">
        <f>'Q2'!E187</f>
        <v>15</v>
      </c>
      <c r="E41" s="6">
        <f>'Q2'!F187</f>
        <v>15</v>
      </c>
      <c r="F41" s="6">
        <f>'Q2'!G187</f>
        <v>15</v>
      </c>
      <c r="G41" s="6">
        <f>'Q2'!H187</f>
        <v>15</v>
      </c>
      <c r="H41" s="6">
        <f>'Q2'!I187</f>
        <v>15</v>
      </c>
      <c r="I41" s="6" t="str">
        <f>'Q2'!J187</f>
        <v>N/A</v>
      </c>
      <c r="J41" s="6">
        <f>'Q2'!K187</f>
        <v>15</v>
      </c>
      <c r="K41" s="6">
        <f>'Q2'!L187</f>
        <v>15</v>
      </c>
      <c r="L41" s="6" t="str">
        <f>'Q2'!M187</f>
        <v>N/A</v>
      </c>
      <c r="M41" s="6" t="str">
        <f>'Q2'!N187</f>
        <v>N/A</v>
      </c>
      <c r="N41" s="6" t="str">
        <f>'Q2'!O187</f>
        <v>N/A</v>
      </c>
      <c r="O41" s="6">
        <f>'Q2'!P187</f>
        <v>15</v>
      </c>
      <c r="P41" s="6" t="str">
        <f>'Q2'!Q187</f>
        <v>N/A</v>
      </c>
      <c r="Q41" s="6">
        <f>'Q2'!R187</f>
        <v>15</v>
      </c>
      <c r="R41">
        <f t="shared" si="9"/>
        <v>15</v>
      </c>
    </row>
    <row r="42" spans="1:23" x14ac:dyDescent="0.3">
      <c r="A42" s="35" t="s">
        <v>51</v>
      </c>
      <c r="B42" s="45" t="s">
        <v>40</v>
      </c>
      <c r="C42" s="6">
        <f>'Q2'!D187</f>
        <v>14</v>
      </c>
      <c r="D42" s="6">
        <f>'Q2'!E187</f>
        <v>15</v>
      </c>
      <c r="E42" s="6">
        <f>'Q2'!F187</f>
        <v>15</v>
      </c>
      <c r="F42" s="6">
        <f>'Q2'!G187</f>
        <v>15</v>
      </c>
      <c r="G42" s="6">
        <f>'Q2'!H187</f>
        <v>15</v>
      </c>
      <c r="H42" s="6">
        <f>'Q2'!I187</f>
        <v>15</v>
      </c>
      <c r="I42" s="6" t="str">
        <f>'Q2'!J187</f>
        <v>N/A</v>
      </c>
      <c r="J42" s="6">
        <f>'Q2'!K187</f>
        <v>15</v>
      </c>
      <c r="K42" s="6">
        <f>'Q2'!L187</f>
        <v>15</v>
      </c>
      <c r="L42" s="6" t="str">
        <f>'Q2'!M187</f>
        <v>N/A</v>
      </c>
      <c r="M42" s="6" t="str">
        <f>'Q2'!N187</f>
        <v>N/A</v>
      </c>
      <c r="N42" s="6" t="str">
        <f>'Q2'!O187</f>
        <v>N/A</v>
      </c>
      <c r="O42" s="6">
        <f>'Q2'!P187</f>
        <v>15</v>
      </c>
      <c r="P42" s="6" t="str">
        <f>'Q2'!Q187</f>
        <v>N/A</v>
      </c>
      <c r="Q42" s="6">
        <f>'Q2'!R187</f>
        <v>15</v>
      </c>
      <c r="R42">
        <f t="shared" si="9"/>
        <v>15</v>
      </c>
    </row>
    <row r="43" spans="1:23" x14ac:dyDescent="0.3">
      <c r="A43" s="35" t="s">
        <v>52</v>
      </c>
      <c r="B43" s="45" t="s">
        <v>27</v>
      </c>
      <c r="C43" s="6">
        <f>'Q2'!D203</f>
        <v>7</v>
      </c>
      <c r="D43" s="6">
        <f>'Q2'!E203</f>
        <v>10</v>
      </c>
      <c r="E43" s="6">
        <f>'Q2'!F203</f>
        <v>10</v>
      </c>
      <c r="F43" s="6">
        <f>'Q2'!G203</f>
        <v>10</v>
      </c>
      <c r="G43" s="6">
        <f>'Q2'!H203</f>
        <v>10</v>
      </c>
      <c r="H43" s="6">
        <f>'Q2'!I203</f>
        <v>10</v>
      </c>
      <c r="I43" s="6" t="str">
        <f>'Q2'!J203</f>
        <v>N/A</v>
      </c>
      <c r="J43" s="6">
        <f>'Q2'!K203</f>
        <v>10</v>
      </c>
      <c r="K43" s="6">
        <f>'Q2'!L203</f>
        <v>10</v>
      </c>
      <c r="L43" s="6" t="str">
        <f>'Q2'!M203</f>
        <v>N/A</v>
      </c>
      <c r="M43" s="6" t="str">
        <f>'Q2'!N203</f>
        <v>N/A</v>
      </c>
      <c r="N43" s="6" t="str">
        <f>'Q2'!O203</f>
        <v>N/A</v>
      </c>
      <c r="O43" s="6">
        <f>'Q2'!P203</f>
        <v>10</v>
      </c>
      <c r="P43" s="6" t="str">
        <f>'Q2'!Q203</f>
        <v>N/A</v>
      </c>
      <c r="Q43" s="6">
        <f>'Q2'!R203</f>
        <v>10</v>
      </c>
      <c r="R43" s="37">
        <f t="shared" si="9"/>
        <v>10</v>
      </c>
    </row>
    <row r="44" spans="1:23" x14ac:dyDescent="0.3">
      <c r="A44" s="35" t="s">
        <v>52</v>
      </c>
      <c r="B44" s="45" t="s">
        <v>22</v>
      </c>
      <c r="C44" s="6">
        <f>'Q2'!D203</f>
        <v>7</v>
      </c>
      <c r="D44" s="6">
        <f>'Q2'!E203</f>
        <v>10</v>
      </c>
      <c r="E44" s="6">
        <f>'Q2'!F203</f>
        <v>10</v>
      </c>
      <c r="F44" s="6">
        <f>'Q2'!G203</f>
        <v>10</v>
      </c>
      <c r="G44" s="6">
        <f>'Q2'!H203</f>
        <v>10</v>
      </c>
      <c r="H44" s="6">
        <f>'Q2'!I203</f>
        <v>10</v>
      </c>
      <c r="I44" s="6" t="str">
        <f>'Q2'!J203</f>
        <v>N/A</v>
      </c>
      <c r="J44" s="6">
        <f>'Q2'!K203</f>
        <v>10</v>
      </c>
      <c r="K44" s="6">
        <f>'Q2'!L203</f>
        <v>10</v>
      </c>
      <c r="L44" s="6" t="str">
        <f>'Q2'!M203</f>
        <v>N/A</v>
      </c>
      <c r="M44" s="6" t="str">
        <f>'Q2'!N203</f>
        <v>N/A</v>
      </c>
      <c r="N44" s="6" t="str">
        <f>'Q2'!O203</f>
        <v>N/A</v>
      </c>
      <c r="O44" s="6">
        <f>'Q2'!P203</f>
        <v>10</v>
      </c>
      <c r="P44" s="6" t="str">
        <f>'Q2'!Q203</f>
        <v>N/A</v>
      </c>
      <c r="Q44" s="6">
        <f>'Q2'!R203</f>
        <v>10</v>
      </c>
      <c r="R44" s="37">
        <f t="shared" si="9"/>
        <v>10</v>
      </c>
    </row>
    <row r="45" spans="1:23" x14ac:dyDescent="0.3">
      <c r="A45" s="35" t="s">
        <v>52</v>
      </c>
      <c r="B45" s="45" t="s">
        <v>41</v>
      </c>
      <c r="C45" s="6">
        <f>'Q2'!D203</f>
        <v>7</v>
      </c>
      <c r="D45" s="6">
        <f>'Q2'!E203</f>
        <v>10</v>
      </c>
      <c r="E45" s="6">
        <f>'Q2'!F203</f>
        <v>10</v>
      </c>
      <c r="F45" s="6">
        <f>'Q2'!G203</f>
        <v>10</v>
      </c>
      <c r="G45" s="6">
        <f>'Q2'!H203</f>
        <v>10</v>
      </c>
      <c r="H45" s="6">
        <f>'Q2'!I203</f>
        <v>10</v>
      </c>
      <c r="I45" s="6" t="str">
        <f>'Q2'!J203</f>
        <v>N/A</v>
      </c>
      <c r="J45" s="6">
        <f>'Q2'!K203</f>
        <v>10</v>
      </c>
      <c r="K45" s="6">
        <f>'Q2'!L203</f>
        <v>10</v>
      </c>
      <c r="L45" s="6" t="str">
        <f>'Q2'!M203</f>
        <v>N/A</v>
      </c>
      <c r="M45" s="6" t="str">
        <f>'Q2'!N203</f>
        <v>N/A</v>
      </c>
      <c r="N45" s="6" t="str">
        <f>'Q2'!O203</f>
        <v>N/A</v>
      </c>
      <c r="O45" s="6">
        <f>'Q2'!P203</f>
        <v>10</v>
      </c>
      <c r="P45" s="6" t="str">
        <f>'Q2'!Q203</f>
        <v>N/A</v>
      </c>
      <c r="Q45" s="6">
        <f>'Q2'!R203</f>
        <v>10</v>
      </c>
      <c r="R45" s="37">
        <f t="shared" si="9"/>
        <v>10</v>
      </c>
    </row>
    <row r="46" spans="1:23" x14ac:dyDescent="0.3">
      <c r="A46" s="35" t="s">
        <v>53</v>
      </c>
      <c r="B46" s="45" t="str">
        <f>'Q2'!B217</f>
        <v>Catherine Cachero</v>
      </c>
      <c r="C46" s="6">
        <f>'Q2'!D217</f>
        <v>19</v>
      </c>
      <c r="D46" s="6">
        <f>'Q2'!E217</f>
        <v>19</v>
      </c>
      <c r="E46" s="6">
        <f>'Q2'!F217</f>
        <v>19</v>
      </c>
      <c r="F46" s="6">
        <f>'Q2'!G217</f>
        <v>19</v>
      </c>
      <c r="G46" s="6">
        <f>'Q2'!H217</f>
        <v>19</v>
      </c>
      <c r="H46" s="6">
        <f>'Q2'!I217</f>
        <v>19</v>
      </c>
      <c r="I46" s="6" t="str">
        <f>'Q2'!J217</f>
        <v>N/A</v>
      </c>
      <c r="J46" s="6">
        <f>'Q2'!K217</f>
        <v>19</v>
      </c>
      <c r="K46" s="6">
        <f>'Q2'!L217</f>
        <v>19</v>
      </c>
      <c r="L46" s="6" t="str">
        <f>'Q2'!M217</f>
        <v>N/A</v>
      </c>
      <c r="M46" s="6" t="str">
        <f>'Q2'!N217</f>
        <v>N/A</v>
      </c>
      <c r="N46" s="6" t="str">
        <f>'Q2'!O217</f>
        <v>N/A</v>
      </c>
      <c r="O46" s="6">
        <f>'Q2'!P217</f>
        <v>19</v>
      </c>
      <c r="P46" s="6" t="str">
        <f>'Q2'!Q217</f>
        <v>N/A</v>
      </c>
      <c r="Q46" s="6">
        <f>'Q2'!R217</f>
        <v>19</v>
      </c>
      <c r="R46">
        <f t="shared" si="9"/>
        <v>19</v>
      </c>
    </row>
    <row r="47" spans="1:23" x14ac:dyDescent="0.3">
      <c r="A47" s="35" t="s">
        <v>53</v>
      </c>
      <c r="B47" s="45" t="str">
        <f>'Q2'!C217</f>
        <v>Patrick James Reosia</v>
      </c>
      <c r="C47" s="6">
        <f>'Q2'!D217</f>
        <v>19</v>
      </c>
      <c r="D47" s="6">
        <f>'Q2'!E217</f>
        <v>19</v>
      </c>
      <c r="E47" s="6">
        <f>'Q2'!F217</f>
        <v>19</v>
      </c>
      <c r="F47" s="6">
        <f>'Q2'!G217</f>
        <v>19</v>
      </c>
      <c r="G47" s="6">
        <f>'Q2'!H217</f>
        <v>19</v>
      </c>
      <c r="H47" s="6">
        <f>'Q2'!I217</f>
        <v>19</v>
      </c>
      <c r="I47" s="6" t="str">
        <f>'Q2'!J217</f>
        <v>N/A</v>
      </c>
      <c r="J47" s="6">
        <f>'Q2'!K217</f>
        <v>19</v>
      </c>
      <c r="K47" s="6">
        <f>'Q2'!L217</f>
        <v>19</v>
      </c>
      <c r="L47" s="6" t="str">
        <f>'Q2'!M217</f>
        <v>N/A</v>
      </c>
      <c r="M47" s="6" t="str">
        <f>'Q2'!N217</f>
        <v>N/A</v>
      </c>
      <c r="N47" s="6" t="str">
        <f>'Q2'!O217</f>
        <v>N/A</v>
      </c>
      <c r="O47" s="6">
        <f>'Q2'!P217</f>
        <v>19</v>
      </c>
      <c r="P47" s="6" t="str">
        <f>'Q2'!Q217</f>
        <v>N/A</v>
      </c>
      <c r="Q47" s="6">
        <f>'Q2'!R217</f>
        <v>19</v>
      </c>
      <c r="R47">
        <f t="shared" si="9"/>
        <v>19</v>
      </c>
    </row>
    <row r="48" spans="1:23" x14ac:dyDescent="0.3">
      <c r="A48" s="35" t="s">
        <v>54</v>
      </c>
      <c r="B48" s="45" t="s">
        <v>37</v>
      </c>
      <c r="C48" s="6">
        <f>'Q2'!D237</f>
        <v>14</v>
      </c>
      <c r="D48" s="6">
        <f>'Q2'!E237</f>
        <v>16</v>
      </c>
      <c r="E48" s="6">
        <f>'Q2'!F237</f>
        <v>16</v>
      </c>
      <c r="F48" s="6">
        <f>'Q2'!G237</f>
        <v>16</v>
      </c>
      <c r="G48" s="6">
        <f>'Q2'!H237</f>
        <v>16</v>
      </c>
      <c r="H48" s="6">
        <f>'Q2'!I237</f>
        <v>16</v>
      </c>
      <c r="I48" s="6" t="str">
        <f>'Q2'!J237</f>
        <v>N/A</v>
      </c>
      <c r="J48" s="6">
        <f>'Q2'!K237</f>
        <v>16</v>
      </c>
      <c r="K48" s="6">
        <f>'Q2'!L237</f>
        <v>16</v>
      </c>
      <c r="L48" s="6" t="str">
        <f>'Q2'!M237</f>
        <v>N/A</v>
      </c>
      <c r="M48" s="6" t="str">
        <f>'Q2'!N237</f>
        <v>N/A</v>
      </c>
      <c r="N48" s="6" t="str">
        <f>'Q2'!O237</f>
        <v>N/A</v>
      </c>
      <c r="O48" s="6">
        <f>'Q2'!P237</f>
        <v>16</v>
      </c>
      <c r="P48" s="6" t="str">
        <f>'Q2'!Q237</f>
        <v>N/A</v>
      </c>
      <c r="Q48" s="6">
        <f>'Q2'!R237</f>
        <v>16</v>
      </c>
      <c r="R48" s="37">
        <f t="shared" si="9"/>
        <v>16</v>
      </c>
    </row>
    <row r="49" spans="1:18" x14ac:dyDescent="0.3">
      <c r="A49" s="35" t="s">
        <v>54</v>
      </c>
      <c r="B49" s="45" t="str">
        <f>'Q2'!C237</f>
        <v>Jarry Calilung</v>
      </c>
      <c r="C49" s="6">
        <f>'Q2'!D237</f>
        <v>14</v>
      </c>
      <c r="D49" s="6">
        <f>'Q2'!E237</f>
        <v>16</v>
      </c>
      <c r="E49" s="6">
        <f>'Q2'!F237</f>
        <v>16</v>
      </c>
      <c r="F49" s="6">
        <f>'Q2'!G237</f>
        <v>16</v>
      </c>
      <c r="G49" s="6">
        <f>'Q2'!H237</f>
        <v>16</v>
      </c>
      <c r="H49" s="6">
        <f>'Q2'!I237</f>
        <v>16</v>
      </c>
      <c r="I49" s="6" t="str">
        <f>'Q2'!J237</f>
        <v>N/A</v>
      </c>
      <c r="J49" s="6">
        <f>'Q2'!K237</f>
        <v>16</v>
      </c>
      <c r="K49" s="6">
        <f>'Q2'!L237</f>
        <v>16</v>
      </c>
      <c r="L49" s="6" t="str">
        <f>'Q2'!M237</f>
        <v>N/A</v>
      </c>
      <c r="M49" s="6" t="str">
        <f>'Q2'!N237</f>
        <v>N/A</v>
      </c>
      <c r="N49" s="6" t="str">
        <f>'Q2'!O237</f>
        <v>N/A</v>
      </c>
      <c r="O49" s="6">
        <f>'Q2'!P237</f>
        <v>16</v>
      </c>
      <c r="P49" s="6" t="str">
        <f>'Q2'!Q237</f>
        <v>N/A</v>
      </c>
      <c r="Q49" s="6">
        <f>'Q2'!R237</f>
        <v>16</v>
      </c>
      <c r="R49" s="37">
        <f t="shared" si="9"/>
        <v>16</v>
      </c>
    </row>
    <row r="50" spans="1:18" x14ac:dyDescent="0.3">
      <c r="A50" s="35" t="s">
        <v>55</v>
      </c>
      <c r="B50" s="45" t="str">
        <f>'Q2'!B256</f>
        <v>Irish Ferreras</v>
      </c>
      <c r="C50" s="6">
        <f>'Q2'!D256</f>
        <v>10</v>
      </c>
      <c r="D50" s="6">
        <f>'Q2'!E256</f>
        <v>15</v>
      </c>
      <c r="E50" s="6">
        <f>'Q2'!F256</f>
        <v>14</v>
      </c>
      <c r="F50" s="6">
        <f>'Q2'!G256</f>
        <v>15</v>
      </c>
      <c r="G50" s="6">
        <f>'Q2'!H256</f>
        <v>14</v>
      </c>
      <c r="H50" s="6">
        <f>'Q2'!I256</f>
        <v>14</v>
      </c>
      <c r="I50" s="6">
        <f>'Q2'!J256</f>
        <v>13</v>
      </c>
      <c r="J50" s="6">
        <f>'Q2'!K256</f>
        <v>14</v>
      </c>
      <c r="K50" s="6">
        <f>'Q2'!L256</f>
        <v>14</v>
      </c>
      <c r="L50" s="6" t="str">
        <f>'Q2'!M256</f>
        <v>N/A</v>
      </c>
      <c r="M50" s="6" t="str">
        <f>'Q2'!N256</f>
        <v>N/A</v>
      </c>
      <c r="N50" s="6" t="str">
        <f>'Q2'!O256</f>
        <v>N/A</v>
      </c>
      <c r="O50" s="6">
        <f>'Q2'!P256</f>
        <v>14</v>
      </c>
      <c r="P50" s="6" t="str">
        <f>'Q2'!Q256</f>
        <v>N/A</v>
      </c>
      <c r="Q50" s="6">
        <f>'Q2'!R256</f>
        <v>15</v>
      </c>
      <c r="R50">
        <f t="shared" si="9"/>
        <v>13</v>
      </c>
    </row>
    <row r="51" spans="1:18" x14ac:dyDescent="0.3">
      <c r="A51" s="35" t="s">
        <v>55</v>
      </c>
      <c r="B51" s="45" t="str">
        <f>'Q2'!C256</f>
        <v xml:space="preserve">Maynard Soriano </v>
      </c>
      <c r="C51" s="6">
        <f>'Q2'!D256</f>
        <v>10</v>
      </c>
      <c r="D51" s="6">
        <f>'Q2'!E256</f>
        <v>15</v>
      </c>
      <c r="E51" s="6">
        <f>'Q2'!F256</f>
        <v>14</v>
      </c>
      <c r="F51" s="6">
        <f>'Q2'!G256</f>
        <v>15</v>
      </c>
      <c r="G51" s="6">
        <f>'Q2'!H256</f>
        <v>14</v>
      </c>
      <c r="H51" s="6">
        <f>'Q2'!I256</f>
        <v>14</v>
      </c>
      <c r="I51" s="6">
        <f>'Q2'!J256</f>
        <v>13</v>
      </c>
      <c r="J51" s="6">
        <f>'Q2'!K256</f>
        <v>14</v>
      </c>
      <c r="K51" s="6">
        <f>'Q2'!L256</f>
        <v>14</v>
      </c>
      <c r="L51" s="6" t="str">
        <f>'Q2'!M256</f>
        <v>N/A</v>
      </c>
      <c r="M51" s="6" t="str">
        <f>'Q2'!N256</f>
        <v>N/A</v>
      </c>
      <c r="N51" s="6" t="str">
        <f>'Q2'!O256</f>
        <v>N/A</v>
      </c>
      <c r="O51" s="6">
        <f>'Q2'!P256</f>
        <v>14</v>
      </c>
      <c r="P51" s="6" t="str">
        <f>'Q2'!Q256</f>
        <v>N/A</v>
      </c>
      <c r="Q51" s="6">
        <f>'Q2'!R256</f>
        <v>15</v>
      </c>
      <c r="R51">
        <f t="shared" si="9"/>
        <v>13</v>
      </c>
    </row>
    <row r="52" spans="1:18" x14ac:dyDescent="0.3">
      <c r="A52" s="35" t="s">
        <v>56</v>
      </c>
      <c r="B52" s="45" t="str">
        <f>'Q2'!B272</f>
        <v>Jack Malumbelumbe</v>
      </c>
      <c r="C52" s="36">
        <f>'Q2'!D272</f>
        <v>16</v>
      </c>
      <c r="D52" s="36">
        <f>'Q2'!E272</f>
        <v>16</v>
      </c>
      <c r="E52" s="36">
        <f>'Q2'!F272</f>
        <v>16</v>
      </c>
      <c r="F52" s="36">
        <f>'Q2'!G272</f>
        <v>16</v>
      </c>
      <c r="G52" s="36">
        <f>'Q2'!H272</f>
        <v>16</v>
      </c>
      <c r="H52" s="36">
        <f>'Q2'!I272</f>
        <v>16</v>
      </c>
      <c r="I52" s="36">
        <f>'Q2'!J272</f>
        <v>0</v>
      </c>
      <c r="J52" s="36">
        <f>'Q2'!K272</f>
        <v>0</v>
      </c>
      <c r="K52" s="36">
        <f>'Q2'!L272</f>
        <v>0</v>
      </c>
      <c r="L52" s="36" t="str">
        <f>'Q2'!M272</f>
        <v>N/A</v>
      </c>
      <c r="M52" s="36" t="str">
        <f>'Q2'!N272</f>
        <v>N/A</v>
      </c>
      <c r="N52" s="36" t="str">
        <f>'Q2'!O272</f>
        <v>N/A</v>
      </c>
      <c r="O52" s="36">
        <f>'Q2'!P272</f>
        <v>0</v>
      </c>
      <c r="P52" s="36" t="str">
        <f>'Q2'!Q272</f>
        <v>N/A</v>
      </c>
      <c r="Q52" s="36">
        <f>'Q2'!R272</f>
        <v>16</v>
      </c>
      <c r="R52">
        <f t="shared" si="9"/>
        <v>0</v>
      </c>
    </row>
    <row r="53" spans="1:18" x14ac:dyDescent="0.3">
      <c r="A53" s="35" t="s">
        <v>56</v>
      </c>
      <c r="B53" s="45" t="str">
        <f>'Q2'!C272</f>
        <v>Maleka Legodi</v>
      </c>
      <c r="C53" s="36">
        <f>'Q2'!D272</f>
        <v>16</v>
      </c>
      <c r="D53" s="36">
        <f>'Q2'!E272</f>
        <v>16</v>
      </c>
      <c r="E53" s="36">
        <f>'Q2'!F272</f>
        <v>16</v>
      </c>
      <c r="F53" s="36">
        <f>'Q2'!G272</f>
        <v>16</v>
      </c>
      <c r="G53" s="36">
        <f>'Q2'!H272</f>
        <v>16</v>
      </c>
      <c r="H53" s="36">
        <f>'Q2'!I272</f>
        <v>16</v>
      </c>
      <c r="I53" s="36">
        <f>'Q2'!J272</f>
        <v>0</v>
      </c>
      <c r="J53" s="36">
        <f>'Q2'!K272</f>
        <v>0</v>
      </c>
      <c r="K53" s="36">
        <f>'Q2'!L272</f>
        <v>0</v>
      </c>
      <c r="L53" s="36" t="str">
        <f>'Q2'!M272</f>
        <v>N/A</v>
      </c>
      <c r="M53" s="36" t="str">
        <f>'Q2'!N272</f>
        <v>N/A</v>
      </c>
      <c r="N53" s="36" t="str">
        <f>'Q2'!O272</f>
        <v>N/A</v>
      </c>
      <c r="O53" s="36">
        <f>'Q2'!P272</f>
        <v>0</v>
      </c>
      <c r="P53" s="36" t="str">
        <f>'Q2'!Q272</f>
        <v>N/A</v>
      </c>
      <c r="Q53" s="36">
        <f>'Q2'!R272</f>
        <v>16</v>
      </c>
      <c r="R53">
        <f t="shared" si="9"/>
        <v>0</v>
      </c>
    </row>
    <row r="54" spans="1:18" x14ac:dyDescent="0.3">
      <c r="A54" s="35" t="s">
        <v>56</v>
      </c>
      <c r="B54" s="36" t="s">
        <v>57</v>
      </c>
      <c r="C54" s="6">
        <f>'Q2'!D289</f>
        <v>12</v>
      </c>
      <c r="D54" s="6">
        <f>'Q2'!E289</f>
        <v>15</v>
      </c>
      <c r="E54" s="6">
        <f>'Q2'!F289</f>
        <v>15</v>
      </c>
      <c r="F54" s="6">
        <f>'Q2'!G289</f>
        <v>15</v>
      </c>
      <c r="G54" s="6">
        <f>'Q2'!H289</f>
        <v>15</v>
      </c>
      <c r="H54" s="6">
        <f>'Q2'!I289</f>
        <v>15</v>
      </c>
      <c r="I54" s="6">
        <f>'Q2'!J289</f>
        <v>0</v>
      </c>
      <c r="J54" s="6">
        <f>'Q2'!K289</f>
        <v>0</v>
      </c>
      <c r="K54" s="6">
        <f>'Q2'!L289</f>
        <v>0</v>
      </c>
      <c r="L54" s="6">
        <f>'Q2'!M289</f>
        <v>0</v>
      </c>
      <c r="M54" s="6">
        <f>'Q2'!N289</f>
        <v>0</v>
      </c>
      <c r="N54" s="6">
        <f>'Q2'!O289</f>
        <v>0</v>
      </c>
      <c r="O54" s="6">
        <f>'Q2'!P289</f>
        <v>0</v>
      </c>
      <c r="P54" s="6">
        <f>'Q2'!Q289</f>
        <v>15</v>
      </c>
      <c r="Q54" s="6">
        <f>'Q2'!R289</f>
        <v>15</v>
      </c>
      <c r="R54">
        <f t="shared" si="9"/>
        <v>0</v>
      </c>
    </row>
    <row r="55" spans="1:18" x14ac:dyDescent="0.3">
      <c r="A55" s="35" t="s">
        <v>56</v>
      </c>
      <c r="B55" s="36" t="s">
        <v>58</v>
      </c>
      <c r="C55" s="6">
        <f>'Q2'!D289</f>
        <v>12</v>
      </c>
      <c r="D55" s="6">
        <f>'Q2'!E289</f>
        <v>15</v>
      </c>
      <c r="E55" s="6">
        <f>'Q2'!F289</f>
        <v>15</v>
      </c>
      <c r="F55" s="6">
        <f>'Q2'!G289</f>
        <v>15</v>
      </c>
      <c r="G55" s="6">
        <f>'Q2'!H289</f>
        <v>15</v>
      </c>
      <c r="H55" s="6">
        <f>'Q2'!I289</f>
        <v>15</v>
      </c>
      <c r="I55" s="6">
        <f>'Q2'!J289</f>
        <v>0</v>
      </c>
      <c r="J55" s="6">
        <f>'Q2'!K289</f>
        <v>0</v>
      </c>
      <c r="K55" s="6">
        <f>'Q2'!L289</f>
        <v>0</v>
      </c>
      <c r="L55" s="6">
        <f>'Q2'!M289</f>
        <v>0</v>
      </c>
      <c r="M55" s="6">
        <f>'Q2'!N289</f>
        <v>0</v>
      </c>
      <c r="N55" s="6">
        <f>'Q2'!O289</f>
        <v>0</v>
      </c>
      <c r="O55" s="6">
        <f>'Q2'!P289</f>
        <v>0</v>
      </c>
      <c r="P55" s="6">
        <f>'Q2'!Q289</f>
        <v>15</v>
      </c>
      <c r="Q55" s="6">
        <f>'Q2'!R289</f>
        <v>15</v>
      </c>
      <c r="R55">
        <f t="shared" si="9"/>
        <v>0</v>
      </c>
    </row>
    <row r="56" spans="1:18" x14ac:dyDescent="0.3">
      <c r="A56" s="35" t="s">
        <v>59</v>
      </c>
      <c r="B56" s="6" t="s">
        <v>40</v>
      </c>
      <c r="C56" s="6">
        <f>'Q2'!D305</f>
        <v>14</v>
      </c>
      <c r="D56" s="6">
        <f>'Q2'!E305</f>
        <v>16</v>
      </c>
      <c r="E56" s="6">
        <f>'Q2'!F305</f>
        <v>16</v>
      </c>
      <c r="F56" s="6">
        <f>'Q2'!G305</f>
        <v>15</v>
      </c>
      <c r="G56" s="6">
        <f>'Q2'!H305</f>
        <v>16</v>
      </c>
      <c r="H56" s="6">
        <f>'Q2'!I305</f>
        <v>15</v>
      </c>
      <c r="I56" s="6">
        <f>'Q2'!J305</f>
        <v>0</v>
      </c>
      <c r="J56" s="6">
        <f>'Q2'!K305</f>
        <v>0</v>
      </c>
      <c r="K56" s="6">
        <f>'Q2'!L305</f>
        <v>0</v>
      </c>
      <c r="L56" s="6">
        <f>'Q2'!M305</f>
        <v>0</v>
      </c>
      <c r="M56" s="6">
        <f>'Q2'!N305</f>
        <v>0</v>
      </c>
      <c r="N56" s="6">
        <f>'Q2'!O305</f>
        <v>0</v>
      </c>
      <c r="O56" s="6">
        <f>'Q2'!P305</f>
        <v>0</v>
      </c>
      <c r="P56" s="6">
        <f>'Q2'!Q305</f>
        <v>16</v>
      </c>
      <c r="Q56" s="6">
        <f>'Q2'!R305</f>
        <v>16</v>
      </c>
      <c r="R56">
        <f t="shared" si="9"/>
        <v>0</v>
      </c>
    </row>
    <row r="57" spans="1:18" x14ac:dyDescent="0.3">
      <c r="A57" s="35" t="s">
        <v>59</v>
      </c>
      <c r="B57" s="6" t="s">
        <v>60</v>
      </c>
      <c r="C57" s="6">
        <f>'Q2'!D305</f>
        <v>14</v>
      </c>
      <c r="D57" s="6">
        <f>'Q2'!E305</f>
        <v>16</v>
      </c>
      <c r="E57" s="6">
        <f>'Q2'!F305</f>
        <v>16</v>
      </c>
      <c r="F57" s="6">
        <f>'Q2'!G305</f>
        <v>15</v>
      </c>
      <c r="G57" s="6">
        <f>'Q2'!H305</f>
        <v>16</v>
      </c>
      <c r="H57" s="6">
        <f>'Q2'!I305</f>
        <v>15</v>
      </c>
      <c r="I57" s="6">
        <f>'Q2'!J305</f>
        <v>0</v>
      </c>
      <c r="J57" s="6">
        <f>'Q2'!K305</f>
        <v>0</v>
      </c>
      <c r="K57" s="6">
        <f>'Q2'!L305</f>
        <v>0</v>
      </c>
      <c r="L57" s="6">
        <f>'Q2'!M305</f>
        <v>0</v>
      </c>
      <c r="M57" s="6">
        <f>'Q2'!N305</f>
        <v>0</v>
      </c>
      <c r="N57" s="6">
        <f>'Q2'!O305</f>
        <v>0</v>
      </c>
      <c r="O57" s="6">
        <f>'Q2'!P305</f>
        <v>0</v>
      </c>
      <c r="P57" s="6">
        <f>'Q2'!Q305</f>
        <v>16</v>
      </c>
      <c r="Q57" s="6">
        <f>'Q2'!R305</f>
        <v>16</v>
      </c>
      <c r="R57">
        <f t="shared" si="9"/>
        <v>0</v>
      </c>
    </row>
    <row r="58" spans="1:18" x14ac:dyDescent="0.3">
      <c r="A58" s="42" t="s">
        <v>59</v>
      </c>
      <c r="B58" s="45" t="str">
        <f>'Q2'!B324</f>
        <v>Kenneth Vera Hibaya</v>
      </c>
      <c r="C58" s="6">
        <f>'Q2'!D324</f>
        <v>19</v>
      </c>
      <c r="D58" s="6">
        <f>'Q2'!E324</f>
        <v>13</v>
      </c>
      <c r="E58" s="6">
        <f>'Q2'!F324</f>
        <v>13</v>
      </c>
      <c r="F58" s="6">
        <f>'Q2'!G324</f>
        <v>13</v>
      </c>
      <c r="G58" s="6">
        <f>'Q2'!H324</f>
        <v>13</v>
      </c>
      <c r="H58" s="6">
        <f>'Q2'!I324</f>
        <v>13</v>
      </c>
      <c r="I58" s="6">
        <f>'Q2'!J324</f>
        <v>0</v>
      </c>
      <c r="J58" s="6">
        <f>'Q2'!K324</f>
        <v>0</v>
      </c>
      <c r="K58" s="6">
        <f>'Q2'!L324</f>
        <v>0</v>
      </c>
      <c r="L58" s="6">
        <f>'Q2'!M324</f>
        <v>0</v>
      </c>
      <c r="M58" s="6">
        <f>'Q2'!N324</f>
        <v>0</v>
      </c>
      <c r="N58" s="6">
        <f>'Q2'!O324</f>
        <v>0</v>
      </c>
      <c r="O58" s="6">
        <f>'Q2'!P324</f>
        <v>0</v>
      </c>
      <c r="P58" s="6">
        <f>'Q2'!Q324</f>
        <v>13</v>
      </c>
      <c r="Q58" s="6">
        <f>'Q2'!R324</f>
        <v>13</v>
      </c>
      <c r="R58">
        <f t="shared" si="9"/>
        <v>0</v>
      </c>
    </row>
    <row r="59" spans="1:18" x14ac:dyDescent="0.3">
      <c r="A59" s="42" t="s">
        <v>59</v>
      </c>
      <c r="B59" s="45" t="str">
        <f>'Q2'!C324</f>
        <v>Mary Anne Cruz</v>
      </c>
      <c r="C59" s="6">
        <f>'Q2'!D324</f>
        <v>19</v>
      </c>
      <c r="D59" s="6">
        <f>'Q2'!E324</f>
        <v>13</v>
      </c>
      <c r="E59" s="6">
        <f>'Q2'!F324</f>
        <v>13</v>
      </c>
      <c r="F59" s="6">
        <f>'Q2'!G324</f>
        <v>13</v>
      </c>
      <c r="G59" s="6">
        <f>'Q2'!H324</f>
        <v>13</v>
      </c>
      <c r="H59" s="6">
        <f>'Q2'!I324</f>
        <v>13</v>
      </c>
      <c r="I59" s="6">
        <f>'Q2'!J324</f>
        <v>0</v>
      </c>
      <c r="J59" s="6">
        <f>'Q2'!K324</f>
        <v>0</v>
      </c>
      <c r="K59" s="6">
        <f>'Q2'!L324</f>
        <v>0</v>
      </c>
      <c r="L59" s="6">
        <f>'Q2'!M324</f>
        <v>0</v>
      </c>
      <c r="M59" s="6">
        <f>'Q2'!N324</f>
        <v>0</v>
      </c>
      <c r="N59" s="6">
        <f>'Q2'!O324</f>
        <v>0</v>
      </c>
      <c r="O59" s="6">
        <f>'Q2'!P324</f>
        <v>0</v>
      </c>
      <c r="P59" s="6">
        <f>'Q2'!Q324</f>
        <v>13</v>
      </c>
      <c r="Q59" s="6">
        <f>'Q2'!R324</f>
        <v>13</v>
      </c>
      <c r="R59">
        <f t="shared" si="9"/>
        <v>0</v>
      </c>
    </row>
  </sheetData>
  <phoneticPr fontId="4" type="noConversion"/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C450-6299-444A-B91E-FCA66255A21A}">
  <dimension ref="A1:AC196"/>
  <sheetViews>
    <sheetView topLeftCell="B1" workbookViewId="0">
      <pane ySplit="1" topLeftCell="A147" activePane="bottomLeft" state="frozen"/>
      <selection pane="bottomLeft" activeCell="D147" sqref="D147"/>
    </sheetView>
  </sheetViews>
  <sheetFormatPr defaultRowHeight="14.4" x14ac:dyDescent="0.3"/>
  <cols>
    <col min="1" max="1" width="11.109375" bestFit="1" customWidth="1"/>
    <col min="2" max="2" width="36.88671875" bestFit="1" customWidth="1"/>
    <col min="3" max="3" width="34.5546875" bestFit="1" customWidth="1"/>
    <col min="4" max="4" width="18.6640625" customWidth="1"/>
    <col min="13" max="13" width="10" customWidth="1"/>
    <col min="14" max="14" width="10.88671875" customWidth="1"/>
    <col min="18" max="18" width="10.33203125" customWidth="1"/>
    <col min="20" max="20" width="24" bestFit="1" customWidth="1"/>
  </cols>
  <sheetData>
    <row r="1" spans="1:20" s="1" customFormat="1" ht="42" customHeight="1" x14ac:dyDescent="0.3">
      <c r="A1" s="1" t="s">
        <v>0</v>
      </c>
      <c r="B1" s="2" t="s">
        <v>1</v>
      </c>
      <c r="C1" s="3">
        <v>0</v>
      </c>
      <c r="D1" s="3" t="s">
        <v>2</v>
      </c>
      <c r="E1" s="12" t="s">
        <v>3</v>
      </c>
      <c r="F1" s="12" t="s">
        <v>4</v>
      </c>
      <c r="G1" s="12" t="s">
        <v>5</v>
      </c>
      <c r="H1" s="13" t="s">
        <v>6</v>
      </c>
      <c r="I1" s="14" t="s">
        <v>7</v>
      </c>
      <c r="J1" s="15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7" t="s">
        <v>16</v>
      </c>
      <c r="S1" s="3" t="s">
        <v>61</v>
      </c>
      <c r="T1" s="3" t="s">
        <v>62</v>
      </c>
    </row>
    <row r="2" spans="1:20" s="9" customFormat="1" x14ac:dyDescent="0.3">
      <c r="A2" s="8" t="s">
        <v>63</v>
      </c>
      <c r="B2" s="9" t="s">
        <v>26</v>
      </c>
      <c r="C2" s="9" t="s">
        <v>33</v>
      </c>
      <c r="D2" s="9">
        <f>SUM(D3:D31)</f>
        <v>18</v>
      </c>
      <c r="E2" s="9">
        <f>COUNTIF(E3:E31, "&gt;79%")</f>
        <v>25</v>
      </c>
      <c r="F2" s="9">
        <f t="shared" ref="F2:R2" si="0">COUNTIF(F3:F31, "&gt;79%")</f>
        <v>25</v>
      </c>
      <c r="G2" s="9">
        <f t="shared" si="0"/>
        <v>22</v>
      </c>
      <c r="H2" s="9">
        <f t="shared" si="0"/>
        <v>25</v>
      </c>
      <c r="I2" s="9">
        <f t="shared" si="0"/>
        <v>22</v>
      </c>
      <c r="J2" s="9">
        <f>COUNTIF(J3:J31, "&gt;99.9%")</f>
        <v>25</v>
      </c>
      <c r="K2" s="9">
        <f t="shared" si="0"/>
        <v>25</v>
      </c>
      <c r="L2" s="9">
        <f t="shared" si="0"/>
        <v>25</v>
      </c>
      <c r="M2" s="9">
        <f t="shared" si="0"/>
        <v>25</v>
      </c>
      <c r="N2" s="9">
        <f t="shared" si="0"/>
        <v>1</v>
      </c>
      <c r="O2" s="9">
        <f t="shared" si="0"/>
        <v>1</v>
      </c>
      <c r="P2" s="9">
        <f t="shared" si="0"/>
        <v>25</v>
      </c>
      <c r="Q2" s="9">
        <f t="shared" si="0"/>
        <v>25</v>
      </c>
      <c r="R2" s="9">
        <f t="shared" si="0"/>
        <v>25</v>
      </c>
    </row>
    <row r="3" spans="1:20" x14ac:dyDescent="0.3">
      <c r="A3" s="6">
        <f>'[2]Student Data'!M5</f>
        <v>341480</v>
      </c>
      <c r="B3" t="str">
        <f>[2]Reporting!C4</f>
        <v>Transition to Production with SMART plan</v>
      </c>
      <c r="C3" s="10" t="str">
        <f>[2]Reporting!F4</f>
        <v>Cristy Abaya</v>
      </c>
      <c r="D3" cm="1">
        <f t="array" ref="D3">--(SUM(COUNTIF(B3,{"*nest*","*grad*","*trans*","*1B*","*1C*"}))&gt;0)</f>
        <v>1</v>
      </c>
      <c r="E3" s="18">
        <f>[2]Performance!Q5</f>
        <v>1</v>
      </c>
      <c r="F3" s="18">
        <f>[2]Performance!R5</f>
        <v>1</v>
      </c>
      <c r="G3" s="18">
        <f>[2]Performance!S5</f>
        <v>0.9</v>
      </c>
      <c r="H3" s="18">
        <f>[2]Performance!T5</f>
        <v>1</v>
      </c>
      <c r="I3" s="18">
        <f>[2]Performance!U5</f>
        <v>0.83</v>
      </c>
      <c r="J3" s="11">
        <f>[2]Performance!H5</f>
        <v>1</v>
      </c>
      <c r="K3" s="11">
        <f>[2]Performance!I5</f>
        <v>0.88</v>
      </c>
      <c r="L3" s="11">
        <f>[2]Performance!J5</f>
        <v>0.8</v>
      </c>
      <c r="M3" s="11">
        <f>[2]Performance!K5</f>
        <v>1</v>
      </c>
      <c r="N3" s="11" t="str">
        <f>[2]Performance!L5</f>
        <v>N/A</v>
      </c>
      <c r="O3" s="11" t="str">
        <f>[2]Performance!M5</f>
        <v>N/A</v>
      </c>
      <c r="P3" s="11">
        <f>[2]Performance!N5</f>
        <v>1</v>
      </c>
      <c r="Q3" s="11">
        <f>[2]Performance!O5</f>
        <v>1</v>
      </c>
      <c r="R3" s="11">
        <f>[2]Performance!P5</f>
        <v>0.91</v>
      </c>
    </row>
    <row r="4" spans="1:20" x14ac:dyDescent="0.3">
      <c r="A4" s="6">
        <f>'[2]Student Data'!M6</f>
        <v>341515</v>
      </c>
      <c r="B4" t="str">
        <f>[2]Reporting!C5</f>
        <v>Transition to Production with SMART plan</v>
      </c>
      <c r="C4" s="10" t="str">
        <f>[2]Reporting!F5</f>
        <v>Sheryl Villegas</v>
      </c>
      <c r="D4" cm="1">
        <f t="array" ref="D4">--(SUM(COUNTIF(B4,{"*nest*","*grad*","*trans*","*1B*","*1C*"}))&gt;0)</f>
        <v>1</v>
      </c>
      <c r="E4" s="18">
        <f>[2]Performance!Q6</f>
        <v>1</v>
      </c>
      <c r="F4" s="18">
        <f>[2]Performance!R6</f>
        <v>1</v>
      </c>
      <c r="G4" s="18">
        <f>[2]Performance!S6</f>
        <v>0.96</v>
      </c>
      <c r="H4" s="18">
        <f>[2]Performance!T6</f>
        <v>1</v>
      </c>
      <c r="I4" s="18">
        <f>[2]Performance!U6</f>
        <v>0.86</v>
      </c>
      <c r="J4" s="11">
        <f>[2]Performance!H6</f>
        <v>1</v>
      </c>
      <c r="K4" s="11">
        <f>[2]Performance!I6</f>
        <v>0.88</v>
      </c>
      <c r="L4" s="11">
        <f>[2]Performance!J6</f>
        <v>1</v>
      </c>
      <c r="M4" s="11">
        <f>[2]Performance!K6</f>
        <v>1</v>
      </c>
      <c r="N4" s="11" t="str">
        <f>[2]Performance!L6</f>
        <v>N/A</v>
      </c>
      <c r="O4" s="11" t="str">
        <f>[2]Performance!M6</f>
        <v>N/A</v>
      </c>
      <c r="P4" s="11">
        <f>[2]Performance!N6</f>
        <v>1</v>
      </c>
      <c r="Q4" s="11">
        <f>[2]Performance!O6</f>
        <v>1</v>
      </c>
      <c r="R4" s="11">
        <f>[2]Performance!P6</f>
        <v>1</v>
      </c>
    </row>
    <row r="5" spans="1:20" x14ac:dyDescent="0.3">
      <c r="A5" s="6">
        <f>'[2]Student Data'!M7</f>
        <v>341511</v>
      </c>
      <c r="B5" t="str">
        <f>[2]Reporting!C6</f>
        <v>Resigned-Nesting 1A</v>
      </c>
      <c r="C5" s="10" t="str">
        <f>[2]Reporting!F6</f>
        <v>Nikki Jane Macaraig</v>
      </c>
      <c r="D5" cm="1">
        <f t="array" ref="D5">--(SUM(COUNTIF(B5,{"*nest*","*grad*","*trans*","*1B*","*1C*"}))&gt;0)</f>
        <v>1</v>
      </c>
      <c r="E5" s="18">
        <f>[2]Performance!Q7</f>
        <v>1</v>
      </c>
      <c r="F5" s="18">
        <f>[2]Performance!R7</f>
        <v>1</v>
      </c>
      <c r="G5" s="18" t="str">
        <f>[2]Performance!S7</f>
        <v>n/a</v>
      </c>
      <c r="H5" s="18">
        <f>[2]Performance!T7</f>
        <v>0.8</v>
      </c>
      <c r="I5" s="18" t="str">
        <f>[2]Performance!U7</f>
        <v>n/a</v>
      </c>
      <c r="J5" s="11">
        <f>[2]Performance!H7</f>
        <v>1</v>
      </c>
      <c r="K5" s="11">
        <f>[2]Performance!I7</f>
        <v>0.88</v>
      </c>
      <c r="L5" s="11">
        <f>[2]Performance!J7</f>
        <v>1</v>
      </c>
      <c r="M5" s="11">
        <f>[2]Performance!K7</f>
        <v>1</v>
      </c>
      <c r="N5" s="11" t="str">
        <f>[2]Performance!L7</f>
        <v>N/A</v>
      </c>
      <c r="O5" s="11" t="str">
        <f>[2]Performance!M7</f>
        <v>N/A</v>
      </c>
      <c r="P5" s="11">
        <f>[2]Performance!N7</f>
        <v>1</v>
      </c>
      <c r="Q5" s="11">
        <f>[2]Performance!O7</f>
        <v>1</v>
      </c>
      <c r="R5" s="11">
        <f>[2]Performance!P7</f>
        <v>1</v>
      </c>
    </row>
    <row r="6" spans="1:20" x14ac:dyDescent="0.3">
      <c r="A6" s="6">
        <f>'[2]Student Data'!M8</f>
        <v>341492</v>
      </c>
      <c r="B6" t="str">
        <f>[2]Reporting!C7</f>
        <v>Resigned Tier 1A</v>
      </c>
      <c r="C6" s="10" t="str">
        <f>[2]Reporting!F7</f>
        <v>Jeny Rose Cadiz</v>
      </c>
      <c r="D6" cm="1">
        <f t="array" ref="D6">--(SUM(COUNTIF(B6,{"*nest*","*grad*","*trans*","*1B*","*1C*"}))&gt;0)</f>
        <v>0</v>
      </c>
      <c r="E6" s="18">
        <f>[2]Performance!Q8</f>
        <v>1</v>
      </c>
      <c r="F6" s="18">
        <f>[2]Performance!R8</f>
        <v>1</v>
      </c>
      <c r="G6" s="18">
        <f>[2]Performance!S8</f>
        <v>0.86</v>
      </c>
      <c r="H6" s="18">
        <f>[2]Performance!T8</f>
        <v>1</v>
      </c>
      <c r="I6" s="18">
        <f>[2]Performance!U8</f>
        <v>1</v>
      </c>
      <c r="J6" s="11">
        <f>[2]Performance!H8</f>
        <v>1</v>
      </c>
      <c r="K6" s="11">
        <f>[2]Performance!I8</f>
        <v>1</v>
      </c>
      <c r="L6" s="11">
        <f>[2]Performance!J8</f>
        <v>1</v>
      </c>
      <c r="M6" s="11">
        <f>[2]Performance!K8</f>
        <v>1</v>
      </c>
      <c r="N6" s="11" t="str">
        <f>[2]Performance!L8</f>
        <v>N/A</v>
      </c>
      <c r="O6" s="11" t="str">
        <f>[2]Performance!M8</f>
        <v>N/A</v>
      </c>
      <c r="P6" s="11">
        <f>[2]Performance!N8</f>
        <v>1</v>
      </c>
      <c r="Q6" s="11">
        <f>[2]Performance!O8</f>
        <v>1</v>
      </c>
      <c r="R6" s="11">
        <f>[2]Performance!P8</f>
        <v>1</v>
      </c>
    </row>
    <row r="7" spans="1:20" x14ac:dyDescent="0.3">
      <c r="A7" s="6">
        <f>'[2]Student Data'!M9</f>
        <v>341481</v>
      </c>
      <c r="B7" t="str">
        <f>[2]Reporting!C8</f>
        <v>Transition to Production</v>
      </c>
      <c r="C7" s="10" t="str">
        <f>[2]Reporting!F8</f>
        <v>Avelene Bernardo</v>
      </c>
      <c r="D7" cm="1">
        <f t="array" ref="D7">--(SUM(COUNTIF(B7,{"*nest*","*grad*","*trans*","*1B*","*1C*"}))&gt;0)</f>
        <v>1</v>
      </c>
      <c r="E7" s="18">
        <f>[2]Performance!Q9</f>
        <v>1</v>
      </c>
      <c r="F7" s="18">
        <f>[2]Performance!R9</f>
        <v>1</v>
      </c>
      <c r="G7" s="18">
        <f>[2]Performance!S9</f>
        <v>1</v>
      </c>
      <c r="H7" s="18">
        <f>[2]Performance!T9</f>
        <v>1</v>
      </c>
      <c r="I7" s="18">
        <f>[2]Performance!U9</f>
        <v>1</v>
      </c>
      <c r="J7" s="11">
        <f>[2]Performance!H9</f>
        <v>1</v>
      </c>
      <c r="K7" s="11">
        <f>[2]Performance!I9</f>
        <v>1</v>
      </c>
      <c r="L7" s="11">
        <f>[2]Performance!J9</f>
        <v>1</v>
      </c>
      <c r="M7" s="11">
        <f>[2]Performance!K9</f>
        <v>1</v>
      </c>
      <c r="N7" s="11" t="str">
        <f>[2]Performance!L9</f>
        <v>N/A</v>
      </c>
      <c r="O7" s="11" t="str">
        <f>[2]Performance!M9</f>
        <v>N/A</v>
      </c>
      <c r="P7" s="11">
        <f>[2]Performance!N9</f>
        <v>1</v>
      </c>
      <c r="Q7" s="11">
        <f>[2]Performance!O9</f>
        <v>1</v>
      </c>
      <c r="R7" s="11">
        <f>[2]Performance!P9</f>
        <v>0.94</v>
      </c>
    </row>
    <row r="8" spans="1:20" x14ac:dyDescent="0.3">
      <c r="A8" s="6">
        <f>'[2]Student Data'!M10</f>
        <v>341520</v>
      </c>
      <c r="B8" t="str">
        <f>[2]Reporting!C9</f>
        <v>Transition to Production</v>
      </c>
      <c r="C8" s="10" t="str">
        <f>[2]Reporting!F9</f>
        <v>Christian Rojo</v>
      </c>
      <c r="D8" cm="1">
        <f t="array" ref="D8">--(SUM(COUNTIF(B8,{"*nest*","*grad*","*trans*","*1B*","*1C*"}))&gt;0)</f>
        <v>1</v>
      </c>
      <c r="E8" s="18">
        <f>[2]Performance!Q10</f>
        <v>1</v>
      </c>
      <c r="F8" s="18">
        <f>[2]Performance!R10</f>
        <v>1</v>
      </c>
      <c r="G8" s="18">
        <f>[2]Performance!S10</f>
        <v>0.9</v>
      </c>
      <c r="H8" s="18">
        <f>[2]Performance!T10</f>
        <v>1</v>
      </c>
      <c r="I8" s="18">
        <f>[2]Performance!U10</f>
        <v>1</v>
      </c>
      <c r="J8" s="11">
        <f>[2]Performance!H10</f>
        <v>1</v>
      </c>
      <c r="K8" s="11">
        <f>[2]Performance!I10</f>
        <v>1</v>
      </c>
      <c r="L8" s="11">
        <f>[2]Performance!J10</f>
        <v>1</v>
      </c>
      <c r="M8" s="11">
        <f>[2]Performance!K10</f>
        <v>1</v>
      </c>
      <c r="N8" s="11" t="str">
        <f>[2]Performance!L10</f>
        <v>N/A</v>
      </c>
      <c r="O8" s="11" t="str">
        <f>[2]Performance!M10</f>
        <v>N/A</v>
      </c>
      <c r="P8" s="11">
        <f>[2]Performance!N10</f>
        <v>1</v>
      </c>
      <c r="Q8" s="11">
        <f>[2]Performance!O10</f>
        <v>1</v>
      </c>
      <c r="R8" s="11">
        <f>[2]Performance!P10</f>
        <v>1</v>
      </c>
    </row>
    <row r="9" spans="1:20" x14ac:dyDescent="0.3">
      <c r="A9" s="6">
        <f>'[2]Student Data'!M11</f>
        <v>341517</v>
      </c>
      <c r="B9" t="str">
        <f>[2]Reporting!C10</f>
        <v>Transition to Production with SMART plan</v>
      </c>
      <c r="C9" s="10" t="str">
        <f>[2]Reporting!F10</f>
        <v>Tyrone Albert Gonzales</v>
      </c>
      <c r="D9" cm="1">
        <f t="array" ref="D9">--(SUM(COUNTIF(B9,{"*nest*","*grad*","*trans*","*1B*","*1C*"}))&gt;0)</f>
        <v>1</v>
      </c>
      <c r="E9" s="18">
        <f>[2]Performance!Q11</f>
        <v>1</v>
      </c>
      <c r="F9" s="18">
        <f>[2]Performance!R11</f>
        <v>1</v>
      </c>
      <c r="G9" s="18">
        <f>[2]Performance!S11</f>
        <v>0.88</v>
      </c>
      <c r="H9" s="18">
        <f>[2]Performance!T11</f>
        <v>1</v>
      </c>
      <c r="I9" s="18">
        <f>[2]Performance!U11</f>
        <v>0.86</v>
      </c>
      <c r="J9" s="11">
        <f>[2]Performance!H11</f>
        <v>1</v>
      </c>
      <c r="K9" s="11">
        <f>[2]Performance!I11</f>
        <v>0.88</v>
      </c>
      <c r="L9" s="11">
        <f>[2]Performance!J11</f>
        <v>1</v>
      </c>
      <c r="M9" s="11">
        <f>[2]Performance!K11</f>
        <v>1</v>
      </c>
      <c r="N9" s="11" t="str">
        <f>[2]Performance!L11</f>
        <v>N/A</v>
      </c>
      <c r="O9" s="11" t="str">
        <f>[2]Performance!M11</f>
        <v>N/A</v>
      </c>
      <c r="P9" s="11">
        <f>[2]Performance!N11</f>
        <v>1</v>
      </c>
      <c r="Q9" s="11">
        <f>[2]Performance!O11</f>
        <v>1</v>
      </c>
      <c r="R9" s="11">
        <f>[2]Performance!P11</f>
        <v>0.86</v>
      </c>
    </row>
    <row r="10" spans="1:20" x14ac:dyDescent="0.3">
      <c r="A10" s="19">
        <f>'[2]Student Data'!M12</f>
        <v>0</v>
      </c>
      <c r="B10" s="20" t="str">
        <f>[2]Reporting!C11</f>
        <v>Moved/Joining Alternate Class/Program</v>
      </c>
      <c r="C10" s="21" t="str">
        <f>[2]Reporting!F11</f>
        <v>Cristel Ann Melgar</v>
      </c>
      <c r="D10" s="20" cm="1">
        <f t="array" ref="D10">--(SUM(COUNTIF(B10,{"*nest*","*grad*","*trans*","*1B*","*1C*"}))&gt;0)</f>
        <v>0</v>
      </c>
      <c r="E10" s="22" t="str">
        <f>[2]Performance!Q12</f>
        <v>n/a</v>
      </c>
      <c r="F10" s="22" t="str">
        <f>[2]Performance!R12</f>
        <v>n/a</v>
      </c>
      <c r="G10" s="22" t="str">
        <f>[2]Performance!S12</f>
        <v>n/a</v>
      </c>
      <c r="H10" s="22" t="str">
        <f>[2]Performance!T12</f>
        <v>n/a</v>
      </c>
      <c r="I10" s="22" t="str">
        <f>[2]Performance!U12</f>
        <v>n/a</v>
      </c>
      <c r="J10" s="23" t="str">
        <f>[2]Performance!H12</f>
        <v>n/a</v>
      </c>
      <c r="K10" s="23" t="str">
        <f>[2]Performance!I12</f>
        <v>n/a</v>
      </c>
      <c r="L10" s="23" t="str">
        <f>[2]Performance!J12</f>
        <v>n/a</v>
      </c>
      <c r="M10" s="23" t="str">
        <f>[2]Performance!K12</f>
        <v>n/a</v>
      </c>
      <c r="N10" s="23" t="str">
        <f>[2]Performance!L12</f>
        <v>N/A</v>
      </c>
      <c r="O10" s="23" t="str">
        <f>[2]Performance!M12</f>
        <v>N/A</v>
      </c>
      <c r="P10" s="23" t="str">
        <f>[2]Performance!N12</f>
        <v>n/a</v>
      </c>
      <c r="Q10" s="23" t="str">
        <f>[2]Performance!O12</f>
        <v>n/a</v>
      </c>
      <c r="R10" s="23" t="str">
        <f>[2]Performance!P12</f>
        <v>n/a</v>
      </c>
    </row>
    <row r="11" spans="1:20" x14ac:dyDescent="0.3">
      <c r="A11" s="19">
        <f>'[2]Student Data'!M13</f>
        <v>0</v>
      </c>
      <c r="B11" s="20" t="str">
        <f>[2]Reporting!C12</f>
        <v>Did not Start</v>
      </c>
      <c r="C11" s="21" t="str">
        <f>[2]Reporting!F12</f>
        <v>Orpha Isabel Percy</v>
      </c>
      <c r="D11" s="20" cm="1">
        <f t="array" ref="D11">--(SUM(COUNTIF(B11,{"*nest*","*grad*","*trans*","*1B*","*1C*"}))&gt;0)</f>
        <v>0</v>
      </c>
      <c r="E11" s="22" t="str">
        <f>[2]Performance!Q13</f>
        <v>n/a</v>
      </c>
      <c r="F11" s="22" t="str">
        <f>[2]Performance!R13</f>
        <v>n/a</v>
      </c>
      <c r="G11" s="22" t="str">
        <f>[2]Performance!S13</f>
        <v>n/a</v>
      </c>
      <c r="H11" s="22" t="str">
        <f>[2]Performance!T13</f>
        <v>n/a</v>
      </c>
      <c r="I11" s="22" t="str">
        <f>[2]Performance!U13</f>
        <v>n/a</v>
      </c>
      <c r="J11" s="23" t="str">
        <f>[2]Performance!H13</f>
        <v>n/a</v>
      </c>
      <c r="K11" s="23" t="str">
        <f>[2]Performance!I13</f>
        <v>n/a</v>
      </c>
      <c r="L11" s="23" t="str">
        <f>[2]Performance!J13</f>
        <v>n/a</v>
      </c>
      <c r="M11" s="23" t="str">
        <f>[2]Performance!K13</f>
        <v>n/a</v>
      </c>
      <c r="N11" s="23" t="str">
        <f>[2]Performance!L13</f>
        <v>N/A</v>
      </c>
      <c r="O11" s="23" t="str">
        <f>[2]Performance!M13</f>
        <v>N/A</v>
      </c>
      <c r="P11" s="23" t="str">
        <f>[2]Performance!N13</f>
        <v>n/a</v>
      </c>
      <c r="Q11" s="23" t="str">
        <f>[2]Performance!O13</f>
        <v>n/a</v>
      </c>
      <c r="R11" s="23" t="str">
        <f>[2]Performance!P13</f>
        <v>n/a</v>
      </c>
    </row>
    <row r="12" spans="1:20" x14ac:dyDescent="0.3">
      <c r="A12" s="6">
        <f>'[2]Student Data'!M14</f>
        <v>341482</v>
      </c>
      <c r="B12" t="str">
        <f>[2]Reporting!C13</f>
        <v>LOA</v>
      </c>
      <c r="C12" s="10" t="str">
        <f>[2]Reporting!F13</f>
        <v>Elias Mariano Bautista</v>
      </c>
      <c r="D12" cm="1">
        <f t="array" ref="D12">--(SUM(COUNTIF(B12,{"*nest*","*grad*","*trans*","*1B*","*1C*"}))&gt;0)</f>
        <v>0</v>
      </c>
      <c r="E12" s="18">
        <f>[2]Performance!Q14</f>
        <v>1</v>
      </c>
      <c r="F12" s="18">
        <f>[2]Performance!R14</f>
        <v>1</v>
      </c>
      <c r="G12" s="18">
        <f>[2]Performance!S14</f>
        <v>1</v>
      </c>
      <c r="H12" s="18">
        <f>[2]Performance!T14</f>
        <v>1</v>
      </c>
      <c r="I12" s="18">
        <f>[2]Performance!U14</f>
        <v>1</v>
      </c>
      <c r="J12" s="11">
        <f>[2]Performance!H14</f>
        <v>1</v>
      </c>
      <c r="K12" s="11">
        <f>[2]Performance!I14</f>
        <v>1</v>
      </c>
      <c r="L12" s="11">
        <f>[2]Performance!J14</f>
        <v>1</v>
      </c>
      <c r="M12" s="11">
        <f>[2]Performance!K14</f>
        <v>1</v>
      </c>
      <c r="N12" s="11" t="str">
        <f>[2]Performance!L14</f>
        <v>N/A</v>
      </c>
      <c r="O12" s="11" t="str">
        <f>[2]Performance!M14</f>
        <v>N/A</v>
      </c>
      <c r="P12" s="11">
        <f>[2]Performance!N14</f>
        <v>1</v>
      </c>
      <c r="Q12" s="11">
        <f>[2]Performance!O14</f>
        <v>1</v>
      </c>
      <c r="R12" s="11">
        <f>[2]Performance!P14</f>
        <v>0.94</v>
      </c>
    </row>
    <row r="13" spans="1:20" x14ac:dyDescent="0.3">
      <c r="A13" s="19">
        <f>'[2]Student Data'!M15</f>
        <v>0</v>
      </c>
      <c r="B13" s="20" t="str">
        <f>[2]Reporting!C14</f>
        <v>Did not Start</v>
      </c>
      <c r="C13" s="21" t="str">
        <f>[2]Reporting!F14</f>
        <v>Marianne Manicad</v>
      </c>
      <c r="D13" s="20" cm="1">
        <f t="array" ref="D13">--(SUM(COUNTIF(B13,{"*nest*","*grad*","*trans*","*1B*","*1C*"}))&gt;0)</f>
        <v>0</v>
      </c>
      <c r="E13" s="22" t="str">
        <f>[2]Performance!Q15</f>
        <v>n/a</v>
      </c>
      <c r="F13" s="22" t="str">
        <f>[2]Performance!R15</f>
        <v>n/a</v>
      </c>
      <c r="G13" s="22" t="str">
        <f>[2]Performance!S15</f>
        <v>n/a</v>
      </c>
      <c r="H13" s="22" t="str">
        <f>[2]Performance!T15</f>
        <v>n/a</v>
      </c>
      <c r="I13" s="22" t="str">
        <f>[2]Performance!U15</f>
        <v>n/a</v>
      </c>
      <c r="J13" s="23" t="str">
        <f>[2]Performance!H15</f>
        <v>n/a</v>
      </c>
      <c r="K13" s="23" t="str">
        <f>[2]Performance!I15</f>
        <v>n/a</v>
      </c>
      <c r="L13" s="23" t="str">
        <f>[2]Performance!J15</f>
        <v>n/a</v>
      </c>
      <c r="M13" s="23" t="str">
        <f>[2]Performance!K15</f>
        <v>n/a</v>
      </c>
      <c r="N13" s="23" t="str">
        <f>[2]Performance!L15</f>
        <v>N/A</v>
      </c>
      <c r="O13" s="23" t="str">
        <f>[2]Performance!M15</f>
        <v>N/A</v>
      </c>
      <c r="P13" s="23" t="str">
        <f>[2]Performance!N15</f>
        <v>n/a</v>
      </c>
      <c r="Q13" s="23" t="str">
        <f>[2]Performance!O15</f>
        <v>n/a</v>
      </c>
      <c r="R13" s="23" t="str">
        <f>[2]Performance!P15</f>
        <v>n/a</v>
      </c>
    </row>
    <row r="14" spans="1:20" x14ac:dyDescent="0.3">
      <c r="A14" s="6">
        <f>'[2]Student Data'!M16</f>
        <v>341489</v>
      </c>
      <c r="B14" t="str">
        <f>[2]Reporting!C15</f>
        <v>Transition to Production</v>
      </c>
      <c r="C14" s="10" t="str">
        <f>[2]Reporting!F15</f>
        <v>Jan Christian Soriño</v>
      </c>
      <c r="D14" cm="1">
        <f t="array" ref="D14">--(SUM(COUNTIF(B14,{"*nest*","*grad*","*trans*","*1B*","*1C*"}))&gt;0)</f>
        <v>1</v>
      </c>
      <c r="E14" s="18">
        <f>[2]Performance!Q16</f>
        <v>1</v>
      </c>
      <c r="F14" s="18">
        <f>[2]Performance!R16</f>
        <v>1</v>
      </c>
      <c r="G14" s="18">
        <f>[2]Performance!S16</f>
        <v>0.84</v>
      </c>
      <c r="H14" s="18">
        <f>[2]Performance!T16</f>
        <v>1</v>
      </c>
      <c r="I14" s="18">
        <f>[2]Performance!U16</f>
        <v>0.9</v>
      </c>
      <c r="J14" s="11">
        <f>[2]Performance!H16</f>
        <v>1</v>
      </c>
      <c r="K14" s="11">
        <f>[2]Performance!I16</f>
        <v>0.88</v>
      </c>
      <c r="L14" s="11">
        <f>[2]Performance!J16</f>
        <v>1</v>
      </c>
      <c r="M14" s="11">
        <f>[2]Performance!K16</f>
        <v>1</v>
      </c>
      <c r="N14" s="11" t="str">
        <f>[2]Performance!L16</f>
        <v>N/A</v>
      </c>
      <c r="O14" s="11" t="str">
        <f>[2]Performance!M16</f>
        <v>N/A</v>
      </c>
      <c r="P14" s="11">
        <f>[2]Performance!N16</f>
        <v>1</v>
      </c>
      <c r="Q14" s="11">
        <f>[2]Performance!O16</f>
        <v>1</v>
      </c>
      <c r="R14" s="11">
        <f>[2]Performance!P16</f>
        <v>1</v>
      </c>
    </row>
    <row r="15" spans="1:20" x14ac:dyDescent="0.3">
      <c r="A15" s="6">
        <f>'[2]Student Data'!M17</f>
        <v>341512</v>
      </c>
      <c r="B15" t="str">
        <f>[2]Reporting!C16</f>
        <v>Resigned Tier 1A</v>
      </c>
      <c r="C15" s="10" t="str">
        <f>[2]Reporting!F16</f>
        <v>Randy Paredo</v>
      </c>
      <c r="D15" cm="1">
        <f t="array" ref="D15">--(SUM(COUNTIF(B15,{"*nest*","*grad*","*trans*","*1B*","*1C*"}))&gt;0)</f>
        <v>0</v>
      </c>
      <c r="E15" s="18">
        <f>[2]Performance!Q17</f>
        <v>1</v>
      </c>
      <c r="F15" s="18">
        <f>[2]Performance!R17</f>
        <v>1</v>
      </c>
      <c r="G15" s="18" t="str">
        <f>[2]Performance!S17</f>
        <v>n/a</v>
      </c>
      <c r="H15" s="18">
        <f>[2]Performance!T17</f>
        <v>0.8</v>
      </c>
      <c r="I15" s="18" t="str">
        <f>[2]Performance!U17</f>
        <v>n/a</v>
      </c>
      <c r="J15" s="11">
        <f>[2]Performance!H17</f>
        <v>1</v>
      </c>
      <c r="K15" s="11">
        <f>[2]Performance!I17</f>
        <v>1</v>
      </c>
      <c r="L15" s="11">
        <f>[2]Performance!J17</f>
        <v>1</v>
      </c>
      <c r="M15" s="11">
        <f>[2]Performance!K17</f>
        <v>1</v>
      </c>
      <c r="N15" s="11" t="str">
        <f>[2]Performance!L17</f>
        <v>N/A</v>
      </c>
      <c r="O15" s="11" t="str">
        <f>[2]Performance!M17</f>
        <v>N/A</v>
      </c>
      <c r="P15" s="11">
        <f>[2]Performance!N17</f>
        <v>1</v>
      </c>
      <c r="Q15" s="11">
        <f>[2]Performance!O17</f>
        <v>1</v>
      </c>
      <c r="R15" s="11">
        <f>[2]Performance!P17</f>
        <v>0.82</v>
      </c>
    </row>
    <row r="16" spans="1:20" x14ac:dyDescent="0.3">
      <c r="A16" s="6">
        <f>'[2]Student Data'!M18</f>
        <v>341487</v>
      </c>
      <c r="B16" t="str">
        <f>[2]Reporting!C17</f>
        <v>Transition to Production</v>
      </c>
      <c r="C16" s="10" t="str">
        <f>[2]Reporting!F17</f>
        <v>Jan Mae Ado</v>
      </c>
      <c r="D16" cm="1">
        <f t="array" ref="D16">--(SUM(COUNTIF(B16,{"*nest*","*grad*","*trans*","*1B*","*1C*"}))&gt;0)</f>
        <v>1</v>
      </c>
      <c r="E16" s="18">
        <f>[2]Performance!Q18</f>
        <v>1</v>
      </c>
      <c r="F16" s="18">
        <f>[2]Performance!R18</f>
        <v>1</v>
      </c>
      <c r="G16" s="18">
        <f>[2]Performance!S18</f>
        <v>0.92</v>
      </c>
      <c r="H16" s="18">
        <f>[2]Performance!T18</f>
        <v>1</v>
      </c>
      <c r="I16" s="18">
        <f>[2]Performance!U18</f>
        <v>1</v>
      </c>
      <c r="J16" s="11">
        <f>[2]Performance!H18</f>
        <v>1</v>
      </c>
      <c r="K16" s="11">
        <f>[2]Performance!I18</f>
        <v>1</v>
      </c>
      <c r="L16" s="11">
        <f>[2]Performance!J18</f>
        <v>1</v>
      </c>
      <c r="M16" s="11">
        <f>[2]Performance!K18</f>
        <v>1</v>
      </c>
      <c r="N16" s="11" t="str">
        <f>[2]Performance!L18</f>
        <v>N/A</v>
      </c>
      <c r="O16" s="11" t="str">
        <f>[2]Performance!M18</f>
        <v>N/A</v>
      </c>
      <c r="P16" s="11">
        <f>[2]Performance!N18</f>
        <v>1</v>
      </c>
      <c r="Q16" s="11">
        <f>[2]Performance!O18</f>
        <v>1</v>
      </c>
      <c r="R16" s="11">
        <f>[2]Performance!P18</f>
        <v>0.94</v>
      </c>
    </row>
    <row r="17" spans="1:29" x14ac:dyDescent="0.3">
      <c r="A17" s="6">
        <f>'[2]Student Data'!M19</f>
        <v>341477</v>
      </c>
      <c r="B17" t="str">
        <f>[2]Reporting!C18</f>
        <v>Transition to Production</v>
      </c>
      <c r="C17" s="10" t="str">
        <f>[2]Reporting!F18</f>
        <v>Angelita Ligot</v>
      </c>
      <c r="D17" cm="1">
        <f t="array" ref="D17">--(SUM(COUNTIF(B17,{"*nest*","*grad*","*trans*","*1B*","*1C*"}))&gt;0)</f>
        <v>1</v>
      </c>
      <c r="E17" s="18">
        <f>[2]Performance!Q19</f>
        <v>1</v>
      </c>
      <c r="F17" s="18">
        <f>[2]Performance!R19</f>
        <v>1</v>
      </c>
      <c r="G17" s="18">
        <f>[2]Performance!S19</f>
        <v>0.89</v>
      </c>
      <c r="H17" s="18">
        <f>[2]Performance!T19</f>
        <v>1</v>
      </c>
      <c r="I17" s="18">
        <f>[2]Performance!U19</f>
        <v>0.89</v>
      </c>
      <c r="J17" s="11">
        <f>[2]Performance!H19</f>
        <v>1</v>
      </c>
      <c r="K17" s="11">
        <f>[2]Performance!I19</f>
        <v>1</v>
      </c>
      <c r="L17" s="11">
        <f>[2]Performance!J19</f>
        <v>1</v>
      </c>
      <c r="M17" s="11">
        <f>[2]Performance!K19</f>
        <v>1</v>
      </c>
      <c r="N17" s="11" t="str">
        <f>[2]Performance!L19</f>
        <v>N/A</v>
      </c>
      <c r="O17" s="11" t="str">
        <f>[2]Performance!M19</f>
        <v>N/A</v>
      </c>
      <c r="P17" s="11">
        <f>[2]Performance!N19</f>
        <v>1</v>
      </c>
      <c r="Q17" s="11">
        <f>[2]Performance!O19</f>
        <v>1</v>
      </c>
      <c r="R17" s="11">
        <f>[2]Performance!P19</f>
        <v>1</v>
      </c>
    </row>
    <row r="18" spans="1:29" x14ac:dyDescent="0.3">
      <c r="A18" s="6">
        <f>'[2]Student Data'!M20</f>
        <v>341508</v>
      </c>
      <c r="B18" t="str">
        <f>[2]Reporting!C19</f>
        <v>Resigned Tier 1A</v>
      </c>
      <c r="C18" s="10" t="str">
        <f>[2]Reporting!F19</f>
        <v>Marl Sharyl Kate Esoc</v>
      </c>
      <c r="D18" cm="1">
        <f t="array" ref="D18">--(SUM(COUNTIF(B18,{"*nest*","*grad*","*trans*","*1B*","*1C*"}))&gt;0)</f>
        <v>0</v>
      </c>
      <c r="E18" s="18">
        <f>[2]Performance!Q20</f>
        <v>1</v>
      </c>
      <c r="F18" s="18">
        <f>[2]Performance!R20</f>
        <v>1</v>
      </c>
      <c r="G18" s="18">
        <f>[2]Performance!S20</f>
        <v>0.88</v>
      </c>
      <c r="H18" s="18">
        <f>[2]Performance!T20</f>
        <v>1</v>
      </c>
      <c r="I18" s="18">
        <f>[2]Performance!U20</f>
        <v>0.9</v>
      </c>
      <c r="J18" s="11">
        <f>[2]Performance!H20</f>
        <v>1</v>
      </c>
      <c r="K18" s="11">
        <f>[2]Performance!I20</f>
        <v>1</v>
      </c>
      <c r="L18" s="11">
        <f>[2]Performance!J20</f>
        <v>1</v>
      </c>
      <c r="M18" s="11">
        <f>[2]Performance!K20</f>
        <v>1</v>
      </c>
      <c r="N18" s="11" t="str">
        <f>[2]Performance!L20</f>
        <v>N/A</v>
      </c>
      <c r="O18" s="11" t="str">
        <f>[2]Performance!M20</f>
        <v>N/A</v>
      </c>
      <c r="P18" s="11">
        <f>[2]Performance!N20</f>
        <v>1</v>
      </c>
      <c r="Q18" s="11">
        <f>[2]Performance!O20</f>
        <v>1</v>
      </c>
      <c r="R18" s="11">
        <f>[2]Performance!P20</f>
        <v>0.82</v>
      </c>
    </row>
    <row r="19" spans="1:29" x14ac:dyDescent="0.3">
      <c r="A19" s="6">
        <f>'[2]Student Data'!M21</f>
        <v>341484</v>
      </c>
      <c r="B19" t="str">
        <f>[2]Reporting!C20</f>
        <v>LOA</v>
      </c>
      <c r="C19" s="10" t="str">
        <f>[2]Reporting!F20</f>
        <v>Frances Pauline Castro</v>
      </c>
      <c r="D19" cm="1">
        <f t="array" ref="D19">--(SUM(COUNTIF(B19,{"*nest*","*grad*","*trans*","*1B*","*1C*"}))&gt;0)</f>
        <v>0</v>
      </c>
      <c r="E19" s="18">
        <f>[2]Performance!Q21</f>
        <v>1</v>
      </c>
      <c r="F19" s="18">
        <f>[2]Performance!R21</f>
        <v>1</v>
      </c>
      <c r="G19" s="18">
        <f>[2]Performance!S21</f>
        <v>1</v>
      </c>
      <c r="H19" s="18">
        <f>[2]Performance!T21</f>
        <v>1</v>
      </c>
      <c r="I19" s="18">
        <f>[2]Performance!U21</f>
        <v>0.9</v>
      </c>
      <c r="J19" s="11">
        <f>[2]Performance!H21</f>
        <v>1</v>
      </c>
      <c r="K19" s="11">
        <f>[2]Performance!I21</f>
        <v>1</v>
      </c>
      <c r="L19" s="11">
        <f>[2]Performance!J21</f>
        <v>1</v>
      </c>
      <c r="M19" s="11">
        <f>[2]Performance!K21</f>
        <v>1</v>
      </c>
      <c r="N19" s="11" t="str">
        <f>[2]Performance!L21</f>
        <v>N/A</v>
      </c>
      <c r="O19" s="11" t="str">
        <f>[2]Performance!M21</f>
        <v>N/A</v>
      </c>
      <c r="P19" s="11">
        <f>[2]Performance!N21</f>
        <v>1</v>
      </c>
      <c r="Q19" s="11">
        <f>[2]Performance!O21</f>
        <v>1</v>
      </c>
      <c r="R19" s="11">
        <f>[2]Performance!P21</f>
        <v>1</v>
      </c>
    </row>
    <row r="20" spans="1:29" x14ac:dyDescent="0.3">
      <c r="A20" s="6">
        <f>'[2]Student Data'!M22</f>
        <v>341476</v>
      </c>
      <c r="B20" t="str">
        <f>[2]Reporting!C21</f>
        <v>Transition to Production</v>
      </c>
      <c r="C20" s="10" t="str">
        <f>[2]Reporting!F21</f>
        <v>Angelo Harvey Tipanero</v>
      </c>
      <c r="D20" cm="1">
        <f t="array" ref="D20">--(SUM(COUNTIF(B20,{"*nest*","*grad*","*trans*","*1B*","*1C*"}))&gt;0)</f>
        <v>1</v>
      </c>
      <c r="E20" s="18">
        <f>[2]Performance!Q22</f>
        <v>1</v>
      </c>
      <c r="F20" s="18">
        <f>[2]Performance!R22</f>
        <v>1</v>
      </c>
      <c r="G20" s="18">
        <f>[2]Performance!S22</f>
        <v>1</v>
      </c>
      <c r="H20" s="18">
        <f>[2]Performance!T22</f>
        <v>1</v>
      </c>
      <c r="I20" s="18">
        <f>[2]Performance!U22</f>
        <v>0.88</v>
      </c>
      <c r="J20" s="11">
        <f>[2]Performance!H22</f>
        <v>1</v>
      </c>
      <c r="K20" s="11">
        <f>[2]Performance!I22</f>
        <v>0.88</v>
      </c>
      <c r="L20" s="11">
        <f>[2]Performance!J22</f>
        <v>1</v>
      </c>
      <c r="M20" s="11">
        <f>[2]Performance!K22</f>
        <v>1</v>
      </c>
      <c r="N20" s="11" t="str">
        <f>[2]Performance!L22</f>
        <v>N/A</v>
      </c>
      <c r="O20" s="11" t="str">
        <f>[2]Performance!M22</f>
        <v>N/A</v>
      </c>
      <c r="P20" s="11">
        <f>[2]Performance!N22</f>
        <v>1</v>
      </c>
      <c r="Q20" s="11">
        <f>[2]Performance!O22</f>
        <v>1</v>
      </c>
      <c r="R20" s="11">
        <f>[2]Performance!P22</f>
        <v>0.85</v>
      </c>
    </row>
    <row r="21" spans="1:29" x14ac:dyDescent="0.3">
      <c r="A21" s="6">
        <f>'[2]Student Data'!M23</f>
        <v>341518</v>
      </c>
      <c r="B21" t="str">
        <f>[2]Reporting!C22</f>
        <v>LOA</v>
      </c>
      <c r="C21" s="10" t="str">
        <f>[2]Reporting!F22</f>
        <v>Tuesday Brea Cruz</v>
      </c>
      <c r="D21" cm="1">
        <f t="array" ref="D21">--(SUM(COUNTIF(B21,{"*nest*","*grad*","*trans*","*1B*","*1C*"}))&gt;0)</f>
        <v>0</v>
      </c>
      <c r="E21" s="18">
        <f>[2]Performance!Q23</f>
        <v>1</v>
      </c>
      <c r="F21" s="18">
        <f>[2]Performance!R23</f>
        <v>1</v>
      </c>
      <c r="G21" s="18">
        <f>[2]Performance!S23</f>
        <v>1</v>
      </c>
      <c r="H21" s="18">
        <f>[2]Performance!T23</f>
        <v>0.8</v>
      </c>
      <c r="I21" s="18">
        <f>[2]Performance!U23</f>
        <v>0.9</v>
      </c>
      <c r="J21" s="11">
        <f>[2]Performance!H23</f>
        <v>1</v>
      </c>
      <c r="K21" s="11">
        <f>[2]Performance!I23</f>
        <v>1</v>
      </c>
      <c r="L21" s="11">
        <f>[2]Performance!J23</f>
        <v>1</v>
      </c>
      <c r="M21" s="11">
        <f>[2]Performance!K23</f>
        <v>1</v>
      </c>
      <c r="N21" s="11" t="str">
        <f>[2]Performance!L23</f>
        <v>N/A</v>
      </c>
      <c r="O21" s="11" t="str">
        <f>[2]Performance!M23</f>
        <v>N/A</v>
      </c>
      <c r="P21" s="11">
        <f>[2]Performance!N23</f>
        <v>1</v>
      </c>
      <c r="Q21" s="11">
        <f>[2]Performance!O23</f>
        <v>1</v>
      </c>
      <c r="R21" s="11">
        <f>[2]Performance!P23</f>
        <v>0.92</v>
      </c>
    </row>
    <row r="22" spans="1:29" x14ac:dyDescent="0.3">
      <c r="A22" s="6">
        <f>'[2]Student Data'!M24</f>
        <v>341504</v>
      </c>
      <c r="B22" t="str">
        <f>[2]Reporting!C23</f>
        <v>Transition to Production</v>
      </c>
      <c r="C22" s="10" t="str">
        <f>[2]Reporting!F23</f>
        <v>John Paul Tan</v>
      </c>
      <c r="D22" cm="1">
        <f t="array" ref="D22">--(SUM(COUNTIF(B22,{"*nest*","*grad*","*trans*","*1B*","*1C*"}))&gt;0)</f>
        <v>1</v>
      </c>
      <c r="E22" s="18">
        <f>[2]Performance!Q24</f>
        <v>1</v>
      </c>
      <c r="F22" s="18">
        <f>[2]Performance!R24</f>
        <v>1</v>
      </c>
      <c r="G22" s="18">
        <f>[2]Performance!S24</f>
        <v>1</v>
      </c>
      <c r="H22" s="18">
        <f>[2]Performance!T24</f>
        <v>0.8</v>
      </c>
      <c r="I22" s="18">
        <f>[2]Performance!U24</f>
        <v>0.8</v>
      </c>
      <c r="J22" s="11">
        <f>[2]Performance!H24</f>
        <v>1</v>
      </c>
      <c r="K22" s="11">
        <f>[2]Performance!I24</f>
        <v>1</v>
      </c>
      <c r="L22" s="11">
        <f>[2]Performance!J24</f>
        <v>1</v>
      </c>
      <c r="M22" s="11">
        <f>[2]Performance!K24</f>
        <v>1</v>
      </c>
      <c r="N22" s="11" t="str">
        <f>[2]Performance!L24</f>
        <v>N/A</v>
      </c>
      <c r="O22" s="11" t="str">
        <f>[2]Performance!M24</f>
        <v>N/A</v>
      </c>
      <c r="P22" s="11">
        <f>[2]Performance!N24</f>
        <v>1</v>
      </c>
      <c r="Q22" s="11">
        <f>[2]Performance!O24</f>
        <v>1</v>
      </c>
      <c r="R22" s="11">
        <f>[2]Performance!P24</f>
        <v>1</v>
      </c>
    </row>
    <row r="23" spans="1:29" x14ac:dyDescent="0.3">
      <c r="A23" s="6">
        <f>'[2]Student Data'!M25</f>
        <v>341501</v>
      </c>
      <c r="B23" t="str">
        <f>[2]Reporting!C24</f>
        <v>Transition to Production</v>
      </c>
      <c r="C23" s="10" t="str">
        <f>[2]Reporting!F24</f>
        <v>Marc Jefferson Bautista</v>
      </c>
      <c r="D23" cm="1">
        <f t="array" ref="D23">--(SUM(COUNTIF(B23,{"*nest*","*grad*","*trans*","*1B*","*1C*"}))&gt;0)</f>
        <v>1</v>
      </c>
      <c r="E23" s="18">
        <f>[2]Performance!Q25</f>
        <v>1</v>
      </c>
      <c r="F23" s="18">
        <f>[2]Performance!R25</f>
        <v>1</v>
      </c>
      <c r="G23" s="18">
        <f>[2]Performance!S25</f>
        <v>1</v>
      </c>
      <c r="H23" s="18">
        <f>[2]Performance!T25</f>
        <v>1</v>
      </c>
      <c r="I23" s="18">
        <f>[2]Performance!U25</f>
        <v>0.8</v>
      </c>
      <c r="J23" s="11">
        <f>[2]Performance!H25</f>
        <v>1</v>
      </c>
      <c r="K23" s="11">
        <f>[2]Performance!I25</f>
        <v>1</v>
      </c>
      <c r="L23" s="11">
        <f>[2]Performance!J25</f>
        <v>1</v>
      </c>
      <c r="M23" s="11">
        <f>[2]Performance!K25</f>
        <v>1</v>
      </c>
      <c r="N23" s="11" t="str">
        <f>[2]Performance!L25</f>
        <v>N/A</v>
      </c>
      <c r="O23" s="11" t="str">
        <f>[2]Performance!M25</f>
        <v>N/A</v>
      </c>
      <c r="P23" s="11">
        <f>[2]Performance!N25</f>
        <v>1</v>
      </c>
      <c r="Q23" s="11">
        <f>[2]Performance!O25</f>
        <v>1</v>
      </c>
      <c r="R23" s="11">
        <f>[2]Performance!P25</f>
        <v>0.94</v>
      </c>
    </row>
    <row r="24" spans="1:29" x14ac:dyDescent="0.3">
      <c r="A24" s="6">
        <f>'[2]Student Data'!M26</f>
        <v>341522</v>
      </c>
      <c r="B24" t="str">
        <f>[2]Reporting!C25</f>
        <v>Transition to Production</v>
      </c>
      <c r="C24" s="10" t="str">
        <f>[2]Reporting!F25</f>
        <v>Ma Veronica Dela Cruz</v>
      </c>
      <c r="D24" cm="1">
        <f t="array" ref="D24">--(SUM(COUNTIF(B24,{"*nest*","*grad*","*trans*","*1B*","*1C*"}))&gt;0)</f>
        <v>1</v>
      </c>
      <c r="E24" s="18">
        <f>[2]Performance!Q26</f>
        <v>1</v>
      </c>
      <c r="F24" s="18">
        <f>[2]Performance!R26</f>
        <v>1</v>
      </c>
      <c r="G24" s="18">
        <f>[2]Performance!S26</f>
        <v>1</v>
      </c>
      <c r="H24" s="18">
        <f>[2]Performance!T26</f>
        <v>1</v>
      </c>
      <c r="I24" s="18">
        <f>[2]Performance!U26</f>
        <v>1</v>
      </c>
      <c r="J24" s="11">
        <f>[2]Performance!H26</f>
        <v>1</v>
      </c>
      <c r="K24" s="11">
        <f>[2]Performance!I26</f>
        <v>0.88</v>
      </c>
      <c r="L24" s="11">
        <f>[2]Performance!J26</f>
        <v>0.8</v>
      </c>
      <c r="M24" s="11">
        <f>[2]Performance!K26</f>
        <v>1</v>
      </c>
      <c r="N24" s="11" t="str">
        <f>[2]Performance!L26</f>
        <v>N/A</v>
      </c>
      <c r="O24" s="11" t="str">
        <f>[2]Performance!M26</f>
        <v>N/A</v>
      </c>
      <c r="P24" s="11">
        <f>[2]Performance!N26</f>
        <v>1</v>
      </c>
      <c r="Q24" s="11">
        <f>[2]Performance!O26</f>
        <v>1</v>
      </c>
      <c r="R24" s="11">
        <f>[2]Performance!P26</f>
        <v>0.88</v>
      </c>
    </row>
    <row r="25" spans="1:29" x14ac:dyDescent="0.3">
      <c r="A25" s="19">
        <f>'[2]Student Data'!M27</f>
        <v>0</v>
      </c>
      <c r="B25" s="20" t="str">
        <f>[2]Reporting!C26</f>
        <v>Did not Start</v>
      </c>
      <c r="C25" s="21" t="str">
        <f>[2]Reporting!F26</f>
        <v>Marinella Ponce</v>
      </c>
      <c r="D25" s="20" cm="1">
        <f t="array" ref="D25">--(SUM(COUNTIF(B25,{"*nest*","*grad*","*trans*","*1B*","*1C*"}))&gt;0)</f>
        <v>0</v>
      </c>
      <c r="E25" s="22" t="str">
        <f>[2]Performance!Q27</f>
        <v>n/a</v>
      </c>
      <c r="F25" s="22" t="str">
        <f>[2]Performance!R27</f>
        <v>n/a</v>
      </c>
      <c r="G25" s="22" t="str">
        <f>[2]Performance!S27</f>
        <v>n/a</v>
      </c>
      <c r="H25" s="22" t="str">
        <f>[2]Performance!T27</f>
        <v>n/a</v>
      </c>
      <c r="I25" s="22" t="str">
        <f>[2]Performance!U27</f>
        <v>n/a</v>
      </c>
      <c r="J25" s="23" t="str">
        <f>[2]Performance!H27</f>
        <v>n/a</v>
      </c>
      <c r="K25" s="23" t="str">
        <f>[2]Performance!I27</f>
        <v>n/a</v>
      </c>
      <c r="L25" s="23" t="str">
        <f>[2]Performance!J27</f>
        <v>n/a</v>
      </c>
      <c r="M25" s="23" t="str">
        <f>[2]Performance!K27</f>
        <v>n/a</v>
      </c>
      <c r="N25" s="23" t="str">
        <f>[2]Performance!L27</f>
        <v>N/A</v>
      </c>
      <c r="O25" s="23" t="str">
        <f>[2]Performance!M27</f>
        <v>N/A</v>
      </c>
      <c r="P25" s="23" t="str">
        <f>[2]Performance!N27</f>
        <v>n/a</v>
      </c>
      <c r="Q25" s="23" t="str">
        <f>[2]Performance!O27</f>
        <v>n/a</v>
      </c>
      <c r="R25" s="23" t="str">
        <f>[2]Performance!P27</f>
        <v>n/a</v>
      </c>
    </row>
    <row r="26" spans="1:29" x14ac:dyDescent="0.3">
      <c r="A26" s="6">
        <f>'[2]Student Data'!M28</f>
        <v>341483</v>
      </c>
      <c r="B26" t="str">
        <f>[2]Reporting!C27</f>
        <v>Transition to Production</v>
      </c>
      <c r="C26" s="10" t="str">
        <f>[2]Reporting!F27</f>
        <v>Gabriel Nathaniel Yoingco</v>
      </c>
      <c r="D26" cm="1">
        <f t="array" ref="D26">--(SUM(COUNTIF(B26,{"*nest*","*grad*","*trans*","*1B*","*1C*"}))&gt;0)</f>
        <v>1</v>
      </c>
      <c r="E26" s="18">
        <f>[2]Performance!Q28</f>
        <v>1</v>
      </c>
      <c r="F26" s="18">
        <f>[2]Performance!R28</f>
        <v>1</v>
      </c>
      <c r="G26" s="18">
        <f>[2]Performance!S28</f>
        <v>0.94</v>
      </c>
      <c r="H26" s="18">
        <f>[2]Performance!T28</f>
        <v>0.8</v>
      </c>
      <c r="I26" s="18">
        <f>[2]Performance!U28</f>
        <v>0.8</v>
      </c>
      <c r="J26" s="11">
        <f>[2]Performance!H28</f>
        <v>1</v>
      </c>
      <c r="K26" s="11">
        <f>[2]Performance!I28</f>
        <v>1</v>
      </c>
      <c r="L26" s="11">
        <f>[2]Performance!J28</f>
        <v>1</v>
      </c>
      <c r="M26" s="11">
        <f>[2]Performance!K28</f>
        <v>1</v>
      </c>
      <c r="N26" s="11" t="str">
        <f>[2]Performance!L28</f>
        <v>N/A</v>
      </c>
      <c r="O26" s="11" t="str">
        <f>[2]Performance!M28</f>
        <v>N/A</v>
      </c>
      <c r="P26" s="11">
        <f>[2]Performance!N28</f>
        <v>1</v>
      </c>
      <c r="Q26" s="11">
        <f>[2]Performance!O28</f>
        <v>1</v>
      </c>
      <c r="R26" s="11">
        <f>[2]Performance!P28</f>
        <v>1</v>
      </c>
    </row>
    <row r="27" spans="1:29" x14ac:dyDescent="0.3">
      <c r="A27" s="6">
        <f>'[2]Student Data'!M29</f>
        <v>341521</v>
      </c>
      <c r="B27" t="str">
        <f>[2]Reporting!C28</f>
        <v>Transition to Production</v>
      </c>
      <c r="C27" s="10" t="str">
        <f>[2]Reporting!F28</f>
        <v>Valerina Cayong</v>
      </c>
      <c r="D27" cm="1">
        <f t="array" ref="D27">--(SUM(COUNTIF(B27,{"*nest*","*grad*","*trans*","*1B*","*1C*"}))&gt;0)</f>
        <v>1</v>
      </c>
      <c r="E27" s="18">
        <f>[2]Performance!Q29</f>
        <v>1</v>
      </c>
      <c r="F27" s="18">
        <f>[2]Performance!R29</f>
        <v>1</v>
      </c>
      <c r="G27" s="18">
        <f>[2]Performance!S29</f>
        <v>0.94</v>
      </c>
      <c r="H27" s="18">
        <f>[2]Performance!T29</f>
        <v>0.8</v>
      </c>
      <c r="I27" s="18">
        <f>[2]Performance!U29</f>
        <v>1</v>
      </c>
      <c r="J27" s="11">
        <f>[2]Performance!H29</f>
        <v>1</v>
      </c>
      <c r="K27" s="11">
        <f>[2]Performance!I29</f>
        <v>1</v>
      </c>
      <c r="L27" s="11">
        <f>[2]Performance!J29</f>
        <v>1</v>
      </c>
      <c r="M27" s="11">
        <f>[2]Performance!K29</f>
        <v>1</v>
      </c>
      <c r="N27" s="11" t="str">
        <f>[2]Performance!L29</f>
        <v>N/A</v>
      </c>
      <c r="O27" s="11" t="str">
        <f>[2]Performance!M29</f>
        <v>N/A</v>
      </c>
      <c r="P27" s="11">
        <f>[2]Performance!N29</f>
        <v>1</v>
      </c>
      <c r="Q27" s="11">
        <f>[2]Performance!O29</f>
        <v>1</v>
      </c>
      <c r="R27" s="11">
        <f>[2]Performance!P29</f>
        <v>0.88</v>
      </c>
    </row>
    <row r="28" spans="1:29" x14ac:dyDescent="0.3">
      <c r="A28" s="6">
        <f>'[2]Student Data'!M30</f>
        <v>341513</v>
      </c>
      <c r="B28" t="str">
        <f>[2]Reporting!C29</f>
        <v>Transition to Production with SMART plan</v>
      </c>
      <c r="C28" s="10" t="str">
        <f>[2]Reporting!F29</f>
        <v>Shane Enriquez</v>
      </c>
      <c r="D28" cm="1">
        <f t="array" ref="D28">--(SUM(COUNTIF(B28,{"*nest*","*grad*","*trans*","*1B*","*1C*"}))&gt;0)</f>
        <v>1</v>
      </c>
      <c r="E28" s="18">
        <f>[2]Performance!Q30</f>
        <v>1</v>
      </c>
      <c r="F28" s="18">
        <f>[2]Performance!R30</f>
        <v>1</v>
      </c>
      <c r="G28" s="18">
        <f>[2]Performance!S30</f>
        <v>1</v>
      </c>
      <c r="H28" s="18">
        <f>[2]Performance!T30</f>
        <v>0.8</v>
      </c>
      <c r="I28" s="18">
        <f>[2]Performance!U30</f>
        <v>0.91</v>
      </c>
      <c r="J28" s="11">
        <f>[2]Performance!H30</f>
        <v>1</v>
      </c>
      <c r="K28" s="11">
        <f>[2]Performance!I30</f>
        <v>1</v>
      </c>
      <c r="L28" s="11">
        <f>[2]Performance!J30</f>
        <v>1</v>
      </c>
      <c r="M28" s="11">
        <f>[2]Performance!K30</f>
        <v>1</v>
      </c>
      <c r="N28" s="11" t="str">
        <f>[2]Performance!L30</f>
        <v>N/A</v>
      </c>
      <c r="O28" s="11" t="str">
        <f>[2]Performance!M30</f>
        <v>N/A</v>
      </c>
      <c r="P28" s="11">
        <f>[2]Performance!N30</f>
        <v>1</v>
      </c>
      <c r="Q28" s="11">
        <f>[2]Performance!O30</f>
        <v>1</v>
      </c>
      <c r="R28" s="11">
        <f>[2]Performance!P30</f>
        <v>0.94</v>
      </c>
    </row>
    <row r="29" spans="1:29" x14ac:dyDescent="0.3">
      <c r="A29" s="6" t="str">
        <f>'[2]Student Data'!M31</f>
        <v> 341557</v>
      </c>
      <c r="B29" t="str">
        <f>[2]Reporting!C30</f>
        <v>Resigned Tier 1A</v>
      </c>
      <c r="C29" s="10" t="str">
        <f>[2]Reporting!F30</f>
        <v>Roger Fernes</v>
      </c>
      <c r="D29" cm="1">
        <f t="array" ref="D29">--(SUM(COUNTIF(B29,{"*nest*","*grad*","*trans*","*1B*","*1C*"}))&gt;0)</f>
        <v>0</v>
      </c>
      <c r="E29" s="18">
        <f>[2]Performance!Q31</f>
        <v>1</v>
      </c>
      <c r="F29" s="18">
        <f>[2]Performance!R31</f>
        <v>1</v>
      </c>
      <c r="G29" s="18" t="str">
        <f>[2]Performance!S31</f>
        <v>n/a</v>
      </c>
      <c r="H29" s="18">
        <f>[2]Performance!T31</f>
        <v>1</v>
      </c>
      <c r="I29" s="18" t="str">
        <f>[2]Performance!U31</f>
        <v>n/a</v>
      </c>
      <c r="J29" s="11">
        <f>[2]Performance!H31</f>
        <v>1</v>
      </c>
      <c r="K29" s="11">
        <f>[2]Performance!I31</f>
        <v>1</v>
      </c>
      <c r="L29" s="11">
        <f>[2]Performance!J31</f>
        <v>1</v>
      </c>
      <c r="M29" s="11">
        <f>[2]Performance!K31</f>
        <v>1</v>
      </c>
      <c r="N29" s="11" t="str">
        <f>[2]Performance!L31</f>
        <v>N/A</v>
      </c>
      <c r="O29" s="11" t="str">
        <f>[2]Performance!M31</f>
        <v>N/A</v>
      </c>
      <c r="P29" s="11">
        <f>[2]Performance!N31</f>
        <v>1</v>
      </c>
      <c r="Q29" s="11">
        <f>[2]Performance!O31</f>
        <v>1</v>
      </c>
      <c r="R29" s="11">
        <f>[2]Performance!P31</f>
        <v>1</v>
      </c>
    </row>
    <row r="30" spans="1:29" x14ac:dyDescent="0.3">
      <c r="A30" s="6">
        <f>'[2]Student Data'!M32</f>
        <v>341499</v>
      </c>
      <c r="B30" t="str">
        <f>[2]Reporting!C31</f>
        <v>Transition to Production</v>
      </c>
      <c r="C30" s="10" t="str">
        <f>[2]Reporting!F31</f>
        <v>John Russel Odtohan</v>
      </c>
      <c r="D30" cm="1">
        <f t="array" ref="D30">--(SUM(COUNTIF(B30,{"*nest*","*grad*","*trans*","*1B*","*1C*"}))&gt;0)</f>
        <v>1</v>
      </c>
      <c r="E30" s="18">
        <f>[2]Performance!Q32</f>
        <v>1</v>
      </c>
      <c r="F30" s="18">
        <f>[2]Performance!R32</f>
        <v>1</v>
      </c>
      <c r="G30" s="18">
        <f>[2]Performance!S32</f>
        <v>0.86</v>
      </c>
      <c r="H30" s="18">
        <f>[2]Performance!T32</f>
        <v>1</v>
      </c>
      <c r="I30" s="18">
        <f>[2]Performance!U32</f>
        <v>0.83</v>
      </c>
      <c r="J30" s="11">
        <f>[2]Performance!H32</f>
        <v>1</v>
      </c>
      <c r="K30" s="11">
        <f>[2]Performance!I32</f>
        <v>1</v>
      </c>
      <c r="L30" s="11">
        <f>[2]Performance!J32</f>
        <v>1</v>
      </c>
      <c r="M30" s="11">
        <f>[2]Performance!K32</f>
        <v>1</v>
      </c>
      <c r="N30" s="11" t="str">
        <f>[2]Performance!L32</f>
        <v>N/A</v>
      </c>
      <c r="O30" s="11" t="str">
        <f>[2]Performance!M32</f>
        <v>N/A</v>
      </c>
      <c r="P30" s="11">
        <f>[2]Performance!N32</f>
        <v>1</v>
      </c>
      <c r="Q30" s="11">
        <f>[2]Performance!O32</f>
        <v>1</v>
      </c>
      <c r="R30" s="11">
        <f>[2]Performance!P32</f>
        <v>1</v>
      </c>
    </row>
    <row r="31" spans="1:29" x14ac:dyDescent="0.3">
      <c r="A31" s="6">
        <f>'[2]Student Data'!M33</f>
        <v>341021</v>
      </c>
      <c r="B31" t="str">
        <f>[2]Reporting!C32</f>
        <v>Transition to Production</v>
      </c>
      <c r="C31" s="10" t="str">
        <f>[2]Reporting!F32</f>
        <v>Marvelous Dayo</v>
      </c>
      <c r="D31" cm="1">
        <f t="array" ref="D31">--(SUM(COUNTIF(B31,{"*nest*","*grad*","*trans*","*1B*","*1C*"}))&gt;0)</f>
        <v>1</v>
      </c>
      <c r="E31" s="18">
        <f>[2]Performance!Q33</f>
        <v>1</v>
      </c>
      <c r="F31" s="18">
        <f>[2]Performance!R33</f>
        <v>1</v>
      </c>
      <c r="G31" s="18">
        <f>[2]Performance!S33</f>
        <v>1</v>
      </c>
      <c r="H31" s="18">
        <f>[2]Performance!T33</f>
        <v>1</v>
      </c>
      <c r="I31" s="18">
        <f>[2]Performance!U33</f>
        <v>0.89</v>
      </c>
      <c r="J31" s="11">
        <f>[2]Performance!H33</f>
        <v>1</v>
      </c>
      <c r="K31" s="11">
        <f>[2]Performance!I33</f>
        <v>1</v>
      </c>
      <c r="L31" s="11">
        <f>[2]Performance!J33</f>
        <v>1</v>
      </c>
      <c r="M31" s="11">
        <f>[2]Performance!K33</f>
        <v>1</v>
      </c>
      <c r="N31" s="11">
        <f>[2]Performance!L33</f>
        <v>1</v>
      </c>
      <c r="O31" s="11">
        <f>[2]Performance!M33</f>
        <v>1</v>
      </c>
      <c r="P31" s="11">
        <f>[2]Performance!N33</f>
        <v>1</v>
      </c>
      <c r="Q31" s="11">
        <f>[2]Performance!O33</f>
        <v>1</v>
      </c>
      <c r="R31" s="11">
        <f>[2]Performance!P33</f>
        <v>0.94</v>
      </c>
    </row>
    <row r="32" spans="1:29" x14ac:dyDescent="0.3">
      <c r="A32" s="8" t="s">
        <v>64</v>
      </c>
      <c r="B32" s="9" t="s">
        <v>24</v>
      </c>
      <c r="C32" s="9" t="s">
        <v>22</v>
      </c>
      <c r="D32" s="9">
        <f>SUM(D33:D77)</f>
        <v>31</v>
      </c>
      <c r="E32" s="9">
        <f>COUNTIF(E33:E77, "&gt;79%")</f>
        <v>33</v>
      </c>
      <c r="F32" s="9">
        <f t="shared" ref="F32:T32" si="1">COUNTIF(F33:F77, "&gt;79%")</f>
        <v>33</v>
      </c>
      <c r="G32" s="9">
        <f t="shared" si="1"/>
        <v>30</v>
      </c>
      <c r="H32" s="9">
        <f t="shared" si="1"/>
        <v>33</v>
      </c>
      <c r="I32" s="9">
        <f t="shared" si="1"/>
        <v>27</v>
      </c>
      <c r="J32" s="9">
        <f>COUNTIF(J33:J77, "&gt;99.9%")</f>
        <v>11</v>
      </c>
      <c r="K32" s="9">
        <f t="shared" si="1"/>
        <v>33</v>
      </c>
      <c r="L32" s="9">
        <f t="shared" si="1"/>
        <v>33</v>
      </c>
      <c r="M32" s="9">
        <f t="shared" si="1"/>
        <v>11</v>
      </c>
      <c r="N32" s="9">
        <f t="shared" si="1"/>
        <v>11</v>
      </c>
      <c r="O32" s="9">
        <f t="shared" si="1"/>
        <v>11</v>
      </c>
      <c r="P32" s="9">
        <f t="shared" si="1"/>
        <v>32</v>
      </c>
      <c r="Q32" s="9">
        <f t="shared" si="1"/>
        <v>11</v>
      </c>
      <c r="R32" s="9">
        <f t="shared" si="1"/>
        <v>33</v>
      </c>
      <c r="S32" s="9">
        <f t="shared" si="1"/>
        <v>0</v>
      </c>
      <c r="T32" s="9">
        <f t="shared" si="1"/>
        <v>0</v>
      </c>
      <c r="U32" s="9"/>
      <c r="V32" s="9"/>
      <c r="W32" s="9"/>
      <c r="X32" s="9"/>
      <c r="Y32" s="9"/>
      <c r="Z32" s="9"/>
      <c r="AA32" s="9"/>
      <c r="AB32" s="9"/>
      <c r="AC32" s="9"/>
    </row>
    <row r="33" spans="1:18" x14ac:dyDescent="0.3">
      <c r="A33" s="6">
        <f>'[3]Student Data'!M5</f>
        <v>40439</v>
      </c>
      <c r="B33" t="str">
        <f>[3]Reporting!C4</f>
        <v>Transition to Production with SMART plan</v>
      </c>
      <c r="C33" s="10" t="str">
        <f>[3]Reporting!F4</f>
        <v>Julie-Anne (Julie) Brideau</v>
      </c>
      <c r="D33" cm="1">
        <f t="array" ref="D33">--(SUM(COUNTIF(B33,{"*nest*","*grad*","*trans*","*1B*","*1C*"}))&gt;0)</f>
        <v>1</v>
      </c>
      <c r="E33" s="11">
        <f>[3]Performance!Q5</f>
        <v>1</v>
      </c>
      <c r="F33" s="11">
        <f>[3]Performance!R5</f>
        <v>1</v>
      </c>
      <c r="G33" s="11">
        <f>[3]Performance!S5</f>
        <v>0.88</v>
      </c>
      <c r="H33" s="11">
        <f>[3]Performance!T5</f>
        <v>0.8</v>
      </c>
      <c r="I33" s="11">
        <f>[3]Performance!U5</f>
        <v>0.85</v>
      </c>
      <c r="J33" s="11">
        <f>[3]Performance!H5</f>
        <v>1</v>
      </c>
      <c r="K33" s="11">
        <f>[3]Performance!I5</f>
        <v>0.88</v>
      </c>
      <c r="L33" s="11">
        <f>[3]Performance!J5</f>
        <v>1</v>
      </c>
      <c r="M33" s="11">
        <f>[3]Performance!K5</f>
        <v>1</v>
      </c>
      <c r="N33" s="11">
        <f>[3]Performance!L5</f>
        <v>0.89</v>
      </c>
      <c r="O33" s="11">
        <f>[3]Performance!M5</f>
        <v>1</v>
      </c>
      <c r="P33" s="11">
        <f>[3]Performance!N5</f>
        <v>1</v>
      </c>
      <c r="Q33" s="11">
        <f>[3]Performance!O5</f>
        <v>0.91</v>
      </c>
      <c r="R33" s="11">
        <f>[3]Performance!P5</f>
        <v>0.82</v>
      </c>
    </row>
    <row r="34" spans="1:18" x14ac:dyDescent="0.3">
      <c r="A34" s="6">
        <f>'[3]Student Data'!M6</f>
        <v>39295</v>
      </c>
      <c r="B34" t="str">
        <f>[3]Reporting!C5</f>
        <v>Terminated-Nesting 1B</v>
      </c>
      <c r="C34" s="10" t="str">
        <f>[3]Reporting!F5</f>
        <v>Melanie Caissie</v>
      </c>
      <c r="D34" cm="1">
        <f t="array" ref="D34">--(SUM(COUNTIF(B34,{"*nest*","*grad*","*trans*","*1B*","*1C*"}))&gt;0)</f>
        <v>1</v>
      </c>
      <c r="E34" s="11">
        <f>[3]Performance!Q6</f>
        <v>1</v>
      </c>
      <c r="F34" s="11">
        <f>[3]Performance!R6</f>
        <v>1</v>
      </c>
      <c r="G34" s="11">
        <f>[3]Performance!S6</f>
        <v>0.82</v>
      </c>
      <c r="H34" s="11">
        <f>[3]Performance!T6</f>
        <v>0.8</v>
      </c>
      <c r="I34" s="11">
        <f>[3]Performance!U6</f>
        <v>0.9</v>
      </c>
      <c r="J34" s="11">
        <f>[3]Performance!H6</f>
        <v>1</v>
      </c>
      <c r="K34" s="11">
        <f>[3]Performance!I6</f>
        <v>1</v>
      </c>
      <c r="L34" s="11">
        <f>[3]Performance!J6</f>
        <v>0.8</v>
      </c>
      <c r="M34" s="11">
        <f>[3]Performance!K6</f>
        <v>1</v>
      </c>
      <c r="N34" s="11">
        <f>[3]Performance!L6</f>
        <v>0.89</v>
      </c>
      <c r="O34" s="11">
        <f>[3]Performance!M6</f>
        <v>1</v>
      </c>
      <c r="P34" s="11">
        <f>[3]Performance!N6</f>
        <v>1</v>
      </c>
      <c r="Q34" s="11">
        <f>[3]Performance!O6</f>
        <v>0.91</v>
      </c>
      <c r="R34" s="11">
        <f>[3]Performance!P6</f>
        <v>0.84</v>
      </c>
    </row>
    <row r="35" spans="1:18" x14ac:dyDescent="0.3">
      <c r="A35" s="6">
        <f>'[3]Student Data'!M7</f>
        <v>40443</v>
      </c>
      <c r="B35" t="str">
        <f>[3]Reporting!C6</f>
        <v>Terminated-Nesting 3</v>
      </c>
      <c r="C35" s="10" t="str">
        <f>[3]Reporting!F6</f>
        <v>Vanessa Irakoze</v>
      </c>
      <c r="D35" cm="1">
        <f t="array" ref="D35">--(SUM(COUNTIF(B35,{"*nest*","*grad*","*trans*","*1B*","*1C*"}))&gt;0)</f>
        <v>1</v>
      </c>
      <c r="E35" s="11">
        <f>[3]Performance!Q7</f>
        <v>1</v>
      </c>
      <c r="F35" s="11">
        <f>[3]Performance!R7</f>
        <v>1</v>
      </c>
      <c r="G35" s="11">
        <f>[3]Performance!S7</f>
        <v>0.8</v>
      </c>
      <c r="H35" s="11">
        <f>[3]Performance!T7</f>
        <v>0.8</v>
      </c>
      <c r="I35" s="11">
        <f>[3]Performance!U7</f>
        <v>0.83</v>
      </c>
      <c r="J35" s="11">
        <f>[3]Performance!H7</f>
        <v>1</v>
      </c>
      <c r="K35" s="11">
        <f>[3]Performance!I7</f>
        <v>1</v>
      </c>
      <c r="L35" s="11">
        <f>[3]Performance!J7</f>
        <v>1</v>
      </c>
      <c r="M35" s="11">
        <f>[3]Performance!K7</f>
        <v>1</v>
      </c>
      <c r="N35" s="11">
        <f>[3]Performance!L7</f>
        <v>1</v>
      </c>
      <c r="O35" s="11">
        <f>[3]Performance!M7</f>
        <v>1</v>
      </c>
      <c r="P35" s="11">
        <f>[3]Performance!N7</f>
        <v>1</v>
      </c>
      <c r="Q35" s="11">
        <f>[3]Performance!O7</f>
        <v>1</v>
      </c>
      <c r="R35" s="11">
        <f>[3]Performance!P7</f>
        <v>0.82</v>
      </c>
    </row>
    <row r="36" spans="1:18" x14ac:dyDescent="0.3">
      <c r="A36" s="6">
        <f>'[3]Student Data'!M8</f>
        <v>40365</v>
      </c>
      <c r="B36" t="str">
        <f>[3]Reporting!C7</f>
        <v>Terminated-Nesting 3</v>
      </c>
      <c r="C36" s="10" t="str">
        <f>[3]Reporting!F7</f>
        <v>Clara-Delicia Itangamahoro</v>
      </c>
      <c r="D36" cm="1">
        <f t="array" ref="D36">--(SUM(COUNTIF(B36,{"*nest*","*grad*","*trans*","*1B*","*1C*"}))&gt;0)</f>
        <v>1</v>
      </c>
      <c r="E36" s="11">
        <f>[3]Performance!Q8</f>
        <v>1</v>
      </c>
      <c r="F36" s="11">
        <f>[3]Performance!R8</f>
        <v>1</v>
      </c>
      <c r="G36" s="11">
        <f>[3]Performance!S8</f>
        <v>0.94</v>
      </c>
      <c r="H36" s="11">
        <f>[3]Performance!T8</f>
        <v>0.8</v>
      </c>
      <c r="I36" s="11">
        <f>[3]Performance!U8</f>
        <v>0.9</v>
      </c>
      <c r="J36" s="11">
        <f>[3]Performance!H8</f>
        <v>1</v>
      </c>
      <c r="K36" s="11">
        <f>[3]Performance!I8</f>
        <v>0.88</v>
      </c>
      <c r="L36" s="11">
        <f>[3]Performance!J8</f>
        <v>1</v>
      </c>
      <c r="M36" s="11">
        <f>[3]Performance!K8</f>
        <v>1</v>
      </c>
      <c r="N36" s="11">
        <f>[3]Performance!L8</f>
        <v>0.89</v>
      </c>
      <c r="O36" s="11">
        <f>[3]Performance!M8</f>
        <v>1</v>
      </c>
      <c r="P36" s="11">
        <f>[3]Performance!N8</f>
        <v>1</v>
      </c>
      <c r="Q36" s="11">
        <f>[3]Performance!O8</f>
        <v>0.82</v>
      </c>
      <c r="R36" s="11">
        <f>[3]Performance!P8</f>
        <v>1</v>
      </c>
    </row>
    <row r="37" spans="1:18" x14ac:dyDescent="0.3">
      <c r="A37" s="6">
        <f>'[3]Student Data'!M9</f>
        <v>40438</v>
      </c>
      <c r="B37" t="str">
        <f>[3]Reporting!C8</f>
        <v>Terminated-Nesting 3</v>
      </c>
      <c r="C37" s="10" t="str">
        <f>[3]Reporting!F8</f>
        <v>Marie Carmel Fedorah Joseph</v>
      </c>
      <c r="D37" cm="1">
        <f t="array" ref="D37">--(SUM(COUNTIF(B37,{"*nest*","*grad*","*trans*","*1B*","*1C*"}))&gt;0)</f>
        <v>1</v>
      </c>
      <c r="E37" s="11">
        <f>[3]Performance!Q9</f>
        <v>1</v>
      </c>
      <c r="F37" s="11">
        <f>[3]Performance!R9</f>
        <v>1</v>
      </c>
      <c r="G37" s="11">
        <f>[3]Performance!S9</f>
        <v>0.8</v>
      </c>
      <c r="H37" s="11">
        <f>[3]Performance!T9</f>
        <v>1</v>
      </c>
      <c r="I37" s="11">
        <f>[3]Performance!U9</f>
        <v>1</v>
      </c>
      <c r="J37" s="11">
        <f>[3]Performance!H9</f>
        <v>1</v>
      </c>
      <c r="K37" s="11">
        <f>[3]Performance!I9</f>
        <v>1</v>
      </c>
      <c r="L37" s="11">
        <f>[3]Performance!J9</f>
        <v>1</v>
      </c>
      <c r="M37" s="11">
        <f>[3]Performance!K9</f>
        <v>1</v>
      </c>
      <c r="N37" s="11">
        <f>[3]Performance!L9</f>
        <v>1</v>
      </c>
      <c r="O37" s="11">
        <f>[3]Performance!M9</f>
        <v>1</v>
      </c>
      <c r="P37" s="11">
        <f>[3]Performance!N9</f>
        <v>1</v>
      </c>
      <c r="Q37" s="11">
        <f>[3]Performance!O9</f>
        <v>1</v>
      </c>
      <c r="R37" s="11">
        <f>[3]Performance!P9</f>
        <v>0.94</v>
      </c>
    </row>
    <row r="38" spans="1:18" x14ac:dyDescent="0.3">
      <c r="A38" s="6">
        <f>'[3]Student Data'!M10</f>
        <v>40441</v>
      </c>
      <c r="B38" t="str">
        <f>[3]Reporting!C9</f>
        <v>Did not Start</v>
      </c>
      <c r="C38" s="10" t="str">
        <f>[3]Reporting!F9</f>
        <v>Loic Kamgang Foyet</v>
      </c>
      <c r="D38" cm="1">
        <f t="array" ref="D38">--(SUM(COUNTIF(B38,{"*nest*","*grad*","*trans*","*1B*","*1C*"}))&gt;0)</f>
        <v>0</v>
      </c>
      <c r="E38" s="11">
        <f>[3]Performance!Q10</f>
        <v>0</v>
      </c>
      <c r="F38" s="11">
        <f>[3]Performance!R10</f>
        <v>0</v>
      </c>
      <c r="G38" s="11">
        <f>[3]Performance!S10</f>
        <v>0</v>
      </c>
      <c r="H38" s="11">
        <f>[3]Performance!T10</f>
        <v>0</v>
      </c>
      <c r="I38" s="11">
        <f>[3]Performance!U10</f>
        <v>0</v>
      </c>
      <c r="J38" s="11">
        <f>[3]Performance!H10</f>
        <v>0</v>
      </c>
      <c r="K38" s="11">
        <f>[3]Performance!I10</f>
        <v>0</v>
      </c>
      <c r="L38" s="11">
        <f>[3]Performance!J10</f>
        <v>0</v>
      </c>
      <c r="M38" s="11">
        <f>[3]Performance!K10</f>
        <v>0</v>
      </c>
      <c r="N38" s="11">
        <f>[3]Performance!L10</f>
        <v>0</v>
      </c>
      <c r="O38" s="11">
        <f>[3]Performance!M10</f>
        <v>0</v>
      </c>
      <c r="P38" s="11">
        <f>[3]Performance!N10</f>
        <v>0</v>
      </c>
      <c r="Q38" s="11">
        <f>[3]Performance!O10</f>
        <v>0</v>
      </c>
      <c r="R38" s="11">
        <f>[3]Performance!P10</f>
        <v>0</v>
      </c>
    </row>
    <row r="39" spans="1:18" x14ac:dyDescent="0.3">
      <c r="A39" s="6">
        <f>'[3]Student Data'!M11</f>
        <v>40444</v>
      </c>
      <c r="B39" t="str">
        <f>[3]Reporting!C10</f>
        <v>Resigned-Nesting 1B</v>
      </c>
      <c r="C39" s="10" t="str">
        <f>[3]Reporting!F10</f>
        <v>Dakiel Latreille</v>
      </c>
      <c r="D39" cm="1">
        <f t="array" ref="D39">--(SUM(COUNTIF(B39,{"*nest*","*grad*","*trans*","*1B*","*1C*"}))&gt;0)</f>
        <v>1</v>
      </c>
      <c r="E39" s="11">
        <f>[3]Performance!Q11</f>
        <v>1</v>
      </c>
      <c r="F39" s="11">
        <f>[3]Performance!R11</f>
        <v>1</v>
      </c>
      <c r="G39" s="11">
        <f>[3]Performance!S11</f>
        <v>0.82</v>
      </c>
      <c r="H39" s="11">
        <f>[3]Performance!T11</f>
        <v>1</v>
      </c>
      <c r="I39" s="11">
        <f>[3]Performance!U11</f>
        <v>0.9</v>
      </c>
      <c r="J39" s="11">
        <f>[3]Performance!H11</f>
        <v>1</v>
      </c>
      <c r="K39" s="11">
        <f>[3]Performance!I11</f>
        <v>1</v>
      </c>
      <c r="L39" s="11">
        <f>[3]Performance!J11</f>
        <v>1</v>
      </c>
      <c r="M39" s="11">
        <f>[3]Performance!K11</f>
        <v>1</v>
      </c>
      <c r="N39" s="11">
        <f>[3]Performance!L11</f>
        <v>0.89</v>
      </c>
      <c r="O39" s="11">
        <f>[3]Performance!M11</f>
        <v>1</v>
      </c>
      <c r="P39" s="11">
        <f>[3]Performance!N11</f>
        <v>1</v>
      </c>
      <c r="Q39" s="11">
        <f>[3]Performance!O11</f>
        <v>0.82</v>
      </c>
      <c r="R39" s="11">
        <f>[3]Performance!P11</f>
        <v>1</v>
      </c>
    </row>
    <row r="40" spans="1:18" x14ac:dyDescent="0.3">
      <c r="A40" s="6">
        <f>'[3]Student Data'!M12</f>
        <v>40436</v>
      </c>
      <c r="B40" t="str">
        <f>[3]Reporting!C11</f>
        <v>Resigned-Nesting 1B</v>
      </c>
      <c r="C40" s="10" t="str">
        <f>[3]Reporting!F11</f>
        <v>Jeremy (Jay) Lavoie</v>
      </c>
      <c r="D40" cm="1">
        <f t="array" ref="D40">--(SUM(COUNTIF(B40,{"*nest*","*grad*","*trans*","*1B*","*1C*"}))&gt;0)</f>
        <v>1</v>
      </c>
      <c r="E40" s="11">
        <f>[3]Performance!Q12</f>
        <v>1</v>
      </c>
      <c r="F40" s="11">
        <f>[3]Performance!R12</f>
        <v>1</v>
      </c>
      <c r="G40" s="11">
        <f>[3]Performance!S12</f>
        <v>0</v>
      </c>
      <c r="H40" s="11">
        <f>[3]Performance!T12</f>
        <v>0.8</v>
      </c>
      <c r="I40" s="11">
        <f>[3]Performance!U12</f>
        <v>0.87</v>
      </c>
      <c r="J40" s="11">
        <f>[3]Performance!H12</f>
        <v>1</v>
      </c>
      <c r="K40" s="11">
        <f>[3]Performance!I12</f>
        <v>0.88</v>
      </c>
      <c r="L40" s="11">
        <f>[3]Performance!J12</f>
        <v>1</v>
      </c>
      <c r="M40" s="11">
        <f>[3]Performance!K12</f>
        <v>1</v>
      </c>
      <c r="N40" s="11">
        <f>[3]Performance!L12</f>
        <v>1</v>
      </c>
      <c r="O40" s="11">
        <f>[3]Performance!M12</f>
        <v>1</v>
      </c>
      <c r="P40" s="11">
        <f>[3]Performance!N12</f>
        <v>1</v>
      </c>
      <c r="Q40" s="11">
        <f>[3]Performance!O12</f>
        <v>0.82</v>
      </c>
      <c r="R40" s="11">
        <f>[3]Performance!P12</f>
        <v>0.94</v>
      </c>
    </row>
    <row r="41" spans="1:18" x14ac:dyDescent="0.3">
      <c r="A41" s="6">
        <f>'[3]Student Data'!M13</f>
        <v>40437</v>
      </c>
      <c r="B41" t="str">
        <f>[3]Reporting!C12</f>
        <v>Terminated Tier 1B</v>
      </c>
      <c r="C41" s="10" t="str">
        <f>[3]Reporting!F12</f>
        <v>Danika Legacy-Aubé</v>
      </c>
      <c r="D41" cm="1">
        <f t="array" ref="D41">--(SUM(COUNTIF(B41,{"*nest*","*grad*","*trans*","*1B*","*1C*"}))&gt;0)</f>
        <v>1</v>
      </c>
      <c r="E41" s="11">
        <f>[3]Performance!Q13</f>
        <v>0.8</v>
      </c>
      <c r="F41" s="11">
        <f>[3]Performance!R13</f>
        <v>1</v>
      </c>
      <c r="G41" s="11">
        <f>[3]Performance!S13</f>
        <v>0</v>
      </c>
      <c r="H41" s="11">
        <f>[3]Performance!T13</f>
        <v>1</v>
      </c>
      <c r="I41" s="11">
        <f>[3]Performance!U13</f>
        <v>0</v>
      </c>
      <c r="J41" s="11">
        <f>[3]Performance!H13</f>
        <v>1</v>
      </c>
      <c r="K41" s="11">
        <f>[3]Performance!I13</f>
        <v>1</v>
      </c>
      <c r="L41" s="11">
        <f>[3]Performance!J13</f>
        <v>1</v>
      </c>
      <c r="M41" s="11">
        <f>[3]Performance!K13</f>
        <v>1</v>
      </c>
      <c r="N41" s="11">
        <f>[3]Performance!L13</f>
        <v>1</v>
      </c>
      <c r="O41" s="11">
        <f>[3]Performance!M13</f>
        <v>1</v>
      </c>
      <c r="P41" s="11">
        <f>[3]Performance!N13</f>
        <v>1</v>
      </c>
      <c r="Q41" s="11">
        <f>[3]Performance!O13</f>
        <v>0.82</v>
      </c>
      <c r="R41" s="11">
        <f>[3]Performance!P13</f>
        <v>0.88</v>
      </c>
    </row>
    <row r="42" spans="1:18" x14ac:dyDescent="0.3">
      <c r="A42" s="6">
        <f>'[3]Student Data'!M14</f>
        <v>14313</v>
      </c>
      <c r="B42" t="str">
        <f>[3]Reporting!C13</f>
        <v>Transition to Production</v>
      </c>
      <c r="C42" s="10" t="str">
        <f>[3]Reporting!F13</f>
        <v>Jennifer (Jenn) MacLean</v>
      </c>
      <c r="D42" cm="1">
        <f t="array" ref="D42">--(SUM(COUNTIF(B42,{"*nest*","*grad*","*trans*","*1B*","*1C*"}))&gt;0)</f>
        <v>1</v>
      </c>
      <c r="E42" s="11">
        <f>[3]Performance!Q14</f>
        <v>1</v>
      </c>
      <c r="F42" s="11">
        <f>[3]Performance!R14</f>
        <v>1</v>
      </c>
      <c r="G42" s="11">
        <f>[3]Performance!S14</f>
        <v>0.84</v>
      </c>
      <c r="H42" s="11">
        <f>[3]Performance!T14</f>
        <v>1</v>
      </c>
      <c r="I42" s="11">
        <f>[3]Performance!U14</f>
        <v>0.93</v>
      </c>
      <c r="J42" s="11">
        <f>[3]Performance!H14</f>
        <v>1</v>
      </c>
      <c r="K42" s="11">
        <f>[3]Performance!I14</f>
        <v>1</v>
      </c>
      <c r="L42" s="11">
        <f>[3]Performance!J14</f>
        <v>1</v>
      </c>
      <c r="M42" s="11">
        <f>[3]Performance!K14</f>
        <v>1</v>
      </c>
      <c r="N42" s="11">
        <f>[3]Performance!L14</f>
        <v>1</v>
      </c>
      <c r="O42" s="11">
        <f>[3]Performance!M14</f>
        <v>1</v>
      </c>
      <c r="P42" s="11">
        <f>[3]Performance!N14</f>
        <v>1</v>
      </c>
      <c r="Q42" s="11">
        <f>[3]Performance!O14</f>
        <v>0.91</v>
      </c>
      <c r="R42" s="11">
        <f>[3]Performance!P14</f>
        <v>0.88</v>
      </c>
    </row>
    <row r="43" spans="1:18" x14ac:dyDescent="0.3">
      <c r="A43" s="6">
        <f>'[3]Student Data'!M15</f>
        <v>40440</v>
      </c>
      <c r="B43" t="str">
        <f>[3]Reporting!C14</f>
        <v>Transition to Production</v>
      </c>
      <c r="C43" s="10" t="str">
        <f>[3]Reporting!F14</f>
        <v>Diane Matanye Sofo</v>
      </c>
      <c r="D43" cm="1">
        <f t="array" ref="D43">--(SUM(COUNTIF(B43,{"*nest*","*grad*","*trans*","*1B*","*1C*"}))&gt;0)</f>
        <v>1</v>
      </c>
      <c r="E43" s="11">
        <f>[3]Performance!Q15</f>
        <v>1</v>
      </c>
      <c r="F43" s="11">
        <f>[3]Performance!R15</f>
        <v>1</v>
      </c>
      <c r="G43" s="11">
        <f>[3]Performance!S15</f>
        <v>0.8</v>
      </c>
      <c r="H43" s="11">
        <f>[3]Performance!T15</f>
        <v>1</v>
      </c>
      <c r="I43" s="11">
        <f>[3]Performance!U15</f>
        <v>0.92</v>
      </c>
      <c r="J43" s="11">
        <f>[3]Performance!H15</f>
        <v>1</v>
      </c>
      <c r="K43" s="11">
        <f>[3]Performance!I15</f>
        <v>0.88</v>
      </c>
      <c r="L43" s="11">
        <f>[3]Performance!J15</f>
        <v>1</v>
      </c>
      <c r="M43" s="11">
        <f>[3]Performance!K15</f>
        <v>1</v>
      </c>
      <c r="N43" s="11">
        <f>[3]Performance!L15</f>
        <v>1</v>
      </c>
      <c r="O43" s="11">
        <f>[3]Performance!M15</f>
        <v>1</v>
      </c>
      <c r="P43" s="11">
        <f>[3]Performance!N15</f>
        <v>1</v>
      </c>
      <c r="Q43" s="11">
        <f>[3]Performance!O15</f>
        <v>1</v>
      </c>
      <c r="R43" s="11">
        <f>[3]Performance!P15</f>
        <v>0.88</v>
      </c>
    </row>
    <row r="44" spans="1:18" x14ac:dyDescent="0.3">
      <c r="A44" s="6">
        <f>'[3]Student Data'!M16</f>
        <v>37260</v>
      </c>
      <c r="B44" t="str">
        <f>[3]Reporting!C15</f>
        <v>Transition to Production</v>
      </c>
      <c r="C44" s="10" t="str">
        <f>[3]Reporting!F15</f>
        <v>Sarah Matondo</v>
      </c>
      <c r="D44" cm="1">
        <f t="array" ref="D44">--(SUM(COUNTIF(B44,{"*nest*","*grad*","*trans*","*1B*","*1C*"}))&gt;0)</f>
        <v>1</v>
      </c>
      <c r="E44" s="11">
        <f>[3]Performance!Q16</f>
        <v>1</v>
      </c>
      <c r="F44" s="11">
        <f>[3]Performance!R16</f>
        <v>1</v>
      </c>
      <c r="G44" s="11">
        <f>[3]Performance!S16</f>
        <v>0.9</v>
      </c>
      <c r="H44" s="11">
        <f>[3]Performance!T16</f>
        <v>0.8</v>
      </c>
      <c r="I44" s="11">
        <f>[3]Performance!U16</f>
        <v>0</v>
      </c>
      <c r="J44" s="11">
        <f>[3]Performance!H16</f>
        <v>1</v>
      </c>
      <c r="K44" s="11">
        <f>[3]Performance!I16</f>
        <v>0.88</v>
      </c>
      <c r="L44" s="11">
        <f>[3]Performance!J16</f>
        <v>0.8</v>
      </c>
      <c r="M44" s="11">
        <f>[3]Performance!K16</f>
        <v>1</v>
      </c>
      <c r="N44" s="11">
        <f>[3]Performance!L16</f>
        <v>1</v>
      </c>
      <c r="O44" s="11">
        <f>[3]Performance!M16</f>
        <v>1</v>
      </c>
      <c r="P44" s="11">
        <f>[3]Performance!N16</f>
        <v>1</v>
      </c>
      <c r="Q44" s="11">
        <f>[3]Performance!O16</f>
        <v>0.82</v>
      </c>
      <c r="R44" s="11">
        <f>[3]Performance!P16</f>
        <v>0.97</v>
      </c>
    </row>
    <row r="45" spans="1:18" x14ac:dyDescent="0.3">
      <c r="A45" s="6">
        <f>'[3]Student Data'!M17</f>
        <v>40366</v>
      </c>
      <c r="B45" t="str">
        <f>[3]Reporting!C16</f>
        <v>Terminated Tier 1A</v>
      </c>
      <c r="C45" s="10" t="str">
        <f>[3]Reporting!F16</f>
        <v>Francis Muhwezi</v>
      </c>
      <c r="D45" cm="1">
        <f t="array" ref="D45">--(SUM(COUNTIF(B45,{"*nest*","*grad*","*trans*","*1B*","*1C*"}))&gt;0)</f>
        <v>0</v>
      </c>
      <c r="E45" s="11">
        <f>[3]Performance!Q17</f>
        <v>0</v>
      </c>
      <c r="F45" s="11">
        <f>[3]Performance!R17</f>
        <v>0</v>
      </c>
      <c r="G45" s="11">
        <f>[3]Performance!S17</f>
        <v>0</v>
      </c>
      <c r="H45" s="11">
        <f>[3]Performance!T17</f>
        <v>0</v>
      </c>
      <c r="I45" s="11">
        <f>[3]Performance!U17</f>
        <v>0</v>
      </c>
      <c r="J45" s="11">
        <f>[3]Performance!H17</f>
        <v>0</v>
      </c>
      <c r="K45" s="11">
        <f>[3]Performance!I17</f>
        <v>0</v>
      </c>
      <c r="L45" s="11">
        <f>[3]Performance!J17</f>
        <v>0</v>
      </c>
      <c r="M45" s="11">
        <f>[3]Performance!K17</f>
        <v>0</v>
      </c>
      <c r="N45" s="11">
        <f>[3]Performance!L17</f>
        <v>0</v>
      </c>
      <c r="O45" s="11">
        <f>[3]Performance!M17</f>
        <v>0</v>
      </c>
      <c r="P45" s="11">
        <f>[3]Performance!N17</f>
        <v>0</v>
      </c>
      <c r="Q45" s="11">
        <f>[3]Performance!O17</f>
        <v>0</v>
      </c>
      <c r="R45" s="11">
        <f>[3]Performance!P17</f>
        <v>0</v>
      </c>
    </row>
    <row r="46" spans="1:18" x14ac:dyDescent="0.3">
      <c r="A46" s="6">
        <f>'[3]Student Data'!M18</f>
        <v>40372</v>
      </c>
      <c r="B46" t="str">
        <f>[3]Reporting!C17</f>
        <v>Moved/Joining Alternate Class/Program</v>
      </c>
      <c r="C46" s="10" t="str">
        <f>[3]Reporting!F17</f>
        <v>Cedric Niyotwagira</v>
      </c>
      <c r="D46" cm="1">
        <f t="array" ref="D46">--(SUM(COUNTIF(B46,{"*nest*","*grad*","*trans*","*1B*","*1C*"}))&gt;0)</f>
        <v>0</v>
      </c>
      <c r="E46" s="11">
        <f>[3]Performance!Q18</f>
        <v>0</v>
      </c>
      <c r="F46" s="11">
        <f>[3]Performance!R18</f>
        <v>0</v>
      </c>
      <c r="G46" s="11">
        <f>[3]Performance!S18</f>
        <v>0</v>
      </c>
      <c r="H46" s="11">
        <f>[3]Performance!T18</f>
        <v>0</v>
      </c>
      <c r="I46" s="11">
        <f>[3]Performance!U18</f>
        <v>0</v>
      </c>
      <c r="J46" s="11">
        <f>[3]Performance!H18</f>
        <v>0</v>
      </c>
      <c r="K46" s="11">
        <f>[3]Performance!I18</f>
        <v>0</v>
      </c>
      <c r="L46" s="11">
        <f>[3]Performance!J18</f>
        <v>0</v>
      </c>
      <c r="M46" s="11">
        <f>[3]Performance!K18</f>
        <v>0</v>
      </c>
      <c r="N46" s="11">
        <f>[3]Performance!L18</f>
        <v>0</v>
      </c>
      <c r="O46" s="11">
        <f>[3]Performance!M18</f>
        <v>0</v>
      </c>
      <c r="P46" s="11">
        <f>[3]Performance!N18</f>
        <v>0</v>
      </c>
      <c r="Q46" s="11">
        <f>[3]Performance!O18</f>
        <v>0</v>
      </c>
      <c r="R46" s="11">
        <f>[3]Performance!P18</f>
        <v>0</v>
      </c>
    </row>
    <row r="47" spans="1:18" x14ac:dyDescent="0.3">
      <c r="A47" s="6">
        <f>'[3]Student Data'!M19</f>
        <v>40306</v>
      </c>
      <c r="B47" t="str">
        <f>[3]Reporting!C18</f>
        <v>Did not Start</v>
      </c>
      <c r="C47" s="10" t="str">
        <f>[3]Reporting!F18</f>
        <v>Thelma Raymond</v>
      </c>
      <c r="D47" cm="1">
        <f t="array" ref="D47">--(SUM(COUNTIF(B47,{"*nest*","*grad*","*trans*","*1B*","*1C*"}))&gt;0)</f>
        <v>0</v>
      </c>
      <c r="E47" s="11">
        <f>[3]Performance!Q19</f>
        <v>0</v>
      </c>
      <c r="F47" s="11">
        <f>[3]Performance!R19</f>
        <v>0</v>
      </c>
      <c r="G47" s="11">
        <f>[3]Performance!S19</f>
        <v>0</v>
      </c>
      <c r="H47" s="11">
        <f>[3]Performance!T19</f>
        <v>0</v>
      </c>
      <c r="I47" s="11">
        <f>[3]Performance!U19</f>
        <v>0</v>
      </c>
      <c r="J47" s="11">
        <f>[3]Performance!H19</f>
        <v>0</v>
      </c>
      <c r="K47" s="11">
        <f>[3]Performance!I19</f>
        <v>0</v>
      </c>
      <c r="L47" s="11">
        <f>[3]Performance!J19</f>
        <v>0</v>
      </c>
      <c r="M47" s="11">
        <f>[3]Performance!K19</f>
        <v>0</v>
      </c>
      <c r="N47" s="11">
        <f>[3]Performance!L19</f>
        <v>0</v>
      </c>
      <c r="O47" s="11">
        <f>[3]Performance!M19</f>
        <v>0</v>
      </c>
      <c r="P47" s="11">
        <f>[3]Performance!N19</f>
        <v>0</v>
      </c>
      <c r="Q47" s="11">
        <f>[3]Performance!O19</f>
        <v>0</v>
      </c>
      <c r="R47" s="11">
        <f>[3]Performance!P19</f>
        <v>0</v>
      </c>
    </row>
    <row r="48" spans="1:18" x14ac:dyDescent="0.3">
      <c r="A48" s="6">
        <f>'[3]Student Data'!M20</f>
        <v>40342</v>
      </c>
      <c r="B48" t="str">
        <f>[3]Reporting!C19</f>
        <v>Did not Start</v>
      </c>
      <c r="C48" s="10" t="str">
        <f>[3]Reporting!F19</f>
        <v>Kelly Prince Rwanyange</v>
      </c>
      <c r="D48" cm="1">
        <f t="array" ref="D48">--(SUM(COUNTIF(B48,{"*nest*","*grad*","*trans*","*1B*","*1C*"}))&gt;0)</f>
        <v>0</v>
      </c>
      <c r="E48" s="11">
        <f>[3]Performance!Q20</f>
        <v>0</v>
      </c>
      <c r="F48" s="11">
        <f>[3]Performance!R20</f>
        <v>0</v>
      </c>
      <c r="G48" s="11">
        <f>[3]Performance!S20</f>
        <v>0</v>
      </c>
      <c r="H48" s="11">
        <f>[3]Performance!T20</f>
        <v>0</v>
      </c>
      <c r="I48" s="11">
        <f>[3]Performance!U20</f>
        <v>0</v>
      </c>
      <c r="J48" s="11">
        <f>[3]Performance!H20</f>
        <v>0</v>
      </c>
      <c r="K48" s="11">
        <f>[3]Performance!I20</f>
        <v>0</v>
      </c>
      <c r="L48" s="11">
        <f>[3]Performance!J20</f>
        <v>0</v>
      </c>
      <c r="M48" s="11">
        <f>[3]Performance!K20</f>
        <v>0</v>
      </c>
      <c r="N48" s="11">
        <f>[3]Performance!L20</f>
        <v>0</v>
      </c>
      <c r="O48" s="11">
        <f>[3]Performance!M20</f>
        <v>0</v>
      </c>
      <c r="P48" s="11">
        <f>[3]Performance!N20</f>
        <v>0</v>
      </c>
      <c r="Q48" s="11">
        <f>[3]Performance!O20</f>
        <v>0</v>
      </c>
      <c r="R48" s="11">
        <f>[3]Performance!P20</f>
        <v>0</v>
      </c>
    </row>
    <row r="49" spans="1:18" x14ac:dyDescent="0.3">
      <c r="A49" s="6">
        <f>'[3]Student Data'!M21</f>
        <v>40441</v>
      </c>
      <c r="B49" t="str">
        <f>[3]Reporting!C20</f>
        <v>Transition to Production with SMART plan</v>
      </c>
      <c r="C49" s="10" t="str">
        <f>[3]Reporting!F20</f>
        <v>Jian Daniel  Alajas</v>
      </c>
      <c r="D49" cm="1">
        <f t="array" ref="D49">--(SUM(COUNTIF(B49,{"*nest*","*grad*","*trans*","*1B*","*1C*"}))&gt;0)</f>
        <v>1</v>
      </c>
      <c r="E49" s="11">
        <f>[3]Performance!Q21</f>
        <v>1</v>
      </c>
      <c r="F49" s="11">
        <f>[3]Performance!R21</f>
        <v>1</v>
      </c>
      <c r="G49" s="11">
        <f>[3]Performance!S21</f>
        <v>0.94</v>
      </c>
      <c r="H49" s="11">
        <f>[3]Performance!T21</f>
        <v>1</v>
      </c>
      <c r="I49" s="11">
        <f>[3]Performance!U21</f>
        <v>1</v>
      </c>
      <c r="J49" s="11" t="str">
        <f>[3]Performance!H21</f>
        <v> </v>
      </c>
      <c r="K49" s="11">
        <f>[3]Performance!I21</f>
        <v>1</v>
      </c>
      <c r="L49" s="11">
        <f>[3]Performance!J21</f>
        <v>1</v>
      </c>
      <c r="M49" s="11" t="str">
        <f>[3]Performance!K21</f>
        <v> </v>
      </c>
      <c r="N49" s="11" t="str">
        <f>[3]Performance!L21</f>
        <v> </v>
      </c>
      <c r="O49" s="11" t="str">
        <f>[3]Performance!M21</f>
        <v> </v>
      </c>
      <c r="P49" s="11">
        <f>[3]Performance!N21</f>
        <v>1</v>
      </c>
      <c r="Q49" s="11" t="str">
        <f>[3]Performance!O21</f>
        <v> </v>
      </c>
      <c r="R49" s="11">
        <f>[3]Performance!P21</f>
        <v>0.94</v>
      </c>
    </row>
    <row r="50" spans="1:18" x14ac:dyDescent="0.3">
      <c r="A50" s="6">
        <f>'[3]Student Data'!M22</f>
        <v>40442</v>
      </c>
      <c r="B50" t="str">
        <f>[3]Reporting!C21</f>
        <v>Terminated-Nesting 3</v>
      </c>
      <c r="C50" s="10" t="str">
        <f>[3]Reporting!F21</f>
        <v>Lyca Bacad</v>
      </c>
      <c r="D50" cm="1">
        <f t="array" ref="D50">--(SUM(COUNTIF(B50,{"*nest*","*grad*","*trans*","*1B*","*1C*"}))&gt;0)</f>
        <v>1</v>
      </c>
      <c r="E50" s="11">
        <f>[3]Performance!Q22</f>
        <v>1</v>
      </c>
      <c r="F50" s="11">
        <f>[3]Performance!R22</f>
        <v>1</v>
      </c>
      <c r="G50" s="11">
        <f>[3]Performance!S22</f>
        <v>0.94</v>
      </c>
      <c r="H50" s="11">
        <f>[3]Performance!T22</f>
        <v>1</v>
      </c>
      <c r="I50" s="11">
        <f>[3]Performance!U22</f>
        <v>0.98</v>
      </c>
      <c r="J50" s="11" t="str">
        <f>[3]Performance!H22</f>
        <v> </v>
      </c>
      <c r="K50" s="11">
        <f>[3]Performance!I22</f>
        <v>0.88</v>
      </c>
      <c r="L50" s="11">
        <f>[3]Performance!J22</f>
        <v>0.8</v>
      </c>
      <c r="M50" s="11" t="str">
        <f>[3]Performance!K22</f>
        <v> </v>
      </c>
      <c r="N50" s="11" t="str">
        <f>[3]Performance!L22</f>
        <v> </v>
      </c>
      <c r="O50" s="11" t="str">
        <f>[3]Performance!M22</f>
        <v> </v>
      </c>
      <c r="P50" s="11">
        <f>[3]Performance!N22</f>
        <v>1</v>
      </c>
      <c r="Q50" s="11" t="str">
        <f>[3]Performance!O22</f>
        <v> </v>
      </c>
      <c r="R50" s="11">
        <f>[3]Performance!P22</f>
        <v>0.88</v>
      </c>
    </row>
    <row r="51" spans="1:18" x14ac:dyDescent="0.3">
      <c r="A51" s="6">
        <f>'[3]Student Data'!M23</f>
        <v>342014</v>
      </c>
      <c r="B51" t="str">
        <f>[3]Reporting!C22</f>
        <v>Terminated-Nesting 3</v>
      </c>
      <c r="C51" s="10" t="str">
        <f>[3]Reporting!F22</f>
        <v>Francheska Nicole Banares</v>
      </c>
      <c r="D51" cm="1">
        <f t="array" ref="D51">--(SUM(COUNTIF(B51,{"*nest*","*grad*","*trans*","*1B*","*1C*"}))&gt;0)</f>
        <v>1</v>
      </c>
      <c r="E51" s="11">
        <f>[3]Performance!Q23</f>
        <v>1</v>
      </c>
      <c r="F51" s="11">
        <f>[3]Performance!R23</f>
        <v>1</v>
      </c>
      <c r="G51" s="11">
        <f>[3]Performance!S23</f>
        <v>1</v>
      </c>
      <c r="H51" s="11">
        <f>[3]Performance!T23</f>
        <v>1</v>
      </c>
      <c r="I51" s="11">
        <f>[3]Performance!U23</f>
        <v>0.83</v>
      </c>
      <c r="J51" s="11" t="str">
        <f>[3]Performance!H23</f>
        <v> </v>
      </c>
      <c r="K51" s="11">
        <f>[3]Performance!I23</f>
        <v>1</v>
      </c>
      <c r="L51" s="11">
        <f>[3]Performance!J23</f>
        <v>1</v>
      </c>
      <c r="M51" s="11" t="str">
        <f>[3]Performance!K23</f>
        <v> </v>
      </c>
      <c r="N51" s="11" t="str">
        <f>[3]Performance!L23</f>
        <v> </v>
      </c>
      <c r="O51" s="11" t="str">
        <f>[3]Performance!M23</f>
        <v> </v>
      </c>
      <c r="P51" s="11">
        <f>[3]Performance!N23</f>
        <v>1</v>
      </c>
      <c r="Q51" s="11" t="str">
        <f>[3]Performance!O23</f>
        <v> </v>
      </c>
      <c r="R51" s="11">
        <f>[3]Performance!P23</f>
        <v>0.94</v>
      </c>
    </row>
    <row r="52" spans="1:18" x14ac:dyDescent="0.3">
      <c r="A52" s="6">
        <f>'[3]Student Data'!M24</f>
        <v>342018</v>
      </c>
      <c r="B52" t="str">
        <f>[3]Reporting!C23</f>
        <v>Terminated-Nesting 3</v>
      </c>
      <c r="C52" s="10" t="str">
        <f>[3]Reporting!F23</f>
        <v>Eleazar (Ely) Francis Brequera</v>
      </c>
      <c r="D52" cm="1">
        <f t="array" ref="D52">--(SUM(COUNTIF(B52,{"*nest*","*grad*","*trans*","*1B*","*1C*"}))&gt;0)</f>
        <v>1</v>
      </c>
      <c r="E52" s="11">
        <f>[3]Performance!Q24</f>
        <v>1</v>
      </c>
      <c r="F52" s="11">
        <f>[3]Performance!R24</f>
        <v>1</v>
      </c>
      <c r="G52" s="11">
        <f>[3]Performance!S24</f>
        <v>1</v>
      </c>
      <c r="H52" s="11">
        <f>[3]Performance!T24</f>
        <v>1</v>
      </c>
      <c r="I52" s="11">
        <f>[3]Performance!U24</f>
        <v>0</v>
      </c>
      <c r="J52" s="11" t="str">
        <f>[3]Performance!H24</f>
        <v> </v>
      </c>
      <c r="K52" s="11">
        <f>[3]Performance!I24</f>
        <v>0.88</v>
      </c>
      <c r="L52" s="11">
        <f>[3]Performance!J24</f>
        <v>1</v>
      </c>
      <c r="M52" s="11" t="str">
        <f>[3]Performance!K24</f>
        <v> </v>
      </c>
      <c r="N52" s="11" t="str">
        <f>[3]Performance!L24</f>
        <v> </v>
      </c>
      <c r="O52" s="11" t="str">
        <f>[3]Performance!M24</f>
        <v> </v>
      </c>
      <c r="P52" s="11">
        <f>[3]Performance!N24</f>
        <v>1</v>
      </c>
      <c r="Q52" s="11" t="str">
        <f>[3]Performance!O24</f>
        <v> </v>
      </c>
      <c r="R52" s="11">
        <f>[3]Performance!P24</f>
        <v>0.88</v>
      </c>
    </row>
    <row r="53" spans="1:18" x14ac:dyDescent="0.3">
      <c r="A53" s="6">
        <f>'[3]Student Data'!M25</f>
        <v>342019</v>
      </c>
      <c r="B53" t="str">
        <f>[3]Reporting!C24</f>
        <v>Did not Start</v>
      </c>
      <c r="C53" s="10" t="str">
        <f>[3]Reporting!F24</f>
        <v>Joanna Marie Briones</v>
      </c>
      <c r="D53" cm="1">
        <f t="array" ref="D53">--(SUM(COUNTIF(B53,{"*nest*","*grad*","*trans*","*1B*","*1C*"}))&gt;0)</f>
        <v>0</v>
      </c>
      <c r="E53" s="11">
        <f>[3]Performance!Q25</f>
        <v>0</v>
      </c>
      <c r="F53" s="11">
        <f>[3]Performance!R25</f>
        <v>0</v>
      </c>
      <c r="G53" s="11">
        <f>[3]Performance!S25</f>
        <v>0</v>
      </c>
      <c r="H53" s="11">
        <f>[3]Performance!T25</f>
        <v>0</v>
      </c>
      <c r="I53" s="11">
        <f>[3]Performance!U25</f>
        <v>0</v>
      </c>
      <c r="J53" s="11" t="str">
        <f>[3]Performance!H25</f>
        <v> </v>
      </c>
      <c r="K53" s="11">
        <f>[3]Performance!I25</f>
        <v>0</v>
      </c>
      <c r="L53" s="11">
        <f>[3]Performance!J25</f>
        <v>0</v>
      </c>
      <c r="M53" s="11" t="str">
        <f>[3]Performance!K25</f>
        <v> </v>
      </c>
      <c r="N53" s="11" t="str">
        <f>[3]Performance!L25</f>
        <v> </v>
      </c>
      <c r="O53" s="11" t="str">
        <f>[3]Performance!M25</f>
        <v> </v>
      </c>
      <c r="P53" s="11">
        <f>[3]Performance!N25</f>
        <v>0</v>
      </c>
      <c r="Q53" s="11" t="str">
        <f>[3]Performance!O25</f>
        <v> </v>
      </c>
      <c r="R53" s="11">
        <f>[3]Performance!P25</f>
        <v>0</v>
      </c>
    </row>
    <row r="54" spans="1:18" x14ac:dyDescent="0.3">
      <c r="A54" s="6">
        <f>'[3]Student Data'!M26</f>
        <v>342021</v>
      </c>
      <c r="B54" t="str">
        <f>[3]Reporting!C25</f>
        <v>Transition to Production</v>
      </c>
      <c r="C54" s="10" t="str">
        <f>[3]Reporting!F25</f>
        <v>Blyzl (Bly) Kelly  Castilo</v>
      </c>
      <c r="D54" cm="1">
        <f t="array" ref="D54">--(SUM(COUNTIF(B54,{"*nest*","*grad*","*trans*","*1B*","*1C*"}))&gt;0)</f>
        <v>1</v>
      </c>
      <c r="E54" s="11">
        <f>[3]Performance!Q26</f>
        <v>1</v>
      </c>
      <c r="F54" s="11">
        <f>[3]Performance!R26</f>
        <v>1</v>
      </c>
      <c r="G54" s="11">
        <f>[3]Performance!S26</f>
        <v>1</v>
      </c>
      <c r="H54" s="11">
        <f>[3]Performance!T26</f>
        <v>1</v>
      </c>
      <c r="I54" s="11">
        <f>[3]Performance!U26</f>
        <v>0.9</v>
      </c>
      <c r="J54" s="11" t="str">
        <f>[3]Performance!H26</f>
        <v> </v>
      </c>
      <c r="K54" s="11">
        <f>[3]Performance!I26</f>
        <v>0.88</v>
      </c>
      <c r="L54" s="11">
        <f>[3]Performance!J26</f>
        <v>1</v>
      </c>
      <c r="M54" s="11" t="str">
        <f>[3]Performance!K26</f>
        <v> </v>
      </c>
      <c r="N54" s="11" t="str">
        <f>[3]Performance!L26</f>
        <v> </v>
      </c>
      <c r="O54" s="11" t="str">
        <f>[3]Performance!M26</f>
        <v> </v>
      </c>
      <c r="P54" s="11">
        <f>[3]Performance!N26</f>
        <v>1</v>
      </c>
      <c r="Q54" s="11" t="str">
        <f>[3]Performance!O26</f>
        <v> </v>
      </c>
      <c r="R54" s="11">
        <f>[3]Performance!P26</f>
        <v>1</v>
      </c>
    </row>
    <row r="55" spans="1:18" x14ac:dyDescent="0.3">
      <c r="A55" s="6">
        <f>'[3]Student Data'!M27</f>
        <v>0</v>
      </c>
      <c r="B55" t="str">
        <f>[3]Reporting!C26</f>
        <v>Did not Start</v>
      </c>
      <c r="C55" s="10" t="str">
        <f>[3]Reporting!F26</f>
        <v>Lawrence Josh  Cruz</v>
      </c>
      <c r="D55" cm="1">
        <f t="array" ref="D55">--(SUM(COUNTIF(B55,{"*nest*","*grad*","*trans*","*1B*","*1C*"}))&gt;0)</f>
        <v>0</v>
      </c>
      <c r="E55" s="11">
        <f>[3]Performance!Q27</f>
        <v>1</v>
      </c>
      <c r="F55" s="11">
        <f>[3]Performance!R27</f>
        <v>1</v>
      </c>
      <c r="G55" s="11">
        <f>[3]Performance!S27</f>
        <v>1</v>
      </c>
      <c r="H55" s="11">
        <f>[3]Performance!T27</f>
        <v>1</v>
      </c>
      <c r="I55" s="11">
        <f>[3]Performance!U27</f>
        <v>0.9</v>
      </c>
      <c r="J55" s="11" t="str">
        <f>[3]Performance!H27</f>
        <v> </v>
      </c>
      <c r="K55" s="11">
        <f>[3]Performance!I27</f>
        <v>0.88</v>
      </c>
      <c r="L55" s="11">
        <f>[3]Performance!J27</f>
        <v>1</v>
      </c>
      <c r="M55" s="11" t="str">
        <f>[3]Performance!K27</f>
        <v> </v>
      </c>
      <c r="N55" s="11" t="str">
        <f>[3]Performance!L27</f>
        <v> </v>
      </c>
      <c r="O55" s="11" t="str">
        <f>[3]Performance!M27</f>
        <v> </v>
      </c>
      <c r="P55" s="11">
        <f>[3]Performance!N27</f>
        <v>1</v>
      </c>
      <c r="Q55" s="11" t="str">
        <f>[3]Performance!O27</f>
        <v> </v>
      </c>
      <c r="R55" s="11">
        <f>[3]Performance!P27</f>
        <v>1</v>
      </c>
    </row>
    <row r="56" spans="1:18" x14ac:dyDescent="0.3">
      <c r="A56" s="6">
        <f>'[3]Student Data'!M28</f>
        <v>341010</v>
      </c>
      <c r="B56" t="str">
        <f>[3]Reporting!C27</f>
        <v>Moved/Joining Alternate Class/Program</v>
      </c>
      <c r="C56" s="10" t="str">
        <f>[3]Reporting!F27</f>
        <v>Julius De Guzman</v>
      </c>
      <c r="D56" cm="1">
        <f t="array" ref="D56">--(SUM(COUNTIF(B56,{"*nest*","*grad*","*trans*","*1B*","*1C*"}))&gt;0)</f>
        <v>0</v>
      </c>
      <c r="E56" s="11">
        <f>[3]Performance!Q28</f>
        <v>0</v>
      </c>
      <c r="F56" s="11">
        <f>[3]Performance!R28</f>
        <v>0</v>
      </c>
      <c r="G56" s="11">
        <f>[3]Performance!S28</f>
        <v>0</v>
      </c>
      <c r="H56" s="11">
        <f>[3]Performance!T28</f>
        <v>0</v>
      </c>
      <c r="I56" s="11">
        <f>[3]Performance!U28</f>
        <v>0</v>
      </c>
      <c r="J56" s="11" t="str">
        <f>[3]Performance!H28</f>
        <v> </v>
      </c>
      <c r="K56" s="11">
        <f>[3]Performance!I28</f>
        <v>0</v>
      </c>
      <c r="L56" s="11">
        <f>[3]Performance!J28</f>
        <v>0</v>
      </c>
      <c r="M56" s="11" t="str">
        <f>[3]Performance!K28</f>
        <v> </v>
      </c>
      <c r="N56" s="11" t="str">
        <f>[3]Performance!L28</f>
        <v> </v>
      </c>
      <c r="O56" s="11" t="str">
        <f>[3]Performance!M28</f>
        <v> </v>
      </c>
      <c r="P56" s="11">
        <f>[3]Performance!N28</f>
        <v>0</v>
      </c>
      <c r="Q56" s="11" t="str">
        <f>[3]Performance!O28</f>
        <v> </v>
      </c>
      <c r="R56" s="11">
        <f>[3]Performance!P28</f>
        <v>0</v>
      </c>
    </row>
    <row r="57" spans="1:18" x14ac:dyDescent="0.3">
      <c r="A57" s="6">
        <f>'[3]Student Data'!M29</f>
        <v>342022</v>
      </c>
      <c r="B57" t="str">
        <f>[3]Reporting!C28</f>
        <v>Did not Start</v>
      </c>
      <c r="C57" s="10" t="str">
        <f>[3]Reporting!F28</f>
        <v>Eliza May De Leon</v>
      </c>
      <c r="D57" cm="1">
        <f t="array" ref="D57">--(SUM(COUNTIF(B57,{"*nest*","*grad*","*trans*","*1B*","*1C*"}))&gt;0)</f>
        <v>0</v>
      </c>
      <c r="E57" s="11">
        <f>[3]Performance!Q29</f>
        <v>0</v>
      </c>
      <c r="F57" s="11">
        <f>[3]Performance!R29</f>
        <v>0</v>
      </c>
      <c r="G57" s="11">
        <f>[3]Performance!S29</f>
        <v>0</v>
      </c>
      <c r="H57" s="11">
        <f>[3]Performance!T29</f>
        <v>0</v>
      </c>
      <c r="I57" s="11">
        <f>[3]Performance!U29</f>
        <v>0</v>
      </c>
      <c r="J57" s="11" t="str">
        <f>[3]Performance!H29</f>
        <v> </v>
      </c>
      <c r="K57" s="11">
        <f>[3]Performance!I29</f>
        <v>0</v>
      </c>
      <c r="L57" s="11">
        <f>[3]Performance!J29</f>
        <v>0</v>
      </c>
      <c r="M57" s="11" t="str">
        <f>[3]Performance!K29</f>
        <v> </v>
      </c>
      <c r="N57" s="11" t="str">
        <f>[3]Performance!L29</f>
        <v> </v>
      </c>
      <c r="O57" s="11" t="str">
        <f>[3]Performance!M29</f>
        <v> </v>
      </c>
      <c r="P57" s="11">
        <f>[3]Performance!N29</f>
        <v>0</v>
      </c>
      <c r="Q57" s="11" t="str">
        <f>[3]Performance!O29</f>
        <v> </v>
      </c>
      <c r="R57" s="11">
        <f>[3]Performance!P29</f>
        <v>0</v>
      </c>
    </row>
    <row r="58" spans="1:18" x14ac:dyDescent="0.3">
      <c r="A58" s="6">
        <f>'[3]Student Data'!M30</f>
        <v>0</v>
      </c>
      <c r="B58" t="str">
        <f>[3]Reporting!C29</f>
        <v>Resigned Tier 1A</v>
      </c>
      <c r="C58" s="10" t="str">
        <f>[3]Reporting!F29</f>
        <v>Carmy Dela Cruz</v>
      </c>
      <c r="D58" cm="1">
        <f t="array" ref="D58">--(SUM(COUNTIF(B58,{"*nest*","*grad*","*trans*","*1B*","*1C*"}))&gt;0)</f>
        <v>0</v>
      </c>
      <c r="E58" s="11">
        <f>[3]Performance!Q30</f>
        <v>0</v>
      </c>
      <c r="F58" s="11">
        <f>[3]Performance!R30</f>
        <v>0</v>
      </c>
      <c r="G58" s="11">
        <f>[3]Performance!S30</f>
        <v>0</v>
      </c>
      <c r="H58" s="11">
        <f>[3]Performance!T30</f>
        <v>0</v>
      </c>
      <c r="I58" s="11">
        <f>[3]Performance!U30</f>
        <v>0</v>
      </c>
      <c r="J58" s="11" t="str">
        <f>[3]Performance!H30</f>
        <v> </v>
      </c>
      <c r="K58" s="11">
        <f>[3]Performance!I30</f>
        <v>0</v>
      </c>
      <c r="L58" s="11">
        <f>[3]Performance!J30</f>
        <v>0</v>
      </c>
      <c r="M58" s="11" t="str">
        <f>[3]Performance!K30</f>
        <v> </v>
      </c>
      <c r="N58" s="11" t="str">
        <f>[3]Performance!L30</f>
        <v> </v>
      </c>
      <c r="O58" s="11" t="str">
        <f>[3]Performance!M30</f>
        <v> </v>
      </c>
      <c r="P58" s="11">
        <f>[3]Performance!N30</f>
        <v>0</v>
      </c>
      <c r="Q58" s="11" t="str">
        <f>[3]Performance!O30</f>
        <v> </v>
      </c>
      <c r="R58" s="11">
        <f>[3]Performance!P30</f>
        <v>0</v>
      </c>
    </row>
    <row r="59" spans="1:18" x14ac:dyDescent="0.3">
      <c r="A59" s="6" t="str">
        <f>'[3]Student Data'!M31</f>
        <v>N/A</v>
      </c>
      <c r="B59" t="str">
        <f>[3]Reporting!C30</f>
        <v>Transition to Production</v>
      </c>
      <c r="C59" s="10" t="str">
        <f>[3]Reporting!F30</f>
        <v>Lemuel (Lem) Ray Fernandez</v>
      </c>
      <c r="D59" cm="1">
        <f t="array" ref="D59">--(SUM(COUNTIF(B59,{"*nest*","*grad*","*trans*","*1B*","*1C*"}))&gt;0)</f>
        <v>1</v>
      </c>
      <c r="E59" s="11">
        <f>[3]Performance!Q31</f>
        <v>0</v>
      </c>
      <c r="F59" s="11">
        <f>[3]Performance!R31</f>
        <v>0</v>
      </c>
      <c r="G59" s="11">
        <f>[3]Performance!S31</f>
        <v>0</v>
      </c>
      <c r="H59" s="11">
        <f>[3]Performance!T31</f>
        <v>0</v>
      </c>
      <c r="I59" s="11">
        <f>[3]Performance!U31</f>
        <v>0</v>
      </c>
      <c r="J59" s="11" t="str">
        <f>[3]Performance!H31</f>
        <v> </v>
      </c>
      <c r="K59" s="11">
        <f>[3]Performance!I31</f>
        <v>0</v>
      </c>
      <c r="L59" s="11">
        <f>[3]Performance!J31</f>
        <v>0</v>
      </c>
      <c r="M59" s="11" t="str">
        <f>[3]Performance!K31</f>
        <v> </v>
      </c>
      <c r="N59" s="11" t="str">
        <f>[3]Performance!L31</f>
        <v> </v>
      </c>
      <c r="O59" s="11" t="str">
        <f>[3]Performance!M31</f>
        <v> </v>
      </c>
      <c r="P59" s="11">
        <f>[3]Performance!N31</f>
        <v>0</v>
      </c>
      <c r="Q59" s="11" t="str">
        <f>[3]Performance!O31</f>
        <v> </v>
      </c>
      <c r="R59" s="11">
        <f>[3]Performance!P31</f>
        <v>0</v>
      </c>
    </row>
    <row r="60" spans="1:18" x14ac:dyDescent="0.3">
      <c r="A60" s="6">
        <f>'[3]Student Data'!M32</f>
        <v>0</v>
      </c>
      <c r="B60" t="str">
        <f>[3]Reporting!C31</f>
        <v>Transition to Production</v>
      </c>
      <c r="C60" s="10" t="str">
        <f>[3]Reporting!F31</f>
        <v>Arin Galvez</v>
      </c>
      <c r="D60" cm="1">
        <f t="array" ref="D60">--(SUM(COUNTIF(B60,{"*nest*","*grad*","*trans*","*1B*","*1C*"}))&gt;0)</f>
        <v>1</v>
      </c>
      <c r="E60" s="11">
        <f>[3]Performance!Q32</f>
        <v>1</v>
      </c>
      <c r="F60" s="11">
        <f>[3]Performance!R32</f>
        <v>1</v>
      </c>
      <c r="G60" s="11">
        <f>[3]Performance!S32</f>
        <v>0.94</v>
      </c>
      <c r="H60" s="11">
        <f>[3]Performance!T32</f>
        <v>0.8</v>
      </c>
      <c r="I60" s="11">
        <f>[3]Performance!U32</f>
        <v>0.9</v>
      </c>
      <c r="J60" s="11" t="str">
        <f>[3]Performance!H32</f>
        <v> </v>
      </c>
      <c r="K60" s="11">
        <f>[3]Performance!I32</f>
        <v>1</v>
      </c>
      <c r="L60" s="11">
        <f>[3]Performance!J32</f>
        <v>0.8</v>
      </c>
      <c r="M60" s="11" t="str">
        <f>[3]Performance!K32</f>
        <v> </v>
      </c>
      <c r="N60" s="11" t="str">
        <f>[3]Performance!L32</f>
        <v> </v>
      </c>
      <c r="O60" s="11" t="str">
        <f>[3]Performance!M32</f>
        <v> </v>
      </c>
      <c r="P60" s="11">
        <f>[3]Performance!N32</f>
        <v>1</v>
      </c>
      <c r="Q60" s="11" t="str">
        <f>[3]Performance!O32</f>
        <v> </v>
      </c>
      <c r="R60" s="11">
        <f>[3]Performance!P32</f>
        <v>1</v>
      </c>
    </row>
    <row r="61" spans="1:18" x14ac:dyDescent="0.3">
      <c r="A61" s="6">
        <f>'[3]Student Data'!M33</f>
        <v>342024</v>
      </c>
      <c r="B61" t="str">
        <f>[3]Reporting!C32</f>
        <v>Transition to Production</v>
      </c>
      <c r="C61" s="10" t="str">
        <f>[3]Reporting!F32</f>
        <v>Von Rich Generoso</v>
      </c>
      <c r="D61" cm="1">
        <f t="array" ref="D61">--(SUM(COUNTIF(B61,{"*nest*","*grad*","*trans*","*1B*","*1C*"}))&gt;0)</f>
        <v>1</v>
      </c>
      <c r="E61" s="11">
        <f>[3]Performance!Q33</f>
        <v>1</v>
      </c>
      <c r="F61" s="11">
        <f>[3]Performance!R33</f>
        <v>1</v>
      </c>
      <c r="G61" s="11">
        <f>[3]Performance!S33</f>
        <v>0.81</v>
      </c>
      <c r="H61" s="11">
        <f>[3]Performance!T33</f>
        <v>1</v>
      </c>
      <c r="I61" s="11">
        <f>[3]Performance!U33</f>
        <v>0</v>
      </c>
      <c r="J61" s="11" t="str">
        <f>[3]Performance!H33</f>
        <v> </v>
      </c>
      <c r="K61" s="11">
        <f>[3]Performance!I33</f>
        <v>1</v>
      </c>
      <c r="L61" s="11">
        <f>[3]Performance!J33</f>
        <v>0.8</v>
      </c>
      <c r="M61" s="11" t="str">
        <f>[3]Performance!K33</f>
        <v> </v>
      </c>
      <c r="N61" s="11" t="str">
        <f>[3]Performance!L33</f>
        <v> </v>
      </c>
      <c r="O61" s="11" t="str">
        <f>[3]Performance!M33</f>
        <v> </v>
      </c>
      <c r="P61" s="11">
        <f>[3]Performance!N33</f>
        <v>1</v>
      </c>
      <c r="Q61" s="11" t="str">
        <f>[3]Performance!O33</f>
        <v> </v>
      </c>
      <c r="R61" s="11">
        <f>[3]Performance!P33</f>
        <v>0.94</v>
      </c>
    </row>
    <row r="62" spans="1:18" x14ac:dyDescent="0.3">
      <c r="A62" s="6">
        <f>'[3]Student Data'!M34</f>
        <v>342028</v>
      </c>
      <c r="B62" t="str">
        <f>[3]Reporting!C33</f>
        <v>Transition to Production with SMART plan</v>
      </c>
      <c r="C62" s="10" t="str">
        <f>[3]Reporting!F33</f>
        <v>Jeremy  Gonzales</v>
      </c>
      <c r="D62" cm="1">
        <f t="array" ref="D62">--(SUM(COUNTIF(B62,{"*nest*","*grad*","*trans*","*1B*","*1C*"}))&gt;0)</f>
        <v>1</v>
      </c>
      <c r="E62" s="11">
        <f>[3]Performance!Q34</f>
        <v>1</v>
      </c>
      <c r="F62" s="11">
        <f>[3]Performance!R34</f>
        <v>1</v>
      </c>
      <c r="G62" s="11">
        <f>[3]Performance!S34</f>
        <v>1</v>
      </c>
      <c r="H62" s="11">
        <f>[3]Performance!T34</f>
        <v>1</v>
      </c>
      <c r="I62" s="11">
        <f>[3]Performance!U34</f>
        <v>0.83</v>
      </c>
      <c r="J62" s="11" t="str">
        <f>[3]Performance!H34</f>
        <v> </v>
      </c>
      <c r="K62" s="11">
        <f>[3]Performance!I34</f>
        <v>0.88</v>
      </c>
      <c r="L62" s="11">
        <f>[3]Performance!J34</f>
        <v>1</v>
      </c>
      <c r="M62" s="11" t="str">
        <f>[3]Performance!K34</f>
        <v> </v>
      </c>
      <c r="N62" s="11" t="str">
        <f>[3]Performance!L34</f>
        <v> </v>
      </c>
      <c r="O62" s="11" t="str">
        <f>[3]Performance!M34</f>
        <v> </v>
      </c>
      <c r="P62" s="11">
        <f>[3]Performance!N34</f>
        <v>1</v>
      </c>
      <c r="Q62" s="11" t="str">
        <f>[3]Performance!O34</f>
        <v> </v>
      </c>
      <c r="R62" s="11">
        <f>[3]Performance!P34</f>
        <v>0.94</v>
      </c>
    </row>
    <row r="63" spans="1:18" x14ac:dyDescent="0.3">
      <c r="A63" s="6">
        <f>'[3]Student Data'!M35</f>
        <v>342027</v>
      </c>
      <c r="B63" t="str">
        <f>[3]Reporting!C34</f>
        <v>Terminated Tier 1B</v>
      </c>
      <c r="C63" s="10" t="str">
        <f>[3]Reporting!F34</f>
        <v>Mariella (Ciao) Jonson</v>
      </c>
      <c r="D63" cm="1">
        <f t="array" ref="D63">--(SUM(COUNTIF(B63,{"*nest*","*grad*","*trans*","*1B*","*1C*"}))&gt;0)</f>
        <v>1</v>
      </c>
      <c r="E63" s="11">
        <f>[3]Performance!Q35</f>
        <v>1</v>
      </c>
      <c r="F63" s="11">
        <f>[3]Performance!R35</f>
        <v>1</v>
      </c>
      <c r="G63" s="11">
        <f>[3]Performance!S35</f>
        <v>1</v>
      </c>
      <c r="H63" s="11">
        <f>[3]Performance!T35</f>
        <v>1</v>
      </c>
      <c r="I63" s="11">
        <f>[3]Performance!U35</f>
        <v>0.9</v>
      </c>
      <c r="J63" s="11" t="str">
        <f>[3]Performance!H35</f>
        <v> </v>
      </c>
      <c r="K63" s="11">
        <f>[3]Performance!I35</f>
        <v>1</v>
      </c>
      <c r="L63" s="11">
        <f>[3]Performance!J35</f>
        <v>1</v>
      </c>
      <c r="M63" s="11" t="str">
        <f>[3]Performance!K35</f>
        <v> </v>
      </c>
      <c r="N63" s="11" t="str">
        <f>[3]Performance!L35</f>
        <v> </v>
      </c>
      <c r="O63" s="11" t="str">
        <f>[3]Performance!M35</f>
        <v> </v>
      </c>
      <c r="P63" s="11">
        <f>[3]Performance!N35</f>
        <v>1</v>
      </c>
      <c r="Q63" s="11" t="str">
        <f>[3]Performance!O35</f>
        <v> </v>
      </c>
      <c r="R63" s="11">
        <f>[3]Performance!P35</f>
        <v>0.88</v>
      </c>
    </row>
    <row r="64" spans="1:18" x14ac:dyDescent="0.3">
      <c r="A64" s="6">
        <f>'[3]Student Data'!M36</f>
        <v>342026</v>
      </c>
      <c r="B64" t="str">
        <f>[3]Reporting!C35</f>
        <v>Transition to Production with SMART plan</v>
      </c>
      <c r="C64" s="10" t="str">
        <f>[3]Reporting!F35</f>
        <v>Sarah Mae Jontilano</v>
      </c>
      <c r="D64" cm="1">
        <f t="array" ref="D64">--(SUM(COUNTIF(B64,{"*nest*","*grad*","*trans*","*1B*","*1C*"}))&gt;0)</f>
        <v>1</v>
      </c>
      <c r="E64" s="11">
        <f>[3]Performance!Q36</f>
        <v>1</v>
      </c>
      <c r="F64" s="11">
        <f>[3]Performance!R36</f>
        <v>1</v>
      </c>
      <c r="G64" s="11">
        <f>[3]Performance!S36</f>
        <v>0.82</v>
      </c>
      <c r="H64" s="11">
        <f>[3]Performance!T36</f>
        <v>1</v>
      </c>
      <c r="I64" s="11">
        <f>[3]Performance!U36</f>
        <v>1</v>
      </c>
      <c r="J64" s="11" t="str">
        <f>[3]Performance!H36</f>
        <v> </v>
      </c>
      <c r="K64" s="11">
        <f>[3]Performance!I36</f>
        <v>1</v>
      </c>
      <c r="L64" s="11">
        <f>[3]Performance!J36</f>
        <v>1</v>
      </c>
      <c r="M64" s="11" t="str">
        <f>[3]Performance!K36</f>
        <v> </v>
      </c>
      <c r="N64" s="11" t="str">
        <f>[3]Performance!L36</f>
        <v> </v>
      </c>
      <c r="O64" s="11" t="str">
        <f>[3]Performance!M36</f>
        <v> </v>
      </c>
      <c r="P64" s="11">
        <f>[3]Performance!N36</f>
        <v>1</v>
      </c>
      <c r="Q64" s="11" t="str">
        <f>[3]Performance!O36</f>
        <v> </v>
      </c>
      <c r="R64" s="11">
        <f>[3]Performance!P36</f>
        <v>0.88</v>
      </c>
    </row>
    <row r="65" spans="1:20" x14ac:dyDescent="0.3">
      <c r="A65" s="6">
        <f>'[3]Student Data'!M37</f>
        <v>342031</v>
      </c>
      <c r="B65" t="str">
        <f>[3]Reporting!C36</f>
        <v>Transition to Production</v>
      </c>
      <c r="C65" s="10" t="str">
        <f>[3]Reporting!F36</f>
        <v>Rosalea (Eya) Kabukisan</v>
      </c>
      <c r="D65" cm="1">
        <f t="array" ref="D65">--(SUM(COUNTIF(B65,{"*nest*","*grad*","*trans*","*1B*","*1C*"}))&gt;0)</f>
        <v>1</v>
      </c>
      <c r="E65" s="11">
        <f>[3]Performance!Q37</f>
        <v>1</v>
      </c>
      <c r="F65" s="11">
        <f>[3]Performance!R37</f>
        <v>1</v>
      </c>
      <c r="G65" s="11">
        <f>[3]Performance!S37</f>
        <v>0.94</v>
      </c>
      <c r="H65" s="11">
        <f>[3]Performance!T37</f>
        <v>1</v>
      </c>
      <c r="I65" s="11">
        <f>[3]Performance!U37</f>
        <v>0</v>
      </c>
      <c r="J65" s="11" t="str">
        <f>[3]Performance!H37</f>
        <v> </v>
      </c>
      <c r="K65" s="11">
        <f>[3]Performance!I37</f>
        <v>1</v>
      </c>
      <c r="L65" s="11">
        <f>[3]Performance!J37</f>
        <v>1</v>
      </c>
      <c r="M65" s="11" t="str">
        <f>[3]Performance!K37</f>
        <v> </v>
      </c>
      <c r="N65" s="11" t="str">
        <f>[3]Performance!L37</f>
        <v> </v>
      </c>
      <c r="O65" s="11" t="str">
        <f>[3]Performance!M37</f>
        <v> </v>
      </c>
      <c r="P65" s="11">
        <f>[3]Performance!N37</f>
        <v>1</v>
      </c>
      <c r="Q65" s="11" t="str">
        <f>[3]Performance!O37</f>
        <v> </v>
      </c>
      <c r="R65" s="11">
        <f>[3]Performance!P37</f>
        <v>0.88</v>
      </c>
    </row>
    <row r="66" spans="1:20" x14ac:dyDescent="0.3">
      <c r="A66" s="6">
        <f>'[3]Student Data'!M38</f>
        <v>342032</v>
      </c>
      <c r="B66" t="str">
        <f>[3]Reporting!C37</f>
        <v>Transition to Production with SMART plan</v>
      </c>
      <c r="C66" s="10" t="str">
        <f>[3]Reporting!F37</f>
        <v>Neilgel Suyom (Leil) Lizardo</v>
      </c>
      <c r="D66" cm="1">
        <f t="array" ref="D66">--(SUM(COUNTIF(B66,{"*nest*","*grad*","*trans*","*1B*","*1C*"}))&gt;0)</f>
        <v>1</v>
      </c>
      <c r="E66" s="11">
        <f>[3]Performance!Q38</f>
        <v>1</v>
      </c>
      <c r="F66" s="11">
        <f>[3]Performance!R38</f>
        <v>1</v>
      </c>
      <c r="G66" s="11">
        <f>[3]Performance!S38</f>
        <v>0.82</v>
      </c>
      <c r="H66" s="11">
        <f>[3]Performance!T38</f>
        <v>1</v>
      </c>
      <c r="I66" s="11">
        <f>[3]Performance!U38</f>
        <v>0.9</v>
      </c>
      <c r="J66" s="11" t="str">
        <f>[3]Performance!H38</f>
        <v> </v>
      </c>
      <c r="K66" s="11">
        <f>[3]Performance!I38</f>
        <v>1</v>
      </c>
      <c r="L66" s="11">
        <f>[3]Performance!J38</f>
        <v>1</v>
      </c>
      <c r="M66" s="11" t="str">
        <f>[3]Performance!K38</f>
        <v> </v>
      </c>
      <c r="N66" s="11" t="str">
        <f>[3]Performance!L38</f>
        <v> </v>
      </c>
      <c r="O66" s="11" t="str">
        <f>[3]Performance!M38</f>
        <v> </v>
      </c>
      <c r="P66" s="11">
        <f>[3]Performance!N38</f>
        <v>1</v>
      </c>
      <c r="Q66" s="11" t="str">
        <f>[3]Performance!O38</f>
        <v> </v>
      </c>
      <c r="R66" s="11">
        <f>[3]Performance!P38</f>
        <v>0.94</v>
      </c>
    </row>
    <row r="67" spans="1:20" x14ac:dyDescent="0.3">
      <c r="A67" s="6">
        <f>'[3]Student Data'!M39</f>
        <v>342029</v>
      </c>
      <c r="B67" t="str">
        <f>[3]Reporting!C38</f>
        <v>Transition to Production</v>
      </c>
      <c r="C67" s="10" t="str">
        <f>[3]Reporting!F38</f>
        <v>Michael John Magracia</v>
      </c>
      <c r="D67" cm="1">
        <f t="array" ref="D67">--(SUM(COUNTIF(B67,{"*nest*","*grad*","*trans*","*1B*","*1C*"}))&gt;0)</f>
        <v>1</v>
      </c>
      <c r="E67" s="11">
        <f>[3]Performance!Q39</f>
        <v>1</v>
      </c>
      <c r="F67" s="11">
        <f>[3]Performance!R39</f>
        <v>1</v>
      </c>
      <c r="G67" s="11">
        <f>[3]Performance!S39</f>
        <v>0.86</v>
      </c>
      <c r="H67" s="11">
        <f>[3]Performance!T39</f>
        <v>1</v>
      </c>
      <c r="I67" s="11">
        <f>[3]Performance!U39</f>
        <v>0.95</v>
      </c>
      <c r="J67" s="11" t="str">
        <f>[3]Performance!H39</f>
        <v> </v>
      </c>
      <c r="K67" s="11">
        <f>[3]Performance!I39</f>
        <v>1</v>
      </c>
      <c r="L67" s="11">
        <f>[3]Performance!J39</f>
        <v>1</v>
      </c>
      <c r="M67" s="11" t="str">
        <f>[3]Performance!K39</f>
        <v> </v>
      </c>
      <c r="N67" s="11" t="str">
        <f>[3]Performance!L39</f>
        <v> </v>
      </c>
      <c r="O67" s="11" t="str">
        <f>[3]Performance!M39</f>
        <v> </v>
      </c>
      <c r="P67" s="11">
        <f>[3]Performance!N39</f>
        <v>1</v>
      </c>
      <c r="Q67" s="11" t="str">
        <f>[3]Performance!O39</f>
        <v> </v>
      </c>
      <c r="R67" s="11">
        <f>[3]Performance!P39</f>
        <v>1</v>
      </c>
    </row>
    <row r="68" spans="1:20" x14ac:dyDescent="0.3">
      <c r="A68" s="6">
        <f>'[3]Student Data'!M40</f>
        <v>342034</v>
      </c>
      <c r="B68" t="str">
        <f>[3]Reporting!C39</f>
        <v>Did not Start</v>
      </c>
      <c r="C68" s="10" t="str">
        <f>[3]Reporting!F39</f>
        <v>Marianne  Manicad</v>
      </c>
      <c r="D68" cm="1">
        <f t="array" ref="D68">--(SUM(COUNTIF(B68,{"*nest*","*grad*","*trans*","*1B*","*1C*"}))&gt;0)</f>
        <v>0</v>
      </c>
      <c r="E68" s="11">
        <f>[3]Performance!Q40</f>
        <v>1</v>
      </c>
      <c r="F68" s="11">
        <f>[3]Performance!R40</f>
        <v>1</v>
      </c>
      <c r="G68" s="11">
        <f>[3]Performance!S40</f>
        <v>1</v>
      </c>
      <c r="H68" s="11">
        <f>[3]Performance!T40</f>
        <v>1</v>
      </c>
      <c r="I68" s="11">
        <f>[3]Performance!U40</f>
        <v>0.98</v>
      </c>
      <c r="J68" s="11" t="str">
        <f>[3]Performance!H40</f>
        <v> </v>
      </c>
      <c r="K68" s="11">
        <f>[3]Performance!I40</f>
        <v>1</v>
      </c>
      <c r="L68" s="11">
        <f>[3]Performance!J40</f>
        <v>1</v>
      </c>
      <c r="M68" s="11" t="str">
        <f>[3]Performance!K40</f>
        <v> </v>
      </c>
      <c r="N68" s="11" t="str">
        <f>[3]Performance!L40</f>
        <v> </v>
      </c>
      <c r="O68" s="11" t="str">
        <f>[3]Performance!M40</f>
        <v> </v>
      </c>
      <c r="P68" s="11">
        <f>[3]Performance!N40</f>
        <v>1</v>
      </c>
      <c r="Q68" s="11" t="str">
        <f>[3]Performance!O40</f>
        <v> </v>
      </c>
      <c r="R68" s="11">
        <f>[3]Performance!P40</f>
        <v>0.82</v>
      </c>
    </row>
    <row r="69" spans="1:20" x14ac:dyDescent="0.3">
      <c r="A69" s="6">
        <f>'[3]Student Data'!M41</f>
        <v>342033</v>
      </c>
      <c r="B69" t="str">
        <f>[3]Reporting!C40</f>
        <v>Resigned Tier 1A</v>
      </c>
      <c r="C69" s="10" t="str">
        <f>[3]Reporting!F40</f>
        <v>Jerome  Marquez</v>
      </c>
      <c r="D69" cm="1">
        <f t="array" ref="D69">--(SUM(COUNTIF(B69,{"*nest*","*grad*","*trans*","*1B*","*1C*"}))&gt;0)</f>
        <v>0</v>
      </c>
      <c r="E69" s="11">
        <f>[3]Performance!Q41</f>
        <v>0</v>
      </c>
      <c r="F69" s="11">
        <f>[3]Performance!R41</f>
        <v>0</v>
      </c>
      <c r="G69" s="11">
        <f>[3]Performance!S41</f>
        <v>0</v>
      </c>
      <c r="H69" s="11">
        <f>[3]Performance!T41</f>
        <v>0</v>
      </c>
      <c r="I69" s="11">
        <f>[3]Performance!U41</f>
        <v>0</v>
      </c>
      <c r="J69" s="11" t="str">
        <f>[3]Performance!H41</f>
        <v> </v>
      </c>
      <c r="K69" s="11">
        <f>[3]Performance!I41</f>
        <v>0</v>
      </c>
      <c r="L69" s="11">
        <f>[3]Performance!J41</f>
        <v>0</v>
      </c>
      <c r="M69" s="11" t="str">
        <f>[3]Performance!K41</f>
        <v> </v>
      </c>
      <c r="N69" s="11" t="str">
        <f>[3]Performance!L41</f>
        <v> </v>
      </c>
      <c r="O69" s="11" t="str">
        <f>[3]Performance!M41</f>
        <v> </v>
      </c>
      <c r="P69" s="11">
        <f>[3]Performance!N41</f>
        <v>0</v>
      </c>
      <c r="Q69" s="11" t="str">
        <f>[3]Performance!O41</f>
        <v> </v>
      </c>
      <c r="R69" s="11">
        <f>[3]Performance!P41</f>
        <v>0</v>
      </c>
    </row>
    <row r="70" spans="1:20" x14ac:dyDescent="0.3">
      <c r="A70" s="6">
        <f>'[3]Student Data'!M42</f>
        <v>342035</v>
      </c>
      <c r="B70" t="str">
        <f>[3]Reporting!C41</f>
        <v>Terminated-Nesting 3</v>
      </c>
      <c r="C70" s="10" t="str">
        <f>[3]Reporting!F41</f>
        <v>Cristel Ann  Melgar</v>
      </c>
      <c r="D70" cm="1">
        <f t="array" ref="D70">--(SUM(COUNTIF(B70,{"*nest*","*grad*","*trans*","*1B*","*1C*"}))&gt;0)</f>
        <v>1</v>
      </c>
      <c r="E70" s="11">
        <f>[3]Performance!Q42</f>
        <v>1</v>
      </c>
      <c r="F70" s="11">
        <f>[3]Performance!R42</f>
        <v>1</v>
      </c>
      <c r="G70" s="11">
        <f>[3]Performance!S42</f>
        <v>0</v>
      </c>
      <c r="H70" s="11">
        <f>[3]Performance!T42</f>
        <v>1</v>
      </c>
      <c r="I70" s="11">
        <f>[3]Performance!U42</f>
        <v>0</v>
      </c>
      <c r="J70" s="11" t="str">
        <f>[3]Performance!H42</f>
        <v> </v>
      </c>
      <c r="K70" s="11">
        <f>[3]Performance!I42</f>
        <v>1</v>
      </c>
      <c r="L70" s="11">
        <f>[3]Performance!J42</f>
        <v>1</v>
      </c>
      <c r="M70" s="11" t="str">
        <f>[3]Performance!K42</f>
        <v> </v>
      </c>
      <c r="N70" s="11" t="str">
        <f>[3]Performance!L42</f>
        <v> </v>
      </c>
      <c r="O70" s="11" t="str">
        <f>[3]Performance!M42</f>
        <v> </v>
      </c>
      <c r="P70" s="11">
        <f>[3]Performance!N42</f>
        <v>1</v>
      </c>
      <c r="Q70" s="11" t="str">
        <f>[3]Performance!O42</f>
        <v> </v>
      </c>
      <c r="R70" s="11">
        <f>[3]Performance!P42</f>
        <v>0.94</v>
      </c>
    </row>
    <row r="71" spans="1:20" x14ac:dyDescent="0.3">
      <c r="A71" s="6">
        <f>'[3]Student Data'!M43</f>
        <v>0</v>
      </c>
      <c r="B71" t="str">
        <f>[3]Reporting!C42</f>
        <v>Transition to Production</v>
      </c>
      <c r="C71" s="10" t="str">
        <f>[3]Reporting!F42</f>
        <v>Jerico Opena</v>
      </c>
      <c r="D71" cm="1">
        <f t="array" ref="D71">--(SUM(COUNTIF(B71,{"*nest*","*grad*","*trans*","*1B*","*1C*"}))&gt;0)</f>
        <v>1</v>
      </c>
      <c r="E71" s="11">
        <f>[3]Performance!Q43</f>
        <v>1</v>
      </c>
      <c r="F71" s="11">
        <f>[3]Performance!R43</f>
        <v>1</v>
      </c>
      <c r="G71" s="11">
        <f>[3]Performance!S43</f>
        <v>0.86</v>
      </c>
      <c r="H71" s="11">
        <f>[3]Performance!T43</f>
        <v>1</v>
      </c>
      <c r="I71" s="11">
        <f>[3]Performance!U43</f>
        <v>1</v>
      </c>
      <c r="J71" s="11" t="str">
        <f>[3]Performance!H43</f>
        <v> </v>
      </c>
      <c r="K71" s="11">
        <f>[3]Performance!I43</f>
        <v>0.88</v>
      </c>
      <c r="L71" s="11">
        <f>[3]Performance!J43</f>
        <v>1</v>
      </c>
      <c r="M71" s="11" t="str">
        <f>[3]Performance!K43</f>
        <v> </v>
      </c>
      <c r="N71" s="11" t="str">
        <f>[3]Performance!L43</f>
        <v> </v>
      </c>
      <c r="O71" s="11" t="str">
        <f>[3]Performance!M43</f>
        <v> </v>
      </c>
      <c r="P71" s="11">
        <f>[3]Performance!N43</f>
        <v>1</v>
      </c>
      <c r="Q71" s="11" t="str">
        <f>[3]Performance!O43</f>
        <v> </v>
      </c>
      <c r="R71" s="11">
        <f>[3]Performance!P43</f>
        <v>0.82</v>
      </c>
    </row>
    <row r="72" spans="1:20" x14ac:dyDescent="0.3">
      <c r="A72" s="6">
        <f>'[3]Student Data'!M44</f>
        <v>342036</v>
      </c>
      <c r="B72" t="str">
        <f>[3]Reporting!C43</f>
        <v>Transition to Production</v>
      </c>
      <c r="C72" s="10" t="str">
        <f>[3]Reporting!F43</f>
        <v>Philip Andrew  Patawe</v>
      </c>
      <c r="D72" cm="1">
        <f t="array" ref="D72">--(SUM(COUNTIF(B72,{"*nest*","*grad*","*trans*","*1B*","*1C*"}))&gt;0)</f>
        <v>1</v>
      </c>
      <c r="E72" s="11">
        <f>[3]Performance!Q44</f>
        <v>1</v>
      </c>
      <c r="F72" s="11">
        <f>[3]Performance!R44</f>
        <v>1</v>
      </c>
      <c r="G72" s="11">
        <f>[3]Performance!S44</f>
        <v>0.94</v>
      </c>
      <c r="H72" s="11">
        <f>[3]Performance!T44</f>
        <v>1</v>
      </c>
      <c r="I72" s="11">
        <f>[3]Performance!U44</f>
        <v>0.98</v>
      </c>
      <c r="J72" s="11" t="str">
        <f>[3]Performance!H44</f>
        <v> </v>
      </c>
      <c r="K72" s="11">
        <f>[3]Performance!I44</f>
        <v>0.88</v>
      </c>
      <c r="L72" s="11">
        <f>[3]Performance!J44</f>
        <v>1</v>
      </c>
      <c r="M72" s="11" t="str">
        <f>[3]Performance!K44</f>
        <v> </v>
      </c>
      <c r="N72" s="11" t="str">
        <f>[3]Performance!L44</f>
        <v> </v>
      </c>
      <c r="O72" s="11" t="str">
        <f>[3]Performance!M44</f>
        <v> </v>
      </c>
      <c r="P72" s="11">
        <f>[3]Performance!N44</f>
        <v>1</v>
      </c>
      <c r="Q72" s="11" t="str">
        <f>[3]Performance!O44</f>
        <v> </v>
      </c>
      <c r="R72" s="11">
        <f>[3]Performance!P44</f>
        <v>0.92</v>
      </c>
    </row>
    <row r="73" spans="1:20" x14ac:dyDescent="0.3">
      <c r="A73" s="6">
        <f>'[3]Student Data'!M45</f>
        <v>342037</v>
      </c>
      <c r="B73" t="str">
        <f>[3]Reporting!C44</f>
        <v>Moved/Joining Alternate Class/Program</v>
      </c>
      <c r="C73" s="10" t="str">
        <f>[3]Reporting!F44</f>
        <v>Julius  Salamoding</v>
      </c>
      <c r="D73" cm="1">
        <f t="array" ref="D73">--(SUM(COUNTIF(B73,{"*nest*","*grad*","*trans*","*1B*","*1C*"}))&gt;0)</f>
        <v>0</v>
      </c>
      <c r="E73" s="11">
        <f>[3]Performance!Q45</f>
        <v>1</v>
      </c>
      <c r="F73" s="11">
        <f>[3]Performance!R45</f>
        <v>1</v>
      </c>
      <c r="G73" s="11">
        <f>[3]Performance!S45</f>
        <v>0.88</v>
      </c>
      <c r="H73" s="11">
        <f>[3]Performance!T45</f>
        <v>1</v>
      </c>
      <c r="I73" s="11">
        <f>[3]Performance!U45</f>
        <v>1</v>
      </c>
      <c r="J73" s="11" t="str">
        <f>[3]Performance!H45</f>
        <v> </v>
      </c>
      <c r="K73" s="11">
        <f>[3]Performance!I45</f>
        <v>1</v>
      </c>
      <c r="L73" s="11">
        <f>[3]Performance!J45</f>
        <v>1</v>
      </c>
      <c r="M73" s="11" t="str">
        <f>[3]Performance!K45</f>
        <v> </v>
      </c>
      <c r="N73" s="11" t="str">
        <f>[3]Performance!L45</f>
        <v> </v>
      </c>
      <c r="O73" s="11" t="str">
        <f>[3]Performance!M45</f>
        <v> </v>
      </c>
      <c r="P73" s="11">
        <f>[3]Performance!N45</f>
        <v>1</v>
      </c>
      <c r="Q73" s="11" t="str">
        <f>[3]Performance!O45</f>
        <v> </v>
      </c>
      <c r="R73" s="11">
        <f>[3]Performance!P45</f>
        <v>0.89</v>
      </c>
    </row>
    <row r="74" spans="1:20" x14ac:dyDescent="0.3">
      <c r="A74" s="6">
        <f>'[3]Student Data'!M46</f>
        <v>342038</v>
      </c>
      <c r="B74" t="str">
        <f>[3]Reporting!C45</f>
        <v>Transition to Production</v>
      </c>
      <c r="C74" s="10" t="str">
        <f>[3]Reporting!F45</f>
        <v>Rhea Mae (Ming) Tangcay</v>
      </c>
      <c r="D74" cm="1">
        <f t="array" ref="D74">--(SUM(COUNTIF(B74,{"*nest*","*grad*","*trans*","*1B*","*1C*"}))&gt;0)</f>
        <v>1</v>
      </c>
      <c r="E74" s="11">
        <f>[3]Performance!Q46</f>
        <v>1</v>
      </c>
      <c r="F74" s="11">
        <f>[3]Performance!R46</f>
        <v>1</v>
      </c>
      <c r="G74" s="11">
        <f>[3]Performance!S46</f>
        <v>0.94</v>
      </c>
      <c r="H74" s="11">
        <f>[3]Performance!T46</f>
        <v>1</v>
      </c>
      <c r="I74" s="11">
        <f>[3]Performance!U46</f>
        <v>1</v>
      </c>
      <c r="J74" s="11" t="str">
        <f>[3]Performance!H46</f>
        <v> </v>
      </c>
      <c r="K74" s="11">
        <f>[3]Performance!I46</f>
        <v>1</v>
      </c>
      <c r="L74" s="11">
        <f>[3]Performance!J46</f>
        <v>1</v>
      </c>
      <c r="M74" s="11" t="str">
        <f>[3]Performance!K46</f>
        <v> </v>
      </c>
      <c r="N74" s="11" t="str">
        <f>[3]Performance!L46</f>
        <v> </v>
      </c>
      <c r="O74" s="11" t="str">
        <f>[3]Performance!M46</f>
        <v> </v>
      </c>
      <c r="P74" s="11" t="str">
        <f>[3]Performance!N46</f>
        <v> </v>
      </c>
      <c r="Q74" s="11" t="str">
        <f>[3]Performance!O46</f>
        <v> </v>
      </c>
      <c r="R74" s="11">
        <f>[3]Performance!P46</f>
        <v>0.88</v>
      </c>
    </row>
    <row r="75" spans="1:20" x14ac:dyDescent="0.3">
      <c r="A75" s="6">
        <f>'[3]Student Data'!M47</f>
        <v>342040</v>
      </c>
      <c r="B75" t="str">
        <f>[3]Reporting!C46</f>
        <v>Resigned Tier 1B</v>
      </c>
      <c r="C75" s="10" t="str">
        <f>[3]Reporting!F46</f>
        <v>Michelle (Mich) Tubil</v>
      </c>
      <c r="D75" cm="1">
        <f t="array" ref="D75">--(SUM(COUNTIF(B75,{"*nest*","*grad*","*trans*","*1B*","*1C*"}))&gt;0)</f>
        <v>1</v>
      </c>
      <c r="E75" s="11">
        <f>[3]Performance!Q47</f>
        <v>1</v>
      </c>
      <c r="F75" s="11">
        <f>[3]Performance!R47</f>
        <v>1</v>
      </c>
      <c r="G75" s="11">
        <f>[3]Performance!S47</f>
        <v>0.94</v>
      </c>
      <c r="H75" s="11">
        <f>[3]Performance!T47</f>
        <v>1</v>
      </c>
      <c r="I75" s="11">
        <f>[3]Performance!U47</f>
        <v>0.98</v>
      </c>
      <c r="J75" s="11" t="str">
        <f>[3]Performance!H47</f>
        <v> </v>
      </c>
      <c r="K75" s="11">
        <f>[3]Performance!I47</f>
        <v>1</v>
      </c>
      <c r="L75" s="11">
        <f>[3]Performance!J47</f>
        <v>1</v>
      </c>
      <c r="M75" s="11" t="str">
        <f>[3]Performance!K47</f>
        <v> </v>
      </c>
      <c r="N75" s="11" t="str">
        <f>[3]Performance!L47</f>
        <v> </v>
      </c>
      <c r="O75" s="11" t="str">
        <f>[3]Performance!M47</f>
        <v> </v>
      </c>
      <c r="P75" s="11">
        <f>[3]Performance!N47</f>
        <v>1</v>
      </c>
      <c r="Q75" s="11">
        <f>[3]Performance!O47</f>
        <v>0</v>
      </c>
      <c r="R75" s="11">
        <f>[3]Performance!P47</f>
        <v>0.88</v>
      </c>
    </row>
    <row r="76" spans="1:20" x14ac:dyDescent="0.3">
      <c r="A76" s="6">
        <f>'[3]Student Data'!M48</f>
        <v>342039</v>
      </c>
      <c r="B76" t="str">
        <f>[3]Reporting!C47</f>
        <v>Did not Start</v>
      </c>
      <c r="C76" s="10" t="str">
        <f>[3]Reporting!F47</f>
        <v>Juvy Rey Villa</v>
      </c>
      <c r="D76" cm="1">
        <f t="array" ref="D76">--(SUM(COUNTIF(B76,{"*nest*","*grad*","*trans*","*1B*","*1C*"}))&gt;0)</f>
        <v>0</v>
      </c>
      <c r="E76" s="11">
        <f>[3]Performance!Q48</f>
        <v>1</v>
      </c>
      <c r="F76" s="11">
        <f>[3]Performance!R48</f>
        <v>1</v>
      </c>
      <c r="G76" s="11">
        <f>[3]Performance!S48</f>
        <v>0.94</v>
      </c>
      <c r="H76" s="11">
        <f>[3]Performance!T48</f>
        <v>1</v>
      </c>
      <c r="I76" s="11">
        <f>[3]Performance!U48</f>
        <v>0.9</v>
      </c>
      <c r="J76" s="11" t="str">
        <f>[3]Performance!H48</f>
        <v> </v>
      </c>
      <c r="K76" s="11">
        <f>[3]Performance!I48</f>
        <v>0.88</v>
      </c>
      <c r="L76" s="11">
        <f>[3]Performance!J48</f>
        <v>1</v>
      </c>
      <c r="M76" s="11" t="str">
        <f>[3]Performance!K48</f>
        <v> </v>
      </c>
      <c r="N76" s="11" t="str">
        <f>[3]Performance!L48</f>
        <v> </v>
      </c>
      <c r="O76" s="11" t="str">
        <f>[3]Performance!M48</f>
        <v> </v>
      </c>
      <c r="P76" s="11">
        <f>[3]Performance!N48</f>
        <v>1</v>
      </c>
      <c r="Q76" s="11" t="str">
        <f>[3]Performance!O48</f>
        <v> </v>
      </c>
      <c r="R76" s="11">
        <f>[3]Performance!P48</f>
        <v>0.94</v>
      </c>
    </row>
    <row r="77" spans="1:20" x14ac:dyDescent="0.3">
      <c r="A77" s="6">
        <f>'[3]Student Data'!M49</f>
        <v>342041</v>
      </c>
      <c r="B77" t="str">
        <f>[3]Reporting!C48</f>
        <v>Transition to Production</v>
      </c>
      <c r="C77" s="10" t="str">
        <f>[3]Reporting!F48</f>
        <v>Kathleen Cleo (KC) Villasanta</v>
      </c>
      <c r="D77" cm="1">
        <f t="array" ref="D77">--(SUM(COUNTIF(B77,{"*nest*","*grad*","*trans*","*1B*","*1C*"}))&gt;0)</f>
        <v>1</v>
      </c>
      <c r="E77" s="11">
        <f>[3]Performance!Q49</f>
        <v>0</v>
      </c>
      <c r="F77" s="11">
        <f>[3]Performance!R49</f>
        <v>0</v>
      </c>
      <c r="G77" s="11">
        <f>[3]Performance!S49</f>
        <v>0</v>
      </c>
      <c r="H77" s="11">
        <f>[3]Performance!T49</f>
        <v>0</v>
      </c>
      <c r="I77" s="11">
        <f>[3]Performance!U49</f>
        <v>0</v>
      </c>
      <c r="J77" s="11" t="str">
        <f>[3]Performance!H49</f>
        <v> </v>
      </c>
      <c r="K77" s="11">
        <f>[3]Performance!I49</f>
        <v>0</v>
      </c>
      <c r="L77" s="11">
        <f>[3]Performance!J49</f>
        <v>0</v>
      </c>
      <c r="M77" s="11" t="str">
        <f>[3]Performance!K49</f>
        <v> </v>
      </c>
      <c r="N77" s="11" t="str">
        <f>[3]Performance!L49</f>
        <v> </v>
      </c>
      <c r="O77" s="11" t="str">
        <f>[3]Performance!M49</f>
        <v> </v>
      </c>
      <c r="P77" s="11">
        <f>[3]Performance!N49</f>
        <v>0</v>
      </c>
      <c r="Q77" s="11" t="str">
        <f>[3]Performance!O49</f>
        <v> </v>
      </c>
      <c r="R77" s="11">
        <f>[3]Performance!P49</f>
        <v>0</v>
      </c>
    </row>
    <row r="78" spans="1:20" x14ac:dyDescent="0.3">
      <c r="A78" s="24">
        <v>45761</v>
      </c>
      <c r="B78" s="9" t="s">
        <v>36</v>
      </c>
      <c r="C78" s="9" t="s">
        <v>21</v>
      </c>
      <c r="D78" s="9">
        <f>SUM(D79:D98)</f>
        <v>18</v>
      </c>
      <c r="E78" s="9">
        <f>COUNTIF(E79:E98, "&gt;79%")</f>
        <v>19</v>
      </c>
      <c r="F78" s="9">
        <f t="shared" ref="F78:R78" si="2">COUNTIF(F79:F98, "&gt;79%")</f>
        <v>19</v>
      </c>
      <c r="G78" s="9">
        <f t="shared" si="2"/>
        <v>18</v>
      </c>
      <c r="H78" s="9">
        <f t="shared" si="2"/>
        <v>19</v>
      </c>
      <c r="I78" s="9">
        <f t="shared" si="2"/>
        <v>18</v>
      </c>
      <c r="J78" s="9">
        <f t="shared" si="2"/>
        <v>0</v>
      </c>
      <c r="K78" s="9">
        <f t="shared" si="2"/>
        <v>19</v>
      </c>
      <c r="L78" s="9">
        <f t="shared" si="2"/>
        <v>19</v>
      </c>
      <c r="M78" s="9">
        <f t="shared" si="2"/>
        <v>0</v>
      </c>
      <c r="N78" s="9">
        <f t="shared" si="2"/>
        <v>0</v>
      </c>
      <c r="O78" s="9">
        <f t="shared" si="2"/>
        <v>0</v>
      </c>
      <c r="P78" s="9">
        <f t="shared" si="2"/>
        <v>19</v>
      </c>
      <c r="Q78" s="9">
        <f t="shared" si="2"/>
        <v>0</v>
      </c>
      <c r="R78" s="9">
        <f t="shared" si="2"/>
        <v>19</v>
      </c>
      <c r="S78" s="9">
        <f t="shared" ref="S78:T78" si="3">COUNTIF(S79:S123, "&gt;79%")</f>
        <v>0</v>
      </c>
      <c r="T78" s="9">
        <f t="shared" si="3"/>
        <v>0</v>
      </c>
    </row>
    <row r="79" spans="1:20" x14ac:dyDescent="0.3">
      <c r="A79" s="6">
        <f>'[4]Student Data'!M5</f>
        <v>342810</v>
      </c>
      <c r="B79" t="str">
        <f>[4]Reporting!C4</f>
        <v>Transition to Production</v>
      </c>
      <c r="C79" s="10" t="str">
        <f>[4]Reporting!F4</f>
        <v>Trixia Anne Abillon</v>
      </c>
      <c r="D79" cm="1">
        <f t="array" ref="D79">--(SUM(COUNTIF(B79,{"*nest*","*grad*","*trans*","*1B*","*1C*"}))&gt;0)</f>
        <v>1</v>
      </c>
      <c r="E79" s="11">
        <f>[4]Performance!Q5</f>
        <v>1</v>
      </c>
      <c r="F79" s="11">
        <f>[4]Performance!R5</f>
        <v>1</v>
      </c>
      <c r="G79" s="11">
        <f>[4]Performance!S5</f>
        <v>1</v>
      </c>
      <c r="H79" s="11">
        <f>[4]Performance!T5</f>
        <v>1</v>
      </c>
      <c r="I79" s="11">
        <f>[4]Performance!U5</f>
        <v>0.86</v>
      </c>
      <c r="J79" t="str">
        <f>[4]Performance!H5</f>
        <v>N/A</v>
      </c>
      <c r="K79">
        <f>[4]Performance!I5</f>
        <v>1</v>
      </c>
      <c r="L79">
        <f>[4]Performance!J5</f>
        <v>1</v>
      </c>
      <c r="M79" t="str">
        <f>[4]Performance!K5</f>
        <v>N/A</v>
      </c>
      <c r="N79" t="str">
        <f>[4]Performance!L5</f>
        <v>N/A</v>
      </c>
      <c r="O79" t="str">
        <f>[4]Performance!M5</f>
        <v>N/A</v>
      </c>
      <c r="P79">
        <f>[4]Performance!N5</f>
        <v>1</v>
      </c>
      <c r="Q79" t="str">
        <f>[4]Performance!O5</f>
        <v>N/A</v>
      </c>
      <c r="R79">
        <f>[4]Performance!P5</f>
        <v>1</v>
      </c>
    </row>
    <row r="80" spans="1:20" x14ac:dyDescent="0.3">
      <c r="A80" s="6">
        <f>'[4]Student Data'!M6</f>
        <v>342804</v>
      </c>
      <c r="B80" t="str">
        <f>[4]Reporting!C5</f>
        <v>Resigned-Nesting 1B</v>
      </c>
      <c r="C80" s="10" t="str">
        <f>[4]Reporting!F5</f>
        <v>Jose Basinillo</v>
      </c>
      <c r="D80" cm="1">
        <f t="array" ref="D80">--(SUM(COUNTIF(B80,{"*nest*","*grad*","*trans*","*1B*","*1C*"}))&gt;0)</f>
        <v>1</v>
      </c>
      <c r="E80" s="11">
        <f>[4]Performance!Q6</f>
        <v>1</v>
      </c>
      <c r="F80" s="11">
        <f>[4]Performance!R6</f>
        <v>1</v>
      </c>
      <c r="G80" s="11">
        <f>[4]Performance!S6</f>
        <v>1</v>
      </c>
      <c r="H80" s="11">
        <f>[4]Performance!T6</f>
        <v>1</v>
      </c>
      <c r="I80" s="11">
        <f>[4]Performance!U6</f>
        <v>0.8</v>
      </c>
      <c r="J80" t="str">
        <f>[4]Performance!H6</f>
        <v>N/A</v>
      </c>
      <c r="K80">
        <f>[4]Performance!I6</f>
        <v>0.88</v>
      </c>
      <c r="L80">
        <f>[4]Performance!J6</f>
        <v>1</v>
      </c>
      <c r="M80" t="str">
        <f>[4]Performance!K6</f>
        <v>N/A</v>
      </c>
      <c r="N80" t="str">
        <f>[4]Performance!L6</f>
        <v>N/A</v>
      </c>
      <c r="O80" t="str">
        <f>[4]Performance!M6</f>
        <v>N/A</v>
      </c>
      <c r="P80">
        <f>[4]Performance!N6</f>
        <v>1</v>
      </c>
      <c r="Q80" t="str">
        <f>[4]Performance!O6</f>
        <v>N/A</v>
      </c>
      <c r="R80">
        <f>[4]Performance!P6</f>
        <v>0.94</v>
      </c>
    </row>
    <row r="81" spans="1:18" x14ac:dyDescent="0.3">
      <c r="A81" s="6">
        <f>'[4]Student Data'!M7</f>
        <v>342800</v>
      </c>
      <c r="B81" t="str">
        <f>[4]Reporting!C6</f>
        <v>Moved/Joining Alternate Class/Program</v>
      </c>
      <c r="C81" s="10" t="str">
        <f>[4]Reporting!F6</f>
        <v>Jasper Bautista</v>
      </c>
      <c r="D81" cm="1">
        <f t="array" ref="D81">--(SUM(COUNTIF(B81,{"*nest*","*grad*","*trans*","*1B*","*1C*"}))&gt;0)</f>
        <v>0</v>
      </c>
      <c r="E81" s="11">
        <f>[4]Performance!Q7</f>
        <v>1</v>
      </c>
      <c r="F81" s="11">
        <f>[4]Performance!R7</f>
        <v>1</v>
      </c>
      <c r="G81" s="11" t="str">
        <f>[4]Performance!S7</f>
        <v>TRANSF</v>
      </c>
      <c r="H81" s="11">
        <f>[4]Performance!T7</f>
        <v>1</v>
      </c>
      <c r="I81" s="11" t="str">
        <f>[4]Performance!U7</f>
        <v>TRANSF</v>
      </c>
      <c r="J81" t="str">
        <f>[4]Performance!H7</f>
        <v>N/A</v>
      </c>
      <c r="K81">
        <f>[4]Performance!I7</f>
        <v>1</v>
      </c>
      <c r="L81">
        <f>[4]Performance!J7</f>
        <v>1</v>
      </c>
      <c r="M81" t="str">
        <f>[4]Performance!K7</f>
        <v>N/A</v>
      </c>
      <c r="N81" t="str">
        <f>[4]Performance!L7</f>
        <v>N/A</v>
      </c>
      <c r="O81" t="str">
        <f>[4]Performance!M7</f>
        <v>N/A</v>
      </c>
      <c r="P81">
        <f>[4]Performance!N7</f>
        <v>1</v>
      </c>
      <c r="Q81" t="str">
        <f>[4]Performance!O7</f>
        <v>N/A</v>
      </c>
      <c r="R81">
        <f>[4]Performance!P7</f>
        <v>1</v>
      </c>
    </row>
    <row r="82" spans="1:18" x14ac:dyDescent="0.3">
      <c r="A82" s="6">
        <f>'[4]Student Data'!M8</f>
        <v>342809</v>
      </c>
      <c r="B82" t="str">
        <f>[4]Reporting!C7</f>
        <v>Transition to Production</v>
      </c>
      <c r="C82" s="10" t="str">
        <f>[4]Reporting!F7</f>
        <v>Ma. Clarisse Cardeno</v>
      </c>
      <c r="D82" cm="1">
        <f t="array" ref="D82">--(SUM(COUNTIF(B82,{"*nest*","*grad*","*trans*","*1B*","*1C*"}))&gt;0)</f>
        <v>1</v>
      </c>
      <c r="E82" s="11">
        <f>[4]Performance!Q8</f>
        <v>1</v>
      </c>
      <c r="F82" s="11">
        <f>[4]Performance!R8</f>
        <v>1</v>
      </c>
      <c r="G82" s="11">
        <f>[4]Performance!S8</f>
        <v>0.88</v>
      </c>
      <c r="H82" s="11">
        <f>[4]Performance!T8</f>
        <v>1</v>
      </c>
      <c r="I82" s="11">
        <f>[4]Performance!U8</f>
        <v>0.9</v>
      </c>
      <c r="J82" t="str">
        <f>[4]Performance!H8</f>
        <v>N/A</v>
      </c>
      <c r="K82">
        <f>[4]Performance!I8</f>
        <v>1</v>
      </c>
      <c r="L82">
        <f>[4]Performance!J8</f>
        <v>1</v>
      </c>
      <c r="M82" t="str">
        <f>[4]Performance!K8</f>
        <v>N/A</v>
      </c>
      <c r="N82" t="str">
        <f>[4]Performance!L8</f>
        <v>N/A</v>
      </c>
      <c r="O82" t="str">
        <f>[4]Performance!M8</f>
        <v>N/A</v>
      </c>
      <c r="P82">
        <f>[4]Performance!N8</f>
        <v>1</v>
      </c>
      <c r="Q82" t="str">
        <f>[4]Performance!O8</f>
        <v>N/A</v>
      </c>
      <c r="R82">
        <f>[4]Performance!P8</f>
        <v>1</v>
      </c>
    </row>
    <row r="83" spans="1:18" x14ac:dyDescent="0.3">
      <c r="A83" s="6">
        <f>'[4]Student Data'!M9</f>
        <v>342803</v>
      </c>
      <c r="B83" t="str">
        <f>[4]Reporting!C8</f>
        <v>Resigned-Nesting 1A</v>
      </c>
      <c r="C83" s="10" t="str">
        <f>[4]Reporting!F8</f>
        <v>John Paulo Castillo</v>
      </c>
      <c r="D83" cm="1">
        <f t="array" ref="D83">--(SUM(COUNTIF(B83,{"*nest*","*grad*","*trans*","*1B*","*1C*"}))&gt;0)</f>
        <v>1</v>
      </c>
      <c r="E83" s="11">
        <f>[4]Performance!Q9</f>
        <v>1</v>
      </c>
      <c r="F83" s="11">
        <f>[4]Performance!R9</f>
        <v>1</v>
      </c>
      <c r="G83" s="11">
        <f>[4]Performance!S9</f>
        <v>0.94</v>
      </c>
      <c r="H83" s="11">
        <f>[4]Performance!T9</f>
        <v>0.8</v>
      </c>
      <c r="I83" s="11">
        <f>[4]Performance!U9</f>
        <v>1</v>
      </c>
      <c r="J83" t="str">
        <f>[4]Performance!H9</f>
        <v>N/A</v>
      </c>
      <c r="K83">
        <f>[4]Performance!I9</f>
        <v>1</v>
      </c>
      <c r="L83">
        <f>[4]Performance!J9</f>
        <v>1</v>
      </c>
      <c r="M83" t="str">
        <f>[4]Performance!K9</f>
        <v>N/A</v>
      </c>
      <c r="N83" t="str">
        <f>[4]Performance!L9</f>
        <v>N/A</v>
      </c>
      <c r="O83" t="str">
        <f>[4]Performance!M9</f>
        <v>N/A</v>
      </c>
      <c r="P83">
        <f>[4]Performance!N9</f>
        <v>1</v>
      </c>
      <c r="Q83" t="str">
        <f>[4]Performance!O9</f>
        <v>N/A</v>
      </c>
      <c r="R83">
        <f>[4]Performance!P9</f>
        <v>1</v>
      </c>
    </row>
    <row r="84" spans="1:18" x14ac:dyDescent="0.3">
      <c r="A84" s="6">
        <f>'[4]Student Data'!M10</f>
        <v>342794</v>
      </c>
      <c r="B84" t="str">
        <f>[4]Reporting!C9</f>
        <v>Transition to Production</v>
      </c>
      <c r="C84" s="10" t="str">
        <f>[4]Reporting!F9</f>
        <v>Cathrina Dizon</v>
      </c>
      <c r="D84" cm="1">
        <f t="array" ref="D84">--(SUM(COUNTIF(B84,{"*nest*","*grad*","*trans*","*1B*","*1C*"}))&gt;0)</f>
        <v>1</v>
      </c>
      <c r="E84" s="11">
        <f>[4]Performance!Q10</f>
        <v>1</v>
      </c>
      <c r="F84" s="11">
        <f>[4]Performance!R10</f>
        <v>1</v>
      </c>
      <c r="G84" s="11">
        <f>[4]Performance!S10</f>
        <v>0.88</v>
      </c>
      <c r="H84" s="11">
        <f>[4]Performance!T10</f>
        <v>1</v>
      </c>
      <c r="I84" s="11">
        <f>[4]Performance!U10</f>
        <v>0.83</v>
      </c>
      <c r="J84" t="str">
        <f>[4]Performance!H10</f>
        <v>N/A</v>
      </c>
      <c r="K84">
        <f>[4]Performance!I10</f>
        <v>1</v>
      </c>
      <c r="L84">
        <f>[4]Performance!J10</f>
        <v>1</v>
      </c>
      <c r="M84" t="str">
        <f>[4]Performance!K10</f>
        <v>N/A</v>
      </c>
      <c r="N84" t="str">
        <f>[4]Performance!L10</f>
        <v>N/A</v>
      </c>
      <c r="O84" t="str">
        <f>[4]Performance!M10</f>
        <v>N/A</v>
      </c>
      <c r="P84">
        <f>[4]Performance!N10</f>
        <v>1</v>
      </c>
      <c r="Q84" t="str">
        <f>[4]Performance!O10</f>
        <v>N/A</v>
      </c>
      <c r="R84">
        <f>[4]Performance!P10</f>
        <v>0.94</v>
      </c>
    </row>
    <row r="85" spans="1:18" x14ac:dyDescent="0.3">
      <c r="A85" s="6">
        <f>'[4]Student Data'!M11</f>
        <v>342792</v>
      </c>
      <c r="B85" t="str">
        <f>[4]Reporting!C10</f>
        <v>Transition to Production</v>
      </c>
      <c r="C85" s="10" t="str">
        <f>[4]Reporting!F10</f>
        <v>Carmae Rose Fabros</v>
      </c>
      <c r="D85" cm="1">
        <f t="array" ref="D85">--(SUM(COUNTIF(B85,{"*nest*","*grad*","*trans*","*1B*","*1C*"}))&gt;0)</f>
        <v>1</v>
      </c>
      <c r="E85" s="11">
        <f>[4]Performance!Q11</f>
        <v>1</v>
      </c>
      <c r="F85" s="11">
        <f>[4]Performance!R11</f>
        <v>1</v>
      </c>
      <c r="G85" s="11">
        <f>[4]Performance!S11</f>
        <v>0.94</v>
      </c>
      <c r="H85" s="11">
        <f>[4]Performance!T11</f>
        <v>0.8</v>
      </c>
      <c r="I85" s="11">
        <f>[4]Performance!U11</f>
        <v>1</v>
      </c>
      <c r="J85" t="str">
        <f>[4]Performance!H11</f>
        <v>N/A</v>
      </c>
      <c r="K85">
        <f>[4]Performance!I11</f>
        <v>0.88</v>
      </c>
      <c r="L85">
        <f>[4]Performance!J11</f>
        <v>1</v>
      </c>
      <c r="M85" t="str">
        <f>[4]Performance!K11</f>
        <v>N/A</v>
      </c>
      <c r="N85" t="str">
        <f>[4]Performance!L11</f>
        <v>N/A</v>
      </c>
      <c r="O85" t="str">
        <f>[4]Performance!M11</f>
        <v>N/A</v>
      </c>
      <c r="P85">
        <f>[4]Performance!N11</f>
        <v>1</v>
      </c>
      <c r="Q85" t="str">
        <f>[4]Performance!O11</f>
        <v>N/A</v>
      </c>
      <c r="R85">
        <f>[4]Performance!P11</f>
        <v>0.82</v>
      </c>
    </row>
    <row r="86" spans="1:18" x14ac:dyDescent="0.3">
      <c r="A86" s="6">
        <f>'[4]Student Data'!M12</f>
        <v>342807</v>
      </c>
      <c r="B86" t="str">
        <f>[4]Reporting!C11</f>
        <v>Transition to Production</v>
      </c>
      <c r="C86" s="10" t="str">
        <f>[4]Reporting!F11</f>
        <v>Joyce Jimenez</v>
      </c>
      <c r="D86" cm="1">
        <f t="array" ref="D86">--(SUM(COUNTIF(B86,{"*nest*","*grad*","*trans*","*1B*","*1C*"}))&gt;0)</f>
        <v>1</v>
      </c>
      <c r="E86" s="11">
        <f>[4]Performance!Q12</f>
        <v>1</v>
      </c>
      <c r="F86" s="11">
        <f>[4]Performance!R12</f>
        <v>1</v>
      </c>
      <c r="G86" s="11">
        <f>[4]Performance!S12</f>
        <v>0.84</v>
      </c>
      <c r="H86" s="11">
        <f>[4]Performance!T12</f>
        <v>1</v>
      </c>
      <c r="I86" s="11">
        <f>[4]Performance!U12</f>
        <v>0.94</v>
      </c>
      <c r="J86" t="str">
        <f>[4]Performance!H12</f>
        <v>N/A</v>
      </c>
      <c r="K86">
        <f>[4]Performance!I12</f>
        <v>1</v>
      </c>
      <c r="L86">
        <f>[4]Performance!J12</f>
        <v>1</v>
      </c>
      <c r="M86" t="str">
        <f>[4]Performance!K12</f>
        <v>N/A</v>
      </c>
      <c r="N86" t="str">
        <f>[4]Performance!L12</f>
        <v>N/A</v>
      </c>
      <c r="O86" t="str">
        <f>[4]Performance!M12</f>
        <v>N/A</v>
      </c>
      <c r="P86">
        <f>[4]Performance!N12</f>
        <v>1</v>
      </c>
      <c r="Q86" t="str">
        <f>[4]Performance!O12</f>
        <v>N/A</v>
      </c>
      <c r="R86">
        <f>[4]Performance!P12</f>
        <v>0.9</v>
      </c>
    </row>
    <row r="87" spans="1:18" x14ac:dyDescent="0.3">
      <c r="A87" s="6">
        <f>'[4]Student Data'!M13</f>
        <v>342796</v>
      </c>
      <c r="B87" t="str">
        <f>[4]Reporting!C12</f>
        <v>Transition to Production</v>
      </c>
      <c r="C87" s="10" t="str">
        <f>[4]Reporting!F12</f>
        <v>Carol Joy Macawili-Gatbonton</v>
      </c>
      <c r="D87" cm="1">
        <f t="array" ref="D87">--(SUM(COUNTIF(B87,{"*nest*","*grad*","*trans*","*1B*","*1C*"}))&gt;0)</f>
        <v>1</v>
      </c>
      <c r="E87" s="11">
        <f>[4]Performance!Q13</f>
        <v>1</v>
      </c>
      <c r="F87" s="11">
        <f>[4]Performance!R13</f>
        <v>1</v>
      </c>
      <c r="G87" s="11">
        <f>[4]Performance!S13</f>
        <v>1</v>
      </c>
      <c r="H87" s="11">
        <f>[4]Performance!T13</f>
        <v>1</v>
      </c>
      <c r="I87" s="11">
        <f>[4]Performance!U13</f>
        <v>0.81</v>
      </c>
      <c r="J87" t="str">
        <f>[4]Performance!H13</f>
        <v>N/A</v>
      </c>
      <c r="K87">
        <f>[4]Performance!I13</f>
        <v>1</v>
      </c>
      <c r="L87">
        <f>[4]Performance!J13</f>
        <v>1</v>
      </c>
      <c r="M87" t="str">
        <f>[4]Performance!K13</f>
        <v>N/A</v>
      </c>
      <c r="N87" t="str">
        <f>[4]Performance!L13</f>
        <v>N/A</v>
      </c>
      <c r="O87" t="str">
        <f>[4]Performance!M13</f>
        <v>N/A</v>
      </c>
      <c r="P87">
        <f>[4]Performance!N13</f>
        <v>1</v>
      </c>
      <c r="Q87" t="str">
        <f>[4]Performance!O13</f>
        <v>N/A</v>
      </c>
      <c r="R87">
        <f>[4]Performance!P13</f>
        <v>0.94</v>
      </c>
    </row>
    <row r="88" spans="1:18" x14ac:dyDescent="0.3">
      <c r="A88" s="6">
        <f>'[4]Student Data'!M14</f>
        <v>342801</v>
      </c>
      <c r="B88" t="str">
        <f>[4]Reporting!C13</f>
        <v>Transition to Production</v>
      </c>
      <c r="C88" s="10" t="str">
        <f>[4]Reporting!F13</f>
        <v>Janah Rose Medina</v>
      </c>
      <c r="D88" cm="1">
        <f t="array" ref="D88">--(SUM(COUNTIF(B88,{"*nest*","*grad*","*trans*","*1B*","*1C*"}))&gt;0)</f>
        <v>1</v>
      </c>
      <c r="E88" s="11">
        <f>[4]Performance!Q14</f>
        <v>1</v>
      </c>
      <c r="F88" s="11">
        <f>[4]Performance!R14</f>
        <v>1</v>
      </c>
      <c r="G88" s="11">
        <f>[4]Performance!S14</f>
        <v>0.82</v>
      </c>
      <c r="H88" s="11">
        <f>[4]Performance!T14</f>
        <v>1</v>
      </c>
      <c r="I88" s="11">
        <f>[4]Performance!U14</f>
        <v>0.88</v>
      </c>
      <c r="J88" t="str">
        <f>[4]Performance!H14</f>
        <v>N/A</v>
      </c>
      <c r="K88">
        <f>[4]Performance!I14</f>
        <v>1</v>
      </c>
      <c r="L88">
        <f>[4]Performance!J14</f>
        <v>1</v>
      </c>
      <c r="M88" t="str">
        <f>[4]Performance!K14</f>
        <v>N/A</v>
      </c>
      <c r="N88" t="str">
        <f>[4]Performance!L14</f>
        <v>N/A</v>
      </c>
      <c r="O88" t="str">
        <f>[4]Performance!M14</f>
        <v>N/A</v>
      </c>
      <c r="P88">
        <f>[4]Performance!N14</f>
        <v>1</v>
      </c>
      <c r="Q88" t="str">
        <f>[4]Performance!O14</f>
        <v>N/A</v>
      </c>
      <c r="R88">
        <f>[4]Performance!P14</f>
        <v>1</v>
      </c>
    </row>
    <row r="89" spans="1:18" x14ac:dyDescent="0.3">
      <c r="A89" s="6">
        <f>'[4]Student Data'!M15</f>
        <v>342808</v>
      </c>
      <c r="B89" t="str">
        <f>[4]Reporting!C14</f>
        <v>Resigned-Nesting 3</v>
      </c>
      <c r="C89" s="10" t="str">
        <f>[4]Reporting!F14</f>
        <v>Kaye Najito</v>
      </c>
      <c r="D89" cm="1">
        <f t="array" ref="D89">--(SUM(COUNTIF(B89,{"*nest*","*grad*","*trans*","*1B*","*1C*"}))&gt;0)</f>
        <v>1</v>
      </c>
      <c r="E89" s="11">
        <f>[4]Performance!Q15</f>
        <v>1</v>
      </c>
      <c r="F89" s="11">
        <f>[4]Performance!R15</f>
        <v>1</v>
      </c>
      <c r="G89" s="11">
        <f>[4]Performance!S15</f>
        <v>0.9</v>
      </c>
      <c r="H89" s="11">
        <f>[4]Performance!T15</f>
        <v>1</v>
      </c>
      <c r="I89" s="11">
        <f>[4]Performance!U15</f>
        <v>0.86</v>
      </c>
      <c r="J89" t="str">
        <f>[4]Performance!H15</f>
        <v>N/A</v>
      </c>
      <c r="K89">
        <f>[4]Performance!I15</f>
        <v>1</v>
      </c>
      <c r="L89">
        <f>[4]Performance!J15</f>
        <v>1</v>
      </c>
      <c r="M89" t="str">
        <f>[4]Performance!K15</f>
        <v>N/A</v>
      </c>
      <c r="N89" t="str">
        <f>[4]Performance!L15</f>
        <v>N/A</v>
      </c>
      <c r="O89" t="str">
        <f>[4]Performance!M15</f>
        <v>N/A</v>
      </c>
      <c r="P89">
        <f>[4]Performance!N15</f>
        <v>1</v>
      </c>
      <c r="Q89" t="str">
        <f>[4]Performance!O15</f>
        <v>N/A</v>
      </c>
      <c r="R89">
        <f>[4]Performance!P15</f>
        <v>1</v>
      </c>
    </row>
    <row r="90" spans="1:18" x14ac:dyDescent="0.3">
      <c r="A90" s="6">
        <f>'[4]Student Data'!M16</f>
        <v>342805</v>
      </c>
      <c r="B90" t="str">
        <f>[4]Reporting!C15</f>
        <v>Transition to Production</v>
      </c>
      <c r="C90" s="10" t="str">
        <f>[4]Reporting!F15</f>
        <v>John Carlo Nipa</v>
      </c>
      <c r="D90" cm="1">
        <f t="array" ref="D90">--(SUM(COUNTIF(B90,{"*nest*","*grad*","*trans*","*1B*","*1C*"}))&gt;0)</f>
        <v>1</v>
      </c>
      <c r="E90" s="11">
        <f>[4]Performance!Q16</f>
        <v>1</v>
      </c>
      <c r="F90" s="11">
        <f>[4]Performance!R16</f>
        <v>1</v>
      </c>
      <c r="G90" s="11">
        <f>[4]Performance!S16</f>
        <v>1</v>
      </c>
      <c r="H90" s="11">
        <f>[4]Performance!T16</f>
        <v>1</v>
      </c>
      <c r="I90" s="11">
        <f>[4]Performance!U16</f>
        <v>0.81</v>
      </c>
      <c r="J90" t="str">
        <f>[4]Performance!H16</f>
        <v>N/A</v>
      </c>
      <c r="K90">
        <f>[4]Performance!I16</f>
        <v>1</v>
      </c>
      <c r="L90">
        <f>[4]Performance!J16</f>
        <v>1</v>
      </c>
      <c r="M90" t="str">
        <f>[4]Performance!K16</f>
        <v>N/A</v>
      </c>
      <c r="N90" t="str">
        <f>[4]Performance!L16</f>
        <v>N/A</v>
      </c>
      <c r="O90" t="str">
        <f>[4]Performance!M16</f>
        <v>N/A</v>
      </c>
      <c r="P90">
        <f>[4]Performance!N16</f>
        <v>1</v>
      </c>
      <c r="Q90" t="str">
        <f>[4]Performance!O16</f>
        <v>N/A</v>
      </c>
      <c r="R90">
        <f>[4]Performance!P16</f>
        <v>0.94</v>
      </c>
    </row>
    <row r="91" spans="1:18" x14ac:dyDescent="0.3">
      <c r="A91" s="6">
        <f>'[4]Student Data'!M17</f>
        <v>342811</v>
      </c>
      <c r="B91" t="str">
        <f>[4]Reporting!C16</f>
        <v>Transition to Production</v>
      </c>
      <c r="C91" s="10" t="str">
        <f>[4]Reporting!F16</f>
        <v>Ravince Ortilla</v>
      </c>
      <c r="D91" cm="1">
        <f t="array" ref="D91">--(SUM(COUNTIF(B91,{"*nest*","*grad*","*trans*","*1B*","*1C*"}))&gt;0)</f>
        <v>1</v>
      </c>
      <c r="E91" s="11">
        <f>[4]Performance!Q17</f>
        <v>1</v>
      </c>
      <c r="F91" s="11">
        <f>[4]Performance!R17</f>
        <v>1</v>
      </c>
      <c r="G91" s="11">
        <f>[4]Performance!S17</f>
        <v>0.94</v>
      </c>
      <c r="H91" s="11">
        <f>[4]Performance!T17</f>
        <v>1</v>
      </c>
      <c r="I91" s="11">
        <f>[4]Performance!U17</f>
        <v>0.88</v>
      </c>
      <c r="J91" t="str">
        <f>[4]Performance!H17</f>
        <v>N/A</v>
      </c>
      <c r="K91">
        <f>[4]Performance!I17</f>
        <v>1</v>
      </c>
      <c r="L91">
        <f>[4]Performance!J17</f>
        <v>1</v>
      </c>
      <c r="M91" t="str">
        <f>[4]Performance!K17</f>
        <v>N/A</v>
      </c>
      <c r="N91" t="str">
        <f>[4]Performance!L17</f>
        <v>N/A</v>
      </c>
      <c r="O91" t="str">
        <f>[4]Performance!M17</f>
        <v>N/A</v>
      </c>
      <c r="P91">
        <f>[4]Performance!N17</f>
        <v>1</v>
      </c>
      <c r="Q91" t="str">
        <f>[4]Performance!O17</f>
        <v>N/A</v>
      </c>
      <c r="R91">
        <f>[4]Performance!P17</f>
        <v>1</v>
      </c>
    </row>
    <row r="92" spans="1:18" x14ac:dyDescent="0.3">
      <c r="A92" s="6">
        <f>'[4]Student Data'!M18</f>
        <v>0</v>
      </c>
      <c r="B92" t="str">
        <f>[4]Reporting!C17</f>
        <v>Did not Start</v>
      </c>
      <c r="C92" s="10" t="str">
        <f>[4]Reporting!F17</f>
        <v>Katrina Angela Pangan</v>
      </c>
      <c r="D92" cm="1">
        <f t="array" ref="D92">--(SUM(COUNTIF(B92,{"*nest*","*grad*","*trans*","*1B*","*1C*"}))&gt;0)</f>
        <v>0</v>
      </c>
      <c r="E92" s="11" t="str">
        <f>[4]Performance!Q18</f>
        <v>Did not start</v>
      </c>
      <c r="F92" s="11" t="str">
        <f>[4]Performance!R18</f>
        <v>Did not Start</v>
      </c>
      <c r="G92" s="11" t="str">
        <f>[4]Performance!S18</f>
        <v>Did not Start</v>
      </c>
      <c r="H92" s="11" t="str">
        <f>[4]Performance!T18</f>
        <v>Did not Start</v>
      </c>
      <c r="I92" s="11" t="str">
        <f>[4]Performance!U18</f>
        <v>Did not Start</v>
      </c>
      <c r="J92" t="str">
        <f>[4]Performance!H18</f>
        <v>Did not start</v>
      </c>
      <c r="K92" t="str">
        <f>[4]Performance!I18</f>
        <v>Did not start</v>
      </c>
      <c r="L92" t="str">
        <f>[4]Performance!J18</f>
        <v>Did not start</v>
      </c>
      <c r="M92" t="str">
        <f>[4]Performance!K18</f>
        <v>Did not start</v>
      </c>
      <c r="N92" t="str">
        <f>[4]Performance!L18</f>
        <v>Did not start</v>
      </c>
      <c r="O92" t="str">
        <f>[4]Performance!M18</f>
        <v>Did not start</v>
      </c>
      <c r="P92" t="str">
        <f>[4]Performance!N18</f>
        <v>Did not start</v>
      </c>
      <c r="Q92" t="str">
        <f>[4]Performance!O18</f>
        <v>Did not start</v>
      </c>
      <c r="R92" t="str">
        <f>[4]Performance!P18</f>
        <v>Did not start</v>
      </c>
    </row>
    <row r="93" spans="1:18" x14ac:dyDescent="0.3">
      <c r="A93" s="6">
        <f>'[4]Student Data'!M19</f>
        <v>342790</v>
      </c>
      <c r="B93" t="str">
        <f>[4]Reporting!C18</f>
        <v>Transition to Production</v>
      </c>
      <c r="C93" s="10" t="str">
        <f>[4]Reporting!F18</f>
        <v>Allyza Gean Redondo</v>
      </c>
      <c r="D93" cm="1">
        <f t="array" ref="D93">--(SUM(COUNTIF(B93,{"*nest*","*grad*","*trans*","*1B*","*1C*"}))&gt;0)</f>
        <v>1</v>
      </c>
      <c r="E93" s="11">
        <f>[4]Performance!Q19</f>
        <v>1</v>
      </c>
      <c r="F93" s="11">
        <f>[4]Performance!R19</f>
        <v>1</v>
      </c>
      <c r="G93" s="11">
        <f>[4]Performance!S19</f>
        <v>1</v>
      </c>
      <c r="H93" s="11">
        <f>[4]Performance!T19</f>
        <v>1</v>
      </c>
      <c r="I93" s="11">
        <f>[4]Performance!U19</f>
        <v>0.9</v>
      </c>
      <c r="J93" t="str">
        <f>[4]Performance!H19</f>
        <v>N/A</v>
      </c>
      <c r="K93">
        <f>[4]Performance!I19</f>
        <v>0.88</v>
      </c>
      <c r="L93">
        <f>[4]Performance!J19</f>
        <v>1</v>
      </c>
      <c r="M93" t="str">
        <f>[4]Performance!K19</f>
        <v>N/A</v>
      </c>
      <c r="N93" t="str">
        <f>[4]Performance!L19</f>
        <v>N/A</v>
      </c>
      <c r="O93" t="str">
        <f>[4]Performance!M19</f>
        <v>N/A</v>
      </c>
      <c r="P93">
        <f>[4]Performance!N19</f>
        <v>1</v>
      </c>
      <c r="Q93" t="str">
        <f>[4]Performance!O19</f>
        <v>N/A</v>
      </c>
      <c r="R93">
        <f>[4]Performance!P19</f>
        <v>0.94</v>
      </c>
    </row>
    <row r="94" spans="1:18" x14ac:dyDescent="0.3">
      <c r="A94" s="6">
        <f>'[4]Student Data'!M20</f>
        <v>342799</v>
      </c>
      <c r="B94" t="str">
        <f>[4]Reporting!C19</f>
        <v>Transition to Production with SMART plan</v>
      </c>
      <c r="C94" s="10" t="str">
        <f>[4]Reporting!F19</f>
        <v>Gemalou Sicat</v>
      </c>
      <c r="D94" cm="1">
        <f t="array" ref="D94">--(SUM(COUNTIF(B94,{"*nest*","*grad*","*trans*","*1B*","*1C*"}))&gt;0)</f>
        <v>1</v>
      </c>
      <c r="E94" s="11">
        <f>[4]Performance!Q20</f>
        <v>1</v>
      </c>
      <c r="F94" s="11">
        <f>[4]Performance!R20</f>
        <v>1</v>
      </c>
      <c r="G94" s="11">
        <f>[4]Performance!S20</f>
        <v>0.91</v>
      </c>
      <c r="H94" s="11">
        <f>[4]Performance!T20</f>
        <v>1</v>
      </c>
      <c r="I94" s="11">
        <f>[4]Performance!U20</f>
        <v>0.82</v>
      </c>
      <c r="J94" t="str">
        <f>[4]Performance!H20</f>
        <v>N/A</v>
      </c>
      <c r="K94">
        <f>[4]Performance!I20</f>
        <v>1</v>
      </c>
      <c r="L94">
        <f>[4]Performance!J20</f>
        <v>0.8</v>
      </c>
      <c r="M94" t="str">
        <f>[4]Performance!K20</f>
        <v>N/A</v>
      </c>
      <c r="N94" t="str">
        <f>[4]Performance!L20</f>
        <v>N/A</v>
      </c>
      <c r="O94" t="str">
        <f>[4]Performance!M20</f>
        <v>N/A</v>
      </c>
      <c r="P94">
        <f>[4]Performance!N20</f>
        <v>1</v>
      </c>
      <c r="Q94" t="str">
        <f>[4]Performance!O20</f>
        <v>N/A</v>
      </c>
      <c r="R94">
        <f>[4]Performance!P20</f>
        <v>0.97</v>
      </c>
    </row>
    <row r="95" spans="1:18" x14ac:dyDescent="0.3">
      <c r="A95" s="6">
        <f>'[4]Student Data'!M21</f>
        <v>342798</v>
      </c>
      <c r="B95" t="str">
        <f>[4]Reporting!C20</f>
        <v>Transition to Production</v>
      </c>
      <c r="C95" s="10" t="str">
        <f>[4]Reporting!F20</f>
        <v>Dominic Shem Soliva</v>
      </c>
      <c r="D95" cm="1">
        <f t="array" ref="D95">--(SUM(COUNTIF(B95,{"*nest*","*grad*","*trans*","*1B*","*1C*"}))&gt;0)</f>
        <v>1</v>
      </c>
      <c r="E95" s="11">
        <f>[4]Performance!Q21</f>
        <v>1</v>
      </c>
      <c r="F95" s="11">
        <f>[4]Performance!R21</f>
        <v>1</v>
      </c>
      <c r="G95" s="11">
        <f>[4]Performance!S21</f>
        <v>1</v>
      </c>
      <c r="H95" s="11">
        <f>[4]Performance!T21</f>
        <v>1</v>
      </c>
      <c r="I95" s="11">
        <f>[4]Performance!U21</f>
        <v>1</v>
      </c>
      <c r="J95" t="str">
        <f>[4]Performance!H21</f>
        <v>N/A</v>
      </c>
      <c r="K95">
        <f>[4]Performance!I21</f>
        <v>1</v>
      </c>
      <c r="L95">
        <f>[4]Performance!J21</f>
        <v>1</v>
      </c>
      <c r="M95" t="str">
        <f>[4]Performance!K21</f>
        <v>N/A</v>
      </c>
      <c r="N95" t="str">
        <f>[4]Performance!L21</f>
        <v>N/A</v>
      </c>
      <c r="O95" t="str">
        <f>[4]Performance!M21</f>
        <v>N/A</v>
      </c>
      <c r="P95">
        <f>[4]Performance!N21</f>
        <v>1</v>
      </c>
      <c r="Q95" t="str">
        <f>[4]Performance!O21</f>
        <v>N/A</v>
      </c>
      <c r="R95">
        <f>[4]Performance!P21</f>
        <v>1</v>
      </c>
    </row>
    <row r="96" spans="1:18" x14ac:dyDescent="0.3">
      <c r="A96" s="6">
        <f>'[4]Student Data'!M22</f>
        <v>342788</v>
      </c>
      <c r="B96" t="str">
        <f>[4]Reporting!C21</f>
        <v>Transition to Production</v>
      </c>
      <c r="C96" s="10" t="str">
        <f>[4]Reporting!F21</f>
        <v>Adon Khen Vicitacion</v>
      </c>
      <c r="D96" cm="1">
        <f t="array" ref="D96">--(SUM(COUNTIF(B96,{"*nest*","*grad*","*trans*","*1B*","*1C*"}))&gt;0)</f>
        <v>1</v>
      </c>
      <c r="E96" s="11">
        <f>[4]Performance!Q22</f>
        <v>1</v>
      </c>
      <c r="F96" s="11">
        <f>[4]Performance!R22</f>
        <v>1</v>
      </c>
      <c r="G96" s="11">
        <f>[4]Performance!S22</f>
        <v>0.98</v>
      </c>
      <c r="H96" s="11">
        <f>[4]Performance!T22</f>
        <v>1</v>
      </c>
      <c r="I96" s="11">
        <f>[4]Performance!U22</f>
        <v>1</v>
      </c>
      <c r="J96" t="str">
        <f>[4]Performance!H22</f>
        <v>N/A</v>
      </c>
      <c r="K96">
        <f>[4]Performance!I22</f>
        <v>1</v>
      </c>
      <c r="L96">
        <f>[4]Performance!J22</f>
        <v>1</v>
      </c>
      <c r="M96" t="str">
        <f>[4]Performance!K22</f>
        <v>N/A</v>
      </c>
      <c r="N96" t="str">
        <f>[4]Performance!L22</f>
        <v>N/A</v>
      </c>
      <c r="O96" t="str">
        <f>[4]Performance!M22</f>
        <v>N/A</v>
      </c>
      <c r="P96">
        <f>[4]Performance!N22</f>
        <v>1</v>
      </c>
      <c r="Q96" t="str">
        <f>[4]Performance!O22</f>
        <v>N/A</v>
      </c>
      <c r="R96">
        <f>[4]Performance!P22</f>
        <v>0.94</v>
      </c>
    </row>
    <row r="97" spans="1:19" x14ac:dyDescent="0.3">
      <c r="A97" s="6">
        <f>'[4]Student Data'!M23</f>
        <v>342802</v>
      </c>
      <c r="B97" t="str">
        <f>[4]Reporting!C22</f>
        <v>Terminated-Nesting 3</v>
      </c>
      <c r="C97" s="10" t="str">
        <f>[4]Reporting!F22</f>
        <v xml:space="preserve">Erma Villoso </v>
      </c>
      <c r="D97" cm="1">
        <f t="array" ref="D97">--(SUM(COUNTIF(B97,{"*nest*","*grad*","*trans*","*1B*","*1C*"}))&gt;0)</f>
        <v>1</v>
      </c>
      <c r="E97" s="11">
        <f>[4]Performance!Q23</f>
        <v>1</v>
      </c>
      <c r="F97" s="11">
        <f>[4]Performance!R23</f>
        <v>1</v>
      </c>
      <c r="G97" s="11">
        <f>[4]Performance!S23</f>
        <v>0.94</v>
      </c>
      <c r="H97" s="11">
        <f>[4]Performance!T23</f>
        <v>1</v>
      </c>
      <c r="I97" s="11">
        <f>[4]Performance!U23</f>
        <v>0.98</v>
      </c>
      <c r="J97" t="str">
        <f>[4]Performance!H23</f>
        <v>N/A</v>
      </c>
      <c r="K97">
        <f>[4]Performance!I23</f>
        <v>1</v>
      </c>
      <c r="L97">
        <f>[4]Performance!J23</f>
        <v>1</v>
      </c>
      <c r="M97" t="str">
        <f>[4]Performance!K23</f>
        <v>N/A</v>
      </c>
      <c r="N97" t="str">
        <f>[4]Performance!L23</f>
        <v>N/A</v>
      </c>
      <c r="O97" t="str">
        <f>[4]Performance!M23</f>
        <v>N/A</v>
      </c>
      <c r="P97">
        <f>[4]Performance!N23</f>
        <v>1</v>
      </c>
      <c r="Q97" t="str">
        <f>[4]Performance!O23</f>
        <v>N/A</v>
      </c>
      <c r="R97">
        <f>[4]Performance!P23</f>
        <v>0.94</v>
      </c>
    </row>
    <row r="98" spans="1:19" x14ac:dyDescent="0.3">
      <c r="A98" s="6">
        <f>'[4]Student Data'!M24</f>
        <v>341019</v>
      </c>
      <c r="B98" t="str">
        <f>[4]Reporting!C23</f>
        <v>Resigned-Nesting 3</v>
      </c>
      <c r="C98" s="10" t="str">
        <f>[4]Reporting!F23</f>
        <v>Leramel Cage Ramirez</v>
      </c>
      <c r="D98" cm="1">
        <f t="array" ref="D98">--(SUM(COUNTIF(B98,{"*nest*","*grad*","*trans*","*1B*","*1C*"}))&gt;0)</f>
        <v>1</v>
      </c>
      <c r="E98" s="11">
        <f>[4]Performance!Q24</f>
        <v>1</v>
      </c>
      <c r="F98" s="11">
        <f>[4]Performance!R24</f>
        <v>1</v>
      </c>
      <c r="G98" s="11">
        <f>[4]Performance!S24</f>
        <v>1</v>
      </c>
      <c r="H98" s="11">
        <f>[4]Performance!T24</f>
        <v>0.82</v>
      </c>
      <c r="I98" s="11">
        <f>[4]Performance!U24</f>
        <v>0.9</v>
      </c>
      <c r="J98" t="str">
        <f>[4]Performance!H24</f>
        <v>N/A</v>
      </c>
      <c r="K98">
        <f>[4]Performance!I24</f>
        <v>1</v>
      </c>
      <c r="L98">
        <f>[4]Performance!J24</f>
        <v>0.88</v>
      </c>
      <c r="M98" t="str">
        <f>[4]Performance!K24</f>
        <v>N/A</v>
      </c>
      <c r="N98" t="str">
        <f>[4]Performance!L24</f>
        <v>N/A</v>
      </c>
      <c r="O98" t="str">
        <f>[4]Performance!M24</f>
        <v>N/A</v>
      </c>
      <c r="P98">
        <f>[4]Performance!N24</f>
        <v>1</v>
      </c>
      <c r="Q98" t="str">
        <f>[4]Performance!O24</f>
        <v>N/A</v>
      </c>
      <c r="R98">
        <f>[4]Performance!P24</f>
        <v>0.88</v>
      </c>
    </row>
    <row r="99" spans="1:19" x14ac:dyDescent="0.3">
      <c r="A99" s="24">
        <v>45768</v>
      </c>
      <c r="B99" s="9" t="s">
        <v>34</v>
      </c>
      <c r="C99" s="9" t="s">
        <v>30</v>
      </c>
      <c r="D99" s="9">
        <f>SUM(D100:D118)</f>
        <v>18</v>
      </c>
      <c r="E99" s="9">
        <f>COUNTIF(E100:E118, "&gt;79%")</f>
        <v>19</v>
      </c>
      <c r="F99" s="9">
        <f t="shared" ref="F99:R99" si="4">COUNTIF(F100:F118, "&gt;79%")</f>
        <v>19</v>
      </c>
      <c r="G99" s="9">
        <f t="shared" si="4"/>
        <v>18</v>
      </c>
      <c r="H99" s="9">
        <f t="shared" si="4"/>
        <v>19</v>
      </c>
      <c r="I99" s="9">
        <f t="shared" si="4"/>
        <v>18</v>
      </c>
      <c r="J99" s="9">
        <f t="shared" si="4"/>
        <v>19</v>
      </c>
      <c r="K99" s="9">
        <f t="shared" si="4"/>
        <v>19</v>
      </c>
      <c r="L99" s="9">
        <f t="shared" si="4"/>
        <v>19</v>
      </c>
      <c r="M99" s="9">
        <f t="shared" si="4"/>
        <v>19</v>
      </c>
      <c r="N99" s="9">
        <f t="shared" si="4"/>
        <v>19</v>
      </c>
      <c r="O99" s="9">
        <f t="shared" si="4"/>
        <v>19</v>
      </c>
      <c r="P99" s="9">
        <f t="shared" si="4"/>
        <v>19</v>
      </c>
      <c r="Q99" s="9">
        <f t="shared" si="4"/>
        <v>19</v>
      </c>
      <c r="R99" s="9">
        <f t="shared" si="4"/>
        <v>19</v>
      </c>
      <c r="S99" s="9">
        <f t="shared" ref="S99" si="5">COUNTIF(S100:S144, "&gt;79%")</f>
        <v>0</v>
      </c>
    </row>
    <row r="100" spans="1:19" x14ac:dyDescent="0.3">
      <c r="A100" s="6">
        <f>'[5]Student Data'!M5</f>
        <v>40379</v>
      </c>
      <c r="B100" t="str">
        <f>[5]Reporting!C4</f>
        <v>Transition to Production</v>
      </c>
      <c r="C100" s="10" t="str">
        <f>[5]Reporting!F4</f>
        <v>Lesly (Lex) Proidel</v>
      </c>
      <c r="D100" cm="1">
        <f t="array" ref="D100">--(SUM(COUNTIF(B100,{"*nest*","*grad*","*trans*","*1B*","*1C*"}))&gt;0)</f>
        <v>1</v>
      </c>
      <c r="E100" s="11">
        <f>[5]Performance!Q5</f>
        <v>1</v>
      </c>
      <c r="F100" s="11">
        <f>[5]Performance!R5</f>
        <v>1</v>
      </c>
      <c r="G100" s="11">
        <f>[5]Performance!S5</f>
        <v>1</v>
      </c>
      <c r="H100" s="11">
        <f>[5]Performance!T5</f>
        <v>1</v>
      </c>
      <c r="I100" s="11">
        <f>[5]Performance!U5</f>
        <v>0.89</v>
      </c>
      <c r="J100" s="11">
        <f>[5]Performance!H5</f>
        <v>1</v>
      </c>
      <c r="K100" s="11">
        <f>[5]Performance!I5</f>
        <v>0.88</v>
      </c>
      <c r="L100" s="11">
        <f>[5]Performance!J5</f>
        <v>0.8</v>
      </c>
      <c r="M100" s="11">
        <f>[5]Performance!K5</f>
        <v>1</v>
      </c>
      <c r="N100" s="11">
        <f>[5]Performance!L5</f>
        <v>1</v>
      </c>
      <c r="O100" s="11">
        <f>[5]Performance!M5</f>
        <v>1</v>
      </c>
      <c r="P100" s="11">
        <f>[5]Performance!N5</f>
        <v>1</v>
      </c>
      <c r="Q100" s="11">
        <f>[5]Performance!O5</f>
        <v>1</v>
      </c>
      <c r="R100" s="11">
        <f>[5]Performance!P5</f>
        <v>0.94</v>
      </c>
    </row>
    <row r="101" spans="1:19" x14ac:dyDescent="0.3">
      <c r="A101" s="6">
        <f>'[5]Student Data'!M6</f>
        <v>40529</v>
      </c>
      <c r="B101" t="str">
        <f>[5]Reporting!C5</f>
        <v>Resigned-Nesting 3</v>
      </c>
      <c r="C101" s="10" t="str">
        <f>[5]Reporting!F5</f>
        <v>Zineb Kassem-Baraka</v>
      </c>
      <c r="D101" cm="1">
        <f t="array" ref="D101">--(SUM(COUNTIF(B101,{"*nest*","*grad*","*trans*","*1B*","*1C*"}))&gt;0)</f>
        <v>1</v>
      </c>
      <c r="E101" s="11">
        <f>[5]Performance!Q6</f>
        <v>1</v>
      </c>
      <c r="F101" s="11">
        <f>[5]Performance!R6</f>
        <v>1</v>
      </c>
      <c r="G101" s="11">
        <f>[5]Performance!S6</f>
        <v>0.83</v>
      </c>
      <c r="H101" s="11">
        <f>[5]Performance!T6</f>
        <v>1</v>
      </c>
      <c r="I101" s="11">
        <f>[5]Performance!U6</f>
        <v>0.9</v>
      </c>
      <c r="J101" s="11">
        <f>[5]Performance!H6</f>
        <v>1</v>
      </c>
      <c r="K101" s="11">
        <f>[5]Performance!I6</f>
        <v>1</v>
      </c>
      <c r="L101" s="11">
        <f>[5]Performance!J6</f>
        <v>1</v>
      </c>
      <c r="M101" s="11">
        <f>[5]Performance!K6</f>
        <v>1</v>
      </c>
      <c r="N101" s="11">
        <f>[5]Performance!L6</f>
        <v>1</v>
      </c>
      <c r="O101" s="11">
        <f>[5]Performance!M6</f>
        <v>1</v>
      </c>
      <c r="P101" s="11">
        <f>[5]Performance!N6</f>
        <v>1</v>
      </c>
      <c r="Q101" s="11">
        <f>[5]Performance!O6</f>
        <v>0.91</v>
      </c>
      <c r="R101" s="11">
        <f>[5]Performance!P6</f>
        <v>0.82</v>
      </c>
    </row>
    <row r="102" spans="1:19" x14ac:dyDescent="0.3">
      <c r="A102" s="6">
        <f>'[5]Student Data'!M7</f>
        <v>40530</v>
      </c>
      <c r="B102" t="str">
        <f>[5]Reporting!C6</f>
        <v>Resigned-Nesting 1A</v>
      </c>
      <c r="C102" s="10" t="str">
        <f>[5]Reporting!F6</f>
        <v>Kamanzi (Guillet) Guillet</v>
      </c>
      <c r="D102" cm="1">
        <f t="array" ref="D102">--(SUM(COUNTIF(B102,{"*nest*","*grad*","*trans*","*1B*","*1C*"}))&gt;0)</f>
        <v>1</v>
      </c>
      <c r="E102" s="11">
        <f>[5]Performance!Q7</f>
        <v>1</v>
      </c>
      <c r="F102" s="11">
        <f>[5]Performance!R7</f>
        <v>1</v>
      </c>
      <c r="G102" s="11">
        <f>[5]Performance!S7</f>
        <v>0.88</v>
      </c>
      <c r="H102" s="11">
        <f>[5]Performance!T7</f>
        <v>1</v>
      </c>
      <c r="I102" s="11">
        <f>[5]Performance!U7</f>
        <v>0.92</v>
      </c>
      <c r="J102" s="11">
        <f>[5]Performance!H7</f>
        <v>1</v>
      </c>
      <c r="K102" s="11">
        <f>[5]Performance!I7</f>
        <v>0.88</v>
      </c>
      <c r="L102" s="11">
        <f>[5]Performance!J7</f>
        <v>1</v>
      </c>
      <c r="M102" s="11">
        <f>[5]Performance!K7</f>
        <v>1</v>
      </c>
      <c r="N102" s="11">
        <f>[5]Performance!L7</f>
        <v>0.89</v>
      </c>
      <c r="O102" s="11">
        <f>[5]Performance!M7</f>
        <v>1</v>
      </c>
      <c r="P102" s="11">
        <f>[5]Performance!N7</f>
        <v>1</v>
      </c>
      <c r="Q102" s="11">
        <f>[5]Performance!O7</f>
        <v>0.87</v>
      </c>
      <c r="R102" s="11">
        <f>[5]Performance!P7</f>
        <v>0.94</v>
      </c>
    </row>
    <row r="103" spans="1:19" x14ac:dyDescent="0.3">
      <c r="A103" s="6">
        <f>'[5]Student Data'!M8</f>
        <v>40531</v>
      </c>
      <c r="B103" t="str">
        <f>[5]Reporting!C7</f>
        <v>Transition to Production with SMART plan</v>
      </c>
      <c r="C103" s="10" t="str">
        <f>[5]Reporting!F7</f>
        <v>Ilka Ingabire Bukuru</v>
      </c>
      <c r="D103" cm="1">
        <f t="array" ref="D103">--(SUM(COUNTIF(B103,{"*nest*","*grad*","*trans*","*1B*","*1C*"}))&gt;0)</f>
        <v>1</v>
      </c>
      <c r="E103" s="11">
        <f>[5]Performance!Q8</f>
        <v>1</v>
      </c>
      <c r="F103" s="11">
        <f>[5]Performance!R8</f>
        <v>1</v>
      </c>
      <c r="G103" s="11">
        <f>[5]Performance!S8</f>
        <v>0.9</v>
      </c>
      <c r="H103" s="11">
        <f>[5]Performance!T8</f>
        <v>0.8</v>
      </c>
      <c r="I103" s="11">
        <f>[5]Performance!U8</f>
        <v>0.9</v>
      </c>
      <c r="J103" s="11">
        <f>[5]Performance!H8</f>
        <v>1</v>
      </c>
      <c r="K103" s="11">
        <f>[5]Performance!I8</f>
        <v>0.89</v>
      </c>
      <c r="L103" s="11">
        <f>[5]Performance!J8</f>
        <v>1</v>
      </c>
      <c r="M103" s="11">
        <f>[5]Performance!K8</f>
        <v>1</v>
      </c>
      <c r="N103" s="11">
        <f>[5]Performance!L8</f>
        <v>0.89</v>
      </c>
      <c r="O103" s="11">
        <f>[5]Performance!M8</f>
        <v>1</v>
      </c>
      <c r="P103" s="11">
        <f>[5]Performance!N8</f>
        <v>1</v>
      </c>
      <c r="Q103" s="11">
        <f>[5]Performance!O8</f>
        <v>0.87</v>
      </c>
      <c r="R103" s="11">
        <f>[5]Performance!P8</f>
        <v>0.82</v>
      </c>
    </row>
    <row r="104" spans="1:19" x14ac:dyDescent="0.3">
      <c r="A104" s="6">
        <f>'[5]Student Data'!M9</f>
        <v>40532</v>
      </c>
      <c r="B104" t="str">
        <f>[5]Reporting!C8</f>
        <v>Terminated-Nesting 3</v>
      </c>
      <c r="C104" s="10" t="str">
        <f>[5]Reporting!F8</f>
        <v>Bélise Mujeneza</v>
      </c>
      <c r="D104" cm="1">
        <f t="array" ref="D104">--(SUM(COUNTIF(B104,{"*nest*","*grad*","*trans*","*1B*","*1C*"}))&gt;0)</f>
        <v>1</v>
      </c>
      <c r="E104" s="11">
        <f>[5]Performance!Q9</f>
        <v>1</v>
      </c>
      <c r="F104" s="11">
        <f>[5]Performance!R9</f>
        <v>1</v>
      </c>
      <c r="G104" s="11">
        <f>[5]Performance!S9</f>
        <v>0.81</v>
      </c>
      <c r="H104" s="11">
        <f>[5]Performance!T9</f>
        <v>0.8</v>
      </c>
      <c r="I104" s="11">
        <f>[5]Performance!U9</f>
        <v>1</v>
      </c>
      <c r="J104" s="11">
        <f>[5]Performance!H9</f>
        <v>1</v>
      </c>
      <c r="K104" s="11">
        <f>[5]Performance!I9</f>
        <v>1</v>
      </c>
      <c r="L104" s="11">
        <f>[5]Performance!J9</f>
        <v>0.94</v>
      </c>
      <c r="M104" s="11">
        <f>[5]Performance!K9</f>
        <v>1</v>
      </c>
      <c r="N104" s="11">
        <f>[5]Performance!L9</f>
        <v>1</v>
      </c>
      <c r="O104" s="11">
        <f>[5]Performance!M9</f>
        <v>1</v>
      </c>
      <c r="P104" s="11">
        <f>[5]Performance!N9</f>
        <v>0.94</v>
      </c>
      <c r="Q104" s="11">
        <f>[5]Performance!O9</f>
        <v>1</v>
      </c>
      <c r="R104" s="11">
        <f>[5]Performance!P9</f>
        <v>0.82</v>
      </c>
    </row>
    <row r="105" spans="1:19" x14ac:dyDescent="0.3">
      <c r="A105" s="6">
        <f>'[5]Student Data'!M10</f>
        <v>40533</v>
      </c>
      <c r="B105" t="str">
        <f>[5]Reporting!C9</f>
        <v>Transition to Production with SMART plan</v>
      </c>
      <c r="C105" s="10" t="str">
        <f>[5]Reporting!F9</f>
        <v>Gisele Umuhoza Karuranga</v>
      </c>
      <c r="D105" cm="1">
        <f t="array" ref="D105">--(SUM(COUNTIF(B105,{"*nest*","*grad*","*trans*","*1B*","*1C*"}))&gt;0)</f>
        <v>1</v>
      </c>
      <c r="E105" s="11">
        <f>[5]Performance!Q10</f>
        <v>1</v>
      </c>
      <c r="F105" s="11">
        <f>[5]Performance!R10</f>
        <v>1</v>
      </c>
      <c r="G105" s="11">
        <f>[5]Performance!S10</f>
        <v>1</v>
      </c>
      <c r="H105" s="11">
        <f>[5]Performance!T10</f>
        <v>1</v>
      </c>
      <c r="I105" s="11">
        <f>[5]Performance!U10</f>
        <v>0.88</v>
      </c>
      <c r="J105" s="11">
        <f>[5]Performance!H10</f>
        <v>1</v>
      </c>
      <c r="K105" s="11">
        <f>[5]Performance!I10</f>
        <v>0.89</v>
      </c>
      <c r="L105" s="11">
        <f>[5]Performance!J10</f>
        <v>0.8</v>
      </c>
      <c r="M105" s="11">
        <f>[5]Performance!K10</f>
        <v>1</v>
      </c>
      <c r="N105" s="11">
        <f>[5]Performance!L10</f>
        <v>1</v>
      </c>
      <c r="O105" s="11">
        <f>[5]Performance!M10</f>
        <v>1</v>
      </c>
      <c r="P105" s="11">
        <f>[5]Performance!N10</f>
        <v>1</v>
      </c>
      <c r="Q105" s="11">
        <f>[5]Performance!O10</f>
        <v>0.91</v>
      </c>
      <c r="R105" s="11">
        <f>[5]Performance!P10</f>
        <v>1</v>
      </c>
    </row>
    <row r="106" spans="1:19" x14ac:dyDescent="0.3">
      <c r="A106" s="6">
        <f>'[5]Student Data'!M11</f>
        <v>40534</v>
      </c>
      <c r="B106" t="str">
        <f>[5]Reporting!C10</f>
        <v>Transition to Production</v>
      </c>
      <c r="C106" s="10" t="str">
        <f>[5]Reporting!F10</f>
        <v>Romuald (Romy) Kouka Bounzimbou</v>
      </c>
      <c r="D106" cm="1">
        <f t="array" ref="D106">--(SUM(COUNTIF(B106,{"*nest*","*grad*","*trans*","*1B*","*1C*"}))&gt;0)</f>
        <v>1</v>
      </c>
      <c r="E106" s="11">
        <f>[5]Performance!Q11</f>
        <v>1</v>
      </c>
      <c r="F106" s="11">
        <f>[5]Performance!R11</f>
        <v>1</v>
      </c>
      <c r="G106" s="11">
        <f>[5]Performance!S11</f>
        <v>0.82</v>
      </c>
      <c r="H106" s="11">
        <f>[5]Performance!T11</f>
        <v>0.8</v>
      </c>
      <c r="I106" s="11">
        <f>[5]Performance!U11</f>
        <v>0.84</v>
      </c>
      <c r="J106" s="11">
        <f>[5]Performance!H11</f>
        <v>1</v>
      </c>
      <c r="K106" s="11">
        <f>[5]Performance!I11</f>
        <v>0.88</v>
      </c>
      <c r="L106" s="11">
        <f>[5]Performance!J11</f>
        <v>1</v>
      </c>
      <c r="M106" s="11">
        <f>[5]Performance!K11</f>
        <v>1</v>
      </c>
      <c r="N106" s="11">
        <f>[5]Performance!L11</f>
        <v>0.88</v>
      </c>
      <c r="O106" s="11">
        <f>[5]Performance!M11</f>
        <v>1</v>
      </c>
      <c r="P106" s="11">
        <f>[5]Performance!N11</f>
        <v>1</v>
      </c>
      <c r="Q106" s="11">
        <f>[5]Performance!O11</f>
        <v>1</v>
      </c>
      <c r="R106" s="11">
        <f>[5]Performance!P11</f>
        <v>0.85</v>
      </c>
    </row>
    <row r="107" spans="1:19" x14ac:dyDescent="0.3">
      <c r="A107" s="6">
        <f>'[5]Student Data'!M12</f>
        <v>40535</v>
      </c>
      <c r="B107" t="str">
        <f>[5]Reporting!C11</f>
        <v>Transition to Production with SMART plan</v>
      </c>
      <c r="C107" s="10" t="str">
        <f>[5]Reporting!F11</f>
        <v>Stephanie Musau</v>
      </c>
      <c r="D107" cm="1">
        <f t="array" ref="D107">--(SUM(COUNTIF(B107,{"*nest*","*grad*","*trans*","*1B*","*1C*"}))&gt;0)</f>
        <v>1</v>
      </c>
      <c r="E107" s="11">
        <f>[5]Performance!Q12</f>
        <v>1</v>
      </c>
      <c r="F107" s="11">
        <f>[5]Performance!R12</f>
        <v>1</v>
      </c>
      <c r="G107" s="11">
        <f>[5]Performance!S12</f>
        <v>0.86</v>
      </c>
      <c r="H107" s="11">
        <f>[5]Performance!T12</f>
        <v>0.8</v>
      </c>
      <c r="I107" s="11">
        <f>[5]Performance!U12</f>
        <v>0.83</v>
      </c>
      <c r="J107" s="11">
        <f>[5]Performance!H12</f>
        <v>1</v>
      </c>
      <c r="K107" s="11">
        <f>[5]Performance!I12</f>
        <v>1</v>
      </c>
      <c r="L107" s="11">
        <f>[5]Performance!J12</f>
        <v>1</v>
      </c>
      <c r="M107" s="11">
        <f>[5]Performance!K12</f>
        <v>1</v>
      </c>
      <c r="N107" s="11">
        <f>[5]Performance!L12</f>
        <v>1</v>
      </c>
      <c r="O107" s="11">
        <f>[5]Performance!M12</f>
        <v>1</v>
      </c>
      <c r="P107" s="11">
        <f>[5]Performance!N12</f>
        <v>1</v>
      </c>
      <c r="Q107" s="11">
        <f>[5]Performance!O12</f>
        <v>0.82</v>
      </c>
      <c r="R107" s="11">
        <f>[5]Performance!P12</f>
        <v>0.86</v>
      </c>
    </row>
    <row r="108" spans="1:19" x14ac:dyDescent="0.3">
      <c r="A108" s="6">
        <f>'[5]Student Data'!M13</f>
        <v>40536</v>
      </c>
      <c r="B108" t="str">
        <f>[5]Reporting!C12</f>
        <v>Transition to Production with SMART plan</v>
      </c>
      <c r="C108" s="10" t="str">
        <f>[5]Reporting!F12</f>
        <v>Sophie Gilroy</v>
      </c>
      <c r="D108" cm="1">
        <f t="array" ref="D108">--(SUM(COUNTIF(B108,{"*nest*","*grad*","*trans*","*1B*","*1C*"}))&gt;0)</f>
        <v>1</v>
      </c>
      <c r="E108" s="11">
        <f>[5]Performance!Q13</f>
        <v>1</v>
      </c>
      <c r="F108" s="11">
        <f>[5]Performance!R13</f>
        <v>1</v>
      </c>
      <c r="G108" s="11">
        <f>[5]Performance!S13</f>
        <v>0.92</v>
      </c>
      <c r="H108" s="11">
        <f>[5]Performance!T13</f>
        <v>1</v>
      </c>
      <c r="I108" s="11">
        <f>[5]Performance!U13</f>
        <v>0.98</v>
      </c>
      <c r="J108" s="11">
        <f>[5]Performance!H13</f>
        <v>1</v>
      </c>
      <c r="K108" s="11">
        <f>[5]Performance!I13</f>
        <v>1</v>
      </c>
      <c r="L108" s="11">
        <f>[5]Performance!J13</f>
        <v>1</v>
      </c>
      <c r="M108" s="11">
        <f>[5]Performance!K13</f>
        <v>0.93</v>
      </c>
      <c r="N108" s="11">
        <f>[5]Performance!L13</f>
        <v>1</v>
      </c>
      <c r="O108" s="11">
        <f>[5]Performance!M13</f>
        <v>1</v>
      </c>
      <c r="P108" s="11">
        <f>[5]Performance!N13</f>
        <v>0.89</v>
      </c>
      <c r="Q108" s="11">
        <f>[5]Performance!O13</f>
        <v>1</v>
      </c>
      <c r="R108" s="11">
        <f>[5]Performance!P13</f>
        <v>0.94</v>
      </c>
    </row>
    <row r="109" spans="1:19" x14ac:dyDescent="0.3">
      <c r="A109" s="6">
        <f>'[5]Student Data'!M14</f>
        <v>40537</v>
      </c>
      <c r="B109" t="str">
        <f>[5]Reporting!C13</f>
        <v>Transition to Production</v>
      </c>
      <c r="C109" s="10" t="str">
        <f>[5]Reporting!F13</f>
        <v>Rama Tendeng</v>
      </c>
      <c r="D109" cm="1">
        <f t="array" ref="D109">--(SUM(COUNTIF(B109,{"*nest*","*grad*","*trans*","*1B*","*1C*"}))&gt;0)</f>
        <v>1</v>
      </c>
      <c r="E109" s="11">
        <f>[5]Performance!Q14</f>
        <v>1</v>
      </c>
      <c r="F109" s="11">
        <f>[5]Performance!R14</f>
        <v>1</v>
      </c>
      <c r="G109" s="11">
        <f>[5]Performance!S14</f>
        <v>0.88</v>
      </c>
      <c r="H109" s="11">
        <f>[5]Performance!T14</f>
        <v>1</v>
      </c>
      <c r="I109" s="11">
        <f>[5]Performance!U14</f>
        <v>0.83</v>
      </c>
      <c r="J109" s="11">
        <f>[5]Performance!H14</f>
        <v>1</v>
      </c>
      <c r="K109" s="11">
        <f>[5]Performance!I14</f>
        <v>0.88</v>
      </c>
      <c r="L109" s="11">
        <f>[5]Performance!J14</f>
        <v>1</v>
      </c>
      <c r="M109" s="11">
        <f>[5]Performance!K14</f>
        <v>1</v>
      </c>
      <c r="N109" s="11">
        <f>[5]Performance!L14</f>
        <v>1</v>
      </c>
      <c r="O109" s="11">
        <f>[5]Performance!M14</f>
        <v>1</v>
      </c>
      <c r="P109" s="11">
        <f>[5]Performance!N14</f>
        <v>1</v>
      </c>
      <c r="Q109" s="11">
        <f>[5]Performance!O14</f>
        <v>1</v>
      </c>
      <c r="R109" s="11">
        <f>[5]Performance!P14</f>
        <v>0.82</v>
      </c>
    </row>
    <row r="110" spans="1:19" x14ac:dyDescent="0.3">
      <c r="A110" s="6">
        <f>'[5]Student Data'!M15</f>
        <v>40538</v>
      </c>
      <c r="B110" t="str">
        <f>[5]Reporting!C14</f>
        <v>Transition to Production with SMART plan</v>
      </c>
      <c r="C110" s="10" t="str">
        <f>[5]Reporting!F14</f>
        <v>Ismaila (Barry) Barry</v>
      </c>
      <c r="D110" cm="1">
        <f t="array" ref="D110">--(SUM(COUNTIF(B110,{"*nest*","*grad*","*trans*","*1B*","*1C*"}))&gt;0)</f>
        <v>1</v>
      </c>
      <c r="E110" s="11">
        <f>[5]Performance!Q15</f>
        <v>1</v>
      </c>
      <c r="F110" s="11">
        <f>[5]Performance!R15</f>
        <v>1</v>
      </c>
      <c r="G110" s="11">
        <f>[5]Performance!S15</f>
        <v>0.94</v>
      </c>
      <c r="H110" s="11">
        <f>[5]Performance!T15</f>
        <v>0.8</v>
      </c>
      <c r="I110" s="11">
        <f>[5]Performance!U15</f>
        <v>0.92</v>
      </c>
      <c r="J110" s="11">
        <f>[5]Performance!H15</f>
        <v>1</v>
      </c>
      <c r="K110" s="11">
        <f>[5]Performance!I15</f>
        <v>0.89</v>
      </c>
      <c r="L110" s="11">
        <f>[5]Performance!J15</f>
        <v>1</v>
      </c>
      <c r="M110" s="11">
        <f>[5]Performance!K15</f>
        <v>1</v>
      </c>
      <c r="N110" s="11">
        <f>[5]Performance!L15</f>
        <v>1</v>
      </c>
      <c r="O110" s="11">
        <f>[5]Performance!M15</f>
        <v>1</v>
      </c>
      <c r="P110" s="11">
        <f>[5]Performance!N15</f>
        <v>1</v>
      </c>
      <c r="Q110" s="11">
        <f>[5]Performance!O15</f>
        <v>0.96</v>
      </c>
      <c r="R110" s="11">
        <f>[5]Performance!P15</f>
        <v>0.89</v>
      </c>
    </row>
    <row r="111" spans="1:19" x14ac:dyDescent="0.3">
      <c r="A111" s="6">
        <f>'[5]Student Data'!M16</f>
        <v>40539</v>
      </c>
      <c r="B111" t="str">
        <f>[5]Reporting!C15</f>
        <v>Transition to Production with SMART plan</v>
      </c>
      <c r="C111" s="10" t="str">
        <f>[5]Reporting!F15</f>
        <v>Chloé Gautreau</v>
      </c>
      <c r="D111" cm="1">
        <f t="array" ref="D111">--(SUM(COUNTIF(B111,{"*nest*","*grad*","*trans*","*1B*","*1C*"}))&gt;0)</f>
        <v>1</v>
      </c>
      <c r="E111" s="11">
        <f>[5]Performance!Q16</f>
        <v>1</v>
      </c>
      <c r="F111" s="11">
        <f>[5]Performance!R16</f>
        <v>1</v>
      </c>
      <c r="G111" s="11">
        <f>[5]Performance!S16</f>
        <v>0.94</v>
      </c>
      <c r="H111" s="11">
        <f>[5]Performance!T16</f>
        <v>1</v>
      </c>
      <c r="I111" s="11">
        <f>[5]Performance!U16</f>
        <v>0.82</v>
      </c>
      <c r="J111" s="11">
        <f>[5]Performance!H16</f>
        <v>1</v>
      </c>
      <c r="K111" s="11">
        <f>[5]Performance!I16</f>
        <v>0.88</v>
      </c>
      <c r="L111" s="11">
        <f>[5]Performance!J16</f>
        <v>1</v>
      </c>
      <c r="M111" s="11">
        <f>[5]Performance!K16</f>
        <v>1</v>
      </c>
      <c r="N111" s="11">
        <f>[5]Performance!L16</f>
        <v>0.89</v>
      </c>
      <c r="O111" s="11">
        <f>[5]Performance!M16</f>
        <v>1</v>
      </c>
      <c r="P111" s="11">
        <f>[5]Performance!N16</f>
        <v>1</v>
      </c>
      <c r="Q111" s="11">
        <f>[5]Performance!O16</f>
        <v>0.87</v>
      </c>
      <c r="R111" s="11">
        <f>[5]Performance!P16</f>
        <v>0.94</v>
      </c>
    </row>
    <row r="112" spans="1:19" x14ac:dyDescent="0.3">
      <c r="A112" s="6">
        <f>'[5]Student Data'!M17</f>
        <v>40540</v>
      </c>
      <c r="B112" t="str">
        <f>[5]Reporting!C16</f>
        <v>Transition to Production with SMART plan</v>
      </c>
      <c r="C112" s="10" t="str">
        <f>[5]Reporting!F16</f>
        <v>Josée Gauvin</v>
      </c>
      <c r="D112" cm="1">
        <f t="array" ref="D112">--(SUM(COUNTIF(B112,{"*nest*","*grad*","*trans*","*1B*","*1C*"}))&gt;0)</f>
        <v>1</v>
      </c>
      <c r="E112" s="11">
        <f>[5]Performance!Q17</f>
        <v>1</v>
      </c>
      <c r="F112" s="11">
        <f>[5]Performance!R17</f>
        <v>1</v>
      </c>
      <c r="G112" s="11">
        <f>[5]Performance!S17</f>
        <v>1</v>
      </c>
      <c r="H112" s="11">
        <f>[5]Performance!T17</f>
        <v>0.8</v>
      </c>
      <c r="I112" s="11">
        <f>[5]Performance!U17</f>
        <v>0.9</v>
      </c>
      <c r="J112" s="11">
        <f>[5]Performance!H17</f>
        <v>1</v>
      </c>
      <c r="K112" s="11">
        <f>[5]Performance!I17</f>
        <v>1</v>
      </c>
      <c r="L112" s="11">
        <f>[5]Performance!J17</f>
        <v>1</v>
      </c>
      <c r="M112" s="11">
        <f>[5]Performance!K17</f>
        <v>1</v>
      </c>
      <c r="N112" s="11">
        <f>[5]Performance!L17</f>
        <v>0.88</v>
      </c>
      <c r="O112" s="11">
        <f>[5]Performance!M17</f>
        <v>1</v>
      </c>
      <c r="P112" s="11">
        <f>[5]Performance!N17</f>
        <v>1</v>
      </c>
      <c r="Q112" s="11">
        <f>[5]Performance!O17</f>
        <v>0.91</v>
      </c>
      <c r="R112" s="11">
        <f>[5]Performance!P17</f>
        <v>1</v>
      </c>
    </row>
    <row r="113" spans="1:19" x14ac:dyDescent="0.3">
      <c r="A113" s="6">
        <f>'[5]Student Data'!M18</f>
        <v>40541</v>
      </c>
      <c r="B113" t="str">
        <f>[5]Reporting!C17</f>
        <v>Resigned Tier 1A</v>
      </c>
      <c r="C113" s="10" t="str">
        <f>[5]Reporting!F17</f>
        <v>Anick Fonzo</v>
      </c>
      <c r="D113" cm="1">
        <f t="array" ref="D113">--(SUM(COUNTIF(B113,{"*nest*","*grad*","*trans*","*1B*","*1C*"}))&gt;0)</f>
        <v>0</v>
      </c>
      <c r="E113" s="11">
        <f>[5]Performance!Q18</f>
        <v>1</v>
      </c>
      <c r="F113" s="11">
        <f>[5]Performance!R18</f>
        <v>1</v>
      </c>
      <c r="G113" s="11">
        <f>[5]Performance!S18</f>
        <v>1</v>
      </c>
      <c r="H113" s="11">
        <f>[5]Performance!T18</f>
        <v>0.8</v>
      </c>
      <c r="I113" s="11">
        <f>[5]Performance!U18</f>
        <v>0.87</v>
      </c>
      <c r="J113" s="11">
        <f>[5]Performance!H18</f>
        <v>1</v>
      </c>
      <c r="K113" s="11">
        <f>[5]Performance!I18</f>
        <v>1</v>
      </c>
      <c r="L113" s="11">
        <f>[5]Performance!J18</f>
        <v>1</v>
      </c>
      <c r="M113" s="11">
        <f>[5]Performance!K18</f>
        <v>1</v>
      </c>
      <c r="N113" s="11">
        <f>[5]Performance!L18</f>
        <v>0.88</v>
      </c>
      <c r="O113" s="11">
        <f>[5]Performance!M18</f>
        <v>1</v>
      </c>
      <c r="P113" s="11">
        <f>[5]Performance!N18</f>
        <v>1</v>
      </c>
      <c r="Q113" s="11">
        <f>[5]Performance!O18</f>
        <v>0.82</v>
      </c>
      <c r="R113" s="11">
        <f>[5]Performance!P18</f>
        <v>0.82</v>
      </c>
    </row>
    <row r="114" spans="1:19" x14ac:dyDescent="0.3">
      <c r="A114" s="6">
        <f>'[5]Student Data'!M19</f>
        <v>40542</v>
      </c>
      <c r="B114" t="str">
        <f>[5]Reporting!C18</f>
        <v>Transition to Production</v>
      </c>
      <c r="C114" s="10" t="str">
        <f>[5]Reporting!F18</f>
        <v>Diamantina (Christie) Pierre</v>
      </c>
      <c r="D114" cm="1">
        <f t="array" ref="D114">--(SUM(COUNTIF(B114,{"*nest*","*grad*","*trans*","*1B*","*1C*"}))&gt;0)</f>
        <v>1</v>
      </c>
      <c r="E114" s="11">
        <f>[5]Performance!Q19</f>
        <v>1</v>
      </c>
      <c r="F114" s="11">
        <f>[5]Performance!R19</f>
        <v>1</v>
      </c>
      <c r="G114" s="11">
        <f>[5]Performance!S19</f>
        <v>0.88</v>
      </c>
      <c r="H114" s="11">
        <f>[5]Performance!T19</f>
        <v>1</v>
      </c>
      <c r="I114" s="11">
        <f>[5]Performance!U19</f>
        <v>0.85</v>
      </c>
      <c r="J114" s="11">
        <f>[5]Performance!H19</f>
        <v>1</v>
      </c>
      <c r="K114" s="11">
        <f>[5]Performance!I19</f>
        <v>0.88</v>
      </c>
      <c r="L114" s="11">
        <f>[5]Performance!J19</f>
        <v>0.8</v>
      </c>
      <c r="M114" s="11">
        <f>[5]Performance!K19</f>
        <v>1</v>
      </c>
      <c r="N114" s="11">
        <f>[5]Performance!L19</f>
        <v>0.89</v>
      </c>
      <c r="O114" s="11">
        <f>[5]Performance!M19</f>
        <v>1</v>
      </c>
      <c r="P114" s="11">
        <f>[5]Performance!N19</f>
        <v>1</v>
      </c>
      <c r="Q114" s="11">
        <f>[5]Performance!O19</f>
        <v>0.81</v>
      </c>
      <c r="R114" s="11">
        <f>[5]Performance!P19</f>
        <v>0.89</v>
      </c>
    </row>
    <row r="115" spans="1:19" x14ac:dyDescent="0.3">
      <c r="A115" s="6">
        <f>'[5]Student Data'!M20</f>
        <v>40543</v>
      </c>
      <c r="B115" t="str">
        <f>[5]Reporting!C19</f>
        <v>Transition to Production</v>
      </c>
      <c r="C115" s="10" t="str">
        <f>[5]Reporting!F19</f>
        <v>Thomas Nogol Mbock</v>
      </c>
      <c r="D115" cm="1">
        <f t="array" ref="D115">--(SUM(COUNTIF(B115,{"*nest*","*grad*","*trans*","*1B*","*1C*"}))&gt;0)</f>
        <v>1</v>
      </c>
      <c r="E115" s="11">
        <f>[5]Performance!Q20</f>
        <v>1</v>
      </c>
      <c r="F115" s="11">
        <f>[5]Performance!R20</f>
        <v>1</v>
      </c>
      <c r="G115" s="11">
        <f>[5]Performance!S20</f>
        <v>1</v>
      </c>
      <c r="H115" s="11">
        <f>[5]Performance!T20</f>
        <v>0.8</v>
      </c>
      <c r="I115" s="11">
        <f>[5]Performance!U20</f>
        <v>0.9</v>
      </c>
      <c r="J115" s="11">
        <f>[5]Performance!H20</f>
        <v>1</v>
      </c>
      <c r="K115" s="11">
        <f>[5]Performance!I20</f>
        <v>1</v>
      </c>
      <c r="L115" s="11">
        <f>[5]Performance!J20</f>
        <v>1</v>
      </c>
      <c r="M115" s="11">
        <f>[5]Performance!K20</f>
        <v>1</v>
      </c>
      <c r="N115" s="11">
        <f>[5]Performance!L20</f>
        <v>1</v>
      </c>
      <c r="O115" s="11">
        <f>[5]Performance!M20</f>
        <v>1</v>
      </c>
      <c r="P115" s="11">
        <f>[5]Performance!N20</f>
        <v>0.94</v>
      </c>
      <c r="Q115" s="11">
        <f>[5]Performance!O20</f>
        <v>1</v>
      </c>
      <c r="R115" s="11">
        <f>[5]Performance!P20</f>
        <v>0.94</v>
      </c>
    </row>
    <row r="116" spans="1:19" x14ac:dyDescent="0.3">
      <c r="A116" s="6">
        <f>'[5]Student Data'!M21</f>
        <v>40544</v>
      </c>
      <c r="B116" t="str">
        <f>[5]Reporting!C20</f>
        <v>Resigned-Nesting 1A</v>
      </c>
      <c r="C116" s="10" t="str">
        <f>[5]Reporting!F20</f>
        <v>Christopher Holmes</v>
      </c>
      <c r="D116" cm="1">
        <f t="array" ref="D116">--(SUM(COUNTIF(B116,{"*nest*","*grad*","*trans*","*1B*","*1C*"}))&gt;0)</f>
        <v>1</v>
      </c>
      <c r="E116" s="11">
        <f>[5]Performance!Q21</f>
        <v>1</v>
      </c>
      <c r="F116" s="11">
        <f>[5]Performance!R21</f>
        <v>1</v>
      </c>
      <c r="G116" s="11" t="str">
        <f>[5]Performance!S21</f>
        <v>N/A</v>
      </c>
      <c r="H116" s="11">
        <f>[5]Performance!T21</f>
        <v>0.8</v>
      </c>
      <c r="I116" s="11" t="str">
        <f>[5]Performance!U21</f>
        <v>N/A</v>
      </c>
      <c r="J116" s="11">
        <f>[5]Performance!H21</f>
        <v>1</v>
      </c>
      <c r="K116" s="11">
        <f>[5]Performance!I21</f>
        <v>0.88</v>
      </c>
      <c r="L116" s="11">
        <f>[5]Performance!J21</f>
        <v>1</v>
      </c>
      <c r="M116" s="11">
        <f>[5]Performance!K21</f>
        <v>1</v>
      </c>
      <c r="N116" s="11">
        <f>[5]Performance!L21</f>
        <v>1</v>
      </c>
      <c r="O116" s="11">
        <f>[5]Performance!M21</f>
        <v>1</v>
      </c>
      <c r="P116" s="11">
        <f>[5]Performance!N21</f>
        <v>1</v>
      </c>
      <c r="Q116" s="11">
        <f>[5]Performance!O21</f>
        <v>0.91</v>
      </c>
      <c r="R116" s="11">
        <f>[5]Performance!P21</f>
        <v>0.82</v>
      </c>
    </row>
    <row r="117" spans="1:19" x14ac:dyDescent="0.3">
      <c r="A117" s="6">
        <f>'[5]Student Data'!M22</f>
        <v>40342</v>
      </c>
      <c r="B117" t="str">
        <f>[5]Reporting!C21</f>
        <v>Resigned-Nesting 1A</v>
      </c>
      <c r="C117" s="10" t="str">
        <f>[5]Reporting!F21</f>
        <v>Cedric Niyotwagira</v>
      </c>
      <c r="D117" cm="1">
        <f t="array" ref="D117">--(SUM(COUNTIF(B117,{"*nest*","*grad*","*trans*","*1B*","*1C*"}))&gt;0)</f>
        <v>1</v>
      </c>
      <c r="E117" s="11">
        <f>[5]Performance!Q22</f>
        <v>1</v>
      </c>
      <c r="F117" s="11">
        <f>[5]Performance!R22</f>
        <v>1</v>
      </c>
      <c r="G117" s="11">
        <f>[5]Performance!S22</f>
        <v>0.88</v>
      </c>
      <c r="H117" s="11">
        <f>[5]Performance!T22</f>
        <v>1</v>
      </c>
      <c r="I117" s="11">
        <f>[5]Performance!U22</f>
        <v>0.93</v>
      </c>
      <c r="J117" s="11">
        <f>[5]Performance!H22</f>
        <v>1</v>
      </c>
      <c r="K117" s="11">
        <f>[5]Performance!I22</f>
        <v>0.88</v>
      </c>
      <c r="L117" s="11">
        <f>[5]Performance!J22</f>
        <v>1</v>
      </c>
      <c r="M117" s="11">
        <f>[5]Performance!K22</f>
        <v>1</v>
      </c>
      <c r="N117" s="11">
        <f>[5]Performance!L22</f>
        <v>1</v>
      </c>
      <c r="O117" s="11">
        <f>[5]Performance!M22</f>
        <v>1</v>
      </c>
      <c r="P117" s="11">
        <f>[5]Performance!N22</f>
        <v>1</v>
      </c>
      <c r="Q117" s="11">
        <f>[5]Performance!O22</f>
        <v>1</v>
      </c>
      <c r="R117" s="11">
        <f>[5]Performance!P22</f>
        <v>0.91</v>
      </c>
    </row>
    <row r="118" spans="1:19" x14ac:dyDescent="0.3">
      <c r="A118" s="6">
        <f>'[5]Student Data'!M23</f>
        <v>35971</v>
      </c>
      <c r="B118" t="str">
        <f>[5]Reporting!C22</f>
        <v>Transition to Production</v>
      </c>
      <c r="C118" s="10" t="str">
        <f>[5]Reporting!F22</f>
        <v>Jyoti Redhu</v>
      </c>
      <c r="D118" cm="1">
        <f t="array" ref="D118">--(SUM(COUNTIF(B118,{"*nest*","*grad*","*trans*","*1B*","*1C*"}))&gt;0)</f>
        <v>1</v>
      </c>
      <c r="E118" s="11">
        <f>[5]Performance!Q23</f>
        <v>1</v>
      </c>
      <c r="F118" s="11">
        <f>[5]Performance!R23</f>
        <v>1</v>
      </c>
      <c r="G118" s="11">
        <f>[5]Performance!S23</f>
        <v>0.96</v>
      </c>
      <c r="H118" s="11">
        <f>[5]Performance!T23</f>
        <v>1</v>
      </c>
      <c r="I118" s="11">
        <f>[5]Performance!U23</f>
        <v>0.8</v>
      </c>
      <c r="J118" s="11">
        <f>[5]Performance!H23</f>
        <v>1</v>
      </c>
      <c r="K118" s="11">
        <f>[5]Performance!I23</f>
        <v>1</v>
      </c>
      <c r="L118" s="11">
        <f>[5]Performance!J23</f>
        <v>0.8</v>
      </c>
      <c r="M118" s="11">
        <f>[5]Performance!K23</f>
        <v>1</v>
      </c>
      <c r="N118" s="11">
        <f>[5]Performance!L23</f>
        <v>0.89</v>
      </c>
      <c r="O118" s="11">
        <f>[5]Performance!M23</f>
        <v>1</v>
      </c>
      <c r="P118" s="11">
        <f>[5]Performance!N23</f>
        <v>1</v>
      </c>
      <c r="Q118" s="11">
        <f>[5]Performance!O23</f>
        <v>0.96</v>
      </c>
      <c r="R118" s="11">
        <f>[5]Performance!P23</f>
        <v>1</v>
      </c>
    </row>
    <row r="119" spans="1:19" x14ac:dyDescent="0.3">
      <c r="A119" s="24">
        <v>45775</v>
      </c>
      <c r="B119" s="9" t="s">
        <v>23</v>
      </c>
      <c r="C119" s="9" t="s">
        <v>27</v>
      </c>
      <c r="D119" s="9">
        <f>SUM(D120:D138)</f>
        <v>13</v>
      </c>
      <c r="E119" s="9">
        <f>COUNTIF(E120:E138, "&gt;79%")</f>
        <v>15</v>
      </c>
      <c r="F119" s="9">
        <f t="shared" ref="F119" si="6">COUNTIF(F120:F138, "&gt;79%")</f>
        <v>15</v>
      </c>
      <c r="G119" s="9">
        <f t="shared" ref="G119" si="7">COUNTIF(G120:G138, "&gt;79%")</f>
        <v>14</v>
      </c>
      <c r="H119" s="9">
        <f t="shared" ref="H119" si="8">COUNTIF(H120:H138, "&gt;79%")</f>
        <v>15</v>
      </c>
      <c r="I119" s="9">
        <f t="shared" ref="I119" si="9">COUNTIF(I120:I138, "&gt;79%")</f>
        <v>14</v>
      </c>
      <c r="J119" s="9">
        <f t="shared" ref="J119" si="10">COUNTIF(J120:J138, "&gt;79%")</f>
        <v>15</v>
      </c>
      <c r="K119" s="9">
        <f t="shared" ref="K119" si="11">COUNTIF(K120:K138, "&gt;79%")</f>
        <v>15</v>
      </c>
      <c r="L119" s="9">
        <f t="shared" ref="L119" si="12">COUNTIF(L120:L138, "&gt;79%")</f>
        <v>15</v>
      </c>
      <c r="M119" s="9">
        <f t="shared" ref="M119" si="13">COUNTIF(M120:M138, "&gt;79%")</f>
        <v>15</v>
      </c>
      <c r="N119" s="9">
        <f t="shared" ref="N119" si="14">COUNTIF(N120:N138, "&gt;79%")</f>
        <v>15</v>
      </c>
      <c r="O119" s="9">
        <f t="shared" ref="O119" si="15">COUNTIF(O120:O138, "&gt;79%")</f>
        <v>15</v>
      </c>
      <c r="P119" s="9">
        <f t="shared" ref="P119" si="16">COUNTIF(P120:P138, "&gt;79%")</f>
        <v>15</v>
      </c>
      <c r="Q119" s="9">
        <f t="shared" ref="Q119" si="17">COUNTIF(Q120:Q138, "&gt;79%")</f>
        <v>15</v>
      </c>
      <c r="R119" s="9">
        <f t="shared" ref="R119" si="18">COUNTIF(R120:R138, "&gt;79%")</f>
        <v>15</v>
      </c>
      <c r="S119" s="9">
        <f t="shared" ref="S119" si="19">COUNTIF(S120:S164, "&gt;79%")</f>
        <v>0</v>
      </c>
    </row>
    <row r="120" spans="1:19" x14ac:dyDescent="0.3">
      <c r="A120">
        <f>'[6]Student Data'!M5</f>
        <v>402483</v>
      </c>
      <c r="B120" t="str">
        <f>[6]Reporting!C4</f>
        <v>Transition to Production</v>
      </c>
      <c r="C120" s="10" t="str">
        <f>[6]Reporting!F4</f>
        <v>Danica Joy Abella</v>
      </c>
      <c r="D120" cm="1">
        <f t="array" ref="D120">--(SUM(COUNTIF(B120,{"*nest*","*grad*","*trans*","*1B*","*1C*"}))&gt;0)</f>
        <v>1</v>
      </c>
      <c r="E120" s="11">
        <f>[6]Performance!Q5</f>
        <v>1</v>
      </c>
      <c r="F120" s="11">
        <f>[6]Performance!R5</f>
        <v>1</v>
      </c>
      <c r="G120" s="11">
        <f>[6]Performance!S5</f>
        <v>0.92</v>
      </c>
      <c r="H120" s="11">
        <f>[6]Performance!T5</f>
        <v>1</v>
      </c>
      <c r="I120" s="11">
        <f>[6]Performance!U5</f>
        <v>0.88</v>
      </c>
      <c r="J120" s="11">
        <f>[6]Performance!H5</f>
        <v>1</v>
      </c>
      <c r="K120" s="11">
        <f>[6]Performance!I5</f>
        <v>1</v>
      </c>
      <c r="L120" s="11">
        <f>[6]Performance!J5</f>
        <v>1</v>
      </c>
      <c r="M120" s="11">
        <f>[6]Performance!K5</f>
        <v>1</v>
      </c>
      <c r="N120" s="11">
        <f>[6]Performance!L5</f>
        <v>1</v>
      </c>
      <c r="O120" s="11">
        <f>[6]Performance!M5</f>
        <v>1</v>
      </c>
      <c r="P120" s="11">
        <f>[6]Performance!N5</f>
        <v>1</v>
      </c>
      <c r="Q120" s="11">
        <f>[6]Performance!O5</f>
        <v>1</v>
      </c>
      <c r="R120" s="11">
        <f>[6]Performance!P5</f>
        <v>1</v>
      </c>
    </row>
    <row r="121" spans="1:19" x14ac:dyDescent="0.3">
      <c r="A121">
        <f>'[6]Student Data'!M6</f>
        <v>402486</v>
      </c>
      <c r="B121" t="str">
        <f>[6]Reporting!C5</f>
        <v>Transition to Production</v>
      </c>
      <c r="C121" s="10" t="str">
        <f>[6]Reporting!F5</f>
        <v>Antonette  Abendaño</v>
      </c>
      <c r="D121" cm="1">
        <f t="array" ref="D121">--(SUM(COUNTIF(B121,{"*nest*","*grad*","*trans*","*1B*","*1C*"}))&gt;0)</f>
        <v>1</v>
      </c>
      <c r="E121" s="11">
        <f>[6]Performance!Q6</f>
        <v>1</v>
      </c>
      <c r="F121" s="11">
        <f>[6]Performance!R6</f>
        <v>1</v>
      </c>
      <c r="G121" s="11">
        <f>[6]Performance!S6</f>
        <v>1</v>
      </c>
      <c r="H121" s="11">
        <f>[6]Performance!T6</f>
        <v>1</v>
      </c>
      <c r="I121" s="11">
        <f>[6]Performance!U6</f>
        <v>0.9</v>
      </c>
      <c r="J121" s="11">
        <f>[6]Performance!H6</f>
        <v>1</v>
      </c>
      <c r="K121" s="11">
        <f>[6]Performance!I6</f>
        <v>1</v>
      </c>
      <c r="L121" s="11">
        <f>[6]Performance!J6</f>
        <v>1</v>
      </c>
      <c r="M121" s="11">
        <f>[6]Performance!K6</f>
        <v>1</v>
      </c>
      <c r="N121" s="11">
        <f>[6]Performance!L6</f>
        <v>1</v>
      </c>
      <c r="O121" s="11">
        <f>[6]Performance!M6</f>
        <v>1</v>
      </c>
      <c r="P121" s="11">
        <f>[6]Performance!N6</f>
        <v>1</v>
      </c>
      <c r="Q121" s="11">
        <f>[6]Performance!O6</f>
        <v>1</v>
      </c>
      <c r="R121" s="11">
        <f>[6]Performance!P6</f>
        <v>1</v>
      </c>
    </row>
    <row r="122" spans="1:19" x14ac:dyDescent="0.3">
      <c r="A122">
        <f>'[6]Student Data'!M7</f>
        <v>402491</v>
      </c>
      <c r="B122" t="str">
        <f>[6]Reporting!C6</f>
        <v>Transition to Production</v>
      </c>
      <c r="C122" s="10" t="str">
        <f>[6]Reporting!F6</f>
        <v>Clint Aldrin Aborde</v>
      </c>
      <c r="D122" cm="1">
        <f t="array" ref="D122">--(SUM(COUNTIF(B122,{"*nest*","*grad*","*trans*","*1B*","*1C*"}))&gt;0)</f>
        <v>1</v>
      </c>
      <c r="E122" s="11">
        <f>[6]Performance!Q7</f>
        <v>1</v>
      </c>
      <c r="F122" s="11">
        <f>[6]Performance!R7</f>
        <v>1</v>
      </c>
      <c r="G122" s="11">
        <f>[6]Performance!S7</f>
        <v>0.86</v>
      </c>
      <c r="H122" s="11">
        <f>[6]Performance!T7</f>
        <v>1</v>
      </c>
      <c r="I122" s="11">
        <f>[6]Performance!U7</f>
        <v>1</v>
      </c>
      <c r="J122" s="11">
        <f>[6]Performance!H7</f>
        <v>1</v>
      </c>
      <c r="K122" s="11">
        <f>[6]Performance!I7</f>
        <v>1</v>
      </c>
      <c r="L122" s="11">
        <f>[6]Performance!J7</f>
        <v>1</v>
      </c>
      <c r="M122" s="11">
        <f>[6]Performance!K7</f>
        <v>1</v>
      </c>
      <c r="N122" s="11">
        <f>[6]Performance!L7</f>
        <v>0.89</v>
      </c>
      <c r="O122" s="11">
        <f>[6]Performance!M7</f>
        <v>1</v>
      </c>
      <c r="P122" s="11">
        <f>[6]Performance!N7</f>
        <v>1</v>
      </c>
      <c r="Q122" s="11">
        <f>[6]Performance!O7</f>
        <v>1</v>
      </c>
      <c r="R122" s="11">
        <f>[6]Performance!P7</f>
        <v>1</v>
      </c>
    </row>
    <row r="123" spans="1:19" x14ac:dyDescent="0.3">
      <c r="A123">
        <f>'[6]Student Data'!M8</f>
        <v>402485</v>
      </c>
      <c r="B123" t="str">
        <f>[6]Reporting!C7</f>
        <v>Transition to Production</v>
      </c>
      <c r="C123" s="10" t="str">
        <f>[6]Reporting!F7</f>
        <v>Christian Vincent  Balboa</v>
      </c>
      <c r="D123" cm="1">
        <f t="array" ref="D123">--(SUM(COUNTIF(B123,{"*nest*","*grad*","*trans*","*1B*","*1C*"}))&gt;0)</f>
        <v>1</v>
      </c>
      <c r="E123" s="11">
        <f>[6]Performance!Q8</f>
        <v>1</v>
      </c>
      <c r="F123" s="11">
        <f>[6]Performance!R8</f>
        <v>1</v>
      </c>
      <c r="G123" s="11">
        <f>[6]Performance!S8</f>
        <v>0.94</v>
      </c>
      <c r="H123" s="11">
        <f>[6]Performance!T8</f>
        <v>0.8</v>
      </c>
      <c r="I123" s="11">
        <f>[6]Performance!U8</f>
        <v>1</v>
      </c>
      <c r="J123" s="11">
        <f>[6]Performance!H8</f>
        <v>1</v>
      </c>
      <c r="K123" s="11">
        <f>[6]Performance!I8</f>
        <v>1</v>
      </c>
      <c r="L123" s="11">
        <f>[6]Performance!J8</f>
        <v>1</v>
      </c>
      <c r="M123" s="11">
        <f>[6]Performance!K8</f>
        <v>1</v>
      </c>
      <c r="N123" s="11">
        <f>[6]Performance!L8</f>
        <v>1</v>
      </c>
      <c r="O123" s="11">
        <f>[6]Performance!M8</f>
        <v>1</v>
      </c>
      <c r="P123" s="11">
        <f>[6]Performance!N8</f>
        <v>1</v>
      </c>
      <c r="Q123" s="11">
        <f>[6]Performance!O8</f>
        <v>1</v>
      </c>
      <c r="R123" s="11">
        <f>[6]Performance!P8</f>
        <v>1</v>
      </c>
    </row>
    <row r="124" spans="1:19" x14ac:dyDescent="0.3">
      <c r="A124">
        <f>'[6]Student Data'!M9</f>
        <v>402482</v>
      </c>
      <c r="B124" t="str">
        <f>[6]Reporting!C8</f>
        <v>Terminated-Nesting 3</v>
      </c>
      <c r="C124" s="10" t="str">
        <f>[6]Reporting!F8</f>
        <v>Charlene  Barrientos</v>
      </c>
      <c r="D124" cm="1">
        <f t="array" ref="D124">--(SUM(COUNTIF(B124,{"*nest*","*grad*","*trans*","*1B*","*1C*"}))&gt;0)</f>
        <v>1</v>
      </c>
      <c r="E124" s="11">
        <f>[6]Performance!Q9</f>
        <v>1</v>
      </c>
      <c r="F124" s="11">
        <f>[6]Performance!R9</f>
        <v>1</v>
      </c>
      <c r="G124" s="11">
        <f>[6]Performance!S9</f>
        <v>0.94</v>
      </c>
      <c r="H124" s="11">
        <f>[6]Performance!T9</f>
        <v>1</v>
      </c>
      <c r="I124" s="11">
        <f>[6]Performance!U9</f>
        <v>1</v>
      </c>
      <c r="J124" s="11">
        <f>[6]Performance!H9</f>
        <v>1</v>
      </c>
      <c r="K124" s="11">
        <f>[6]Performance!I9</f>
        <v>0.88</v>
      </c>
      <c r="L124" s="11">
        <f>[6]Performance!J9</f>
        <v>1</v>
      </c>
      <c r="M124" s="11">
        <f>[6]Performance!K9</f>
        <v>1</v>
      </c>
      <c r="N124" s="11">
        <f>[6]Performance!L9</f>
        <v>0.89</v>
      </c>
      <c r="O124" s="11">
        <f>[6]Performance!M9</f>
        <v>1</v>
      </c>
      <c r="P124" s="11">
        <f>[6]Performance!N9</f>
        <v>1</v>
      </c>
      <c r="Q124" s="11">
        <f>[6]Performance!O9</f>
        <v>1</v>
      </c>
      <c r="R124" s="11">
        <f>[6]Performance!P9</f>
        <v>0.94</v>
      </c>
    </row>
    <row r="125" spans="1:19" x14ac:dyDescent="0.3">
      <c r="A125">
        <f>'[6]Student Data'!M10</f>
        <v>402493</v>
      </c>
      <c r="B125" t="str">
        <f>[6]Reporting!C9</f>
        <v>Did not Start</v>
      </c>
      <c r="C125" s="10" t="str">
        <f>[6]Reporting!F9</f>
        <v>Jerby Catamio</v>
      </c>
      <c r="D125" cm="1">
        <f t="array" ref="D125">--(SUM(COUNTIF(B125,{"*nest*","*grad*","*trans*","*1B*","*1C*"}))&gt;0)</f>
        <v>0</v>
      </c>
      <c r="E125" s="11">
        <f>[6]Performance!Q10</f>
        <v>0</v>
      </c>
      <c r="F125" s="11">
        <f>[6]Performance!R10</f>
        <v>0</v>
      </c>
      <c r="G125" s="11">
        <f>[6]Performance!S10</f>
        <v>0</v>
      </c>
      <c r="H125" s="11">
        <f>[6]Performance!T10</f>
        <v>0</v>
      </c>
      <c r="I125" s="11">
        <f>[6]Performance!U10</f>
        <v>0</v>
      </c>
      <c r="J125" s="11">
        <f>[6]Performance!H10</f>
        <v>0</v>
      </c>
      <c r="K125" s="11">
        <f>[6]Performance!I10</f>
        <v>0</v>
      </c>
      <c r="L125" s="11">
        <f>[6]Performance!J10</f>
        <v>0</v>
      </c>
      <c r="M125" s="11">
        <f>[6]Performance!K10</f>
        <v>0</v>
      </c>
      <c r="N125" s="11">
        <f>[6]Performance!L10</f>
        <v>0</v>
      </c>
      <c r="O125" s="11">
        <f>[6]Performance!M10</f>
        <v>0</v>
      </c>
      <c r="P125" s="11">
        <f>[6]Performance!N10</f>
        <v>0</v>
      </c>
      <c r="Q125" s="11">
        <f>[6]Performance!O10</f>
        <v>0</v>
      </c>
      <c r="R125" s="11">
        <f>[6]Performance!P10</f>
        <v>0</v>
      </c>
    </row>
    <row r="126" spans="1:19" x14ac:dyDescent="0.3">
      <c r="A126">
        <f>'[6]Student Data'!M11</f>
        <v>402494</v>
      </c>
      <c r="B126" t="str">
        <f>[6]Reporting!C10</f>
        <v>Transition to Production</v>
      </c>
      <c r="C126" s="10" t="str">
        <f>[6]Reporting!F10</f>
        <v>Edrian Franco</v>
      </c>
      <c r="D126" cm="1">
        <f t="array" ref="D126">--(SUM(COUNTIF(B126,{"*nest*","*grad*","*trans*","*1B*","*1C*"}))&gt;0)</f>
        <v>1</v>
      </c>
      <c r="E126" s="11">
        <f>[6]Performance!Q11</f>
        <v>1</v>
      </c>
      <c r="F126" s="11">
        <f>[6]Performance!R11</f>
        <v>1</v>
      </c>
      <c r="G126" s="11">
        <f>[6]Performance!S11</f>
        <v>0.95</v>
      </c>
      <c r="H126" s="11">
        <f>[6]Performance!T11</f>
        <v>0.8</v>
      </c>
      <c r="I126" s="11">
        <f>[6]Performance!U11</f>
        <v>0.83</v>
      </c>
      <c r="J126" s="11">
        <f>[6]Performance!H11</f>
        <v>1</v>
      </c>
      <c r="K126" s="11">
        <f>[6]Performance!I11</f>
        <v>0.88</v>
      </c>
      <c r="L126" s="11">
        <f>[6]Performance!J11</f>
        <v>1</v>
      </c>
      <c r="M126" s="11">
        <f>[6]Performance!K11</f>
        <v>1</v>
      </c>
      <c r="N126" s="11">
        <f>[6]Performance!L11</f>
        <v>1</v>
      </c>
      <c r="O126" s="11">
        <f>[6]Performance!M11</f>
        <v>1</v>
      </c>
      <c r="P126" s="11">
        <f>[6]Performance!N11</f>
        <v>1</v>
      </c>
      <c r="Q126" s="11">
        <f>[6]Performance!O11</f>
        <v>1</v>
      </c>
      <c r="R126" s="11">
        <f>[6]Performance!P11</f>
        <v>0.88</v>
      </c>
    </row>
    <row r="127" spans="1:19" x14ac:dyDescent="0.3">
      <c r="A127">
        <f>'[6]Student Data'!M12</f>
        <v>402495</v>
      </c>
      <c r="B127" t="str">
        <f>[6]Reporting!C11</f>
        <v>Did not Start</v>
      </c>
      <c r="C127" s="10" t="str">
        <f>[6]Reporting!F11</f>
        <v>Jenielyn Garcia</v>
      </c>
      <c r="D127" cm="1">
        <f t="array" ref="D127">--(SUM(COUNTIF(B127,{"*nest*","*grad*","*trans*","*1B*","*1C*"}))&gt;0)</f>
        <v>0</v>
      </c>
      <c r="E127" s="11">
        <f>[6]Performance!Q12</f>
        <v>0</v>
      </c>
      <c r="F127" s="11">
        <f>[6]Performance!R12</f>
        <v>0</v>
      </c>
      <c r="G127" s="11">
        <f>[6]Performance!S12</f>
        <v>0</v>
      </c>
      <c r="H127" s="11">
        <f>[6]Performance!T12</f>
        <v>0</v>
      </c>
      <c r="I127" s="11">
        <f>[6]Performance!U12</f>
        <v>0</v>
      </c>
      <c r="J127" s="11">
        <f>[6]Performance!H12</f>
        <v>0</v>
      </c>
      <c r="K127" s="11">
        <f>[6]Performance!I12</f>
        <v>0</v>
      </c>
      <c r="L127" s="11">
        <f>[6]Performance!J12</f>
        <v>0</v>
      </c>
      <c r="M127" s="11">
        <f>[6]Performance!K12</f>
        <v>0</v>
      </c>
      <c r="N127" s="11">
        <f>[6]Performance!L12</f>
        <v>0</v>
      </c>
      <c r="O127" s="11">
        <f>[6]Performance!M12</f>
        <v>0</v>
      </c>
      <c r="P127" s="11">
        <f>[6]Performance!N12</f>
        <v>0</v>
      </c>
      <c r="Q127" s="11">
        <f>[6]Performance!O12</f>
        <v>0</v>
      </c>
      <c r="R127" s="11">
        <f>[6]Performance!P12</f>
        <v>0</v>
      </c>
    </row>
    <row r="128" spans="1:19" x14ac:dyDescent="0.3">
      <c r="A128">
        <f>'[6]Student Data'!M13</f>
        <v>402489</v>
      </c>
      <c r="B128" t="str">
        <f>[6]Reporting!C12</f>
        <v>Transition to Production</v>
      </c>
      <c r="C128" s="10" t="str">
        <f>[6]Reporting!F12</f>
        <v>Mark John Inovero</v>
      </c>
      <c r="D128" cm="1">
        <f t="array" ref="D128">--(SUM(COUNTIF(B128,{"*nest*","*grad*","*trans*","*1B*","*1C*"}))&gt;0)</f>
        <v>1</v>
      </c>
      <c r="E128" s="11">
        <f>[6]Performance!Q13</f>
        <v>1</v>
      </c>
      <c r="F128" s="11">
        <f>[6]Performance!R13</f>
        <v>1</v>
      </c>
      <c r="G128" s="11">
        <f>[6]Performance!S13</f>
        <v>0.86</v>
      </c>
      <c r="H128" s="11">
        <f>[6]Performance!T13</f>
        <v>0.8</v>
      </c>
      <c r="I128" s="11">
        <f>[6]Performance!U13</f>
        <v>0.98</v>
      </c>
      <c r="J128" s="11">
        <f>[6]Performance!H13</f>
        <v>1</v>
      </c>
      <c r="K128" s="11">
        <f>[6]Performance!I13</f>
        <v>1</v>
      </c>
      <c r="L128" s="11">
        <f>[6]Performance!J13</f>
        <v>0.8</v>
      </c>
      <c r="M128" s="11">
        <f>[6]Performance!K13</f>
        <v>1</v>
      </c>
      <c r="N128" s="11">
        <f>[6]Performance!L13</f>
        <v>1</v>
      </c>
      <c r="O128" s="11">
        <f>[6]Performance!M13</f>
        <v>1</v>
      </c>
      <c r="P128" s="11">
        <f>[6]Performance!N13</f>
        <v>1</v>
      </c>
      <c r="Q128" s="11">
        <f>[6]Performance!O13</f>
        <v>0.82</v>
      </c>
      <c r="R128" s="11">
        <f>[6]Performance!P13</f>
        <v>1</v>
      </c>
    </row>
    <row r="129" spans="1:20" x14ac:dyDescent="0.3">
      <c r="A129">
        <f>'[6]Student Data'!M14</f>
        <v>402496</v>
      </c>
      <c r="B129" t="str">
        <f>[6]Reporting!C13</f>
        <v>Resigned Tier 1A</v>
      </c>
      <c r="C129" s="10" t="str">
        <f>[6]Reporting!F13</f>
        <v xml:space="preserve">Carmichael Lomibao </v>
      </c>
      <c r="D129" cm="1">
        <f t="array" ref="D129">--(SUM(COUNTIF(B129,{"*nest*","*grad*","*trans*","*1B*","*1C*"}))&gt;0)</f>
        <v>0</v>
      </c>
      <c r="E129" s="11">
        <f>[6]Performance!Q14</f>
        <v>1</v>
      </c>
      <c r="F129" s="11">
        <f>[6]Performance!R14</f>
        <v>1</v>
      </c>
      <c r="G129" s="11" t="str">
        <f>[6]Performance!S14</f>
        <v>NLE</v>
      </c>
      <c r="H129" s="11">
        <f>[6]Performance!T14</f>
        <v>1</v>
      </c>
      <c r="I129" s="11" t="str">
        <f>[6]Performance!U14</f>
        <v>NLE</v>
      </c>
      <c r="J129" s="11">
        <f>[6]Performance!H14</f>
        <v>1</v>
      </c>
      <c r="K129" s="11">
        <f>[6]Performance!I14</f>
        <v>1</v>
      </c>
      <c r="L129" s="11">
        <f>[6]Performance!J14</f>
        <v>1</v>
      </c>
      <c r="M129" s="11">
        <f>[6]Performance!K14</f>
        <v>1</v>
      </c>
      <c r="N129" s="11">
        <f>[6]Performance!L14</f>
        <v>0.89</v>
      </c>
      <c r="O129" s="11">
        <f>[6]Performance!M14</f>
        <v>1</v>
      </c>
      <c r="P129" s="11">
        <f>[6]Performance!N14</f>
        <v>1</v>
      </c>
      <c r="Q129" s="11">
        <f>[6]Performance!O14</f>
        <v>0.91</v>
      </c>
      <c r="R129" s="11">
        <f>[6]Performance!P14</f>
        <v>1</v>
      </c>
    </row>
    <row r="130" spans="1:20" x14ac:dyDescent="0.3">
      <c r="A130">
        <f>'[6]Student Data'!M15</f>
        <v>402497</v>
      </c>
      <c r="B130" t="str">
        <f>[6]Reporting!C14</f>
        <v>Terminated Tier 1B</v>
      </c>
      <c r="C130" s="10" t="str">
        <f>[6]Reporting!F14</f>
        <v>Aldwin Lozada</v>
      </c>
      <c r="D130" cm="1">
        <f t="array" ref="D130">--(SUM(COUNTIF(B130,{"*nest*","*grad*","*trans*","*1B*","*1C*"}))&gt;0)</f>
        <v>1</v>
      </c>
      <c r="E130" s="11">
        <f>[6]Performance!Q15</f>
        <v>1</v>
      </c>
      <c r="F130" s="11">
        <f>[6]Performance!R15</f>
        <v>1</v>
      </c>
      <c r="G130" s="11">
        <f>[6]Performance!S15</f>
        <v>0.8</v>
      </c>
      <c r="H130" s="11">
        <f>[6]Performance!T15</f>
        <v>1</v>
      </c>
      <c r="I130" s="11">
        <f>[6]Performance!U15</f>
        <v>0.9</v>
      </c>
      <c r="J130" s="11">
        <f>[6]Performance!H15</f>
        <v>1</v>
      </c>
      <c r="K130" s="11">
        <f>[6]Performance!I15</f>
        <v>1</v>
      </c>
      <c r="L130" s="11">
        <f>[6]Performance!J15</f>
        <v>1</v>
      </c>
      <c r="M130" s="11">
        <f>[6]Performance!K15</f>
        <v>1</v>
      </c>
      <c r="N130" s="11">
        <f>[6]Performance!L15</f>
        <v>0.89</v>
      </c>
      <c r="O130" s="11">
        <f>[6]Performance!M15</f>
        <v>1</v>
      </c>
      <c r="P130" s="11">
        <f>[6]Performance!N15</f>
        <v>1</v>
      </c>
      <c r="Q130" s="11">
        <f>[6]Performance!O15</f>
        <v>0.91</v>
      </c>
      <c r="R130" s="11">
        <f>[6]Performance!P15</f>
        <v>0.82</v>
      </c>
    </row>
    <row r="131" spans="1:20" x14ac:dyDescent="0.3">
      <c r="A131">
        <f>'[6]Student Data'!M16</f>
        <v>402499</v>
      </c>
      <c r="B131" t="str">
        <f>[6]Reporting!C15</f>
        <v>Transition to Production</v>
      </c>
      <c r="C131" s="10" t="str">
        <f>[6]Reporting!F15</f>
        <v>Charine Maghanoy</v>
      </c>
      <c r="D131" cm="1">
        <f t="array" ref="D131">--(SUM(COUNTIF(B131,{"*nest*","*grad*","*trans*","*1B*","*1C*"}))&gt;0)</f>
        <v>1</v>
      </c>
      <c r="E131" s="11">
        <f>[6]Performance!Q16</f>
        <v>1</v>
      </c>
      <c r="F131" s="11">
        <f>[6]Performance!R16</f>
        <v>1</v>
      </c>
      <c r="G131" s="11">
        <f>[6]Performance!S16</f>
        <v>0.92</v>
      </c>
      <c r="H131" s="11">
        <f>[6]Performance!T16</f>
        <v>1</v>
      </c>
      <c r="I131" s="11">
        <f>[6]Performance!U16</f>
        <v>0.83</v>
      </c>
      <c r="J131" s="11">
        <f>[6]Performance!H16</f>
        <v>1</v>
      </c>
      <c r="K131" s="11">
        <f>[6]Performance!I16</f>
        <v>1</v>
      </c>
      <c r="L131" s="11">
        <f>[6]Performance!J16</f>
        <v>1</v>
      </c>
      <c r="M131" s="11">
        <f>[6]Performance!K16</f>
        <v>1</v>
      </c>
      <c r="N131" s="11">
        <f>[6]Performance!L16</f>
        <v>0.89</v>
      </c>
      <c r="O131" s="11">
        <f>[6]Performance!M16</f>
        <v>1</v>
      </c>
      <c r="P131" s="11">
        <f>[6]Performance!N16</f>
        <v>1</v>
      </c>
      <c r="Q131" s="11">
        <f>[6]Performance!O16</f>
        <v>0.96</v>
      </c>
      <c r="R131" s="11">
        <f>[6]Performance!P16</f>
        <v>0.94</v>
      </c>
    </row>
    <row r="132" spans="1:20" x14ac:dyDescent="0.3">
      <c r="A132">
        <f>'[6]Student Data'!M17</f>
        <v>402484</v>
      </c>
      <c r="B132" t="str">
        <f>[6]Reporting!C16</f>
        <v>Terminated-Nesting 3</v>
      </c>
      <c r="C132" s="10" t="str">
        <f>[6]Reporting!F16</f>
        <v>Jocelyn Manota</v>
      </c>
      <c r="D132" cm="1">
        <f t="array" ref="D132">--(SUM(COUNTIF(B132,{"*nest*","*grad*","*trans*","*1B*","*1C*"}))&gt;0)</f>
        <v>1</v>
      </c>
      <c r="E132" s="11">
        <f>[6]Performance!Q17</f>
        <v>1</v>
      </c>
      <c r="F132" s="11">
        <f>[6]Performance!R17</f>
        <v>1</v>
      </c>
      <c r="G132" s="11">
        <f>[6]Performance!S17</f>
        <v>0.84</v>
      </c>
      <c r="H132" s="11">
        <f>[6]Performance!T17</f>
        <v>1</v>
      </c>
      <c r="I132" s="11">
        <f>[6]Performance!U17</f>
        <v>0.8</v>
      </c>
      <c r="J132" s="11">
        <f>[6]Performance!H17</f>
        <v>1</v>
      </c>
      <c r="K132" s="11">
        <f>[6]Performance!I17</f>
        <v>1</v>
      </c>
      <c r="L132" s="11">
        <f>[6]Performance!J17</f>
        <v>1</v>
      </c>
      <c r="M132" s="11">
        <f>[6]Performance!K17</f>
        <v>1</v>
      </c>
      <c r="N132" s="11">
        <f>[6]Performance!L17</f>
        <v>1</v>
      </c>
      <c r="O132" s="11">
        <f>[6]Performance!M17</f>
        <v>1</v>
      </c>
      <c r="P132" s="11">
        <f>[6]Performance!N17</f>
        <v>1</v>
      </c>
      <c r="Q132" s="11">
        <f>[6]Performance!O17</f>
        <v>1</v>
      </c>
      <c r="R132" s="11">
        <f>[6]Performance!P17</f>
        <v>1</v>
      </c>
    </row>
    <row r="133" spans="1:20" x14ac:dyDescent="0.3">
      <c r="A133">
        <f>'[6]Student Data'!M18</f>
        <v>402488</v>
      </c>
      <c r="B133" t="str">
        <f>[6]Reporting!C17</f>
        <v>Did not Start</v>
      </c>
      <c r="C133" s="10" t="str">
        <f>[6]Reporting!F17</f>
        <v>Jacquiline Anne Noveda</v>
      </c>
      <c r="D133" cm="1">
        <f t="array" ref="D133">--(SUM(COUNTIF(B133,{"*nest*","*grad*","*trans*","*1B*","*1C*"}))&gt;0)</f>
        <v>0</v>
      </c>
      <c r="E133" s="11">
        <f>[6]Performance!Q18</f>
        <v>0</v>
      </c>
      <c r="F133" s="11">
        <f>[6]Performance!R18</f>
        <v>0</v>
      </c>
      <c r="G133" s="11">
        <f>[6]Performance!S18</f>
        <v>0</v>
      </c>
      <c r="H133" s="11">
        <f>[6]Performance!T18</f>
        <v>0</v>
      </c>
      <c r="I133" s="11">
        <f>[6]Performance!U18</f>
        <v>0</v>
      </c>
      <c r="J133" s="11">
        <f>[6]Performance!H18</f>
        <v>0</v>
      </c>
      <c r="K133" s="11">
        <f>[6]Performance!I18</f>
        <v>0</v>
      </c>
      <c r="L133" s="11">
        <f>[6]Performance!J18</f>
        <v>0</v>
      </c>
      <c r="M133" s="11">
        <f>[6]Performance!K18</f>
        <v>0</v>
      </c>
      <c r="N133" s="11">
        <f>[6]Performance!L18</f>
        <v>0</v>
      </c>
      <c r="O133" s="11">
        <f>[6]Performance!M18</f>
        <v>0</v>
      </c>
      <c r="P133" s="11">
        <f>[6]Performance!N18</f>
        <v>0</v>
      </c>
      <c r="Q133" s="11">
        <f>[6]Performance!O18</f>
        <v>0</v>
      </c>
      <c r="R133" s="11">
        <f>[6]Performance!P18</f>
        <v>0</v>
      </c>
    </row>
    <row r="134" spans="1:20" x14ac:dyDescent="0.3">
      <c r="A134">
        <f>'[6]Student Data'!M19</f>
        <v>402490</v>
      </c>
      <c r="B134" t="str">
        <f>[6]Reporting!C18</f>
        <v>Transition to Production with SMART plan</v>
      </c>
      <c r="C134" s="10" t="str">
        <f>[6]Reporting!F18</f>
        <v>Sheryl Nudalo</v>
      </c>
      <c r="D134" cm="1">
        <f t="array" ref="D134">--(SUM(COUNTIF(B134,{"*nest*","*grad*","*trans*","*1B*","*1C*"}))&gt;0)</f>
        <v>1</v>
      </c>
      <c r="E134" s="11">
        <f>[6]Performance!Q19</f>
        <v>1</v>
      </c>
      <c r="F134" s="11">
        <f>[6]Performance!R19</f>
        <v>1</v>
      </c>
      <c r="G134" s="11">
        <f>[6]Performance!S19</f>
        <v>0.86</v>
      </c>
      <c r="H134" s="11">
        <f>[6]Performance!T19</f>
        <v>0.8</v>
      </c>
      <c r="I134" s="11">
        <f>[6]Performance!U19</f>
        <v>0.88</v>
      </c>
      <c r="J134" s="11">
        <f>[6]Performance!H19</f>
        <v>1</v>
      </c>
      <c r="K134" s="11">
        <f>[6]Performance!I19</f>
        <v>1</v>
      </c>
      <c r="L134" s="11">
        <f>[6]Performance!J19</f>
        <v>1</v>
      </c>
      <c r="M134" s="11">
        <f>[6]Performance!K19</f>
        <v>1</v>
      </c>
      <c r="N134" s="11">
        <f>[6]Performance!L19</f>
        <v>1</v>
      </c>
      <c r="O134" s="11">
        <f>[6]Performance!M19</f>
        <v>1</v>
      </c>
      <c r="P134" s="11">
        <f>[6]Performance!N19</f>
        <v>1</v>
      </c>
      <c r="Q134" s="11">
        <f>[6]Performance!O19</f>
        <v>1</v>
      </c>
      <c r="R134" s="11">
        <f>[6]Performance!P19</f>
        <v>0.94</v>
      </c>
    </row>
    <row r="135" spans="1:20" x14ac:dyDescent="0.3">
      <c r="A135">
        <f>'[6]Student Data'!M20</f>
        <v>402500</v>
      </c>
      <c r="B135" t="str">
        <f>[6]Reporting!C19</f>
        <v>Resigned Tier 1A</v>
      </c>
      <c r="C135" s="10" t="str">
        <f>[6]Reporting!F19</f>
        <v>April Rose Pascual</v>
      </c>
      <c r="D135" cm="1">
        <f t="array" ref="D135">--(SUM(COUNTIF(B135,{"*nest*","*grad*","*trans*","*1B*","*1C*"}))&gt;0)</f>
        <v>0</v>
      </c>
      <c r="E135" s="11">
        <f>[6]Performance!Q20</f>
        <v>1</v>
      </c>
      <c r="F135" s="11">
        <f>[6]Performance!R20</f>
        <v>1</v>
      </c>
      <c r="G135" s="11">
        <f>[6]Performance!S20</f>
        <v>0.94</v>
      </c>
      <c r="H135" s="11">
        <f>[6]Performance!T20</f>
        <v>1</v>
      </c>
      <c r="I135" s="11">
        <f>[6]Performance!U20</f>
        <v>0.88</v>
      </c>
      <c r="J135" s="11">
        <f>[6]Performance!H20</f>
        <v>1</v>
      </c>
      <c r="K135" s="11">
        <f>[6]Performance!I20</f>
        <v>1</v>
      </c>
      <c r="L135" s="11">
        <f>[6]Performance!J20</f>
        <v>1</v>
      </c>
      <c r="M135" s="11">
        <f>[6]Performance!K20</f>
        <v>1</v>
      </c>
      <c r="N135" s="11">
        <f>[6]Performance!L20</f>
        <v>1</v>
      </c>
      <c r="O135" s="11">
        <f>[6]Performance!M20</f>
        <v>1</v>
      </c>
      <c r="P135" s="11">
        <f>[6]Performance!N20</f>
        <v>1</v>
      </c>
      <c r="Q135" s="11">
        <f>[6]Performance!O20</f>
        <v>1</v>
      </c>
      <c r="R135" s="11">
        <f>[6]Performance!P20</f>
        <v>0.94</v>
      </c>
    </row>
    <row r="136" spans="1:20" x14ac:dyDescent="0.3">
      <c r="A136">
        <f>'[6]Student Data'!M21</f>
        <v>402492</v>
      </c>
      <c r="B136" t="str">
        <f>[6]Reporting!C20</f>
        <v>Transition to Production with SMART plan</v>
      </c>
      <c r="C136" s="10" t="str">
        <f>[6]Reporting!F20</f>
        <v>Chris Jhon Ponteres</v>
      </c>
      <c r="D136" cm="1">
        <f t="array" ref="D136">--(SUM(COUNTIF(B136,{"*nest*","*grad*","*trans*","*1B*","*1C*"}))&gt;0)</f>
        <v>1</v>
      </c>
      <c r="E136" s="11">
        <f>[6]Performance!Q21</f>
        <v>1</v>
      </c>
      <c r="F136" s="11">
        <f>[6]Performance!R21</f>
        <v>1</v>
      </c>
      <c r="G136" s="11">
        <f>[6]Performance!S21</f>
        <v>0.86</v>
      </c>
      <c r="H136" s="11">
        <f>[6]Performance!T21</f>
        <v>1</v>
      </c>
      <c r="I136" s="11">
        <f>[6]Performance!U21</f>
        <v>0.88</v>
      </c>
      <c r="J136" s="11">
        <f>[6]Performance!H21</f>
        <v>1</v>
      </c>
      <c r="K136" s="11">
        <f>[6]Performance!I21</f>
        <v>0.88</v>
      </c>
      <c r="L136" s="11">
        <f>[6]Performance!J21</f>
        <v>1</v>
      </c>
      <c r="M136" s="11">
        <f>[6]Performance!K21</f>
        <v>1</v>
      </c>
      <c r="N136" s="11">
        <f>[6]Performance!L21</f>
        <v>1</v>
      </c>
      <c r="O136" s="11">
        <f>[6]Performance!M21</f>
        <v>1</v>
      </c>
      <c r="P136" s="11">
        <f>[6]Performance!N21</f>
        <v>1</v>
      </c>
      <c r="Q136" s="11">
        <f>[6]Performance!O21</f>
        <v>1</v>
      </c>
      <c r="R136" s="11">
        <f>[6]Performance!P21</f>
        <v>1</v>
      </c>
    </row>
    <row r="137" spans="1:20" x14ac:dyDescent="0.3">
      <c r="A137">
        <f>'[6]Student Data'!M22</f>
        <v>402487</v>
      </c>
      <c r="B137" t="str">
        <f>[6]Reporting!C21</f>
        <v>Resigned-Nesting</v>
      </c>
      <c r="C137" s="10" t="str">
        <f>[6]Reporting!F21</f>
        <v>Kitch  Tilo</v>
      </c>
      <c r="D137" cm="1">
        <f t="array" ref="D137">--(SUM(COUNTIF(B137,{"*nest*","*grad*","*trans*","*1B*","*1C*"}))&gt;0)</f>
        <v>1</v>
      </c>
      <c r="E137" s="11">
        <f>[6]Performance!Q22</f>
        <v>1</v>
      </c>
      <c r="F137" s="11">
        <f>[6]Performance!R22</f>
        <v>1</v>
      </c>
      <c r="G137" s="11">
        <f>[6]Performance!S22</f>
        <v>1</v>
      </c>
      <c r="H137" s="11">
        <f>[6]Performance!T22</f>
        <v>1</v>
      </c>
      <c r="I137" s="11">
        <f>[6]Performance!U22</f>
        <v>1</v>
      </c>
      <c r="J137" s="11">
        <f>[6]Performance!H22</f>
        <v>1</v>
      </c>
      <c r="K137" s="11">
        <f>[6]Performance!I22</f>
        <v>1</v>
      </c>
      <c r="L137" s="11">
        <f>[6]Performance!J22</f>
        <v>1</v>
      </c>
      <c r="M137" s="11">
        <f>[6]Performance!K22</f>
        <v>1</v>
      </c>
      <c r="N137" s="11">
        <f>[6]Performance!L22</f>
        <v>0.89</v>
      </c>
      <c r="O137" s="11">
        <f>[6]Performance!M22</f>
        <v>1</v>
      </c>
      <c r="P137" s="11">
        <f>[6]Performance!N22</f>
        <v>1</v>
      </c>
      <c r="Q137" s="11">
        <f>[6]Performance!O22</f>
        <v>1</v>
      </c>
      <c r="R137" s="11">
        <f>[6]Performance!P22</f>
        <v>0.88</v>
      </c>
    </row>
    <row r="138" spans="1:20" x14ac:dyDescent="0.3">
      <c r="A138">
        <f>'[6]Student Data'!M23</f>
        <v>402498</v>
      </c>
      <c r="B138" t="str">
        <f>[6]Reporting!C22</f>
        <v>Did not Start</v>
      </c>
      <c r="C138" s="10" t="str">
        <f>[6]Reporting!F22</f>
        <v>Patrick Aristotle Trajano</v>
      </c>
      <c r="D138" cm="1">
        <f t="array" ref="D138">--(SUM(COUNTIF(B138,{"*nest*","*grad*","*trans*","*1B*","*1C*"}))&gt;0)</f>
        <v>0</v>
      </c>
      <c r="E138" s="11">
        <f>[6]Performance!Q23</f>
        <v>0</v>
      </c>
      <c r="F138" s="11">
        <f>[6]Performance!R23</f>
        <v>0</v>
      </c>
      <c r="G138" s="11">
        <f>[6]Performance!S23</f>
        <v>0</v>
      </c>
      <c r="H138" s="11">
        <f>[6]Performance!T23</f>
        <v>0</v>
      </c>
      <c r="I138" s="11">
        <f>[6]Performance!U23</f>
        <v>0</v>
      </c>
      <c r="J138" s="11">
        <f>[6]Performance!H23</f>
        <v>0</v>
      </c>
      <c r="K138" s="11">
        <f>[6]Performance!I23</f>
        <v>0</v>
      </c>
      <c r="L138" s="11">
        <f>[6]Performance!J23</f>
        <v>0</v>
      </c>
      <c r="M138" s="11">
        <f>[6]Performance!K23</f>
        <v>0</v>
      </c>
      <c r="N138" s="11">
        <f>[6]Performance!L23</f>
        <v>0</v>
      </c>
      <c r="O138" s="11">
        <f>[6]Performance!M23</f>
        <v>0</v>
      </c>
      <c r="P138" s="11">
        <f>[6]Performance!N23</f>
        <v>0</v>
      </c>
      <c r="Q138" s="11">
        <f>[6]Performance!O23</f>
        <v>0</v>
      </c>
      <c r="R138" s="11">
        <f>[6]Performance!P23</f>
        <v>0</v>
      </c>
    </row>
    <row r="139" spans="1:20" x14ac:dyDescent="0.3">
      <c r="A139" s="24">
        <v>45789</v>
      </c>
      <c r="B139" s="9" t="s">
        <v>38</v>
      </c>
      <c r="C139" s="9" t="s">
        <v>29</v>
      </c>
      <c r="D139" s="9">
        <f>SUM(D140:D162)</f>
        <v>16</v>
      </c>
      <c r="E139" s="9">
        <f>COUNTIF(E140:E162, "&gt;79%")</f>
        <v>18</v>
      </c>
      <c r="F139" s="9">
        <f>COUNTIF(F140:F162, "&gt;79%")</f>
        <v>18</v>
      </c>
      <c r="G139" s="9">
        <f>COUNTIF(G140:G162, "&gt;79%")</f>
        <v>16</v>
      </c>
      <c r="H139" s="9">
        <f>COUNTIF(H140:H162, "&gt;79%")</f>
        <v>18</v>
      </c>
      <c r="I139" s="9">
        <f t="shared" ref="I139:R139" si="20">COUNTIF(I140:I162, "&gt;79%")</f>
        <v>16</v>
      </c>
      <c r="J139" s="9">
        <f t="shared" si="20"/>
        <v>16</v>
      </c>
      <c r="K139" s="9">
        <f t="shared" si="20"/>
        <v>18</v>
      </c>
      <c r="L139" s="9">
        <f t="shared" si="20"/>
        <v>18</v>
      </c>
      <c r="M139" s="9">
        <f t="shared" si="20"/>
        <v>17</v>
      </c>
      <c r="N139" s="9">
        <f t="shared" si="20"/>
        <v>17</v>
      </c>
      <c r="O139" s="9">
        <f t="shared" si="20"/>
        <v>17</v>
      </c>
      <c r="P139" s="9">
        <f t="shared" si="20"/>
        <v>18</v>
      </c>
      <c r="Q139" s="9">
        <f t="shared" si="20"/>
        <v>17</v>
      </c>
      <c r="R139" s="9">
        <f t="shared" si="20"/>
        <v>18</v>
      </c>
      <c r="S139" s="9">
        <f>COUNTIF(S140:S162, "&gt;79%")</f>
        <v>0</v>
      </c>
      <c r="T139" s="26">
        <f>'[7]Class Summary'!$B$6</f>
        <v>45806</v>
      </c>
    </row>
    <row r="140" spans="1:20" x14ac:dyDescent="0.3">
      <c r="A140" s="27">
        <f>'[7]Student Data'!M5</f>
        <v>313832</v>
      </c>
      <c r="B140" s="27" t="str">
        <f>[7]Reporting!C4</f>
        <v>Did not Start</v>
      </c>
      <c r="C140" s="28" t="str">
        <f>[7]Reporting!F4</f>
        <v>Jerome Acol</v>
      </c>
      <c r="D140" s="27" cm="1">
        <f t="array" ref="D140">--(SUM(COUNTIF(B140,{"*nest*","*grad*","*trans*","*1B*","*1C*"}))&gt;0)</f>
        <v>0</v>
      </c>
      <c r="E140" s="29">
        <f>[7]Performance!Q5</f>
        <v>0</v>
      </c>
      <c r="F140" s="29">
        <f>[7]Performance!R5</f>
        <v>0</v>
      </c>
      <c r="G140" s="29">
        <f>[7]Performance!S5</f>
        <v>0</v>
      </c>
      <c r="H140" s="29">
        <f>[7]Performance!T5</f>
        <v>0</v>
      </c>
      <c r="I140" s="29">
        <f>[7]Performance!U5</f>
        <v>0</v>
      </c>
      <c r="J140" s="29">
        <f>[7]Performance!H5</f>
        <v>0</v>
      </c>
      <c r="K140" s="29">
        <f>[7]Performance!I5</f>
        <v>0</v>
      </c>
      <c r="L140" s="29">
        <f>[7]Performance!J5</f>
        <v>0</v>
      </c>
      <c r="M140" s="29">
        <f>[7]Performance!K5</f>
        <v>0</v>
      </c>
      <c r="N140" s="29">
        <f>[7]Performance!L5</f>
        <v>0</v>
      </c>
      <c r="O140" s="29">
        <f>[7]Performance!M5</f>
        <v>0</v>
      </c>
      <c r="P140" s="29">
        <f>[7]Performance!N5</f>
        <v>0</v>
      </c>
      <c r="Q140" s="29">
        <f>[7]Performance!O5</f>
        <v>0</v>
      </c>
      <c r="R140" s="29">
        <f>[7]Performance!P5</f>
        <v>0</v>
      </c>
    </row>
    <row r="141" spans="1:20" x14ac:dyDescent="0.3">
      <c r="A141">
        <f>'[7]Student Data'!M6</f>
        <v>343801</v>
      </c>
      <c r="B141" t="str">
        <f>[7]Reporting!C5</f>
        <v>Did not Start</v>
      </c>
      <c r="C141" s="10" t="str">
        <f>[7]Reporting!F5</f>
        <v>Joe-Mher Regonaos</v>
      </c>
      <c r="D141" cm="1">
        <f t="array" ref="D141">--(SUM(COUNTIF(B141,{"*nest*","*grad*","*trans*","*1B*","*1C*"}))&gt;0)</f>
        <v>0</v>
      </c>
      <c r="E141" s="11">
        <f>[7]Performance!Q6</f>
        <v>1</v>
      </c>
      <c r="F141" s="11">
        <f>[7]Performance!R6</f>
        <v>1</v>
      </c>
      <c r="G141" s="11">
        <f>[7]Performance!S6</f>
        <v>0.94</v>
      </c>
      <c r="H141" s="11">
        <f>[7]Performance!T6</f>
        <v>0.8</v>
      </c>
      <c r="I141" s="11">
        <f>[7]Performance!U6</f>
        <v>0.93</v>
      </c>
      <c r="J141" s="11">
        <f>[7]Performance!H6</f>
        <v>1</v>
      </c>
      <c r="K141" s="11">
        <f>[7]Performance!I6</f>
        <v>1</v>
      </c>
      <c r="L141" s="11">
        <f>[7]Performance!J6</f>
        <v>1</v>
      </c>
      <c r="M141" s="11">
        <f>[7]Performance!K6</f>
        <v>1</v>
      </c>
      <c r="N141" s="11">
        <f>[7]Performance!L6</f>
        <v>1</v>
      </c>
      <c r="O141" s="11">
        <f>[7]Performance!M6</f>
        <v>1</v>
      </c>
      <c r="P141" s="11">
        <f>[7]Performance!N6</f>
        <v>1</v>
      </c>
      <c r="Q141" s="11">
        <f>[7]Performance!O6</f>
        <v>1</v>
      </c>
      <c r="R141" s="11">
        <f>[7]Performance!P6</f>
        <v>1</v>
      </c>
    </row>
    <row r="142" spans="1:20" x14ac:dyDescent="0.3">
      <c r="A142">
        <f>'[7]Student Data'!M7</f>
        <v>343796</v>
      </c>
      <c r="B142" t="str">
        <f>[7]Reporting!C6</f>
        <v>Did not Start</v>
      </c>
      <c r="C142" s="10" t="str">
        <f>[7]Reporting!F6</f>
        <v>Alvin Dave Solayo</v>
      </c>
      <c r="D142" cm="1">
        <f t="array" ref="D142">--(SUM(COUNTIF(B142,{"*nest*","*grad*","*trans*","*1B*","*1C*"}))&gt;0)</f>
        <v>0</v>
      </c>
      <c r="E142" s="11">
        <f>[7]Performance!Q7</f>
        <v>1</v>
      </c>
      <c r="F142" s="11">
        <f>[7]Performance!R7</f>
        <v>1</v>
      </c>
      <c r="G142" s="11">
        <f>[7]Performance!S7</f>
        <v>0.94</v>
      </c>
      <c r="H142" s="11">
        <f>[7]Performance!T7</f>
        <v>0.8</v>
      </c>
      <c r="I142" s="11">
        <f>[7]Performance!U7</f>
        <v>1</v>
      </c>
      <c r="J142" s="11">
        <f>[7]Performance!H7</f>
        <v>1</v>
      </c>
      <c r="K142" s="11">
        <f>[7]Performance!I7</f>
        <v>0.88</v>
      </c>
      <c r="L142" s="11">
        <f>[7]Performance!J7</f>
        <v>1</v>
      </c>
      <c r="M142" s="11">
        <f>[7]Performance!K7</f>
        <v>1</v>
      </c>
      <c r="N142" s="11">
        <f>[7]Performance!L7</f>
        <v>1</v>
      </c>
      <c r="O142" s="11">
        <f>[7]Performance!M7</f>
        <v>1</v>
      </c>
      <c r="P142" s="11">
        <f>[7]Performance!N7</f>
        <v>1</v>
      </c>
      <c r="Q142" s="11">
        <f>[7]Performance!O7</f>
        <v>1</v>
      </c>
      <c r="R142" s="11">
        <f>[7]Performance!P7</f>
        <v>0.94</v>
      </c>
    </row>
    <row r="143" spans="1:20" x14ac:dyDescent="0.3">
      <c r="A143">
        <f>'[7]Student Data'!M8</f>
        <v>343810</v>
      </c>
      <c r="B143" t="str">
        <f>[7]Reporting!C7</f>
        <v>Moved/Joining Alternate Class/Program</v>
      </c>
      <c r="C143" s="10" t="str">
        <f>[7]Reporting!F7</f>
        <v>Tanya Mae (Tang) Bersales</v>
      </c>
      <c r="D143" cm="1">
        <f t="array" ref="D143">--(SUM(COUNTIF(B143,{"*nest*","*grad*","*trans*","*1B*","*1C*"}))&gt;0)</f>
        <v>0</v>
      </c>
      <c r="E143" s="11">
        <f>[7]Performance!Q8</f>
        <v>1</v>
      </c>
      <c r="F143" s="11">
        <f>[7]Performance!R8</f>
        <v>1</v>
      </c>
      <c r="G143" s="11">
        <f>[7]Performance!S8</f>
        <v>1</v>
      </c>
      <c r="H143" s="11">
        <f>[7]Performance!T8</f>
        <v>0.8</v>
      </c>
      <c r="I143" s="11">
        <f>[7]Performance!U8</f>
        <v>0.88</v>
      </c>
      <c r="J143" s="11">
        <f>[7]Performance!H8</f>
        <v>1</v>
      </c>
      <c r="K143" s="11">
        <f>[7]Performance!I8</f>
        <v>1</v>
      </c>
      <c r="L143" s="11">
        <f>[7]Performance!J8</f>
        <v>1</v>
      </c>
      <c r="M143" s="11">
        <f>[7]Performance!K8</f>
        <v>1</v>
      </c>
      <c r="N143" s="11">
        <f>[7]Performance!L8</f>
        <v>1</v>
      </c>
      <c r="O143" s="11">
        <f>[7]Performance!M8</f>
        <v>1</v>
      </c>
      <c r="P143" s="11">
        <f>[7]Performance!N8</f>
        <v>1</v>
      </c>
      <c r="Q143" s="11">
        <f>[7]Performance!O8</f>
        <v>1</v>
      </c>
      <c r="R143" s="11">
        <f>[7]Performance!P8</f>
        <v>1</v>
      </c>
    </row>
    <row r="144" spans="1:20" x14ac:dyDescent="0.3">
      <c r="A144">
        <f>'[7]Student Data'!M9</f>
        <v>343809</v>
      </c>
      <c r="B144" t="str">
        <f>[7]Reporting!C8</f>
        <v>Moved/Joining Alternate Class/Program</v>
      </c>
      <c r="C144" s="10" t="str">
        <f>[7]Reporting!F8</f>
        <v>Renz Martin Dionisio</v>
      </c>
      <c r="D144" cm="1">
        <f t="array" ref="D144">--(SUM(COUNTIF(B144,{"*nest*","*grad*","*trans*","*1B*","*1C*"}))&gt;0)</f>
        <v>0</v>
      </c>
      <c r="E144" s="11">
        <f>[7]Performance!Q9</f>
        <v>1</v>
      </c>
      <c r="F144" s="11">
        <f>[7]Performance!R9</f>
        <v>1</v>
      </c>
      <c r="G144" s="11">
        <f>[7]Performance!S9</f>
        <v>1</v>
      </c>
      <c r="H144" s="11">
        <f>[7]Performance!T9</f>
        <v>1</v>
      </c>
      <c r="I144" s="11">
        <f>[7]Performance!U9</f>
        <v>0.87</v>
      </c>
      <c r="J144" s="11">
        <f>[7]Performance!H9</f>
        <v>1</v>
      </c>
      <c r="K144" s="11">
        <f>[7]Performance!I9</f>
        <v>0.88</v>
      </c>
      <c r="L144" s="11">
        <f>[7]Performance!J9</f>
        <v>0.8</v>
      </c>
      <c r="M144" s="11">
        <f>[7]Performance!K9</f>
        <v>1</v>
      </c>
      <c r="N144" s="11">
        <f>[7]Performance!L9</f>
        <v>1</v>
      </c>
      <c r="O144" s="11">
        <f>[7]Performance!M9</f>
        <v>1</v>
      </c>
      <c r="P144" s="11">
        <f>[7]Performance!N9</f>
        <v>1</v>
      </c>
      <c r="Q144" s="11">
        <f>[7]Performance!O9</f>
        <v>1</v>
      </c>
      <c r="R144" s="11">
        <f>[7]Performance!P9</f>
        <v>0.82</v>
      </c>
    </row>
    <row r="145" spans="1:18" x14ac:dyDescent="0.3">
      <c r="A145">
        <f>'[7]Student Data'!M10</f>
        <v>343803</v>
      </c>
      <c r="B145" t="str">
        <f>[7]Reporting!C9</f>
        <v>Moved/Joining Alternate Class/Program</v>
      </c>
      <c r="C145" s="10" t="str">
        <f>[7]Reporting!F9</f>
        <v>Matthew Lagaran</v>
      </c>
      <c r="D145" cm="1">
        <f t="array" ref="D145">--(SUM(COUNTIF(B145,{"*nest*","*grad*","*trans*","*1B*","*1C*"}))&gt;0)</f>
        <v>0</v>
      </c>
      <c r="E145" s="11">
        <f>[7]Performance!Q10</f>
        <v>1</v>
      </c>
      <c r="F145" s="11">
        <f>[7]Performance!R10</f>
        <v>1</v>
      </c>
      <c r="G145" s="11">
        <f>[7]Performance!S10</f>
        <v>1</v>
      </c>
      <c r="H145" s="11">
        <f>[7]Performance!T10</f>
        <v>0.8</v>
      </c>
      <c r="I145" s="11">
        <f>[7]Performance!U10</f>
        <v>0.98</v>
      </c>
      <c r="J145" s="11">
        <f>[7]Performance!H10</f>
        <v>1</v>
      </c>
      <c r="K145" s="11">
        <f>[7]Performance!I10</f>
        <v>1</v>
      </c>
      <c r="L145" s="11">
        <f>[7]Performance!J10</f>
        <v>1</v>
      </c>
      <c r="M145" s="11">
        <f>[7]Performance!K10</f>
        <v>1</v>
      </c>
      <c r="N145" s="11">
        <f>[7]Performance!L10</f>
        <v>1</v>
      </c>
      <c r="O145" s="11">
        <f>[7]Performance!M10</f>
        <v>1</v>
      </c>
      <c r="P145" s="11">
        <f>[7]Performance!N10</f>
        <v>1</v>
      </c>
      <c r="Q145" s="11">
        <f>[7]Performance!O10</f>
        <v>1</v>
      </c>
      <c r="R145" s="11">
        <f>[7]Performance!P10</f>
        <v>1</v>
      </c>
    </row>
    <row r="146" spans="1:18" x14ac:dyDescent="0.3">
      <c r="A146">
        <f>'[7]Student Data'!M11</f>
        <v>343805</v>
      </c>
      <c r="B146" t="str">
        <f>[7]Reporting!C10</f>
        <v>Moved/Joining Alternate Class/Program</v>
      </c>
      <c r="C146" s="10" t="str">
        <f>[7]Reporting!F10</f>
        <v>Paula Jean Yuen-De</v>
      </c>
      <c r="D146" cm="1">
        <f t="array" ref="D146">--(SUM(COUNTIF(B146,{"*nest*","*grad*","*trans*","*1B*","*1C*"}))&gt;0)</f>
        <v>0</v>
      </c>
      <c r="E146" s="11">
        <f>[7]Performance!Q11</f>
        <v>1</v>
      </c>
      <c r="F146" s="11">
        <f>[7]Performance!R11</f>
        <v>1</v>
      </c>
      <c r="G146" s="11">
        <f>[7]Performance!S11</f>
        <v>0.88</v>
      </c>
      <c r="H146" s="11">
        <f>[7]Performance!T11</f>
        <v>0.8</v>
      </c>
      <c r="I146" s="11">
        <f>[7]Performance!U11</f>
        <v>1</v>
      </c>
      <c r="J146" s="11">
        <f>[7]Performance!H11</f>
        <v>1</v>
      </c>
      <c r="K146" s="11">
        <f>[7]Performance!I11</f>
        <v>1</v>
      </c>
      <c r="L146" s="11">
        <f>[7]Performance!J11</f>
        <v>1</v>
      </c>
      <c r="M146" s="11">
        <f>[7]Performance!K11</f>
        <v>1</v>
      </c>
      <c r="N146" s="11">
        <f>[7]Performance!L11</f>
        <v>1</v>
      </c>
      <c r="O146" s="11">
        <f>[7]Performance!M11</f>
        <v>1</v>
      </c>
      <c r="P146" s="11">
        <f>[7]Performance!N11</f>
        <v>1</v>
      </c>
      <c r="Q146" s="11">
        <f>[7]Performance!O11</f>
        <v>1</v>
      </c>
      <c r="R146" s="11">
        <f>[7]Performance!P11</f>
        <v>1</v>
      </c>
    </row>
    <row r="147" spans="1:18" x14ac:dyDescent="0.3">
      <c r="A147" s="27">
        <f>'[7]Student Data'!M12</f>
        <v>317631</v>
      </c>
      <c r="B147" s="27" t="str">
        <f>[7]Reporting!C11</f>
        <v>Resigned-Nesting 3</v>
      </c>
      <c r="C147" s="28" t="str">
        <f>[7]Reporting!F11</f>
        <v>Mark Vicent (Vince) Joseph</v>
      </c>
      <c r="D147" s="27" cm="1">
        <f t="array" ref="D147">--(SUM(COUNTIF(B147,{"*nest*","*grad*","*trans*","*1B*","*1C*"}))&gt;0)</f>
        <v>1</v>
      </c>
      <c r="E147" s="29">
        <f>[7]Performance!Q12</f>
        <v>0</v>
      </c>
      <c r="F147" s="29">
        <f>[7]Performance!R12</f>
        <v>0</v>
      </c>
      <c r="G147" s="29">
        <f>[7]Performance!S12</f>
        <v>0</v>
      </c>
      <c r="H147" s="29">
        <f>[7]Performance!T12</f>
        <v>0</v>
      </c>
      <c r="I147" s="29">
        <f>[7]Performance!U12</f>
        <v>0</v>
      </c>
      <c r="J147" s="29">
        <f>[7]Performance!H12</f>
        <v>0</v>
      </c>
      <c r="K147" s="29">
        <f>[7]Performance!I12</f>
        <v>0</v>
      </c>
      <c r="L147" s="29">
        <f>[7]Performance!J12</f>
        <v>0</v>
      </c>
      <c r="M147" s="29">
        <f>[7]Performance!K12</f>
        <v>0</v>
      </c>
      <c r="N147" s="29">
        <f>[7]Performance!L12</f>
        <v>0</v>
      </c>
      <c r="O147" s="29">
        <f>[7]Performance!M12</f>
        <v>0</v>
      </c>
      <c r="P147" s="29">
        <f>[7]Performance!N12</f>
        <v>0</v>
      </c>
      <c r="Q147" s="29">
        <f>[7]Performance!O12</f>
        <v>0</v>
      </c>
      <c r="R147" s="29">
        <f>[7]Performance!P12</f>
        <v>0</v>
      </c>
    </row>
    <row r="148" spans="1:18" x14ac:dyDescent="0.3">
      <c r="A148">
        <f>'[7]Student Data'!M13</f>
        <v>343811</v>
      </c>
      <c r="B148" t="str">
        <f>[7]Reporting!C12</f>
        <v>Terminated-Nesting 1A</v>
      </c>
      <c r="C148" s="10" t="str">
        <f>[7]Reporting!F12</f>
        <v>John Roe Marc Mantilla</v>
      </c>
      <c r="D148" cm="1">
        <f t="array" ref="D148">--(SUM(COUNTIF(B148,{"*nest*","*grad*","*trans*","*1B*","*1C*"}))&gt;0)</f>
        <v>1</v>
      </c>
      <c r="E148" s="11">
        <f>[7]Performance!Q13</f>
        <v>1</v>
      </c>
      <c r="F148" s="11">
        <f>[7]Performance!R13</f>
        <v>1</v>
      </c>
      <c r="G148" s="11">
        <f>[7]Performance!S13</f>
        <v>0.92</v>
      </c>
      <c r="H148" s="11">
        <f>[7]Performance!T13</f>
        <v>0.8</v>
      </c>
      <c r="I148" s="11">
        <f>[7]Performance!U13</f>
        <v>0.84</v>
      </c>
      <c r="J148" s="11">
        <f>[7]Performance!H13</f>
        <v>1</v>
      </c>
      <c r="K148" s="11">
        <f>[7]Performance!I13</f>
        <v>0.88</v>
      </c>
      <c r="L148" s="11">
        <f>[7]Performance!J13</f>
        <v>1</v>
      </c>
      <c r="M148" s="11">
        <f>[7]Performance!K13</f>
        <v>1</v>
      </c>
      <c r="N148" s="11">
        <f>[7]Performance!L13</f>
        <v>1</v>
      </c>
      <c r="O148" s="11">
        <f>[7]Performance!M13</f>
        <v>1</v>
      </c>
      <c r="P148" s="11">
        <f>[7]Performance!N13</f>
        <v>1</v>
      </c>
      <c r="Q148" s="11">
        <f>[7]Performance!O13</f>
        <v>1</v>
      </c>
      <c r="R148" s="11">
        <f>[7]Performance!P13</f>
        <v>0.98</v>
      </c>
    </row>
    <row r="149" spans="1:18" x14ac:dyDescent="0.3">
      <c r="A149">
        <f>'[7]Student Data'!M14</f>
        <v>343786</v>
      </c>
      <c r="B149" t="str">
        <f>[7]Reporting!C13</f>
        <v>Terminated-Nesting 1A</v>
      </c>
      <c r="C149" s="10" t="str">
        <f>[7]Reporting!F13</f>
        <v>Erenz Florenz Santos</v>
      </c>
      <c r="D149" cm="1">
        <f t="array" ref="D149">--(SUM(COUNTIF(B149,{"*nest*","*grad*","*trans*","*1B*","*1C*"}))&gt;0)</f>
        <v>1</v>
      </c>
      <c r="E149" s="11">
        <f>[7]Performance!Q14</f>
        <v>1</v>
      </c>
      <c r="F149" s="11">
        <f>[7]Performance!R14</f>
        <v>1</v>
      </c>
      <c r="G149" s="11">
        <f>[7]Performance!S14</f>
        <v>0</v>
      </c>
      <c r="H149" s="11">
        <f>[7]Performance!T14</f>
        <v>0.8</v>
      </c>
      <c r="I149" s="29">
        <f>[7]Performance!U14</f>
        <v>0</v>
      </c>
      <c r="J149" s="29">
        <f>[7]Performance!H14</f>
        <v>0</v>
      </c>
      <c r="K149" s="11">
        <f>[7]Performance!I14</f>
        <v>0.88</v>
      </c>
      <c r="L149" s="11">
        <f>[7]Performance!J14</f>
        <v>1</v>
      </c>
      <c r="M149" s="11">
        <f>[7]Performance!K14</f>
        <v>1</v>
      </c>
      <c r="N149" s="11">
        <f>[7]Performance!L14</f>
        <v>1</v>
      </c>
      <c r="O149" s="11">
        <f>[7]Performance!M14</f>
        <v>1</v>
      </c>
      <c r="P149" s="11">
        <f>[7]Performance!N14</f>
        <v>1</v>
      </c>
      <c r="Q149" s="11">
        <f>[7]Performance!O14</f>
        <v>1</v>
      </c>
      <c r="R149" s="11">
        <f>[7]Performance!P14</f>
        <v>0.94</v>
      </c>
    </row>
    <row r="150" spans="1:18" x14ac:dyDescent="0.3">
      <c r="A150">
        <f>'[7]Student Data'!M15</f>
        <v>343808</v>
      </c>
      <c r="B150" t="str">
        <f>[7]Reporting!C14</f>
        <v>Terminated-Nesting 1B</v>
      </c>
      <c r="C150" s="10" t="str">
        <f>[7]Reporting!F14</f>
        <v>Alyza Noe Mae Tating</v>
      </c>
      <c r="D150" cm="1">
        <f t="array" ref="D150">--(SUM(COUNTIF(B150,{"*nest*","*grad*","*trans*","*1B*","*1C*"}))&gt;0)</f>
        <v>1</v>
      </c>
      <c r="E150" s="11">
        <f>[7]Performance!Q15</f>
        <v>1</v>
      </c>
      <c r="F150" s="11">
        <f>[7]Performance!R15</f>
        <v>1</v>
      </c>
      <c r="G150" s="11">
        <f>[7]Performance!S15</f>
        <v>0.84</v>
      </c>
      <c r="H150" s="11">
        <f>[7]Performance!T15</f>
        <v>1</v>
      </c>
      <c r="I150" s="11">
        <f>[7]Performance!U15</f>
        <v>1</v>
      </c>
      <c r="J150" s="11">
        <f>[7]Performance!H15</f>
        <v>1</v>
      </c>
      <c r="K150" s="11">
        <f>[7]Performance!I15</f>
        <v>1</v>
      </c>
      <c r="L150" s="11">
        <f>[7]Performance!J15</f>
        <v>1</v>
      </c>
      <c r="M150" s="11">
        <f>[7]Performance!K15</f>
        <v>1</v>
      </c>
      <c r="N150" s="11">
        <f>[7]Performance!L15</f>
        <v>1</v>
      </c>
      <c r="O150" s="11">
        <f>[7]Performance!M15</f>
        <v>1</v>
      </c>
      <c r="P150" s="11">
        <f>[7]Performance!N15</f>
        <v>1</v>
      </c>
      <c r="Q150" s="11">
        <f>[7]Performance!O15</f>
        <v>1</v>
      </c>
      <c r="R150" s="11">
        <f>[7]Performance!P15</f>
        <v>1</v>
      </c>
    </row>
    <row r="151" spans="1:18" x14ac:dyDescent="0.3">
      <c r="A151">
        <f>'[7]Student Data'!M16</f>
        <v>343800</v>
      </c>
      <c r="B151" t="str">
        <f>[7]Reporting!C15</f>
        <v>Terminated-Nesting 3</v>
      </c>
      <c r="C151" s="10" t="str">
        <f>[7]Reporting!F15</f>
        <v>Ma. Cielo (Mc) Dinong</v>
      </c>
      <c r="D151" cm="1">
        <f t="array" ref="D151">--(SUM(COUNTIF(B151,{"*nest*","*grad*","*trans*","*1B*","*1C*"}))&gt;0)</f>
        <v>1</v>
      </c>
      <c r="E151" s="11">
        <f>[7]Performance!Q16</f>
        <v>1</v>
      </c>
      <c r="F151" s="11">
        <f>[7]Performance!R16</f>
        <v>1</v>
      </c>
      <c r="G151" s="11">
        <f>[7]Performance!S16</f>
        <v>0.88</v>
      </c>
      <c r="H151" s="11">
        <f>[7]Performance!T16</f>
        <v>0.8</v>
      </c>
      <c r="I151" s="11">
        <f>[7]Performance!U16</f>
        <v>0.9</v>
      </c>
      <c r="J151" s="11">
        <f>[7]Performance!H16</f>
        <v>1</v>
      </c>
      <c r="K151" s="11">
        <f>[7]Performance!I16</f>
        <v>0.88</v>
      </c>
      <c r="L151" s="11">
        <f>[7]Performance!J16</f>
        <v>1</v>
      </c>
      <c r="M151" s="11">
        <f>[7]Performance!K16</f>
        <v>1</v>
      </c>
      <c r="N151" s="11">
        <f>[7]Performance!L16</f>
        <v>1</v>
      </c>
      <c r="O151" s="11">
        <f>[7]Performance!M16</f>
        <v>1</v>
      </c>
      <c r="P151" s="11">
        <f>[7]Performance!N16</f>
        <v>1</v>
      </c>
      <c r="Q151" s="11">
        <f>[7]Performance!O16</f>
        <v>1</v>
      </c>
      <c r="R151" s="11">
        <f>[7]Performance!P16</f>
        <v>1</v>
      </c>
    </row>
    <row r="152" spans="1:18" x14ac:dyDescent="0.3">
      <c r="A152">
        <f>'[7]Student Data'!M17</f>
        <v>343798</v>
      </c>
      <c r="B152" t="str">
        <f>[7]Reporting!C16</f>
        <v>Terminated-Nesting 3</v>
      </c>
      <c r="C152" s="10" t="str">
        <f>[7]Reporting!F16</f>
        <v>Peterlou (Louie) Mananguit</v>
      </c>
      <c r="D152" cm="1">
        <f t="array" ref="D152">--(SUM(COUNTIF(B152,{"*nest*","*grad*","*trans*","*1B*","*1C*"}))&gt;0)</f>
        <v>1</v>
      </c>
      <c r="E152" s="11">
        <f>[7]Performance!Q17</f>
        <v>1</v>
      </c>
      <c r="F152" s="11">
        <f>[7]Performance!R17</f>
        <v>1</v>
      </c>
      <c r="G152" s="11">
        <f>[7]Performance!S17</f>
        <v>0.9</v>
      </c>
      <c r="H152" s="11">
        <f>[7]Performance!T17</f>
        <v>1</v>
      </c>
      <c r="I152" s="11">
        <f>[7]Performance!U17</f>
        <v>0.95</v>
      </c>
      <c r="J152" s="11">
        <f>[7]Performance!H17</f>
        <v>1</v>
      </c>
      <c r="K152" s="11">
        <f>[7]Performance!I17</f>
        <v>0.88</v>
      </c>
      <c r="L152" s="11">
        <f>[7]Performance!J17</f>
        <v>0.8</v>
      </c>
      <c r="M152" s="11">
        <f>[7]Performance!K17</f>
        <v>1</v>
      </c>
      <c r="N152" s="11">
        <f>[7]Performance!L17</f>
        <v>1</v>
      </c>
      <c r="O152" s="11">
        <f>[7]Performance!M17</f>
        <v>1</v>
      </c>
      <c r="P152" s="11">
        <f>[7]Performance!N17</f>
        <v>1</v>
      </c>
      <c r="Q152" s="11">
        <f>[7]Performance!O17</f>
        <v>1</v>
      </c>
      <c r="R152" s="11">
        <f>[7]Performance!P17</f>
        <v>0.82</v>
      </c>
    </row>
    <row r="153" spans="1:18" x14ac:dyDescent="0.3">
      <c r="A153">
        <f>'[7]Student Data'!M18</f>
        <v>343799</v>
      </c>
      <c r="B153" t="str">
        <f>[7]Reporting!C17</f>
        <v>Terminated-Nesting 3</v>
      </c>
      <c r="C153" s="10" t="str">
        <f>[7]Reporting!F17</f>
        <v>Moises (Moi) Navarro</v>
      </c>
      <c r="D153" cm="1">
        <f t="array" ref="D153">--(SUM(COUNTIF(B153,{"*nest*","*grad*","*trans*","*1B*","*1C*"}))&gt;0)</f>
        <v>1</v>
      </c>
      <c r="E153" s="11">
        <f>[7]Performance!Q18</f>
        <v>1</v>
      </c>
      <c r="F153" s="11">
        <f>[7]Performance!R18</f>
        <v>1</v>
      </c>
      <c r="G153" s="11">
        <f>[7]Performance!S18</f>
        <v>1</v>
      </c>
      <c r="H153" s="11">
        <f>[7]Performance!T18</f>
        <v>1</v>
      </c>
      <c r="I153" s="11">
        <f>[7]Performance!U18</f>
        <v>0.93</v>
      </c>
      <c r="J153" s="11">
        <f>[7]Performance!H18</f>
        <v>1</v>
      </c>
      <c r="K153" s="11">
        <f>[7]Performance!I18</f>
        <v>1</v>
      </c>
      <c r="L153" s="11">
        <f>[7]Performance!J18</f>
        <v>1</v>
      </c>
      <c r="M153" s="11">
        <f>[7]Performance!K18</f>
        <v>1</v>
      </c>
      <c r="N153" s="11">
        <f>[7]Performance!L18</f>
        <v>1</v>
      </c>
      <c r="O153" s="11">
        <f>[7]Performance!M18</f>
        <v>1</v>
      </c>
      <c r="P153" s="11">
        <f>[7]Performance!N18</f>
        <v>1</v>
      </c>
      <c r="Q153" s="11">
        <f>[7]Performance!O18</f>
        <v>1</v>
      </c>
      <c r="R153" s="11">
        <f>[7]Performance!P18</f>
        <v>1</v>
      </c>
    </row>
    <row r="154" spans="1:18" x14ac:dyDescent="0.3">
      <c r="A154">
        <f>'[7]Student Data'!M19</f>
        <v>317643</v>
      </c>
      <c r="B154" t="str">
        <f>[7]Reporting!C18</f>
        <v>Terminated-Nesting 3</v>
      </c>
      <c r="C154" s="10" t="str">
        <f>[7]Reporting!F18</f>
        <v>Paul Sergi Osorio</v>
      </c>
      <c r="D154" cm="1">
        <f t="array" ref="D154">--(SUM(COUNTIF(B154,{"*nest*","*grad*","*trans*","*1B*","*1C*"}))&gt;0)</f>
        <v>1</v>
      </c>
      <c r="E154" s="11">
        <f>[7]Performance!Q19</f>
        <v>0</v>
      </c>
      <c r="F154" s="11">
        <f>[7]Performance!R19</f>
        <v>0</v>
      </c>
      <c r="G154" s="11">
        <f>[7]Performance!S19</f>
        <v>0</v>
      </c>
      <c r="H154" s="11">
        <f>[7]Performance!T19</f>
        <v>0</v>
      </c>
      <c r="I154" s="11">
        <f>[7]Performance!U19</f>
        <v>0</v>
      </c>
      <c r="J154" s="11">
        <f>[7]Performance!H19</f>
        <v>0</v>
      </c>
      <c r="K154" s="11">
        <f>[7]Performance!I19</f>
        <v>0</v>
      </c>
      <c r="L154" s="11">
        <f>[7]Performance!J19</f>
        <v>0</v>
      </c>
      <c r="M154" s="11">
        <f>[7]Performance!K19</f>
        <v>0</v>
      </c>
      <c r="N154" s="11">
        <f>[7]Performance!L19</f>
        <v>0</v>
      </c>
      <c r="O154" s="11">
        <f>[7]Performance!M19</f>
        <v>0</v>
      </c>
      <c r="P154" s="11">
        <f>[7]Performance!N19</f>
        <v>0</v>
      </c>
      <c r="Q154" s="11">
        <f>[7]Performance!O19</f>
        <v>0</v>
      </c>
      <c r="R154" s="11">
        <f>[7]Performance!P19</f>
        <v>0</v>
      </c>
    </row>
    <row r="155" spans="1:18" x14ac:dyDescent="0.3">
      <c r="A155">
        <f>'[7]Student Data'!M20</f>
        <v>343797</v>
      </c>
      <c r="B155" t="str">
        <f>[7]Reporting!C19</f>
        <v>Terminated-Nesting 3</v>
      </c>
      <c r="C155" s="10" t="str">
        <f>[7]Reporting!F19</f>
        <v>Jimhson (Jim) Vecinal</v>
      </c>
      <c r="D155" cm="1">
        <f t="array" ref="D155">--(SUM(COUNTIF(B155,{"*nest*","*grad*","*trans*","*1B*","*1C*"}))&gt;0)</f>
        <v>1</v>
      </c>
      <c r="E155" s="11">
        <f>[7]Performance!Q20</f>
        <v>1</v>
      </c>
      <c r="F155" s="11">
        <f>[7]Performance!R20</f>
        <v>1</v>
      </c>
      <c r="G155" s="29">
        <f>[7]Performance!S20</f>
        <v>0</v>
      </c>
      <c r="H155" s="11">
        <f>[7]Performance!T20</f>
        <v>1</v>
      </c>
      <c r="I155" s="29">
        <f>[7]Performance!U20</f>
        <v>0</v>
      </c>
      <c r="J155" s="11">
        <f>[7]Performance!H20</f>
        <v>0</v>
      </c>
      <c r="K155" s="11">
        <f>[7]Performance!I20</f>
        <v>0.88</v>
      </c>
      <c r="L155" s="11">
        <f>[7]Performance!J20</f>
        <v>1</v>
      </c>
      <c r="M155" s="11">
        <f>[7]Performance!K20</f>
        <v>0</v>
      </c>
      <c r="N155" s="11">
        <f>[7]Performance!L20</f>
        <v>0</v>
      </c>
      <c r="O155" s="11">
        <f>[7]Performance!M20</f>
        <v>0</v>
      </c>
      <c r="P155" s="11">
        <f>[7]Performance!N20</f>
        <v>1</v>
      </c>
      <c r="Q155" s="11">
        <f>[7]Performance!O20</f>
        <v>0</v>
      </c>
      <c r="R155" s="11">
        <f>[7]Performance!P20</f>
        <v>0.98</v>
      </c>
    </row>
    <row r="156" spans="1:18" x14ac:dyDescent="0.3">
      <c r="A156" s="27">
        <f>'[7]Student Data'!M21</f>
        <v>316834</v>
      </c>
      <c r="B156" s="27" t="str">
        <f>[7]Reporting!C20</f>
        <v>Transition to Production</v>
      </c>
      <c r="C156" s="28" t="str">
        <f>[7]Reporting!F20</f>
        <v>Jerico (Jam) Francisco</v>
      </c>
      <c r="D156" s="27" cm="1">
        <f t="array" ref="D156">--(SUM(COUNTIF(B156,{"*nest*","*grad*","*trans*","*1B*","*1C*"}))&gt;0)</f>
        <v>1</v>
      </c>
      <c r="E156" s="29">
        <f>[7]Performance!Q21</f>
        <v>0</v>
      </c>
      <c r="F156" s="29">
        <f>[7]Performance!R21</f>
        <v>0</v>
      </c>
      <c r="G156" s="29">
        <f>[7]Performance!S21</f>
        <v>0</v>
      </c>
      <c r="H156" s="29">
        <f>[7]Performance!T21</f>
        <v>0</v>
      </c>
      <c r="I156" s="29">
        <f>[7]Performance!U21</f>
        <v>0</v>
      </c>
      <c r="J156" s="29">
        <f>[7]Performance!H21</f>
        <v>0</v>
      </c>
      <c r="K156" s="29">
        <f>[7]Performance!I21</f>
        <v>0</v>
      </c>
      <c r="L156" s="29">
        <f>[7]Performance!J21</f>
        <v>0</v>
      </c>
      <c r="M156" s="29">
        <f>[7]Performance!K21</f>
        <v>0</v>
      </c>
      <c r="N156" s="29">
        <f>[7]Performance!L21</f>
        <v>0</v>
      </c>
      <c r="O156" s="29">
        <f>[7]Performance!M21</f>
        <v>0</v>
      </c>
      <c r="P156" s="29">
        <f>[7]Performance!N21</f>
        <v>0</v>
      </c>
      <c r="Q156" s="29">
        <f>[7]Performance!O21</f>
        <v>0</v>
      </c>
      <c r="R156" s="29">
        <f>[7]Performance!P21</f>
        <v>0</v>
      </c>
    </row>
    <row r="157" spans="1:18" x14ac:dyDescent="0.3">
      <c r="A157">
        <f>'[7]Student Data'!M22</f>
        <v>343789</v>
      </c>
      <c r="B157" t="str">
        <f>[7]Reporting!C21</f>
        <v>Transition to Production</v>
      </c>
      <c r="C157" s="10" t="str">
        <f>[7]Reporting!F21</f>
        <v>Christian Efren (Christ) Guardiano</v>
      </c>
      <c r="D157" cm="1">
        <f t="array" ref="D157">--(SUM(COUNTIF(B157,{"*nest*","*grad*","*trans*","*1B*","*1C*"}))&gt;0)</f>
        <v>1</v>
      </c>
      <c r="E157" s="11">
        <f>[7]Performance!Q22</f>
        <v>1</v>
      </c>
      <c r="F157" s="11">
        <f>[7]Performance!R22</f>
        <v>1</v>
      </c>
      <c r="G157" s="11">
        <f>[7]Performance!S22</f>
        <v>1</v>
      </c>
      <c r="H157" s="11">
        <f>[7]Performance!T22</f>
        <v>0.8</v>
      </c>
      <c r="I157" s="11">
        <f>[7]Performance!U22</f>
        <v>0.88</v>
      </c>
      <c r="J157" s="11">
        <f>[7]Performance!H22</f>
        <v>1</v>
      </c>
      <c r="K157" s="11">
        <f>[7]Performance!I22</f>
        <v>1</v>
      </c>
      <c r="L157" s="11">
        <f>[7]Performance!J22</f>
        <v>1</v>
      </c>
      <c r="M157" s="11">
        <f>[7]Performance!K22</f>
        <v>1</v>
      </c>
      <c r="N157" s="11">
        <f>[7]Performance!L22</f>
        <v>1</v>
      </c>
      <c r="O157" s="11">
        <f>[7]Performance!M22</f>
        <v>1</v>
      </c>
      <c r="P157" s="11">
        <f>[7]Performance!N22</f>
        <v>1</v>
      </c>
      <c r="Q157" s="11">
        <f>[7]Performance!O22</f>
        <v>1</v>
      </c>
      <c r="R157" s="11">
        <f>[7]Performance!P22</f>
        <v>1</v>
      </c>
    </row>
    <row r="158" spans="1:18" x14ac:dyDescent="0.3">
      <c r="A158">
        <f>'[7]Student Data'!M23</f>
        <v>343804</v>
      </c>
      <c r="B158" t="str">
        <f>[7]Reporting!C22</f>
        <v>Transition to Production</v>
      </c>
      <c r="C158" s="10" t="str">
        <f>[7]Reporting!F22</f>
        <v>Abigail (Abby) Naviamos</v>
      </c>
      <c r="D158" cm="1">
        <f t="array" ref="D158">--(SUM(COUNTIF(B158,{"*nest*","*grad*","*trans*","*1B*","*1C*"}))&gt;0)</f>
        <v>1</v>
      </c>
      <c r="E158" s="11">
        <f>[7]Performance!Q23</f>
        <v>1</v>
      </c>
      <c r="F158" s="11">
        <f>[7]Performance!R23</f>
        <v>1</v>
      </c>
      <c r="G158" s="11">
        <f>[7]Performance!S23</f>
        <v>0.92</v>
      </c>
      <c r="H158" s="11">
        <f>[7]Performance!T23</f>
        <v>0.8</v>
      </c>
      <c r="I158" s="11">
        <f>[7]Performance!U23</f>
        <v>1</v>
      </c>
      <c r="J158" s="11">
        <f>[7]Performance!H23</f>
        <v>1</v>
      </c>
      <c r="K158" s="11">
        <f>[7]Performance!I23</f>
        <v>0.88</v>
      </c>
      <c r="L158" s="11">
        <f>[7]Performance!J23</f>
        <v>1</v>
      </c>
      <c r="M158" s="11">
        <f>[7]Performance!K23</f>
        <v>1</v>
      </c>
      <c r="N158" s="11">
        <f>[7]Performance!L23</f>
        <v>1</v>
      </c>
      <c r="O158" s="11">
        <f>[7]Performance!M23</f>
        <v>1</v>
      </c>
      <c r="P158" s="11">
        <f>[7]Performance!N23</f>
        <v>1</v>
      </c>
      <c r="Q158" s="11">
        <f>[7]Performance!O23</f>
        <v>1</v>
      </c>
      <c r="R158" s="11">
        <f>[7]Performance!P23</f>
        <v>1</v>
      </c>
    </row>
    <row r="159" spans="1:18" x14ac:dyDescent="0.3">
      <c r="A159">
        <f>'[7]Student Data'!M24</f>
        <v>343802</v>
      </c>
      <c r="B159" t="str">
        <f>[7]Reporting!C23</f>
        <v>Transition to Production</v>
      </c>
      <c r="C159" s="10" t="str">
        <f>[7]Reporting!F23</f>
        <v>Ivy Marie Perez</v>
      </c>
      <c r="D159" cm="1">
        <f t="array" ref="D159">--(SUM(COUNTIF(B159,{"*nest*","*grad*","*trans*","*1B*","*1C*"}))&gt;0)</f>
        <v>1</v>
      </c>
      <c r="E159" s="11">
        <f>[7]Performance!Q24</f>
        <v>1</v>
      </c>
      <c r="F159" s="11">
        <f>[7]Performance!R24</f>
        <v>1</v>
      </c>
      <c r="G159" s="11">
        <f>[7]Performance!S24</f>
        <v>0.92</v>
      </c>
      <c r="H159" s="11">
        <f>[7]Performance!T24</f>
        <v>1</v>
      </c>
      <c r="I159" s="11">
        <f>[7]Performance!U24</f>
        <v>0.88</v>
      </c>
      <c r="J159" s="11">
        <f>[7]Performance!H24</f>
        <v>1</v>
      </c>
      <c r="K159" s="11">
        <f>[7]Performance!I24</f>
        <v>1</v>
      </c>
      <c r="L159" s="11">
        <f>[7]Performance!J24</f>
        <v>1</v>
      </c>
      <c r="M159" s="11">
        <f>[7]Performance!K24</f>
        <v>1</v>
      </c>
      <c r="N159" s="11">
        <f>[7]Performance!L24</f>
        <v>1</v>
      </c>
      <c r="O159" s="11">
        <f>[7]Performance!M24</f>
        <v>1</v>
      </c>
      <c r="P159" s="11">
        <f>[7]Performance!N24</f>
        <v>1</v>
      </c>
      <c r="Q159" s="11">
        <f>[7]Performance!O24</f>
        <v>1</v>
      </c>
      <c r="R159" s="11">
        <f>[7]Performance!P24</f>
        <v>1</v>
      </c>
    </row>
    <row r="160" spans="1:18" x14ac:dyDescent="0.3">
      <c r="A160">
        <f>'[7]Student Data'!M25</f>
        <v>343787</v>
      </c>
      <c r="B160" t="str">
        <f>[7]Reporting!C24</f>
        <v>Transition to Production</v>
      </c>
      <c r="C160" s="10" t="str">
        <f>[7]Reporting!F24</f>
        <v>Krizelle (Kring) Talladen</v>
      </c>
      <c r="D160" cm="1">
        <f t="array" ref="D160">--(SUM(COUNTIF(B160,{"*nest*","*grad*","*trans*","*1B*","*1C*"}))&gt;0)</f>
        <v>1</v>
      </c>
      <c r="E160" s="11">
        <f>[7]Performance!Q25</f>
        <v>1</v>
      </c>
      <c r="F160" s="11">
        <f>[7]Performance!R25</f>
        <v>1</v>
      </c>
      <c r="G160" s="11">
        <f>[7]Performance!S25</f>
        <v>1</v>
      </c>
      <c r="H160" s="11">
        <f>[7]Performance!T25</f>
        <v>1</v>
      </c>
      <c r="I160" s="11">
        <f>[7]Performance!U25</f>
        <v>0.99</v>
      </c>
      <c r="J160" s="11">
        <f>[7]Performance!H25</f>
        <v>1</v>
      </c>
      <c r="K160" s="11">
        <f>[7]Performance!I25</f>
        <v>1</v>
      </c>
      <c r="L160" s="11">
        <f>[7]Performance!J25</f>
        <v>1</v>
      </c>
      <c r="M160" s="11">
        <f>[7]Performance!K25</f>
        <v>1</v>
      </c>
      <c r="N160" s="11">
        <f>[7]Performance!L25</f>
        <v>1</v>
      </c>
      <c r="O160" s="11">
        <f>[7]Performance!M25</f>
        <v>1</v>
      </c>
      <c r="P160" s="11">
        <f>[7]Performance!N25</f>
        <v>1</v>
      </c>
      <c r="Q160" s="11">
        <f>[7]Performance!O25</f>
        <v>1</v>
      </c>
      <c r="R160" s="11">
        <f>[7]Performance!P25</f>
        <v>0.94</v>
      </c>
    </row>
    <row r="161" spans="1:20" x14ac:dyDescent="0.3">
      <c r="A161" s="27">
        <f>'[7]Student Data'!M26</f>
        <v>317619</v>
      </c>
      <c r="B161" s="27" t="str">
        <f>[7]Reporting!C25</f>
        <v>Transition to Production</v>
      </c>
      <c r="C161" s="28" t="str">
        <f>[7]Reporting!F25</f>
        <v>Francine Jairah Vinarao</v>
      </c>
      <c r="D161" s="27" cm="1">
        <f t="array" ref="D161">--(SUM(COUNTIF(B161,{"*nest*","*grad*","*trans*","*1B*","*1C*"}))&gt;0)</f>
        <v>1</v>
      </c>
      <c r="E161" s="29">
        <f>[7]Performance!Q26</f>
        <v>0</v>
      </c>
      <c r="F161" s="29">
        <f>[7]Performance!R26</f>
        <v>0</v>
      </c>
      <c r="G161" s="29">
        <f>[7]Performance!S26</f>
        <v>0</v>
      </c>
      <c r="H161" s="29">
        <f>[7]Performance!T26</f>
        <v>0</v>
      </c>
      <c r="I161" s="29">
        <f>[7]Performance!U26</f>
        <v>0</v>
      </c>
      <c r="J161" s="29">
        <f>[7]Performance!H26</f>
        <v>0</v>
      </c>
      <c r="K161" s="29">
        <f>[7]Performance!I26</f>
        <v>0</v>
      </c>
      <c r="L161" s="29">
        <f>[7]Performance!J26</f>
        <v>0</v>
      </c>
      <c r="M161" s="29">
        <f>[7]Performance!K26</f>
        <v>0</v>
      </c>
      <c r="N161" s="29">
        <f>[7]Performance!L26</f>
        <v>0</v>
      </c>
      <c r="O161" s="29">
        <f>[7]Performance!M26</f>
        <v>0</v>
      </c>
      <c r="P161" s="29">
        <f>[7]Performance!N26</f>
        <v>0</v>
      </c>
      <c r="Q161" s="29">
        <f>[7]Performance!O26</f>
        <v>0</v>
      </c>
      <c r="R161" s="29">
        <f>[7]Performance!P26</f>
        <v>0</v>
      </c>
    </row>
    <row r="162" spans="1:20" x14ac:dyDescent="0.3">
      <c r="A162">
        <f>'[7]Student Data'!M27</f>
        <v>342800</v>
      </c>
      <c r="B162" t="str">
        <f>[7]Reporting!C26</f>
        <v>Transition to Production</v>
      </c>
      <c r="C162" s="10" t="str">
        <f>[7]Reporting!F26</f>
        <v>Jasper Bautista</v>
      </c>
      <c r="D162" cm="1">
        <f t="array" ref="D162">--(SUM(COUNTIF(B162,{"*nest*","*grad*","*trans*","*1B*","*1C*"}))&gt;0)</f>
        <v>1</v>
      </c>
      <c r="E162" s="11">
        <f>[7]Performance!Q27</f>
        <v>1</v>
      </c>
      <c r="F162" s="11">
        <f>[7]Performance!R27</f>
        <v>1</v>
      </c>
      <c r="G162" s="11">
        <f>[7]Performance!S27</f>
        <v>1</v>
      </c>
      <c r="H162" s="11">
        <f>[7]Performance!T27</f>
        <v>1</v>
      </c>
      <c r="I162" s="11">
        <f>[7]Performance!U27</f>
        <v>1</v>
      </c>
      <c r="J162" s="11">
        <f>[7]Performance!H27</f>
        <v>1</v>
      </c>
      <c r="K162" s="11">
        <f>[7]Performance!I27</f>
        <v>1</v>
      </c>
      <c r="L162" s="11">
        <f>[7]Performance!J27</f>
        <v>1</v>
      </c>
      <c r="M162" s="11">
        <f>[7]Performance!K27</f>
        <v>1</v>
      </c>
      <c r="N162" s="11">
        <f>[7]Performance!L27</f>
        <v>1</v>
      </c>
      <c r="O162" s="11">
        <f>[7]Performance!M27</f>
        <v>1</v>
      </c>
      <c r="P162" s="11">
        <f>[7]Performance!N27</f>
        <v>1</v>
      </c>
      <c r="Q162" s="11">
        <f>[7]Performance!O27</f>
        <v>1</v>
      </c>
      <c r="R162" s="11">
        <f>[7]Performance!P27</f>
        <v>0.98</v>
      </c>
    </row>
    <row r="163" spans="1:20" x14ac:dyDescent="0.3">
      <c r="A163" s="24">
        <v>45797</v>
      </c>
      <c r="B163" s="9" t="s">
        <v>22</v>
      </c>
      <c r="C163" s="9" t="s">
        <v>37</v>
      </c>
      <c r="D163" s="9">
        <f>SUM(D164:D177)</f>
        <v>11</v>
      </c>
      <c r="E163" s="9">
        <f>COUNTIF(E164:E177, "&gt;79%")</f>
        <v>12</v>
      </c>
      <c r="F163" s="9">
        <f t="shared" ref="F163:R163" si="21">COUNTIF(F164:F177, "&gt;79%")</f>
        <v>12</v>
      </c>
      <c r="G163" s="9">
        <f t="shared" si="21"/>
        <v>11</v>
      </c>
      <c r="H163" s="9">
        <f t="shared" si="21"/>
        <v>12</v>
      </c>
      <c r="I163" s="9">
        <f t="shared" si="21"/>
        <v>12</v>
      </c>
      <c r="J163" s="9">
        <f t="shared" si="21"/>
        <v>11</v>
      </c>
      <c r="K163" s="9">
        <f t="shared" si="21"/>
        <v>12</v>
      </c>
      <c r="L163" s="9">
        <f t="shared" si="21"/>
        <v>12</v>
      </c>
      <c r="M163" s="9">
        <f t="shared" si="21"/>
        <v>11</v>
      </c>
      <c r="N163" s="9">
        <f t="shared" si="21"/>
        <v>11</v>
      </c>
      <c r="O163" s="9">
        <f t="shared" si="21"/>
        <v>12</v>
      </c>
      <c r="P163" s="9">
        <f t="shared" si="21"/>
        <v>12</v>
      </c>
      <c r="Q163" s="9">
        <f t="shared" si="21"/>
        <v>12</v>
      </c>
      <c r="R163" s="9">
        <f t="shared" si="21"/>
        <v>11</v>
      </c>
      <c r="S163" s="9">
        <f t="shared" ref="S163" si="22">COUNTIF(S164:S208, "&gt;79%")</f>
        <v>0</v>
      </c>
      <c r="T163" s="26">
        <f>'[8]Class Summary'!$B$6</f>
        <v>45813</v>
      </c>
    </row>
    <row r="164" spans="1:20" x14ac:dyDescent="0.3">
      <c r="A164">
        <f>'[8]Student Data'!M5</f>
        <v>40650</v>
      </c>
      <c r="B164" t="str">
        <f>[8]Reporting!C4</f>
        <v>Transition to Production with SMART plan</v>
      </c>
      <c r="C164" s="10" t="str">
        <f>[8]Reporting!F4</f>
        <v>Elhadj (Bo-bo) Diallo</v>
      </c>
      <c r="D164" cm="1">
        <f t="array" ref="D164">--(SUM(COUNTIF(B164,{"*nest*","*grad*","*trans*","*1B*","*1C*"}))&gt;0)</f>
        <v>1</v>
      </c>
      <c r="E164" s="11">
        <f>[8]Performance!Q5</f>
        <v>1</v>
      </c>
      <c r="F164" s="11">
        <f>[8]Performance!R5</f>
        <v>1</v>
      </c>
      <c r="G164" s="11">
        <f>[8]Performance!S5</f>
        <v>0.94</v>
      </c>
      <c r="H164" s="11">
        <f>[8]Performance!T5</f>
        <v>1</v>
      </c>
      <c r="I164" s="11">
        <f>[8]Performance!U5</f>
        <v>0.8</v>
      </c>
      <c r="J164" s="11">
        <f>[8]Performance!H5</f>
        <v>1</v>
      </c>
      <c r="K164" s="11">
        <f>[8]Performance!I5</f>
        <v>0.88</v>
      </c>
      <c r="L164" s="11">
        <f>[8]Performance!J5</f>
        <v>1</v>
      </c>
      <c r="M164" s="11">
        <f>[8]Performance!K5</f>
        <v>1</v>
      </c>
      <c r="N164" s="11">
        <f>[8]Performance!L5</f>
        <v>1</v>
      </c>
      <c r="O164" s="11">
        <f>[8]Performance!M5</f>
        <v>1</v>
      </c>
      <c r="P164" s="11">
        <f>[8]Performance!N5</f>
        <v>1</v>
      </c>
      <c r="Q164" s="11">
        <f>[8]Performance!O5</f>
        <v>0.81</v>
      </c>
      <c r="R164" s="11">
        <f>[8]Performance!P5</f>
        <v>0.94</v>
      </c>
    </row>
    <row r="165" spans="1:20" x14ac:dyDescent="0.3">
      <c r="A165">
        <f>'[8]Student Data'!M6</f>
        <v>40651</v>
      </c>
      <c r="B165" t="str">
        <f>[8]Reporting!C5</f>
        <v>Transition to Production with SMART plan</v>
      </c>
      <c r="C165" s="10" t="str">
        <f>[8]Reporting!F5</f>
        <v>Hary Dzita Koussock</v>
      </c>
      <c r="D165" cm="1">
        <f t="array" ref="D165">--(SUM(COUNTIF(B165,{"*nest*","*grad*","*trans*","*1B*","*1C*"}))&gt;0)</f>
        <v>1</v>
      </c>
      <c r="E165" s="11">
        <f>[8]Performance!Q6</f>
        <v>1</v>
      </c>
      <c r="F165" s="11">
        <f>[8]Performance!R6</f>
        <v>1</v>
      </c>
      <c r="G165" s="11">
        <f>[8]Performance!S6</f>
        <v>0.94</v>
      </c>
      <c r="H165" s="11">
        <f>[8]Performance!T6</f>
        <v>0.8</v>
      </c>
      <c r="I165" s="11">
        <f>[8]Performance!U6</f>
        <v>0.89</v>
      </c>
      <c r="J165" s="11">
        <f>[8]Performance!H6</f>
        <v>1</v>
      </c>
      <c r="K165" s="11">
        <f>[8]Performance!I6</f>
        <v>0.88</v>
      </c>
      <c r="L165" s="11">
        <f>[8]Performance!J6</f>
        <v>0.8</v>
      </c>
      <c r="M165" s="11">
        <f>[8]Performance!K6</f>
        <v>1</v>
      </c>
      <c r="N165" s="11">
        <f>[8]Performance!L6</f>
        <v>1</v>
      </c>
      <c r="O165" s="11">
        <f>[8]Performance!M6</f>
        <v>1</v>
      </c>
      <c r="P165" s="11">
        <f>[8]Performance!N6</f>
        <v>1</v>
      </c>
      <c r="Q165" s="11">
        <f>[8]Performance!O6</f>
        <v>1</v>
      </c>
      <c r="R165" s="11">
        <f>[8]Performance!P6</f>
        <v>0.94</v>
      </c>
    </row>
    <row r="166" spans="1:20" x14ac:dyDescent="0.3">
      <c r="A166">
        <f>'[8]Student Data'!M7</f>
        <v>40641</v>
      </c>
      <c r="B166" t="str">
        <f>[8]Reporting!C6</f>
        <v>Transition to Production with SMART plan</v>
      </c>
      <c r="C166" s="10" t="str">
        <f>[8]Reporting!F6</f>
        <v>Aliyaah Gatoto</v>
      </c>
      <c r="D166" cm="1">
        <f t="array" ref="D166">--(SUM(COUNTIF(B166,{"*nest*","*grad*","*trans*","*1B*","*1C*"}))&gt;0)</f>
        <v>1</v>
      </c>
      <c r="E166" s="11">
        <f>[8]Performance!Q7</f>
        <v>1</v>
      </c>
      <c r="F166" s="11">
        <f>[8]Performance!R7</f>
        <v>1</v>
      </c>
      <c r="G166" s="11">
        <f>[8]Performance!S7</f>
        <v>0.84</v>
      </c>
      <c r="H166" s="11">
        <f>[8]Performance!T7</f>
        <v>0.8</v>
      </c>
      <c r="I166" s="11">
        <f>[8]Performance!U7</f>
        <v>1</v>
      </c>
      <c r="J166" s="11">
        <f>[8]Performance!H7</f>
        <v>1</v>
      </c>
      <c r="K166" s="11">
        <f>[8]Performance!I7</f>
        <v>0.88</v>
      </c>
      <c r="L166" s="11">
        <f>[8]Performance!J7</f>
        <v>1</v>
      </c>
      <c r="M166" s="11">
        <f>[8]Performance!K7</f>
        <v>1</v>
      </c>
      <c r="N166" s="11">
        <f>[8]Performance!L7</f>
        <v>0.89</v>
      </c>
      <c r="O166" s="11">
        <f>[8]Performance!M7</f>
        <v>1</v>
      </c>
      <c r="P166" s="11">
        <f>[8]Performance!N7</f>
        <v>1</v>
      </c>
      <c r="Q166" s="11">
        <f>[8]Performance!O7</f>
        <v>0.96</v>
      </c>
      <c r="R166" s="11">
        <f>[8]Performance!P7</f>
        <v>0.92</v>
      </c>
    </row>
    <row r="167" spans="1:20" x14ac:dyDescent="0.3">
      <c r="A167">
        <f>'[8]Student Data'!M8</f>
        <v>40645</v>
      </c>
      <c r="B167" t="str">
        <f>[8]Reporting!C7</f>
        <v>Terminated-Nesting 3</v>
      </c>
      <c r="C167" s="10" t="str">
        <f>[8]Reporting!F7</f>
        <v>Raissa Izere Umwali</v>
      </c>
      <c r="D167" cm="1">
        <f t="array" ref="D167">--(SUM(COUNTIF(B167,{"*nest*","*grad*","*trans*","*1B*","*1C*"}))&gt;0)</f>
        <v>1</v>
      </c>
      <c r="E167" s="11">
        <f>[8]Performance!Q8</f>
        <v>1</v>
      </c>
      <c r="F167" s="11">
        <f>[8]Performance!R8</f>
        <v>1</v>
      </c>
      <c r="G167" s="11">
        <f>[8]Performance!S8</f>
        <v>0.86</v>
      </c>
      <c r="H167" s="11">
        <f>[8]Performance!T8</f>
        <v>1</v>
      </c>
      <c r="I167" s="11">
        <f>[8]Performance!U8</f>
        <v>0.82</v>
      </c>
      <c r="J167" s="11">
        <f>[8]Performance!H8</f>
        <v>1</v>
      </c>
      <c r="K167" s="11">
        <f>[8]Performance!I8</f>
        <v>0.88</v>
      </c>
      <c r="L167" s="11">
        <f>[8]Performance!J8</f>
        <v>1</v>
      </c>
      <c r="M167" s="11">
        <f>[8]Performance!K8</f>
        <v>1</v>
      </c>
      <c r="N167" s="11">
        <f>[8]Performance!L8</f>
        <v>1</v>
      </c>
      <c r="O167" s="11">
        <f>[8]Performance!M8</f>
        <v>1</v>
      </c>
      <c r="P167" s="11">
        <f>[8]Performance!N8</f>
        <v>1</v>
      </c>
      <c r="Q167" s="11">
        <f>[8]Performance!O8</f>
        <v>0.91</v>
      </c>
      <c r="R167" s="11">
        <f>[8]Performance!P8</f>
        <v>0.88</v>
      </c>
    </row>
    <row r="168" spans="1:20" x14ac:dyDescent="0.3">
      <c r="A168">
        <f>'[8]Student Data'!M9</f>
        <v>40647</v>
      </c>
      <c r="B168" t="str">
        <f>[8]Reporting!C8</f>
        <v>Transition to Production with SMART plan</v>
      </c>
      <c r="C168" s="10" t="str">
        <f>[8]Reporting!F8</f>
        <v>Roda Kirenga</v>
      </c>
      <c r="D168" cm="1">
        <f t="array" ref="D168">--(SUM(COUNTIF(B168,{"*nest*","*grad*","*trans*","*1B*","*1C*"}))&gt;0)</f>
        <v>1</v>
      </c>
      <c r="E168" s="11">
        <f>[8]Performance!Q9</f>
        <v>1</v>
      </c>
      <c r="F168" s="11">
        <f>[8]Performance!R9</f>
        <v>1</v>
      </c>
      <c r="G168" s="11">
        <f>[8]Performance!S9</f>
        <v>0.94</v>
      </c>
      <c r="H168" s="11">
        <f>[8]Performance!T9</f>
        <v>0.8</v>
      </c>
      <c r="I168" s="11">
        <f>[8]Performance!U9</f>
        <v>0.81</v>
      </c>
      <c r="J168" s="11">
        <f>[8]Performance!H9</f>
        <v>1</v>
      </c>
      <c r="K168" s="11">
        <f>[8]Performance!I9</f>
        <v>1</v>
      </c>
      <c r="L168" s="11">
        <f>[8]Performance!J9</f>
        <v>1</v>
      </c>
      <c r="M168" s="11">
        <f>[8]Performance!K9</f>
        <v>1</v>
      </c>
      <c r="N168" s="11">
        <f>[8]Performance!L9</f>
        <v>1</v>
      </c>
      <c r="O168" s="11">
        <f>[8]Performance!M9</f>
        <v>1</v>
      </c>
      <c r="P168" s="11">
        <f>[8]Performance!N9</f>
        <v>1</v>
      </c>
      <c r="Q168" s="11">
        <f>[8]Performance!O9</f>
        <v>0.87</v>
      </c>
      <c r="R168" s="11">
        <f>[8]Performance!P9</f>
        <v>1</v>
      </c>
    </row>
    <row r="169" spans="1:20" x14ac:dyDescent="0.3">
      <c r="A169">
        <f>'[8]Student Data'!M10</f>
        <v>40642</v>
      </c>
      <c r="B169" t="str">
        <f>[8]Reporting!C9</f>
        <v>Resigned-Nesting 3</v>
      </c>
      <c r="C169" s="10" t="str">
        <f>[8]Reporting!F9</f>
        <v>Jessica (Jessie) Leaker</v>
      </c>
      <c r="D169" cm="1">
        <f t="array" ref="D169">--(SUM(COUNTIF(B169,{"*nest*","*grad*","*trans*","*1B*","*1C*"}))&gt;0)</f>
        <v>1</v>
      </c>
      <c r="E169" s="11">
        <f>[8]Performance!Q10</f>
        <v>1</v>
      </c>
      <c r="F169" s="11">
        <f>[8]Performance!R10</f>
        <v>1</v>
      </c>
      <c r="G169" s="11">
        <f>[8]Performance!S10</f>
        <v>0.9</v>
      </c>
      <c r="H169" s="11">
        <f>[8]Performance!T10</f>
        <v>0.8</v>
      </c>
      <c r="I169" s="11">
        <f>[8]Performance!U10</f>
        <v>1</v>
      </c>
      <c r="J169" s="11">
        <f>[8]Performance!H10</f>
        <v>1</v>
      </c>
      <c r="K169" s="11">
        <f>[8]Performance!I10</f>
        <v>1</v>
      </c>
      <c r="L169" s="11">
        <f>[8]Performance!J10</f>
        <v>1</v>
      </c>
      <c r="M169" s="11">
        <f>[8]Performance!K10</f>
        <v>1</v>
      </c>
      <c r="N169" s="11">
        <f>[8]Performance!L10</f>
        <v>1</v>
      </c>
      <c r="O169" s="11">
        <f>[8]Performance!M10</f>
        <v>1</v>
      </c>
      <c r="P169" s="11">
        <f>[8]Performance!N10</f>
        <v>1</v>
      </c>
      <c r="Q169" s="11">
        <f>[8]Performance!O10</f>
        <v>0.82</v>
      </c>
      <c r="R169" s="11">
        <f>[8]Performance!P10</f>
        <v>1</v>
      </c>
    </row>
    <row r="170" spans="1:20" x14ac:dyDescent="0.3">
      <c r="A170">
        <f>'[8]Student Data'!M11</f>
        <v>40643</v>
      </c>
      <c r="B170" t="str">
        <f>[8]Reporting!C10</f>
        <v>Moved/Joining Alternate Class/Program</v>
      </c>
      <c r="C170" s="10" t="str">
        <f>[8]Reporting!F10</f>
        <v>Christiane (Chris) Lalonde</v>
      </c>
      <c r="D170" cm="1">
        <f t="array" ref="D170">--(SUM(COUNTIF(B170,{"*nest*","*grad*","*trans*","*1B*","*1C*"}))&gt;0)</f>
        <v>0</v>
      </c>
      <c r="E170" s="11">
        <f>[8]Performance!Q11</f>
        <v>1</v>
      </c>
      <c r="F170" s="11">
        <f>[8]Performance!R11</f>
        <v>1</v>
      </c>
      <c r="G170" s="11">
        <f>[8]Performance!S11</f>
        <v>0.84</v>
      </c>
      <c r="H170" s="11">
        <f>[8]Performance!T11</f>
        <v>0.8</v>
      </c>
      <c r="I170" s="11">
        <f>[8]Performance!U11</f>
        <v>0.81</v>
      </c>
      <c r="J170" s="11">
        <f>[8]Performance!H11</f>
        <v>1</v>
      </c>
      <c r="K170" s="11">
        <f>[8]Performance!I11</f>
        <v>1</v>
      </c>
      <c r="L170" s="11">
        <f>[8]Performance!J11</f>
        <v>0.8</v>
      </c>
      <c r="M170" s="11">
        <f>[8]Performance!K11</f>
        <v>1</v>
      </c>
      <c r="N170" s="11">
        <f>[8]Performance!L11</f>
        <v>0.89</v>
      </c>
      <c r="O170" s="11">
        <f>[8]Performance!M11</f>
        <v>1</v>
      </c>
      <c r="P170" s="11">
        <f>[8]Performance!N11</f>
        <v>1</v>
      </c>
      <c r="Q170" s="11">
        <f>[8]Performance!O11</f>
        <v>0.96</v>
      </c>
      <c r="R170" s="11">
        <f>[8]Performance!P11</f>
        <v>0.92</v>
      </c>
    </row>
    <row r="171" spans="1:20" x14ac:dyDescent="0.3">
      <c r="A171">
        <f>'[8]Student Data'!M12</f>
        <v>40648</v>
      </c>
      <c r="B171" t="str">
        <f>[8]Reporting!C11</f>
        <v>Terminated-Nesting 3</v>
      </c>
      <c r="C171" s="10" t="str">
        <f>[8]Reporting!F11</f>
        <v>Safwene Mefteh</v>
      </c>
      <c r="D171" cm="1">
        <f t="array" ref="D171">--(SUM(COUNTIF(B171,{"*nest*","*grad*","*trans*","*1B*","*1C*"}))&gt;0)</f>
        <v>1</v>
      </c>
      <c r="E171" s="11">
        <f>[8]Performance!Q12</f>
        <v>1</v>
      </c>
      <c r="F171" s="11">
        <f>[8]Performance!R12</f>
        <v>1</v>
      </c>
      <c r="G171" s="11">
        <f>[8]Performance!S12</f>
        <v>0.94</v>
      </c>
      <c r="H171" s="11">
        <f>[8]Performance!T12</f>
        <v>1</v>
      </c>
      <c r="I171" s="11">
        <f>[8]Performance!U12</f>
        <v>0.92</v>
      </c>
      <c r="J171" s="11">
        <f>[8]Performance!H12</f>
        <v>1</v>
      </c>
      <c r="K171" s="11">
        <f>[8]Performance!I12</f>
        <v>0.88</v>
      </c>
      <c r="L171" s="11">
        <f>[8]Performance!J12</f>
        <v>1</v>
      </c>
      <c r="M171" s="11">
        <f>[8]Performance!K12</f>
        <v>1</v>
      </c>
      <c r="N171" s="11">
        <f>[8]Performance!L12</f>
        <v>1</v>
      </c>
      <c r="O171" s="11">
        <f>[8]Performance!M12</f>
        <v>1</v>
      </c>
      <c r="P171" s="11">
        <f>[8]Performance!N12</f>
        <v>1</v>
      </c>
      <c r="Q171" s="11">
        <f>[8]Performance!O12</f>
        <v>0.96</v>
      </c>
      <c r="R171" s="11">
        <f>[8]Performance!P12</f>
        <v>1</v>
      </c>
    </row>
    <row r="172" spans="1:20" x14ac:dyDescent="0.3">
      <c r="A172">
        <f>'[8]Student Data'!M13</f>
        <v>40652</v>
      </c>
      <c r="B172" t="str">
        <f>[8]Reporting!C12</f>
        <v>Transition to Production with SMART plan</v>
      </c>
      <c r="C172" s="10" t="str">
        <f>[8]Reporting!F12</f>
        <v>Youssra (You-you) Mesbahi</v>
      </c>
      <c r="D172" cm="1">
        <f t="array" ref="D172">--(SUM(COUNTIF(B172,{"*nest*","*grad*","*trans*","*1B*","*1C*"}))&gt;0)</f>
        <v>1</v>
      </c>
      <c r="E172" s="11">
        <f>[8]Performance!Q13</f>
        <v>1</v>
      </c>
      <c r="F172" s="11">
        <f>[8]Performance!R13</f>
        <v>1</v>
      </c>
      <c r="G172" s="11">
        <f>[8]Performance!S13</f>
        <v>0.88</v>
      </c>
      <c r="H172" s="11">
        <f>[8]Performance!T13</f>
        <v>1</v>
      </c>
      <c r="I172" s="11">
        <f>[8]Performance!U13</f>
        <v>0.83</v>
      </c>
      <c r="J172" s="11">
        <f>[8]Performance!H13</f>
        <v>1</v>
      </c>
      <c r="K172" s="11">
        <f>[8]Performance!I13</f>
        <v>0.88</v>
      </c>
      <c r="L172" s="11">
        <f>[8]Performance!J13</f>
        <v>1</v>
      </c>
      <c r="M172" s="11">
        <f>[8]Performance!K13</f>
        <v>1</v>
      </c>
      <c r="N172" s="11">
        <f>[8]Performance!L13</f>
        <v>1</v>
      </c>
      <c r="O172" s="11">
        <f>[8]Performance!M13</f>
        <v>1</v>
      </c>
      <c r="P172" s="11">
        <f>[8]Performance!N13</f>
        <v>1</v>
      </c>
      <c r="Q172" s="11">
        <f>[8]Performance!O13</f>
        <v>0.91</v>
      </c>
      <c r="R172" s="11">
        <f>[8]Performance!P13</f>
        <v>1</v>
      </c>
    </row>
    <row r="173" spans="1:20" x14ac:dyDescent="0.3">
      <c r="A173" s="27">
        <f>'[8]Student Data'!M14</f>
        <v>40654</v>
      </c>
      <c r="B173" s="27" t="str">
        <f>[8]Reporting!C13</f>
        <v>Did not Start</v>
      </c>
      <c r="C173" s="28" t="str">
        <f>[8]Reporting!F13</f>
        <v>Arsene Mugisha</v>
      </c>
      <c r="D173" s="27" cm="1">
        <f t="array" ref="D173">--(SUM(COUNTIF(B173,{"*nest*","*grad*","*trans*","*1B*","*1C*"}))&gt;0)</f>
        <v>0</v>
      </c>
      <c r="E173" s="29" t="str">
        <f>[8]Performance!Q14</f>
        <v>N/A</v>
      </c>
      <c r="F173" s="29" t="str">
        <f>[8]Performance!R14</f>
        <v>N/A</v>
      </c>
      <c r="G173" s="29" t="str">
        <f>[8]Performance!S14</f>
        <v>N/A</v>
      </c>
      <c r="H173" s="29" t="str">
        <f>[8]Performance!T14</f>
        <v>N/A</v>
      </c>
      <c r="I173" s="29" t="str">
        <f>[8]Performance!U14</f>
        <v>N/A</v>
      </c>
      <c r="J173" s="29" t="str">
        <f>[8]Performance!H14</f>
        <v>N/A</v>
      </c>
      <c r="K173" s="29" t="str">
        <f>[8]Performance!I14</f>
        <v>N/A</v>
      </c>
      <c r="L173" s="29" t="str">
        <f>[8]Performance!J14</f>
        <v>N/A</v>
      </c>
      <c r="M173" s="29" t="str">
        <f>[8]Performance!K14</f>
        <v>N/A</v>
      </c>
      <c r="N173" s="29" t="str">
        <f>[8]Performance!L14</f>
        <v>N/A</v>
      </c>
      <c r="O173" s="29" t="str">
        <f>[8]Performance!M14</f>
        <v>N/A</v>
      </c>
      <c r="P173" s="29" t="str">
        <f>[8]Performance!N14</f>
        <v>N/A</v>
      </c>
      <c r="Q173" s="29" t="str">
        <f>[8]Performance!O14</f>
        <v>N/A</v>
      </c>
      <c r="R173" s="29" t="str">
        <f>[8]Performance!P14</f>
        <v>N/A</v>
      </c>
    </row>
    <row r="174" spans="1:20" x14ac:dyDescent="0.3">
      <c r="A174">
        <f>'[8]Student Data'!M15</f>
        <v>40644</v>
      </c>
      <c r="B174" t="str">
        <f>[8]Reporting!C14</f>
        <v>Resigned-Nesting 3</v>
      </c>
      <c r="C174" s="10" t="str">
        <f>[8]Reporting!F14</f>
        <v>Chesca Alima Ondo Koka</v>
      </c>
      <c r="D174" cm="1">
        <f t="array" ref="D174">--(SUM(COUNTIF(B174,{"*nest*","*grad*","*trans*","*1B*","*1C*"}))&gt;0)</f>
        <v>1</v>
      </c>
      <c r="E174" s="11">
        <f>[8]Performance!Q15</f>
        <v>1</v>
      </c>
      <c r="F174" s="11">
        <f>[8]Performance!R15</f>
        <v>1</v>
      </c>
      <c r="G174" s="11">
        <f>[8]Performance!S15</f>
        <v>1</v>
      </c>
      <c r="H174" s="11">
        <f>[8]Performance!T15</f>
        <v>1</v>
      </c>
      <c r="I174" s="11">
        <f>[8]Performance!U15</f>
        <v>0.83</v>
      </c>
      <c r="J174" s="11">
        <f>[8]Performance!H15</f>
        <v>1</v>
      </c>
      <c r="K174" s="11">
        <f>[8]Performance!I15</f>
        <v>0.89</v>
      </c>
      <c r="L174" s="11">
        <f>[8]Performance!J15</f>
        <v>0.82</v>
      </c>
      <c r="M174" s="11">
        <f>[8]Performance!K15</f>
        <v>1</v>
      </c>
      <c r="N174" s="11">
        <f>[8]Performance!L15</f>
        <v>1</v>
      </c>
      <c r="O174" s="11">
        <f>[8]Performance!M15</f>
        <v>1</v>
      </c>
      <c r="P174" s="11">
        <f>[8]Performance!N15</f>
        <v>1</v>
      </c>
      <c r="Q174" s="11">
        <f>[8]Performance!O15</f>
        <v>1</v>
      </c>
      <c r="R174" s="11">
        <f>[8]Performance!P15</f>
        <v>0.82</v>
      </c>
    </row>
    <row r="175" spans="1:20" x14ac:dyDescent="0.3">
      <c r="A175">
        <f>'[8]Student Data'!M16</f>
        <v>40649</v>
      </c>
      <c r="B175" t="str">
        <f>[8]Reporting!C15</f>
        <v>Did not Start</v>
      </c>
      <c r="C175" s="10" t="str">
        <f>[8]Reporting!F15</f>
        <v>Paul Rioux</v>
      </c>
      <c r="D175" cm="1">
        <f t="array" ref="D175">--(SUM(COUNTIF(B175,{"*nest*","*grad*","*trans*","*1B*","*1C*"}))&gt;0)</f>
        <v>0</v>
      </c>
      <c r="E175" s="11" t="str">
        <f>[8]Performance!Q16</f>
        <v>N/A</v>
      </c>
      <c r="F175" s="11" t="str">
        <f>[8]Performance!R16</f>
        <v>N/A</v>
      </c>
      <c r="G175" s="11" t="str">
        <f>[8]Performance!S16</f>
        <v>N/A</v>
      </c>
      <c r="H175" s="11" t="str">
        <f>[8]Performance!T16</f>
        <v>N/A</v>
      </c>
      <c r="I175" s="11" t="str">
        <f>[8]Performance!U16</f>
        <v>N/A</v>
      </c>
      <c r="J175" s="11" t="str">
        <f>[8]Performance!H16</f>
        <v>N/A</v>
      </c>
      <c r="K175" s="11" t="str">
        <f>[8]Performance!I16</f>
        <v>N/A</v>
      </c>
      <c r="L175" s="11" t="str">
        <f>[8]Performance!J16</f>
        <v>N/A</v>
      </c>
      <c r="M175" s="11" t="str">
        <f>[8]Performance!K16</f>
        <v>N/A</v>
      </c>
      <c r="N175" s="11" t="str">
        <f>[8]Performance!L16</f>
        <v>N/A</v>
      </c>
      <c r="O175" s="11" t="str">
        <f>[8]Performance!M16</f>
        <v>N/A</v>
      </c>
      <c r="P175" s="11" t="str">
        <f>[8]Performance!N16</f>
        <v>N/A</v>
      </c>
      <c r="Q175" s="11" t="str">
        <f>[8]Performance!O16</f>
        <v>N/A</v>
      </c>
      <c r="R175" s="11" t="str">
        <f>[8]Performance!P16</f>
        <v>N/A</v>
      </c>
    </row>
    <row r="176" spans="1:20" x14ac:dyDescent="0.3">
      <c r="A176">
        <f>'[8]Student Data'!M17</f>
        <v>40646</v>
      </c>
      <c r="B176" t="str">
        <f>[8]Reporting!C16</f>
        <v>Terminated-Nesting 1A</v>
      </c>
      <c r="C176" s="10" t="str">
        <f>[8]Reporting!F16</f>
        <v>Nadine St-Pierre</v>
      </c>
      <c r="D176" cm="1">
        <f t="array" ref="D176">--(SUM(COUNTIF(B176,{"*nest*","*grad*","*trans*","*1B*","*1C*"}))&gt;0)</f>
        <v>1</v>
      </c>
      <c r="E176" s="11">
        <f>[8]Performance!Q17</f>
        <v>1</v>
      </c>
      <c r="F176" s="11">
        <f>[8]Performance!R17</f>
        <v>1</v>
      </c>
      <c r="G176" s="11">
        <f>[8]Performance!S17</f>
        <v>0</v>
      </c>
      <c r="H176" s="11">
        <f>[8]Performance!T17</f>
        <v>1</v>
      </c>
      <c r="I176" s="11">
        <f>[8]Performance!U17</f>
        <v>0.9</v>
      </c>
      <c r="J176" s="11">
        <f>[8]Performance!H17</f>
        <v>0</v>
      </c>
      <c r="K176" s="11">
        <f>[8]Performance!I17</f>
        <v>0.88</v>
      </c>
      <c r="L176" s="11">
        <f>[8]Performance!J17</f>
        <v>1</v>
      </c>
      <c r="M176" s="11">
        <f>[8]Performance!K17</f>
        <v>0</v>
      </c>
      <c r="N176" s="11">
        <f>[8]Performance!L17</f>
        <v>0.55000000000000004</v>
      </c>
      <c r="O176" s="11">
        <f>[8]Performance!M17</f>
        <v>1</v>
      </c>
      <c r="P176" s="11">
        <f>[8]Performance!N17</f>
        <v>1</v>
      </c>
      <c r="Q176" s="11">
        <f>[8]Performance!O17</f>
        <v>1</v>
      </c>
      <c r="R176" s="11">
        <f>[8]Performance!P17</f>
        <v>0</v>
      </c>
    </row>
    <row r="177" spans="1:21" x14ac:dyDescent="0.3">
      <c r="A177">
        <f>'[8]Student Data'!M18</f>
        <v>40653</v>
      </c>
      <c r="B177" t="str">
        <f>[8]Reporting!C17</f>
        <v>Terminated-Nesting 3</v>
      </c>
      <c r="C177" s="10" t="str">
        <f>[8]Reporting!F17</f>
        <v>Franky Junior (Franky) Teudji Koumetio</v>
      </c>
      <c r="D177" cm="1">
        <f t="array" ref="D177">--(SUM(COUNTIF(B177,{"*nest*","*grad*","*trans*","*1B*","*1C*"}))&gt;0)</f>
        <v>1</v>
      </c>
      <c r="E177" s="11">
        <f>[8]Performance!Q18</f>
        <v>1</v>
      </c>
      <c r="F177" s="11">
        <f>[8]Performance!R18</f>
        <v>1</v>
      </c>
      <c r="G177" s="11">
        <f>[8]Performance!S18</f>
        <v>0.96</v>
      </c>
      <c r="H177" s="11">
        <f>[8]Performance!T18</f>
        <v>1</v>
      </c>
      <c r="I177" s="11">
        <f>[8]Performance!U18</f>
        <v>0.95</v>
      </c>
      <c r="J177" s="11">
        <f>[8]Performance!H18</f>
        <v>1</v>
      </c>
      <c r="K177" s="11">
        <f>[8]Performance!I18</f>
        <v>0.88</v>
      </c>
      <c r="L177" s="11">
        <f>[8]Performance!J18</f>
        <v>0.8</v>
      </c>
      <c r="M177" s="11">
        <f>[8]Performance!K18</f>
        <v>1</v>
      </c>
      <c r="N177" s="11">
        <f>[8]Performance!L18</f>
        <v>1</v>
      </c>
      <c r="O177" s="11">
        <f>[8]Performance!M18</f>
        <v>1</v>
      </c>
      <c r="P177" s="11">
        <f>[8]Performance!N18</f>
        <v>1</v>
      </c>
      <c r="Q177" s="11">
        <f>[8]Performance!O18</f>
        <v>1</v>
      </c>
      <c r="R177" s="11">
        <f>[8]Performance!P18</f>
        <v>0.94</v>
      </c>
    </row>
    <row r="178" spans="1:21" x14ac:dyDescent="0.3">
      <c r="A178" s="24">
        <v>45803</v>
      </c>
      <c r="B178" s="9" t="s">
        <v>65</v>
      </c>
      <c r="C178" s="9" t="s">
        <v>32</v>
      </c>
      <c r="D178" s="9">
        <f>SUM(D179:D197)</f>
        <v>14</v>
      </c>
      <c r="E178" s="9">
        <f>COUNTIF(E179:E197, "&gt;79%")</f>
        <v>16</v>
      </c>
      <c r="F178" s="9">
        <f t="shared" ref="F178:R178" si="23">COUNTIF(F179:F197, "&gt;79%")</f>
        <v>16</v>
      </c>
      <c r="G178" s="9">
        <f t="shared" si="23"/>
        <v>15</v>
      </c>
      <c r="H178" s="9">
        <f t="shared" si="23"/>
        <v>16</v>
      </c>
      <c r="I178" s="9">
        <f t="shared" si="23"/>
        <v>15</v>
      </c>
      <c r="J178" s="9">
        <f t="shared" si="23"/>
        <v>0</v>
      </c>
      <c r="K178" s="9">
        <f t="shared" si="23"/>
        <v>16</v>
      </c>
      <c r="L178" s="9">
        <f t="shared" si="23"/>
        <v>16</v>
      </c>
      <c r="M178" s="9">
        <f t="shared" si="23"/>
        <v>0</v>
      </c>
      <c r="N178" s="9">
        <f t="shared" si="23"/>
        <v>0</v>
      </c>
      <c r="O178" s="9">
        <f t="shared" si="23"/>
        <v>0</v>
      </c>
      <c r="P178" s="9">
        <f t="shared" si="23"/>
        <v>16</v>
      </c>
      <c r="Q178" s="9">
        <f t="shared" si="23"/>
        <v>0</v>
      </c>
      <c r="R178" s="9">
        <f t="shared" si="23"/>
        <v>16</v>
      </c>
      <c r="S178" s="9">
        <f t="shared" ref="S178" si="24">COUNTIF(S179:S223, "&gt;79%")</f>
        <v>0</v>
      </c>
      <c r="T178" s="26">
        <f>'[9]Class Summary'!$B$6</f>
        <v>45819</v>
      </c>
      <c r="U178" s="31" t="s">
        <v>28</v>
      </c>
    </row>
    <row r="179" spans="1:21" x14ac:dyDescent="0.3">
      <c r="A179">
        <f>'[9]Student Data'!M5</f>
        <v>341482</v>
      </c>
      <c r="B179" t="str">
        <f>[9]Reporting!C4</f>
        <v>Terminated Tier 1B</v>
      </c>
      <c r="C179" s="10" t="str">
        <f>[9]Reporting!F4</f>
        <v>Elias Mariano Bautista</v>
      </c>
      <c r="D179" cm="1">
        <f t="array" ref="D179">--(SUM(COUNTIF(B179,{"*nest*","*grad*","*trans*","*1B*","*1C*"}))&gt;0)</f>
        <v>1</v>
      </c>
      <c r="E179" s="11">
        <f>[9]Performance!Q5</f>
        <v>1</v>
      </c>
      <c r="F179" s="11">
        <f>[9]Performance!R5</f>
        <v>1</v>
      </c>
      <c r="G179" s="11">
        <f>[9]Performance!S5</f>
        <v>1</v>
      </c>
      <c r="H179" s="11">
        <f>[9]Performance!T5</f>
        <v>1</v>
      </c>
      <c r="I179" s="11">
        <f>[9]Performance!U5</f>
        <v>1</v>
      </c>
      <c r="J179" s="11" t="str">
        <f>[9]Performance!H5</f>
        <v xml:space="preserve">NTT  </v>
      </c>
      <c r="K179" s="11">
        <f>[9]Performance!I5</f>
        <v>1</v>
      </c>
      <c r="L179" s="11">
        <f>[9]Performance!J5</f>
        <v>1</v>
      </c>
      <c r="M179" s="11" t="str">
        <f>[9]Performance!K5</f>
        <v xml:space="preserve">NTT  </v>
      </c>
      <c r="N179" s="11" t="str">
        <f>[9]Performance!L5</f>
        <v xml:space="preserve">NTT  </v>
      </c>
      <c r="O179" s="11" t="str">
        <f>[9]Performance!M5</f>
        <v>n/a</v>
      </c>
      <c r="P179" s="11">
        <f>[9]Performance!N5</f>
        <v>1</v>
      </c>
      <c r="Q179" s="11" t="str">
        <f>[9]Performance!O5</f>
        <v xml:space="preserve">NTT  </v>
      </c>
      <c r="R179" s="11">
        <f>[9]Performance!P5</f>
        <v>0.94</v>
      </c>
    </row>
    <row r="180" spans="1:21" x14ac:dyDescent="0.3">
      <c r="A180">
        <f>'[9]Student Data'!M6</f>
        <v>344417</v>
      </c>
      <c r="B180" t="str">
        <f>[9]Reporting!C5</f>
        <v>Transition to Production</v>
      </c>
      <c r="C180" s="10" t="str">
        <f>[9]Reporting!F5</f>
        <v>Jellaine Magalona</v>
      </c>
      <c r="D180" cm="1">
        <f t="array" ref="D180">--(SUM(COUNTIF(B180,{"*nest*","*grad*","*trans*","*1B*","*1C*"}))&gt;0)</f>
        <v>1</v>
      </c>
      <c r="E180" s="11">
        <f>[9]Performance!Q6</f>
        <v>1</v>
      </c>
      <c r="F180" s="11">
        <f>[9]Performance!R6</f>
        <v>1</v>
      </c>
      <c r="G180" s="11">
        <f>[9]Performance!S6</f>
        <v>0.86</v>
      </c>
      <c r="H180" s="11">
        <f>[9]Performance!T6</f>
        <v>0.8</v>
      </c>
      <c r="I180" s="11">
        <f>[9]Performance!U6</f>
        <v>0.9</v>
      </c>
      <c r="J180" s="11" t="str">
        <f>[9]Performance!H6</f>
        <v xml:space="preserve">NTT  </v>
      </c>
      <c r="K180" s="11">
        <f>[9]Performance!I6</f>
        <v>0.88</v>
      </c>
      <c r="L180" s="11">
        <f>[9]Performance!J6</f>
        <v>1</v>
      </c>
      <c r="M180" s="11" t="str">
        <f>[9]Performance!K6</f>
        <v xml:space="preserve">NTT  </v>
      </c>
      <c r="N180" s="11" t="str">
        <f>[9]Performance!L6</f>
        <v xml:space="preserve">NTT  </v>
      </c>
      <c r="O180" s="11" t="str">
        <f>[9]Performance!M6</f>
        <v>n/a</v>
      </c>
      <c r="P180" s="11">
        <f>[9]Performance!N6</f>
        <v>1</v>
      </c>
      <c r="Q180" s="11" t="str">
        <f>[9]Performance!O6</f>
        <v xml:space="preserve">NTT  </v>
      </c>
      <c r="R180" s="11">
        <f>[9]Performance!P6</f>
        <v>0.98</v>
      </c>
    </row>
    <row r="181" spans="1:21" x14ac:dyDescent="0.3">
      <c r="A181">
        <f>'[9]Student Data'!M7</f>
        <v>344415</v>
      </c>
      <c r="B181" t="str">
        <f>[9]Reporting!C6</f>
        <v>Transition to Production</v>
      </c>
      <c r="C181" s="10" t="str">
        <f>[9]Reporting!F6</f>
        <v>Emylene Guantic</v>
      </c>
      <c r="D181" cm="1">
        <f t="array" ref="D181">--(SUM(COUNTIF(B181,{"*nest*","*grad*","*trans*","*1B*","*1C*"}))&gt;0)</f>
        <v>1</v>
      </c>
      <c r="E181" s="11">
        <f>[9]Performance!Q7</f>
        <v>1</v>
      </c>
      <c r="F181" s="11">
        <f>[9]Performance!R7</f>
        <v>1</v>
      </c>
      <c r="G181" s="11">
        <f>[9]Performance!S7</f>
        <v>0.82</v>
      </c>
      <c r="H181" s="11">
        <f>[9]Performance!T7</f>
        <v>1</v>
      </c>
      <c r="I181" s="11">
        <f>[9]Performance!U7</f>
        <v>0.98</v>
      </c>
      <c r="J181" s="11" t="str">
        <f>[9]Performance!H7</f>
        <v xml:space="preserve">NTT  </v>
      </c>
      <c r="K181" s="11">
        <f>[9]Performance!I7</f>
        <v>0.88</v>
      </c>
      <c r="L181" s="11">
        <f>[9]Performance!J7</f>
        <v>1</v>
      </c>
      <c r="M181" s="11" t="str">
        <f>[9]Performance!K7</f>
        <v xml:space="preserve">NTT  </v>
      </c>
      <c r="N181" s="11" t="str">
        <f>[9]Performance!L7</f>
        <v xml:space="preserve">NTT  </v>
      </c>
      <c r="O181" s="11" t="str">
        <f>[9]Performance!M7</f>
        <v>n/a</v>
      </c>
      <c r="P181" s="11">
        <f>[9]Performance!N7</f>
        <v>1</v>
      </c>
      <c r="Q181" s="11" t="str">
        <f>[9]Performance!O7</f>
        <v xml:space="preserve">NTT  </v>
      </c>
      <c r="R181" s="11">
        <f>[9]Performance!P7</f>
        <v>0.92</v>
      </c>
    </row>
    <row r="182" spans="1:21" x14ac:dyDescent="0.3">
      <c r="A182">
        <f>'[9]Student Data'!M8</f>
        <v>344412</v>
      </c>
      <c r="B182" t="str">
        <f>[9]Reporting!C7</f>
        <v>Terminated-Nesting 3</v>
      </c>
      <c r="C182" s="10" t="str">
        <f>[9]Reporting!F7</f>
        <v>Matthew Lagaran</v>
      </c>
      <c r="D182" cm="1">
        <f t="array" ref="D182">--(SUM(COUNTIF(B182,{"*nest*","*grad*","*trans*","*1B*","*1C*"}))&gt;0)</f>
        <v>1</v>
      </c>
      <c r="E182" s="11">
        <f>[9]Performance!Q8</f>
        <v>1</v>
      </c>
      <c r="F182" s="11">
        <f>[9]Performance!R8</f>
        <v>1</v>
      </c>
      <c r="G182" s="11">
        <f>[9]Performance!S8</f>
        <v>0.92</v>
      </c>
      <c r="H182" s="11">
        <f>[9]Performance!T8</f>
        <v>1</v>
      </c>
      <c r="I182" s="11">
        <f>[9]Performance!U8</f>
        <v>0.85</v>
      </c>
      <c r="J182" s="11" t="str">
        <f>[9]Performance!H8</f>
        <v xml:space="preserve">NTT  </v>
      </c>
      <c r="K182" s="11">
        <f>[9]Performance!I8</f>
        <v>1</v>
      </c>
      <c r="L182" s="11">
        <f>[9]Performance!J8</f>
        <v>1</v>
      </c>
      <c r="M182" s="11" t="str">
        <f>[9]Performance!K8</f>
        <v xml:space="preserve">NTT  </v>
      </c>
      <c r="N182" s="11" t="str">
        <f>[9]Performance!L8</f>
        <v xml:space="preserve">NTT  </v>
      </c>
      <c r="O182" s="11" t="str">
        <f>[9]Performance!M8</f>
        <v>n/a</v>
      </c>
      <c r="P182" s="11">
        <f>[9]Performance!N8</f>
        <v>1</v>
      </c>
      <c r="Q182" s="11" t="str">
        <f>[9]Performance!O8</f>
        <v xml:space="preserve">NTT  </v>
      </c>
      <c r="R182" s="11">
        <f>[9]Performance!P8</f>
        <v>0.82</v>
      </c>
    </row>
    <row r="183" spans="1:21" x14ac:dyDescent="0.3">
      <c r="A183">
        <f>'[9]Student Data'!M9</f>
        <v>344407</v>
      </c>
      <c r="B183" t="str">
        <f>[9]Reporting!C8</f>
        <v>Moved/Joining Alternate Class/Program</v>
      </c>
      <c r="C183" s="10" t="str">
        <f>[9]Reporting!F8</f>
        <v>Irish Ann Medalla</v>
      </c>
      <c r="D183" cm="1">
        <f t="array" ref="D183">--(SUM(COUNTIF(B183,{"*nest*","*grad*","*trans*","*1B*","*1C*"}))&gt;0)</f>
        <v>0</v>
      </c>
      <c r="E183" s="11">
        <f>[9]Performance!Q9</f>
        <v>1</v>
      </c>
      <c r="F183" s="11">
        <f>[9]Performance!R9</f>
        <v>1</v>
      </c>
      <c r="G183" s="11">
        <f>[9]Performance!S9</f>
        <v>0.86</v>
      </c>
      <c r="H183" s="11">
        <f>[9]Performance!T9</f>
        <v>1</v>
      </c>
      <c r="I183" s="11">
        <f>[9]Performance!U9</f>
        <v>0.99</v>
      </c>
      <c r="J183" s="11" t="str">
        <f>[9]Performance!H9</f>
        <v xml:space="preserve">NTT  </v>
      </c>
      <c r="K183" s="11">
        <f>[9]Performance!I9</f>
        <v>1</v>
      </c>
      <c r="L183" s="11">
        <f>[9]Performance!J9</f>
        <v>0.8</v>
      </c>
      <c r="M183" s="11" t="str">
        <f>[9]Performance!K9</f>
        <v xml:space="preserve">NTT  </v>
      </c>
      <c r="N183" s="11" t="str">
        <f>[9]Performance!L9</f>
        <v xml:space="preserve">NTT  </v>
      </c>
      <c r="O183" s="11" t="str">
        <f>[9]Performance!M9</f>
        <v>n/a</v>
      </c>
      <c r="P183" s="11">
        <f>[9]Performance!N9</f>
        <v>1</v>
      </c>
      <c r="Q183" s="11" t="str">
        <f>[9]Performance!O9</f>
        <v xml:space="preserve">NTT  </v>
      </c>
      <c r="R183" s="11">
        <f>[9]Performance!P9</f>
        <v>1</v>
      </c>
    </row>
    <row r="184" spans="1:21" x14ac:dyDescent="0.3">
      <c r="A184">
        <f>'[9]Student Data'!M10</f>
        <v>344403</v>
      </c>
      <c r="B184" t="str">
        <f>[9]Reporting!C9</f>
        <v>Transition to Production</v>
      </c>
      <c r="C184" s="10" t="str">
        <f>[9]Reporting!F9</f>
        <v>Eloisa Zubiaga</v>
      </c>
      <c r="D184" cm="1">
        <f t="array" ref="D184">--(SUM(COUNTIF(B184,{"*nest*","*grad*","*trans*","*1B*","*1C*"}))&gt;0)</f>
        <v>1</v>
      </c>
      <c r="E184" s="11">
        <f>[9]Performance!Q10</f>
        <v>1</v>
      </c>
      <c r="F184" s="11">
        <f>[9]Performance!R10</f>
        <v>1</v>
      </c>
      <c r="G184" s="11">
        <f>[9]Performance!S10</f>
        <v>0.8</v>
      </c>
      <c r="H184" s="11">
        <f>[9]Performance!T10</f>
        <v>1</v>
      </c>
      <c r="I184" s="11">
        <f>[9]Performance!U10</f>
        <v>0.9</v>
      </c>
      <c r="J184" s="11" t="str">
        <f>[9]Performance!H10</f>
        <v xml:space="preserve">NTT  </v>
      </c>
      <c r="K184" s="11">
        <f>[9]Performance!I10</f>
        <v>0.88</v>
      </c>
      <c r="L184" s="11">
        <f>[9]Performance!J10</f>
        <v>0.8</v>
      </c>
      <c r="M184" s="11" t="str">
        <f>[9]Performance!K10</f>
        <v xml:space="preserve">NTT  </v>
      </c>
      <c r="N184" s="11" t="str">
        <f>[9]Performance!L10</f>
        <v xml:space="preserve">NTT  </v>
      </c>
      <c r="O184" s="11" t="str">
        <f>[9]Performance!M10</f>
        <v>n/a</v>
      </c>
      <c r="P184" s="11">
        <f>[9]Performance!N10</f>
        <v>1</v>
      </c>
      <c r="Q184" s="11" t="str">
        <f>[9]Performance!O10</f>
        <v xml:space="preserve">NTT  </v>
      </c>
      <c r="R184" s="11">
        <f>[9]Performance!P10</f>
        <v>1</v>
      </c>
    </row>
    <row r="185" spans="1:21" x14ac:dyDescent="0.3">
      <c r="A185">
        <f>'[9]Student Data'!M11</f>
        <v>344408</v>
      </c>
      <c r="B185" t="str">
        <f>[9]Reporting!C10</f>
        <v>Transition to Production</v>
      </c>
      <c r="C185" s="10" t="str">
        <f>[9]Reporting!F10</f>
        <v>Gina Marcelino</v>
      </c>
      <c r="D185" cm="1">
        <f t="array" ref="D185">--(SUM(COUNTIF(B185,{"*nest*","*grad*","*trans*","*1B*","*1C*"}))&gt;0)</f>
        <v>1</v>
      </c>
      <c r="E185" s="11">
        <f>[9]Performance!Q11</f>
        <v>1</v>
      </c>
      <c r="F185" s="11">
        <f>[9]Performance!R11</f>
        <v>1</v>
      </c>
      <c r="G185" s="11">
        <f>[9]Performance!S11</f>
        <v>0.89</v>
      </c>
      <c r="H185" s="11">
        <f>[9]Performance!T11</f>
        <v>0.8</v>
      </c>
      <c r="I185" s="11">
        <f>[9]Performance!U11</f>
        <v>0.89</v>
      </c>
      <c r="J185" s="11" t="str">
        <f>[9]Performance!H11</f>
        <v xml:space="preserve">NTT  </v>
      </c>
      <c r="K185" s="11">
        <f>[9]Performance!I11</f>
        <v>1</v>
      </c>
      <c r="L185" s="11">
        <f>[9]Performance!J11</f>
        <v>1</v>
      </c>
      <c r="M185" s="11" t="str">
        <f>[9]Performance!K11</f>
        <v xml:space="preserve">NTT  </v>
      </c>
      <c r="N185" s="11" t="str">
        <f>[9]Performance!L11</f>
        <v xml:space="preserve">NTT  </v>
      </c>
      <c r="O185" s="11" t="str">
        <f>[9]Performance!M11</f>
        <v>n/a</v>
      </c>
      <c r="P185" s="11">
        <f>[9]Performance!N11</f>
        <v>1</v>
      </c>
      <c r="Q185" s="11" t="str">
        <f>[9]Performance!O11</f>
        <v xml:space="preserve">NTT  </v>
      </c>
      <c r="R185" s="11">
        <f>[9]Performance!P11</f>
        <v>0.88</v>
      </c>
    </row>
    <row r="186" spans="1:21" x14ac:dyDescent="0.3">
      <c r="A186">
        <f>'[9]Student Data'!M12</f>
        <v>344416</v>
      </c>
      <c r="B186" t="str">
        <f>[9]Reporting!C11</f>
        <v>Moved/Joining Alternate Class/Program</v>
      </c>
      <c r="C186" s="10" t="str">
        <f>[9]Reporting!F11</f>
        <v>Harvy Torres</v>
      </c>
      <c r="D186" cm="1">
        <f t="array" ref="D186">--(SUM(COUNTIF(B186,{"*nest*","*grad*","*trans*","*1B*","*1C*"}))&gt;0)</f>
        <v>0</v>
      </c>
      <c r="E186" s="11">
        <f>[9]Performance!Q12</f>
        <v>1</v>
      </c>
      <c r="F186" s="11">
        <f>[9]Performance!R12</f>
        <v>1</v>
      </c>
      <c r="G186" s="11">
        <f>[9]Performance!S12</f>
        <v>0.92</v>
      </c>
      <c r="H186" s="11">
        <f>[9]Performance!T12</f>
        <v>1</v>
      </c>
      <c r="I186" s="11">
        <f>[9]Performance!U12</f>
        <v>0.98</v>
      </c>
      <c r="J186" s="11" t="str">
        <f>[9]Performance!H12</f>
        <v xml:space="preserve">NTT  </v>
      </c>
      <c r="K186" s="11">
        <f>[9]Performance!I12</f>
        <v>0.88</v>
      </c>
      <c r="L186" s="11">
        <f>[9]Performance!J12</f>
        <v>0.8</v>
      </c>
      <c r="M186" s="11" t="str">
        <f>[9]Performance!K12</f>
        <v xml:space="preserve">NTT  </v>
      </c>
      <c r="N186" s="11" t="str">
        <f>[9]Performance!L12</f>
        <v xml:space="preserve">NTT  </v>
      </c>
      <c r="O186" s="11" t="str">
        <f>[9]Performance!M12</f>
        <v>n/a</v>
      </c>
      <c r="P186" s="11">
        <f>[9]Performance!N12</f>
        <v>1</v>
      </c>
      <c r="Q186" s="11" t="str">
        <f>[9]Performance!O12</f>
        <v xml:space="preserve">NTT  </v>
      </c>
      <c r="R186" s="11">
        <f>[9]Performance!P12</f>
        <v>0.94</v>
      </c>
    </row>
    <row r="187" spans="1:21" x14ac:dyDescent="0.3">
      <c r="A187">
        <f>'[9]Student Data'!M13</f>
        <v>344406</v>
      </c>
      <c r="B187" t="str">
        <f>[9]Reporting!C12</f>
        <v>Transition to Production</v>
      </c>
      <c r="C187" s="10" t="str">
        <f>[9]Reporting!F12</f>
        <v>Shiella Suarez</v>
      </c>
      <c r="D187" cm="1">
        <f t="array" ref="D187">--(SUM(COUNTIF(B187,{"*nest*","*grad*","*trans*","*1B*","*1C*"}))&gt;0)</f>
        <v>1</v>
      </c>
      <c r="E187" s="11">
        <f>[9]Performance!Q13</f>
        <v>1</v>
      </c>
      <c r="F187" s="11">
        <f>[9]Performance!R13</f>
        <v>1</v>
      </c>
      <c r="G187" s="11">
        <f>[9]Performance!S13</f>
        <v>0.82</v>
      </c>
      <c r="H187" s="11">
        <f>[9]Performance!T13</f>
        <v>1</v>
      </c>
      <c r="I187" s="11">
        <f>[9]Performance!U13</f>
        <v>0.82</v>
      </c>
      <c r="J187" s="11" t="str">
        <f>[9]Performance!H13</f>
        <v xml:space="preserve">NTT  </v>
      </c>
      <c r="K187" s="11">
        <f>[9]Performance!I13</f>
        <v>1</v>
      </c>
      <c r="L187" s="11">
        <f>[9]Performance!J13</f>
        <v>0.8</v>
      </c>
      <c r="M187" s="11" t="str">
        <f>[9]Performance!K13</f>
        <v xml:space="preserve">NTT  </v>
      </c>
      <c r="N187" s="11" t="str">
        <f>[9]Performance!L13</f>
        <v xml:space="preserve">NTT  </v>
      </c>
      <c r="O187" s="11" t="str">
        <f>[9]Performance!M13</f>
        <v>n/a</v>
      </c>
      <c r="P187" s="11">
        <f>[9]Performance!N13</f>
        <v>1</v>
      </c>
      <c r="Q187" s="11" t="str">
        <f>[9]Performance!O13</f>
        <v xml:space="preserve">NTT  </v>
      </c>
      <c r="R187" s="11">
        <f>[9]Performance!P13</f>
        <v>0.88</v>
      </c>
    </row>
    <row r="188" spans="1:21" x14ac:dyDescent="0.3">
      <c r="A188">
        <f>'[9]Student Data'!M14</f>
        <v>344410</v>
      </c>
      <c r="B188" t="str">
        <f>[9]Reporting!C13</f>
        <v>Transition to Production</v>
      </c>
      <c r="C188" s="10" t="str">
        <f>[9]Reporting!F13</f>
        <v>Raizelle Jane Taytay</v>
      </c>
      <c r="D188" cm="1">
        <f t="array" ref="D188">--(SUM(COUNTIF(B188,{"*nest*","*grad*","*trans*","*1B*","*1C*"}))&gt;0)</f>
        <v>1</v>
      </c>
      <c r="E188" s="11">
        <f>[9]Performance!Q14</f>
        <v>1</v>
      </c>
      <c r="F188" s="11">
        <f>[9]Performance!R14</f>
        <v>1</v>
      </c>
      <c r="G188" s="11">
        <f>[9]Performance!S14</f>
        <v>1</v>
      </c>
      <c r="H188" s="11">
        <f>[9]Performance!T14</f>
        <v>1</v>
      </c>
      <c r="I188" s="11">
        <f>[9]Performance!U14</f>
        <v>0.81</v>
      </c>
      <c r="J188" s="11" t="str">
        <f>[9]Performance!H14</f>
        <v xml:space="preserve">NTT  </v>
      </c>
      <c r="K188" s="11">
        <f>[9]Performance!I14</f>
        <v>1</v>
      </c>
      <c r="L188" s="11">
        <f>[9]Performance!J14</f>
        <v>0.8</v>
      </c>
      <c r="M188" s="11" t="str">
        <f>[9]Performance!K14</f>
        <v xml:space="preserve">NTT  </v>
      </c>
      <c r="N188" s="11" t="str">
        <f>[9]Performance!L14</f>
        <v xml:space="preserve">NTT  </v>
      </c>
      <c r="O188" s="11" t="str">
        <f>[9]Performance!M14</f>
        <v>n/a</v>
      </c>
      <c r="P188" s="11">
        <f>[9]Performance!N14</f>
        <v>1</v>
      </c>
      <c r="Q188" s="11" t="str">
        <f>[9]Performance!O14</f>
        <v xml:space="preserve">NTT  </v>
      </c>
      <c r="R188" s="11">
        <f>[9]Performance!P14</f>
        <v>0.88</v>
      </c>
    </row>
    <row r="189" spans="1:21" x14ac:dyDescent="0.3">
      <c r="A189">
        <f>'[9]Student Data'!M15</f>
        <v>344405</v>
      </c>
      <c r="B189" t="str">
        <f>[9]Reporting!C14</f>
        <v>Transition to Production</v>
      </c>
      <c r="C189" s="10" t="str">
        <f>[9]Reporting!F14</f>
        <v>Leslie Caindoc</v>
      </c>
      <c r="D189" cm="1">
        <f t="array" ref="D189">--(SUM(COUNTIF(B189,{"*nest*","*grad*","*trans*","*1B*","*1C*"}))&gt;0)</f>
        <v>1</v>
      </c>
      <c r="E189" s="11">
        <f>[9]Performance!Q15</f>
        <v>1</v>
      </c>
      <c r="F189" s="11">
        <f>[9]Performance!R15</f>
        <v>1</v>
      </c>
      <c r="G189" s="11">
        <f>[9]Performance!S15</f>
        <v>0.88</v>
      </c>
      <c r="H189" s="11">
        <f>[9]Performance!T15</f>
        <v>0.8</v>
      </c>
      <c r="I189" s="11">
        <f>[9]Performance!U15</f>
        <v>0.8</v>
      </c>
      <c r="J189" s="11" t="str">
        <f>[9]Performance!H15</f>
        <v xml:space="preserve">NTT  </v>
      </c>
      <c r="K189" s="11">
        <f>[9]Performance!I15</f>
        <v>0.88</v>
      </c>
      <c r="L189" s="11">
        <f>[9]Performance!J15</f>
        <v>1</v>
      </c>
      <c r="M189" s="11" t="str">
        <f>[9]Performance!K15</f>
        <v xml:space="preserve">NTT  </v>
      </c>
      <c r="N189" s="11" t="str">
        <f>[9]Performance!L15</f>
        <v xml:space="preserve">NTT  </v>
      </c>
      <c r="O189" s="11" t="str">
        <f>[9]Performance!M15</f>
        <v>n/a</v>
      </c>
      <c r="P189" s="11">
        <f>[9]Performance!N15</f>
        <v>1</v>
      </c>
      <c r="Q189" s="11" t="str">
        <f>[9]Performance!O15</f>
        <v xml:space="preserve">NTT  </v>
      </c>
      <c r="R189" s="11">
        <f>[9]Performance!P15</f>
        <v>1</v>
      </c>
    </row>
    <row r="190" spans="1:21" x14ac:dyDescent="0.3">
      <c r="A190">
        <f>'[9]Student Data'!M16</f>
        <v>344414</v>
      </c>
      <c r="B190" t="str">
        <f>[9]Reporting!C15</f>
        <v>Transition to Production</v>
      </c>
      <c r="C190" s="10" t="str">
        <f>[9]Reporting!F15</f>
        <v>Jhamaica Virrey</v>
      </c>
      <c r="D190" cm="1">
        <f t="array" ref="D190">--(SUM(COUNTIF(B190,{"*nest*","*grad*","*trans*","*1B*","*1C*"}))&gt;0)</f>
        <v>1</v>
      </c>
      <c r="E190" s="11">
        <f>[9]Performance!Q16</f>
        <v>1</v>
      </c>
      <c r="F190" s="11">
        <f>[9]Performance!R16</f>
        <v>1</v>
      </c>
      <c r="G190" s="11">
        <f>[9]Performance!S16</f>
        <v>0.94</v>
      </c>
      <c r="H190" s="11">
        <f>[9]Performance!T16</f>
        <v>1</v>
      </c>
      <c r="I190" s="11">
        <f>[9]Performance!U16</f>
        <v>0.93</v>
      </c>
      <c r="J190" s="11" t="str">
        <f>[9]Performance!H16</f>
        <v xml:space="preserve">NTT  </v>
      </c>
      <c r="K190" s="11">
        <f>[9]Performance!I16</f>
        <v>1</v>
      </c>
      <c r="L190" s="11">
        <f>[9]Performance!J16</f>
        <v>0.8</v>
      </c>
      <c r="M190" s="11" t="str">
        <f>[9]Performance!K16</f>
        <v xml:space="preserve">NTT  </v>
      </c>
      <c r="N190" s="11" t="str">
        <f>[9]Performance!L16</f>
        <v xml:space="preserve">NTT  </v>
      </c>
      <c r="O190" s="11" t="str">
        <f>[9]Performance!M16</f>
        <v>n/a</v>
      </c>
      <c r="P190" s="11">
        <f>[9]Performance!N16</f>
        <v>1</v>
      </c>
      <c r="Q190" s="11" t="str">
        <f>[9]Performance!O16</f>
        <v xml:space="preserve">NTT  </v>
      </c>
      <c r="R190" s="11">
        <f>[9]Performance!P16</f>
        <v>0.94</v>
      </c>
    </row>
    <row r="191" spans="1:21" x14ac:dyDescent="0.3">
      <c r="A191">
        <f>'[9]Student Data'!M17</f>
        <v>344413</v>
      </c>
      <c r="B191" t="str">
        <f>[9]Reporting!C16</f>
        <v>Resigned Tier 1B</v>
      </c>
      <c r="C191" s="10" t="str">
        <f>[9]Reporting!F16</f>
        <v>Kristine Lorrelei Cadion</v>
      </c>
      <c r="D191" cm="1">
        <f t="array" ref="D191">--(SUM(COUNTIF(B191,{"*nest*","*grad*","*trans*","*1B*","*1C*"}))&gt;0)</f>
        <v>1</v>
      </c>
      <c r="E191" s="11">
        <f>[9]Performance!Q17</f>
        <v>1</v>
      </c>
      <c r="F191" s="11">
        <f>[9]Performance!R17</f>
        <v>1</v>
      </c>
      <c r="G191" s="11" t="str">
        <f>[9]Performance!S17</f>
        <v>n/a</v>
      </c>
      <c r="H191" s="11">
        <f>[9]Performance!T17</f>
        <v>0.8</v>
      </c>
      <c r="I191" s="11" t="str">
        <f>[9]Performance!U17</f>
        <v>n/a</v>
      </c>
      <c r="J191" s="11" t="str">
        <f>[9]Performance!H17</f>
        <v xml:space="preserve">NTT  </v>
      </c>
      <c r="K191" s="11">
        <f>[9]Performance!I17</f>
        <v>0.88</v>
      </c>
      <c r="L191" s="11">
        <f>[9]Performance!J17</f>
        <v>0.8</v>
      </c>
      <c r="M191" s="11" t="str">
        <f>[9]Performance!K17</f>
        <v xml:space="preserve">NTT  </v>
      </c>
      <c r="N191" s="11" t="str">
        <f>[9]Performance!L17</f>
        <v xml:space="preserve">NTT  </v>
      </c>
      <c r="O191" s="11" t="str">
        <f>[9]Performance!M17</f>
        <v>n/a</v>
      </c>
      <c r="P191" s="11">
        <f>[9]Performance!N17</f>
        <v>1</v>
      </c>
      <c r="Q191" s="11" t="str">
        <f>[9]Performance!O17</f>
        <v xml:space="preserve">NTT  </v>
      </c>
      <c r="R191" s="11">
        <f>[9]Performance!P17</f>
        <v>1</v>
      </c>
    </row>
    <row r="192" spans="1:21" x14ac:dyDescent="0.3">
      <c r="A192">
        <f>'[9]Student Data'!M18</f>
        <v>344409</v>
      </c>
      <c r="B192" t="str">
        <f>[9]Reporting!C17</f>
        <v>Transition to Production</v>
      </c>
      <c r="C192" s="10" t="str">
        <f>[9]Reporting!F17</f>
        <v>Grace Ng</v>
      </c>
      <c r="D192" cm="1">
        <f t="array" ref="D192">--(SUM(COUNTIF(B192,{"*nest*","*grad*","*trans*","*1B*","*1C*"}))&gt;0)</f>
        <v>1</v>
      </c>
      <c r="E192" s="11">
        <f>[9]Performance!Q18</f>
        <v>1</v>
      </c>
      <c r="F192" s="11">
        <f>[9]Performance!R18</f>
        <v>1</v>
      </c>
      <c r="G192" s="11">
        <f>[9]Performance!S18</f>
        <v>1</v>
      </c>
      <c r="H192" s="11">
        <f>[9]Performance!T18</f>
        <v>0.8</v>
      </c>
      <c r="I192" s="11">
        <f>[9]Performance!U18</f>
        <v>1</v>
      </c>
      <c r="J192" s="11" t="str">
        <f>[9]Performance!H18</f>
        <v xml:space="preserve">NTT  </v>
      </c>
      <c r="K192" s="11">
        <f>[9]Performance!I18</f>
        <v>1</v>
      </c>
      <c r="L192" s="11">
        <f>[9]Performance!J18</f>
        <v>0.8</v>
      </c>
      <c r="M192" s="11" t="str">
        <f>[9]Performance!K18</f>
        <v xml:space="preserve">NTT  </v>
      </c>
      <c r="N192" s="11" t="str">
        <f>[9]Performance!L18</f>
        <v xml:space="preserve">NTT  </v>
      </c>
      <c r="O192" s="11" t="str">
        <f>[9]Performance!M18</f>
        <v>n/a</v>
      </c>
      <c r="P192" s="11">
        <f>[9]Performance!N18</f>
        <v>1</v>
      </c>
      <c r="Q192" s="11" t="str">
        <f>[9]Performance!O18</f>
        <v xml:space="preserve">NTT  </v>
      </c>
      <c r="R192" s="11">
        <f>[9]Performance!P18</f>
        <v>0.94</v>
      </c>
    </row>
    <row r="193" spans="1:20" x14ac:dyDescent="0.3">
      <c r="A193">
        <f>'[9]Student Data'!M19</f>
        <v>344404</v>
      </c>
      <c r="B193" t="str">
        <f>[9]Reporting!C18</f>
        <v>Transition to Production</v>
      </c>
      <c r="C193" s="10" t="str">
        <f>[9]Reporting!F18</f>
        <v>Vanessa Sollano</v>
      </c>
      <c r="D193" cm="1">
        <f t="array" ref="D193">--(SUM(COUNTIF(B193,{"*nest*","*grad*","*trans*","*1B*","*1C*"}))&gt;0)</f>
        <v>1</v>
      </c>
      <c r="E193" s="11">
        <f>[9]Performance!Q19</f>
        <v>1</v>
      </c>
      <c r="F193" s="11">
        <f>[9]Performance!R19</f>
        <v>1</v>
      </c>
      <c r="G193" s="11">
        <f>[9]Performance!S19</f>
        <v>1</v>
      </c>
      <c r="H193" s="11">
        <f>[9]Performance!T19</f>
        <v>0.8</v>
      </c>
      <c r="I193" s="11">
        <f>[9]Performance!U19</f>
        <v>1</v>
      </c>
      <c r="J193" s="11" t="str">
        <f>[9]Performance!H19</f>
        <v xml:space="preserve">NTT  </v>
      </c>
      <c r="K193" s="11">
        <f>[9]Performance!I19</f>
        <v>0.88</v>
      </c>
      <c r="L193" s="11">
        <f>[9]Performance!J19</f>
        <v>1</v>
      </c>
      <c r="M193" s="11" t="str">
        <f>[9]Performance!K19</f>
        <v xml:space="preserve">NTT  </v>
      </c>
      <c r="N193" s="11" t="str">
        <f>[9]Performance!L19</f>
        <v xml:space="preserve">NTT  </v>
      </c>
      <c r="O193" s="11" t="str">
        <f>[9]Performance!M19</f>
        <v>n/a</v>
      </c>
      <c r="P193" s="11">
        <f>[9]Performance!N19</f>
        <v>1</v>
      </c>
      <c r="Q193" s="11" t="str">
        <f>[9]Performance!O19</f>
        <v xml:space="preserve">NTT  </v>
      </c>
      <c r="R193" s="11">
        <f>[9]Performance!P19</f>
        <v>0.88</v>
      </c>
    </row>
    <row r="194" spans="1:20" x14ac:dyDescent="0.3">
      <c r="A194">
        <f>'[9]Student Data'!M20</f>
        <v>344419</v>
      </c>
      <c r="B194" t="str">
        <f>[9]Reporting!C19</f>
        <v>Transition to Production</v>
      </c>
      <c r="C194" s="10" t="str">
        <f>[9]Reporting!F19</f>
        <v>Paula Jean Yuen</v>
      </c>
      <c r="D194" cm="1">
        <f t="array" ref="D194">--(SUM(COUNTIF(B194,{"*nest*","*grad*","*trans*","*1B*","*1C*"}))&gt;0)</f>
        <v>1</v>
      </c>
      <c r="E194" s="11">
        <f>[9]Performance!Q20</f>
        <v>1</v>
      </c>
      <c r="F194" s="11">
        <f>[9]Performance!R20</f>
        <v>1</v>
      </c>
      <c r="G194" s="11">
        <f>[9]Performance!S20</f>
        <v>0.8</v>
      </c>
      <c r="H194" s="11">
        <f>[9]Performance!T20</f>
        <v>1</v>
      </c>
      <c r="I194" s="11">
        <f>[9]Performance!U20</f>
        <v>0.9</v>
      </c>
      <c r="J194" s="11" t="str">
        <f>[9]Performance!H20</f>
        <v xml:space="preserve">NTT  </v>
      </c>
      <c r="K194" s="11">
        <f>[9]Performance!I20</f>
        <v>1</v>
      </c>
      <c r="L194" s="11">
        <f>[9]Performance!J20</f>
        <v>1</v>
      </c>
      <c r="M194" s="11" t="str">
        <f>[9]Performance!K20</f>
        <v xml:space="preserve">NTT  </v>
      </c>
      <c r="N194" s="11" t="str">
        <f>[9]Performance!L20</f>
        <v xml:space="preserve">NTT  </v>
      </c>
      <c r="O194" s="11" t="str">
        <f>[9]Performance!M20</f>
        <v>n/a</v>
      </c>
      <c r="P194" s="11">
        <f>[9]Performance!N20</f>
        <v>1</v>
      </c>
      <c r="Q194" s="11" t="str">
        <f>[9]Performance!O20</f>
        <v xml:space="preserve">NTT  </v>
      </c>
      <c r="R194" s="11">
        <f>[9]Performance!P20</f>
        <v>1</v>
      </c>
    </row>
    <row r="195" spans="1:20" x14ac:dyDescent="0.3">
      <c r="A195" s="24"/>
      <c r="B195" s="9"/>
      <c r="C195" s="9"/>
      <c r="D195" s="9">
        <f>SUM(D196:D214)</f>
        <v>0</v>
      </c>
      <c r="E195" s="9">
        <f>COUNTIF(E196:E214, "&gt;79%")</f>
        <v>0</v>
      </c>
      <c r="F195" s="9">
        <f t="shared" ref="F195:R195" si="25">COUNTIF(F196:F214, "&gt;79%")</f>
        <v>0</v>
      </c>
      <c r="G195" s="9">
        <f t="shared" si="25"/>
        <v>0</v>
      </c>
      <c r="H195" s="9">
        <f t="shared" si="25"/>
        <v>0</v>
      </c>
      <c r="I195" s="9">
        <f t="shared" si="25"/>
        <v>0</v>
      </c>
      <c r="J195" s="9">
        <f t="shared" si="25"/>
        <v>0</v>
      </c>
      <c r="K195" s="9">
        <f t="shared" si="25"/>
        <v>0</v>
      </c>
      <c r="L195" s="9">
        <f t="shared" si="25"/>
        <v>0</v>
      </c>
      <c r="M195" s="9">
        <f t="shared" si="25"/>
        <v>0</v>
      </c>
      <c r="N195" s="9">
        <f t="shared" si="25"/>
        <v>0</v>
      </c>
      <c r="O195" s="9">
        <f t="shared" si="25"/>
        <v>0</v>
      </c>
      <c r="P195" s="9">
        <f t="shared" si="25"/>
        <v>0</v>
      </c>
      <c r="Q195" s="9">
        <f t="shared" si="25"/>
        <v>0</v>
      </c>
      <c r="R195" s="9">
        <f t="shared" si="25"/>
        <v>0</v>
      </c>
      <c r="S195" s="9">
        <f t="shared" ref="S195" si="26">COUNTIF(S196:S240, "&gt;79%")</f>
        <v>0</v>
      </c>
      <c r="T195" s="26">
        <f>'[9]Class Summary'!$B$6</f>
        <v>45819</v>
      </c>
    </row>
    <row r="196" spans="1:20" x14ac:dyDescent="0.3">
      <c r="A196">
        <f>'[9]Student Data'!M22</f>
        <v>0</v>
      </c>
      <c r="B196">
        <f>[9]Reporting!C21</f>
        <v>0</v>
      </c>
      <c r="C196" s="10">
        <f>[9]Reporting!F21</f>
        <v>0</v>
      </c>
      <c r="D196" cm="1">
        <f t="array" ref="D196">--(SUM(COUNTIF(B196,{"*nest*","*grad*","*trans*","*1B*","*1C*"}))&gt;0)</f>
        <v>0</v>
      </c>
      <c r="E196" s="11">
        <f>[9]Performance!Q22</f>
        <v>0</v>
      </c>
      <c r="F196" s="11">
        <f>[9]Performance!R22</f>
        <v>0</v>
      </c>
      <c r="G196" s="11">
        <f>[9]Performance!S22</f>
        <v>0</v>
      </c>
      <c r="H196" s="11">
        <f>[9]Performance!T22</f>
        <v>0</v>
      </c>
      <c r="I196" s="11">
        <f>[9]Performance!U22</f>
        <v>0</v>
      </c>
      <c r="J196" s="11">
        <f>[9]Performance!H22</f>
        <v>0</v>
      </c>
      <c r="K196" s="11">
        <f>[9]Performance!I22</f>
        <v>0</v>
      </c>
      <c r="L196" s="11">
        <f>[9]Performance!J22</f>
        <v>0</v>
      </c>
      <c r="M196" s="11">
        <f>[9]Performance!K22</f>
        <v>0</v>
      </c>
      <c r="N196" s="11">
        <f>[9]Performance!L22</f>
        <v>0</v>
      </c>
      <c r="O196" s="11">
        <f>[9]Performance!M22</f>
        <v>0</v>
      </c>
      <c r="P196" s="11">
        <f>[9]Performance!N22</f>
        <v>0</v>
      </c>
      <c r="Q196" s="11">
        <f>[9]Performance!O22</f>
        <v>0</v>
      </c>
      <c r="R196" s="11">
        <f>[9]Performance!P22</f>
        <v>0</v>
      </c>
    </row>
  </sheetData>
  <conditionalFormatting sqref="A2:A119">
    <cfRule type="cellIs" dxfId="20" priority="5" operator="equal">
      <formula>"Resigned"</formula>
    </cfRule>
  </conditionalFormatting>
  <conditionalFormatting sqref="A139">
    <cfRule type="cellIs" dxfId="19" priority="4" operator="equal">
      <formula>"Resigned"</formula>
    </cfRule>
  </conditionalFormatting>
  <conditionalFormatting sqref="A163">
    <cfRule type="cellIs" dxfId="18" priority="3" operator="equal">
      <formula>"Resigned"</formula>
    </cfRule>
  </conditionalFormatting>
  <conditionalFormatting sqref="A178">
    <cfRule type="cellIs" dxfId="17" priority="2" operator="equal">
      <formula>"Resigned"</formula>
    </cfRule>
  </conditionalFormatting>
  <conditionalFormatting sqref="A195">
    <cfRule type="cellIs" dxfId="16" priority="1" operator="equal">
      <formula>"Resigned"</formula>
    </cfRule>
  </conditionalFormatting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AD34-557E-46D0-925A-3D5131A14786}">
  <dimension ref="A1:V377"/>
  <sheetViews>
    <sheetView tabSelected="1" topLeftCell="B1" workbookViewId="0">
      <pane ySplit="1" topLeftCell="A336" activePane="bottomLeft" state="frozen"/>
      <selection pane="bottomLeft" activeCell="J351" sqref="J351"/>
    </sheetView>
  </sheetViews>
  <sheetFormatPr defaultRowHeight="14.4" x14ac:dyDescent="0.3"/>
  <cols>
    <col min="1" max="1" width="13.33203125" bestFit="1" customWidth="1"/>
    <col min="2" max="2" width="37.109375" bestFit="1" customWidth="1"/>
    <col min="3" max="3" width="28.33203125" bestFit="1" customWidth="1"/>
    <col min="4" max="4" width="21.109375" customWidth="1"/>
    <col min="5" max="9" width="11.6640625" bestFit="1" customWidth="1"/>
    <col min="10" max="10" width="11.33203125" bestFit="1" customWidth="1"/>
    <col min="11" max="12" width="11.6640625" bestFit="1" customWidth="1"/>
    <col min="13" max="13" width="11.33203125" bestFit="1" customWidth="1"/>
    <col min="14" max="15" width="11.33203125" customWidth="1"/>
    <col min="16" max="16" width="11.6640625" bestFit="1" customWidth="1"/>
    <col min="17" max="17" width="11.33203125" customWidth="1"/>
    <col min="18" max="18" width="11.6640625" bestFit="1" customWidth="1"/>
    <col min="20" max="20" width="11.109375" bestFit="1" customWidth="1"/>
  </cols>
  <sheetData>
    <row r="1" spans="1:20" ht="43.2" x14ac:dyDescent="0.3">
      <c r="A1" s="1" t="s">
        <v>0</v>
      </c>
      <c r="B1" s="2" t="s">
        <v>1</v>
      </c>
      <c r="C1" s="3"/>
      <c r="D1" s="3" t="s">
        <v>2</v>
      </c>
      <c r="E1" s="12" t="s">
        <v>3</v>
      </c>
      <c r="F1" s="12" t="s">
        <v>4</v>
      </c>
      <c r="G1" s="12" t="s">
        <v>5</v>
      </c>
      <c r="H1" s="13" t="s">
        <v>6</v>
      </c>
      <c r="I1" s="14" t="s">
        <v>7</v>
      </c>
      <c r="J1" s="15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7" t="s">
        <v>16</v>
      </c>
      <c r="S1" s="3" t="s">
        <v>61</v>
      </c>
      <c r="T1" s="3" t="s">
        <v>62</v>
      </c>
    </row>
    <row r="2" spans="1:20" x14ac:dyDescent="0.3">
      <c r="A2" s="8" t="s">
        <v>66</v>
      </c>
      <c r="B2" s="9" t="s">
        <v>44</v>
      </c>
      <c r="C2" s="9" t="s">
        <v>24</v>
      </c>
      <c r="D2" s="9">
        <f>SUM(D3:D21)</f>
        <v>14</v>
      </c>
      <c r="E2" s="9">
        <f>COUNTIF(E3:E21, "&gt;79%")</f>
        <v>15</v>
      </c>
      <c r="F2" s="9">
        <f t="shared" ref="F2:R2" si="0">COUNTIF(F3:F21, "&gt;79%")</f>
        <v>15</v>
      </c>
      <c r="G2" s="9">
        <f t="shared" si="0"/>
        <v>15</v>
      </c>
      <c r="H2" s="9">
        <f t="shared" si="0"/>
        <v>15</v>
      </c>
      <c r="I2" s="9">
        <f t="shared" si="0"/>
        <v>15</v>
      </c>
      <c r="J2" s="9">
        <f t="shared" si="0"/>
        <v>0</v>
      </c>
      <c r="K2" s="9">
        <f t="shared" si="0"/>
        <v>15</v>
      </c>
      <c r="L2" s="9">
        <f t="shared" si="0"/>
        <v>15</v>
      </c>
      <c r="M2" s="9">
        <f t="shared" si="0"/>
        <v>0</v>
      </c>
      <c r="N2" s="9">
        <f t="shared" si="0"/>
        <v>0</v>
      </c>
      <c r="O2" s="9">
        <f t="shared" si="0"/>
        <v>0</v>
      </c>
      <c r="P2" s="9">
        <f t="shared" si="0"/>
        <v>15</v>
      </c>
      <c r="Q2" s="9">
        <f t="shared" si="0"/>
        <v>0</v>
      </c>
      <c r="R2" s="9">
        <f t="shared" si="0"/>
        <v>15</v>
      </c>
      <c r="S2" s="9"/>
      <c r="T2" s="30">
        <f>'[10]Class Summary'!$B$6</f>
        <v>45833</v>
      </c>
    </row>
    <row r="3" spans="1:20" x14ac:dyDescent="0.3">
      <c r="A3" s="6">
        <f>'[10]Student Data'!M5</f>
        <v>0</v>
      </c>
      <c r="B3" t="str">
        <f>[10]Reporting!C4</f>
        <v>Did not Start</v>
      </c>
      <c r="C3" s="10" t="str">
        <f>[10]Reporting!F4</f>
        <v>Ann Christine Felomina Becerro</v>
      </c>
      <c r="D3" cm="1">
        <f t="array" ref="D3">--(SUM(COUNTIF(B3,{"*nest*","*grad*","*trans*","*1B*","*1C*"}))&gt;0)</f>
        <v>0</v>
      </c>
      <c r="E3" s="18">
        <f>[10]Performance!Q5</f>
        <v>0</v>
      </c>
      <c r="F3" s="18">
        <f>[10]Performance!R5</f>
        <v>0</v>
      </c>
      <c r="G3" s="18">
        <f>[10]Performance!S5</f>
        <v>0</v>
      </c>
      <c r="H3" s="18">
        <f>[10]Performance!T5</f>
        <v>0</v>
      </c>
      <c r="I3" s="18">
        <f>[10]Performance!U5</f>
        <v>0</v>
      </c>
      <c r="J3" s="11">
        <f>[10]Performance!H5</f>
        <v>0</v>
      </c>
      <c r="K3" s="11">
        <f>[10]Performance!I5</f>
        <v>0</v>
      </c>
      <c r="L3" s="11">
        <f>[10]Performance!J5</f>
        <v>0</v>
      </c>
      <c r="M3" s="11">
        <f>[10]Performance!K5</f>
        <v>0</v>
      </c>
      <c r="N3" s="11">
        <f>[10]Performance!L5</f>
        <v>0</v>
      </c>
      <c r="O3" s="11">
        <f>[10]Performance!M5</f>
        <v>0</v>
      </c>
      <c r="P3" s="11">
        <f>[10]Performance!N5</f>
        <v>0</v>
      </c>
      <c r="Q3" s="11">
        <f>[10]Performance!O5</f>
        <v>0</v>
      </c>
      <c r="R3" s="11">
        <f>[10]Performance!P5</f>
        <v>0</v>
      </c>
    </row>
    <row r="4" spans="1:20" x14ac:dyDescent="0.3">
      <c r="A4" s="6">
        <f>'[10]Student Data'!M6</f>
        <v>344970</v>
      </c>
      <c r="B4" t="str">
        <f>[10]Reporting!C5</f>
        <v>Transition to Production</v>
      </c>
      <c r="C4" s="10" t="str">
        <f>[10]Reporting!F5</f>
        <v>Allyza Cabiad</v>
      </c>
      <c r="D4" cm="1">
        <f t="array" ref="D4">--(SUM(COUNTIF(B4,{"*nest*","*grad*","*trans*","*1B*","*1C*"}))&gt;0)</f>
        <v>1</v>
      </c>
      <c r="E4" s="18">
        <f>[10]Performance!Q6</f>
        <v>1</v>
      </c>
      <c r="F4" s="18">
        <f>[10]Performance!R6</f>
        <v>1</v>
      </c>
      <c r="G4" s="18">
        <f>[10]Performance!S6</f>
        <v>0.94</v>
      </c>
      <c r="H4" s="18">
        <f>[10]Performance!T6</f>
        <v>1</v>
      </c>
      <c r="I4" s="18">
        <f>[10]Performance!U6</f>
        <v>0.88</v>
      </c>
      <c r="J4" s="11" t="str">
        <f>[10]Performance!H6</f>
        <v>NTT</v>
      </c>
      <c r="K4" s="11">
        <f>[10]Performance!I6</f>
        <v>0.88</v>
      </c>
      <c r="L4" s="11">
        <f>[10]Performance!J6</f>
        <v>1</v>
      </c>
      <c r="M4" s="11" t="str">
        <f>[10]Performance!K6</f>
        <v>NTT</v>
      </c>
      <c r="N4" s="11" t="str">
        <f>[10]Performance!L6</f>
        <v>NTT</v>
      </c>
      <c r="O4" s="11" t="str">
        <f>[10]Performance!M6</f>
        <v>N/A</v>
      </c>
      <c r="P4" s="11">
        <f>[10]Performance!N6</f>
        <v>1</v>
      </c>
      <c r="Q4" s="11" t="str">
        <f>[10]Performance!O6</f>
        <v xml:space="preserve">NTT </v>
      </c>
      <c r="R4" s="11">
        <f>[10]Performance!P6</f>
        <v>1</v>
      </c>
    </row>
    <row r="5" spans="1:20" x14ac:dyDescent="0.3">
      <c r="A5" s="6">
        <f>'[10]Student Data'!M7</f>
        <v>0</v>
      </c>
      <c r="B5" t="str">
        <f>[10]Reporting!C6</f>
        <v>Did not Start</v>
      </c>
      <c r="C5" s="10" t="str">
        <f>[10]Reporting!F6</f>
        <v>Myla May Delos Santos</v>
      </c>
      <c r="D5" cm="1">
        <f t="array" ref="D5">--(SUM(COUNTIF(B5,{"*nest*","*grad*","*trans*","*1B*","*1C*"}))&gt;0)</f>
        <v>0</v>
      </c>
      <c r="E5" s="18">
        <f>[10]Performance!Q7</f>
        <v>0</v>
      </c>
      <c r="F5" s="18">
        <f>[10]Performance!R7</f>
        <v>0</v>
      </c>
      <c r="G5" s="18">
        <f>[10]Performance!S7</f>
        <v>0</v>
      </c>
      <c r="H5" s="18">
        <f>[10]Performance!T7</f>
        <v>0</v>
      </c>
      <c r="I5" s="18">
        <f>[10]Performance!U7</f>
        <v>0</v>
      </c>
      <c r="J5" s="11">
        <f>[10]Performance!H7</f>
        <v>0</v>
      </c>
      <c r="K5" s="11">
        <f>[10]Performance!I7</f>
        <v>0</v>
      </c>
      <c r="L5" s="11">
        <f>[10]Performance!J7</f>
        <v>0</v>
      </c>
      <c r="M5" s="11">
        <f>[10]Performance!K7</f>
        <v>0</v>
      </c>
      <c r="N5" s="11">
        <f>[10]Performance!L7</f>
        <v>0</v>
      </c>
      <c r="O5" s="11">
        <f>[10]Performance!M7</f>
        <v>0</v>
      </c>
      <c r="P5" s="11">
        <f>[10]Performance!N7</f>
        <v>0</v>
      </c>
      <c r="Q5" s="11">
        <f>[10]Performance!O7</f>
        <v>0</v>
      </c>
      <c r="R5" s="11">
        <f>[10]Performance!P7</f>
        <v>0</v>
      </c>
    </row>
    <row r="6" spans="1:20" x14ac:dyDescent="0.3">
      <c r="A6" s="6">
        <f>'[10]Student Data'!M8</f>
        <v>0</v>
      </c>
      <c r="B6" t="str">
        <f>[10]Reporting!C7</f>
        <v>Did not Start</v>
      </c>
      <c r="C6" s="10" t="str">
        <f>[10]Reporting!F7</f>
        <v>Junmel Estiller</v>
      </c>
      <c r="D6" cm="1">
        <f t="array" ref="D6">--(SUM(COUNTIF(B6,{"*nest*","*grad*","*trans*","*1B*","*1C*"}))&gt;0)</f>
        <v>0</v>
      </c>
      <c r="E6" s="18">
        <f>[10]Performance!Q8</f>
        <v>0</v>
      </c>
      <c r="F6" s="18">
        <f>[10]Performance!R8</f>
        <v>0</v>
      </c>
      <c r="G6" s="18">
        <f>[10]Performance!S8</f>
        <v>0</v>
      </c>
      <c r="H6" s="18">
        <f>[10]Performance!T8</f>
        <v>0</v>
      </c>
      <c r="I6" s="18">
        <f>[10]Performance!U8</f>
        <v>0</v>
      </c>
      <c r="J6" s="11">
        <f>[10]Performance!H8</f>
        <v>0</v>
      </c>
      <c r="K6" s="11">
        <f>[10]Performance!I8</f>
        <v>0</v>
      </c>
      <c r="L6" s="11">
        <f>[10]Performance!J8</f>
        <v>0</v>
      </c>
      <c r="M6" s="11">
        <f>[10]Performance!K8</f>
        <v>0</v>
      </c>
      <c r="N6" s="11">
        <f>[10]Performance!L8</f>
        <v>0</v>
      </c>
      <c r="O6" s="11">
        <f>[10]Performance!M8</f>
        <v>0</v>
      </c>
      <c r="P6" s="11">
        <f>[10]Performance!N8</f>
        <v>0</v>
      </c>
      <c r="Q6" s="11">
        <f>[10]Performance!O8</f>
        <v>0</v>
      </c>
      <c r="R6" s="11">
        <f>[10]Performance!P8</f>
        <v>0</v>
      </c>
    </row>
    <row r="7" spans="1:20" x14ac:dyDescent="0.3">
      <c r="A7" s="6">
        <f>'[10]Student Data'!M9</f>
        <v>344969</v>
      </c>
      <c r="B7" t="str">
        <f>[10]Reporting!C8</f>
        <v>Resigned Tier 1B</v>
      </c>
      <c r="C7" s="10" t="str">
        <f>[10]Reporting!F8</f>
        <v>Jenifer Jainar</v>
      </c>
      <c r="D7" cm="1">
        <f t="array" ref="D7">--(SUM(COUNTIF(B7,{"*nest*","*grad*","*trans*","*1B*","*1C*"}))&gt;0)</f>
        <v>1</v>
      </c>
      <c r="E7" s="18">
        <f>[10]Performance!Q9</f>
        <v>1</v>
      </c>
      <c r="F7" s="18">
        <f>[10]Performance!R9</f>
        <v>1</v>
      </c>
      <c r="G7" s="18">
        <f>[10]Performance!S9</f>
        <v>1</v>
      </c>
      <c r="H7" s="18">
        <f>[10]Performance!T9</f>
        <v>1</v>
      </c>
      <c r="I7" s="18">
        <f>[10]Performance!U9</f>
        <v>1</v>
      </c>
      <c r="J7" s="11" t="str">
        <f>[10]Performance!H9</f>
        <v>NTT</v>
      </c>
      <c r="K7" s="11">
        <f>[10]Performance!I9</f>
        <v>0.88</v>
      </c>
      <c r="L7" s="11">
        <f>[10]Performance!J9</f>
        <v>0.8</v>
      </c>
      <c r="M7" s="11" t="str">
        <f>[10]Performance!K9</f>
        <v>NTT</v>
      </c>
      <c r="N7" s="11" t="str">
        <f>[10]Performance!L9</f>
        <v>NTT</v>
      </c>
      <c r="O7" s="11" t="str">
        <f>[10]Performance!M9</f>
        <v>N/A</v>
      </c>
      <c r="P7" s="11">
        <f>[10]Performance!N9</f>
        <v>1</v>
      </c>
      <c r="Q7" s="11" t="str">
        <f>[10]Performance!O9</f>
        <v xml:space="preserve">NTT </v>
      </c>
      <c r="R7" s="11">
        <f>[10]Performance!P9</f>
        <v>0.94</v>
      </c>
    </row>
    <row r="8" spans="1:20" x14ac:dyDescent="0.3">
      <c r="A8" s="6">
        <f>'[10]Student Data'!M10</f>
        <v>344955</v>
      </c>
      <c r="B8" t="str">
        <f>[10]Reporting!C9</f>
        <v>Transition to Production</v>
      </c>
      <c r="C8" s="10" t="str">
        <f>[10]Reporting!F9</f>
        <v>Guia Ericka Javier</v>
      </c>
      <c r="D8" cm="1">
        <f t="array" ref="D8">--(SUM(COUNTIF(B8,{"*nest*","*grad*","*trans*","*1B*","*1C*"}))&gt;0)</f>
        <v>1</v>
      </c>
      <c r="E8" s="18">
        <f>[10]Performance!Q10</f>
        <v>1</v>
      </c>
      <c r="F8" s="18">
        <f>[10]Performance!R10</f>
        <v>1</v>
      </c>
      <c r="G8" s="18">
        <f>[10]Performance!S10</f>
        <v>1</v>
      </c>
      <c r="H8" s="18">
        <f>[10]Performance!T10</f>
        <v>0.8</v>
      </c>
      <c r="I8" s="18">
        <f>[10]Performance!U10</f>
        <v>0.88</v>
      </c>
      <c r="J8" s="11" t="str">
        <f>[10]Performance!H10</f>
        <v>NTT</v>
      </c>
      <c r="K8" s="11">
        <f>[10]Performance!I10</f>
        <v>1</v>
      </c>
      <c r="L8" s="11">
        <f>[10]Performance!J10</f>
        <v>0.8</v>
      </c>
      <c r="M8" s="11" t="str">
        <f>[10]Performance!K10</f>
        <v>NTT</v>
      </c>
      <c r="N8" s="11" t="str">
        <f>[10]Performance!L10</f>
        <v>NTT</v>
      </c>
      <c r="O8" s="11" t="str">
        <f>[10]Performance!M10</f>
        <v>N/A</v>
      </c>
      <c r="P8" s="11">
        <f>[10]Performance!N10</f>
        <v>1</v>
      </c>
      <c r="Q8" s="11" t="str">
        <f>[10]Performance!O10</f>
        <v xml:space="preserve">NTT </v>
      </c>
      <c r="R8" s="11">
        <f>[10]Performance!P10</f>
        <v>0.94</v>
      </c>
    </row>
    <row r="9" spans="1:20" x14ac:dyDescent="0.3">
      <c r="A9" s="6">
        <f>'[10]Student Data'!M11</f>
        <v>344967</v>
      </c>
      <c r="B9" t="str">
        <f>[10]Reporting!C10</f>
        <v>Terminated-Nesting 3</v>
      </c>
      <c r="C9" s="10" t="str">
        <f>[10]Reporting!F10</f>
        <v>Michelle Jayme</v>
      </c>
      <c r="D9" cm="1">
        <f t="array" ref="D9">--(SUM(COUNTIF(B9,{"*nest*","*grad*","*trans*","*1B*","*1C*"}))&gt;0)</f>
        <v>1</v>
      </c>
      <c r="E9" s="18">
        <f>[10]Performance!Q11</f>
        <v>1</v>
      </c>
      <c r="F9" s="18">
        <f>[10]Performance!R11</f>
        <v>1</v>
      </c>
      <c r="G9" s="18">
        <f>[10]Performance!S11</f>
        <v>0.86</v>
      </c>
      <c r="H9" s="18">
        <f>[10]Performance!T11</f>
        <v>1</v>
      </c>
      <c r="I9" s="18">
        <f>[10]Performance!U11</f>
        <v>0.84</v>
      </c>
      <c r="J9" s="11" t="str">
        <f>[10]Performance!H11</f>
        <v>NTT</v>
      </c>
      <c r="K9" s="11">
        <f>[10]Performance!I11</f>
        <v>1</v>
      </c>
      <c r="L9" s="11">
        <f>[10]Performance!J11</f>
        <v>1</v>
      </c>
      <c r="M9" s="11" t="str">
        <f>[10]Performance!K11</f>
        <v>NTT</v>
      </c>
      <c r="N9" s="11" t="str">
        <f>[10]Performance!L11</f>
        <v>NTT</v>
      </c>
      <c r="O9" s="11" t="str">
        <f>[10]Performance!M11</f>
        <v>N/A</v>
      </c>
      <c r="P9" s="11">
        <f>[10]Performance!N11</f>
        <v>1</v>
      </c>
      <c r="Q9" s="11" t="str">
        <f>[10]Performance!O11</f>
        <v xml:space="preserve">NTT </v>
      </c>
      <c r="R9" s="11">
        <f>[10]Performance!P11</f>
        <v>0.94</v>
      </c>
    </row>
    <row r="10" spans="1:20" x14ac:dyDescent="0.3">
      <c r="A10" s="6">
        <f>'[10]Student Data'!M12</f>
        <v>344960</v>
      </c>
      <c r="B10" t="str">
        <f>[10]Reporting!C11</f>
        <v>Resigned Tier 1B</v>
      </c>
      <c r="C10" s="10" t="str">
        <f>[10]Reporting!F11</f>
        <v>Diana Jane Juliano</v>
      </c>
      <c r="D10" cm="1">
        <f t="array" ref="D10">--(SUM(COUNTIF(B10,{"*nest*","*grad*","*trans*","*1B*","*1C*"}))&gt;0)</f>
        <v>1</v>
      </c>
      <c r="E10" s="18">
        <f>[10]Performance!Q12</f>
        <v>1</v>
      </c>
      <c r="F10" s="18">
        <f>[10]Performance!R12</f>
        <v>1</v>
      </c>
      <c r="G10" s="18">
        <f>[10]Performance!S12</f>
        <v>0.83</v>
      </c>
      <c r="H10" s="18">
        <f>[10]Performance!T12</f>
        <v>1</v>
      </c>
      <c r="I10" s="18">
        <f>[10]Performance!U12</f>
        <v>0.85</v>
      </c>
      <c r="J10" s="11" t="str">
        <f>[10]Performance!H12</f>
        <v>NTT</v>
      </c>
      <c r="K10" s="11">
        <f>[10]Performance!I12</f>
        <v>0.88</v>
      </c>
      <c r="L10" s="11">
        <f>[10]Performance!J12</f>
        <v>1</v>
      </c>
      <c r="M10" s="11" t="str">
        <f>[10]Performance!K12</f>
        <v>NTT</v>
      </c>
      <c r="N10" s="11" t="str">
        <f>[10]Performance!L12</f>
        <v>NTT</v>
      </c>
      <c r="O10" s="11" t="str">
        <f>[10]Performance!M12</f>
        <v>N/A</v>
      </c>
      <c r="P10" s="11">
        <f>[10]Performance!N12</f>
        <v>1</v>
      </c>
      <c r="Q10" s="11" t="str">
        <f>[10]Performance!O12</f>
        <v xml:space="preserve">NTT </v>
      </c>
      <c r="R10" s="11">
        <f>[10]Performance!P12</f>
        <v>1</v>
      </c>
    </row>
    <row r="11" spans="1:20" x14ac:dyDescent="0.3">
      <c r="A11" s="6">
        <f>'[10]Student Data'!M13</f>
        <v>344966</v>
      </c>
      <c r="B11" t="str">
        <f>[10]Reporting!C12</f>
        <v>Moved/Joining Alternate Class/Program</v>
      </c>
      <c r="C11" s="10" t="str">
        <f>[10]Reporting!F12</f>
        <v>Karen Joy Lambating</v>
      </c>
      <c r="D11" cm="1">
        <f t="array" ref="D11">--(SUM(COUNTIF(B11,{"*nest*","*grad*","*trans*","*1B*","*1C*"}))&gt;0)</f>
        <v>0</v>
      </c>
      <c r="E11" s="18">
        <f>[10]Performance!Q13</f>
        <v>1</v>
      </c>
      <c r="F11" s="18">
        <f>[10]Performance!R13</f>
        <v>1</v>
      </c>
      <c r="G11" s="18">
        <f>[10]Performance!S13</f>
        <v>0.93</v>
      </c>
      <c r="H11" s="18">
        <f>[10]Performance!T13</f>
        <v>0.8</v>
      </c>
      <c r="I11" s="18">
        <f>[10]Performance!U13</f>
        <v>0.95</v>
      </c>
      <c r="J11" s="11" t="str">
        <f>[10]Performance!H13</f>
        <v>NTT</v>
      </c>
      <c r="K11" s="11">
        <f>[10]Performance!I13</f>
        <v>0.88</v>
      </c>
      <c r="L11" s="11">
        <f>[10]Performance!J13</f>
        <v>1</v>
      </c>
      <c r="M11" s="11" t="str">
        <f>[10]Performance!K13</f>
        <v>NTT</v>
      </c>
      <c r="N11" s="11" t="str">
        <f>[10]Performance!L13</f>
        <v>NTT</v>
      </c>
      <c r="O11" s="11" t="str">
        <f>[10]Performance!M13</f>
        <v>N/A</v>
      </c>
      <c r="P11" s="11">
        <f>[10]Performance!N13</f>
        <v>1</v>
      </c>
      <c r="Q11" s="11" t="str">
        <f>[10]Performance!O13</f>
        <v xml:space="preserve">NTT </v>
      </c>
      <c r="R11" s="11">
        <f>[10]Performance!P13</f>
        <v>0.94</v>
      </c>
    </row>
    <row r="12" spans="1:20" x14ac:dyDescent="0.3">
      <c r="A12" s="6">
        <f>'[10]Student Data'!M14</f>
        <v>344957</v>
      </c>
      <c r="B12" t="str">
        <f>[10]Reporting!C13</f>
        <v>Transition to Production</v>
      </c>
      <c r="C12" s="10" t="str">
        <f>[10]Reporting!F13</f>
        <v>Jeremie Luchavez</v>
      </c>
      <c r="D12" cm="1">
        <f t="array" ref="D12">--(SUM(COUNTIF(B12,{"*nest*","*grad*","*trans*","*1B*","*1C*"}))&gt;0)</f>
        <v>1</v>
      </c>
      <c r="E12" s="18">
        <f>[10]Performance!Q14</f>
        <v>1</v>
      </c>
      <c r="F12" s="18">
        <f>[10]Performance!R14</f>
        <v>1</v>
      </c>
      <c r="G12" s="18">
        <f>[10]Performance!S14</f>
        <v>0.9</v>
      </c>
      <c r="H12" s="18">
        <f>[10]Performance!T14</f>
        <v>1</v>
      </c>
      <c r="I12" s="18">
        <f>[10]Performance!U14</f>
        <v>0.9</v>
      </c>
      <c r="J12" s="11" t="str">
        <f>[10]Performance!H14</f>
        <v>NTT</v>
      </c>
      <c r="K12" s="11">
        <f>[10]Performance!I14</f>
        <v>1</v>
      </c>
      <c r="L12" s="11">
        <f>[10]Performance!J14</f>
        <v>0.8</v>
      </c>
      <c r="M12" s="11" t="str">
        <f>[10]Performance!K14</f>
        <v>NTT</v>
      </c>
      <c r="N12" s="11" t="str">
        <f>[10]Performance!L14</f>
        <v>NTT</v>
      </c>
      <c r="O12" s="11" t="str">
        <f>[10]Performance!M14</f>
        <v>N/A</v>
      </c>
      <c r="P12" s="11">
        <f>[10]Performance!N14</f>
        <v>1</v>
      </c>
      <c r="Q12" s="11" t="str">
        <f>[10]Performance!O14</f>
        <v xml:space="preserve">NTT </v>
      </c>
      <c r="R12" s="11">
        <f>[10]Performance!P14</f>
        <v>0.97</v>
      </c>
    </row>
    <row r="13" spans="1:20" x14ac:dyDescent="0.3">
      <c r="A13" s="6">
        <f>'[10]Student Data'!M15</f>
        <v>344965</v>
      </c>
      <c r="B13" t="str">
        <f>[10]Reporting!C14</f>
        <v>Transition to Production</v>
      </c>
      <c r="C13" s="10" t="str">
        <f>[10]Reporting!F14</f>
        <v>Zechariah (Zach) Magusara</v>
      </c>
      <c r="D13" cm="1">
        <f t="array" ref="D13">--(SUM(COUNTIF(B13,{"*nest*","*grad*","*trans*","*1B*","*1C*"}))&gt;0)</f>
        <v>1</v>
      </c>
      <c r="E13" s="18">
        <f>[10]Performance!Q15</f>
        <v>1</v>
      </c>
      <c r="F13" s="18">
        <f>[10]Performance!R15</f>
        <v>1</v>
      </c>
      <c r="G13" s="18">
        <f>[10]Performance!S15</f>
        <v>0.86</v>
      </c>
      <c r="H13" s="18">
        <f>[10]Performance!T15</f>
        <v>0.8</v>
      </c>
      <c r="I13" s="18">
        <f>[10]Performance!U15</f>
        <v>0.84</v>
      </c>
      <c r="J13" s="11" t="str">
        <f>[10]Performance!H15</f>
        <v>NTT</v>
      </c>
      <c r="K13" s="11">
        <f>[10]Performance!I15</f>
        <v>0.88</v>
      </c>
      <c r="L13" s="11">
        <f>[10]Performance!J15</f>
        <v>1</v>
      </c>
      <c r="M13" s="11" t="str">
        <f>[10]Performance!K15</f>
        <v>NTT</v>
      </c>
      <c r="N13" s="11" t="str">
        <f>[10]Performance!L15</f>
        <v>NTT</v>
      </c>
      <c r="O13" s="11" t="str">
        <f>[10]Performance!M15</f>
        <v>N/A</v>
      </c>
      <c r="P13" s="11">
        <f>[10]Performance!N15</f>
        <v>1</v>
      </c>
      <c r="Q13" s="11" t="str">
        <f>[10]Performance!O15</f>
        <v xml:space="preserve">NTT </v>
      </c>
      <c r="R13" s="11">
        <f>[10]Performance!P15</f>
        <v>0.98</v>
      </c>
    </row>
    <row r="14" spans="1:20" x14ac:dyDescent="0.3">
      <c r="A14" s="6">
        <f>'[10]Student Data'!M16</f>
        <v>344956</v>
      </c>
      <c r="B14" t="str">
        <f>[10]Reporting!C15</f>
        <v>Transition to Production</v>
      </c>
      <c r="C14" s="10" t="str">
        <f>[10]Reporting!F15</f>
        <v>Justine Monedero</v>
      </c>
      <c r="D14" cm="1">
        <f t="array" ref="D14">--(SUM(COUNTIF(B14,{"*nest*","*grad*","*trans*","*1B*","*1C*"}))&gt;0)</f>
        <v>1</v>
      </c>
      <c r="E14" s="18">
        <f>[10]Performance!Q16</f>
        <v>1</v>
      </c>
      <c r="F14" s="18">
        <f>[10]Performance!R16</f>
        <v>1</v>
      </c>
      <c r="G14" s="18">
        <f>[10]Performance!S16</f>
        <v>0.81</v>
      </c>
      <c r="H14" s="18">
        <f>[10]Performance!T16</f>
        <v>0.8</v>
      </c>
      <c r="I14" s="18">
        <f>[10]Performance!U16</f>
        <v>0.88</v>
      </c>
      <c r="J14" s="11" t="str">
        <f>[10]Performance!H16</f>
        <v>NTT</v>
      </c>
      <c r="K14" s="11">
        <f>[10]Performance!I16</f>
        <v>0.88</v>
      </c>
      <c r="L14" s="11">
        <f>[10]Performance!J16</f>
        <v>1</v>
      </c>
      <c r="M14" s="11" t="str">
        <f>[10]Performance!K16</f>
        <v>NTT</v>
      </c>
      <c r="N14" s="11" t="str">
        <f>[10]Performance!L16</f>
        <v>NTT</v>
      </c>
      <c r="O14" s="11" t="str">
        <f>[10]Performance!M16</f>
        <v>N/A</v>
      </c>
      <c r="P14" s="11">
        <f>[10]Performance!N16</f>
        <v>1</v>
      </c>
      <c r="Q14" s="11" t="str">
        <f>[10]Performance!O16</f>
        <v xml:space="preserve">NTT </v>
      </c>
      <c r="R14" s="11">
        <f>[10]Performance!P16</f>
        <v>0.82</v>
      </c>
    </row>
    <row r="15" spans="1:20" x14ac:dyDescent="0.3">
      <c r="A15" s="6">
        <f>'[10]Student Data'!M17</f>
        <v>344973</v>
      </c>
      <c r="B15" t="str">
        <f>[10]Reporting!C16</f>
        <v>Resigned Tier 1B</v>
      </c>
      <c r="C15" s="10" t="str">
        <f>[10]Reporting!F16</f>
        <v>Mary Grace Moreno</v>
      </c>
      <c r="D15" cm="1">
        <f t="array" ref="D15">--(SUM(COUNTIF(B15,{"*nest*","*grad*","*trans*","*1B*","*1C*"}))&gt;0)</f>
        <v>1</v>
      </c>
      <c r="E15" s="18">
        <f>[10]Performance!Q17</f>
        <v>1</v>
      </c>
      <c r="F15" s="18">
        <f>[10]Performance!R17</f>
        <v>1</v>
      </c>
      <c r="G15" s="18">
        <f>[10]Performance!S17</f>
        <v>1</v>
      </c>
      <c r="H15" s="18">
        <f>[10]Performance!T17</f>
        <v>1</v>
      </c>
      <c r="I15" s="18">
        <f>[10]Performance!U17</f>
        <v>0.9</v>
      </c>
      <c r="J15" s="11" t="str">
        <f>[10]Performance!H17</f>
        <v>NTT</v>
      </c>
      <c r="K15" s="11">
        <f>[10]Performance!I17</f>
        <v>1</v>
      </c>
      <c r="L15" s="11">
        <f>[10]Performance!J17</f>
        <v>1</v>
      </c>
      <c r="M15" s="11" t="str">
        <f>[10]Performance!K17</f>
        <v>NTT</v>
      </c>
      <c r="N15" s="11" t="str">
        <f>[10]Performance!L17</f>
        <v>NTT</v>
      </c>
      <c r="O15" s="11" t="str">
        <f>[10]Performance!M17</f>
        <v>N/A</v>
      </c>
      <c r="P15" s="11">
        <f>[10]Performance!N17</f>
        <v>1</v>
      </c>
      <c r="Q15" s="11" t="str">
        <f>[10]Performance!O17</f>
        <v xml:space="preserve">NTT </v>
      </c>
      <c r="R15" s="11">
        <f>[10]Performance!P17</f>
        <v>0.94</v>
      </c>
    </row>
    <row r="16" spans="1:20" x14ac:dyDescent="0.3">
      <c r="A16" s="6">
        <f>'[10]Student Data'!M18</f>
        <v>344976</v>
      </c>
      <c r="B16" t="str">
        <f>[10]Reporting!C17</f>
        <v>Transition to Production with SMART plan</v>
      </c>
      <c r="C16" s="10" t="str">
        <f>[10]Reporting!F17</f>
        <v>Joshua Pamaos</v>
      </c>
      <c r="D16" cm="1">
        <f t="array" ref="D16">--(SUM(COUNTIF(B16,{"*nest*","*grad*","*trans*","*1B*","*1C*"}))&gt;0)</f>
        <v>1</v>
      </c>
      <c r="E16" s="18">
        <f>[10]Performance!Q18</f>
        <v>1</v>
      </c>
      <c r="F16" s="18">
        <f>[10]Performance!R18</f>
        <v>1</v>
      </c>
      <c r="G16" s="18">
        <f>[10]Performance!S18</f>
        <v>0.82</v>
      </c>
      <c r="H16" s="18">
        <f>[10]Performance!T18</f>
        <v>0.8</v>
      </c>
      <c r="I16" s="18">
        <f>[10]Performance!U18</f>
        <v>0.8</v>
      </c>
      <c r="J16" s="11" t="str">
        <f>[10]Performance!H18</f>
        <v>NTT</v>
      </c>
      <c r="K16" s="11">
        <f>[10]Performance!I18</f>
        <v>0.88</v>
      </c>
      <c r="L16" s="11">
        <f>[10]Performance!J18</f>
        <v>1</v>
      </c>
      <c r="M16" s="11" t="str">
        <f>[10]Performance!K18</f>
        <v>NTT</v>
      </c>
      <c r="N16" s="11" t="str">
        <f>[10]Performance!L18</f>
        <v>NTT</v>
      </c>
      <c r="O16" s="11" t="str">
        <f>[10]Performance!M18</f>
        <v>N/A</v>
      </c>
      <c r="P16" s="11">
        <f>[10]Performance!N18</f>
        <v>1</v>
      </c>
      <c r="Q16" s="11" t="str">
        <f>[10]Performance!O18</f>
        <v xml:space="preserve">NTT </v>
      </c>
      <c r="R16" s="11">
        <f>[10]Performance!P18</f>
        <v>0.92</v>
      </c>
    </row>
    <row r="17" spans="1:20" x14ac:dyDescent="0.3">
      <c r="A17" s="6">
        <f>'[10]Student Data'!M19</f>
        <v>0</v>
      </c>
      <c r="B17" t="str">
        <f>[10]Reporting!C18</f>
        <v>Did not Start</v>
      </c>
      <c r="C17" s="10" t="str">
        <f>[10]Reporting!F18</f>
        <v>Valerie Perez</v>
      </c>
      <c r="D17" cm="1">
        <f t="array" ref="D17">--(SUM(COUNTIF(B17,{"*nest*","*grad*","*trans*","*1B*","*1C*"}))&gt;0)</f>
        <v>0</v>
      </c>
      <c r="E17" s="18">
        <f>[10]Performance!Q19</f>
        <v>0</v>
      </c>
      <c r="F17" s="18">
        <f>[10]Performance!R19</f>
        <v>0</v>
      </c>
      <c r="G17" s="18">
        <f>[10]Performance!S19</f>
        <v>0</v>
      </c>
      <c r="H17" s="18">
        <f>[10]Performance!T19</f>
        <v>0</v>
      </c>
      <c r="I17" s="18">
        <f>[10]Performance!U19</f>
        <v>0</v>
      </c>
      <c r="J17" s="11">
        <f>[10]Performance!H19</f>
        <v>0</v>
      </c>
      <c r="K17" s="11">
        <f>[10]Performance!I19</f>
        <v>0</v>
      </c>
      <c r="L17" s="11">
        <f>[10]Performance!J19</f>
        <v>0</v>
      </c>
      <c r="M17" s="11">
        <f>[10]Performance!K19</f>
        <v>0</v>
      </c>
      <c r="N17" s="11">
        <f>[10]Performance!L19</f>
        <v>0</v>
      </c>
      <c r="O17" s="11">
        <f>[10]Performance!M19</f>
        <v>0</v>
      </c>
      <c r="P17" s="11">
        <f>[10]Performance!N19</f>
        <v>0</v>
      </c>
      <c r="Q17" s="11">
        <f>[10]Performance!O19</f>
        <v>0</v>
      </c>
      <c r="R17" s="11">
        <f>[10]Performance!P19</f>
        <v>0</v>
      </c>
    </row>
    <row r="18" spans="1:20" x14ac:dyDescent="0.3">
      <c r="A18" s="6">
        <f>'[10]Student Data'!M20</f>
        <v>344974</v>
      </c>
      <c r="B18" t="str">
        <f>[10]Reporting!C19</f>
        <v>Transition to Production</v>
      </c>
      <c r="C18" s="10" t="str">
        <f>[10]Reporting!F19</f>
        <v>Daniella Allyssa Ponciano</v>
      </c>
      <c r="D18" cm="1">
        <f t="array" ref="D18">--(SUM(COUNTIF(B18,{"*nest*","*grad*","*trans*","*1B*","*1C*"}))&gt;0)</f>
        <v>1</v>
      </c>
      <c r="E18" s="18">
        <f>[10]Performance!Q20</f>
        <v>1</v>
      </c>
      <c r="F18" s="18">
        <f>[10]Performance!R20</f>
        <v>1</v>
      </c>
      <c r="G18" s="18">
        <f>[10]Performance!S20</f>
        <v>0.94</v>
      </c>
      <c r="H18" s="18">
        <f>[10]Performance!T20</f>
        <v>1</v>
      </c>
      <c r="I18" s="18">
        <f>[10]Performance!U20</f>
        <v>0.95</v>
      </c>
      <c r="J18" s="11" t="str">
        <f>[10]Performance!H20</f>
        <v>NTT</v>
      </c>
      <c r="K18" s="11">
        <f>[10]Performance!I20</f>
        <v>1</v>
      </c>
      <c r="L18" s="11">
        <f>[10]Performance!J20</f>
        <v>0.8</v>
      </c>
      <c r="M18" s="11" t="str">
        <f>[10]Performance!K20</f>
        <v>NTT</v>
      </c>
      <c r="N18" s="11" t="str">
        <f>[10]Performance!L20</f>
        <v>NTT</v>
      </c>
      <c r="O18" s="11" t="str">
        <f>[10]Performance!M20</f>
        <v>N/A</v>
      </c>
      <c r="P18" s="11">
        <f>[10]Performance!N20</f>
        <v>1</v>
      </c>
      <c r="Q18" s="11" t="str">
        <f>[10]Performance!O20</f>
        <v xml:space="preserve">NTT </v>
      </c>
      <c r="R18" s="11">
        <f>[10]Performance!P20</f>
        <v>0.94</v>
      </c>
    </row>
    <row r="19" spans="1:20" x14ac:dyDescent="0.3">
      <c r="A19" s="6">
        <f>'[10]Student Data'!M21</f>
        <v>344959</v>
      </c>
      <c r="B19" t="str">
        <f>[10]Reporting!C20</f>
        <v>Resigned-Nesting 1B</v>
      </c>
      <c r="C19" s="10" t="str">
        <f>[10]Reporting!F20</f>
        <v>Aubrey Claudette Ramirez</v>
      </c>
      <c r="D19" cm="1">
        <f t="array" ref="D19">--(SUM(COUNTIF(B19,{"*nest*","*grad*","*trans*","*1B*","*1C*"}))&gt;0)</f>
        <v>1</v>
      </c>
      <c r="E19" s="18">
        <f>[10]Performance!Q21</f>
        <v>1</v>
      </c>
      <c r="F19" s="18">
        <f>[10]Performance!R21</f>
        <v>1</v>
      </c>
      <c r="G19" s="18">
        <f>[10]Performance!S21</f>
        <v>0.94</v>
      </c>
      <c r="H19" s="18">
        <f>[10]Performance!T21</f>
        <v>1</v>
      </c>
      <c r="I19" s="18">
        <f>[10]Performance!U21</f>
        <v>0.8</v>
      </c>
      <c r="J19" s="11" t="str">
        <f>[10]Performance!H21</f>
        <v>NTT</v>
      </c>
      <c r="K19" s="11">
        <f>[10]Performance!I21</f>
        <v>0.88</v>
      </c>
      <c r="L19" s="11">
        <f>[10]Performance!J21</f>
        <v>1</v>
      </c>
      <c r="M19" s="11" t="str">
        <f>[10]Performance!K21</f>
        <v>NTT</v>
      </c>
      <c r="N19" s="11" t="str">
        <f>[10]Performance!L21</f>
        <v>NTT</v>
      </c>
      <c r="O19" s="11" t="str">
        <f>[10]Performance!M21</f>
        <v>N/A</v>
      </c>
      <c r="P19" s="11">
        <f>[10]Performance!N21</f>
        <v>1</v>
      </c>
      <c r="Q19" s="11" t="str">
        <f>[10]Performance!O21</f>
        <v xml:space="preserve">NTT </v>
      </c>
      <c r="R19" s="11">
        <f>[10]Performance!P21</f>
        <v>0.94</v>
      </c>
    </row>
    <row r="20" spans="1:20" x14ac:dyDescent="0.3">
      <c r="A20" s="6">
        <f>'[10]Student Data'!M22</f>
        <v>344972</v>
      </c>
      <c r="B20" t="str">
        <f>[10]Reporting!C21</f>
        <v>Terminated-Nesting 3</v>
      </c>
      <c r="C20" s="10" t="str">
        <f>[10]Reporting!F21</f>
        <v>Dindi Sagaral</v>
      </c>
      <c r="D20" cm="1">
        <f t="array" ref="D20">--(SUM(COUNTIF(B20,{"*nest*","*grad*","*trans*","*1B*","*1C*"}))&gt;0)</f>
        <v>1</v>
      </c>
      <c r="E20" s="18">
        <f>[10]Performance!Q22</f>
        <v>1</v>
      </c>
      <c r="F20" s="18">
        <f>[10]Performance!R22</f>
        <v>1</v>
      </c>
      <c r="G20" s="18">
        <f>[10]Performance!S22</f>
        <v>0.8</v>
      </c>
      <c r="H20" s="18">
        <f>[10]Performance!T22</f>
        <v>10</v>
      </c>
      <c r="I20" s="18">
        <f>[10]Performance!U22</f>
        <v>1</v>
      </c>
      <c r="J20" s="11" t="str">
        <f>[10]Performance!H22</f>
        <v>NTT</v>
      </c>
      <c r="K20" s="11">
        <f>[10]Performance!I22</f>
        <v>1</v>
      </c>
      <c r="L20" s="11">
        <f>[10]Performance!J22</f>
        <v>0.8</v>
      </c>
      <c r="M20" s="11" t="str">
        <f>[10]Performance!K22</f>
        <v>NTT</v>
      </c>
      <c r="N20" s="11" t="str">
        <f>[10]Performance!L22</f>
        <v>NTT</v>
      </c>
      <c r="O20" s="11" t="str">
        <f>[10]Performance!M22</f>
        <v>N/A</v>
      </c>
      <c r="P20" s="11">
        <f>[10]Performance!N22</f>
        <v>1</v>
      </c>
      <c r="Q20" s="11" t="str">
        <f>[10]Performance!O22</f>
        <v xml:space="preserve">NTT </v>
      </c>
      <c r="R20" s="11">
        <f>[10]Performance!P22</f>
        <v>1</v>
      </c>
    </row>
    <row r="21" spans="1:20" x14ac:dyDescent="0.3">
      <c r="A21" s="6">
        <f>'[10]Student Data'!M23</f>
        <v>344961</v>
      </c>
      <c r="B21" t="str">
        <f>[10]Reporting!C22</f>
        <v>Resigned-Nesting 1B</v>
      </c>
      <c r="C21" s="10" t="str">
        <f>[10]Reporting!F22</f>
        <v>Janna Rosalia Talabong</v>
      </c>
      <c r="D21" cm="1">
        <f t="array" ref="D21">--(SUM(COUNTIF(B21,{"*nest*","*grad*","*trans*","*1B*","*1C*"}))&gt;0)</f>
        <v>1</v>
      </c>
      <c r="E21" s="18">
        <f>[10]Performance!Q23</f>
        <v>1</v>
      </c>
      <c r="F21" s="18">
        <f>[10]Performance!R23</f>
        <v>1</v>
      </c>
      <c r="G21" s="18">
        <f>[10]Performance!S23</f>
        <v>0.92</v>
      </c>
      <c r="H21" s="18">
        <f>[10]Performance!T23</f>
        <v>1</v>
      </c>
      <c r="I21" s="18">
        <f>[10]Performance!U23</f>
        <v>0.9</v>
      </c>
      <c r="J21" s="11" t="str">
        <f>[10]Performance!H23</f>
        <v>NTT</v>
      </c>
      <c r="K21" s="11">
        <f>[10]Performance!I23</f>
        <v>1</v>
      </c>
      <c r="L21" s="11">
        <f>[10]Performance!J23</f>
        <v>1</v>
      </c>
      <c r="M21" s="11" t="str">
        <f>[10]Performance!K23</f>
        <v>NTT</v>
      </c>
      <c r="N21" s="11" t="str">
        <f>[10]Performance!L23</f>
        <v>NTT</v>
      </c>
      <c r="O21" s="11" t="str">
        <f>[10]Performance!M23</f>
        <v>N/A</v>
      </c>
      <c r="P21" s="11">
        <f>[10]Performance!N23</f>
        <v>1</v>
      </c>
      <c r="Q21" s="11" t="str">
        <f>[10]Performance!O23</f>
        <v xml:space="preserve">NTT </v>
      </c>
      <c r="R21" s="11">
        <f>[10]Performance!P23</f>
        <v>0.82</v>
      </c>
    </row>
    <row r="22" spans="1:20" x14ac:dyDescent="0.3">
      <c r="A22" s="8" t="s">
        <v>67</v>
      </c>
      <c r="B22" s="9" t="s">
        <v>30</v>
      </c>
      <c r="C22" s="9" t="s">
        <v>27</v>
      </c>
      <c r="D22" s="9">
        <f>SUM(D23:D35)</f>
        <v>10</v>
      </c>
      <c r="E22" s="9">
        <f>COUNTIF(E23:E35, "&gt;79%")</f>
        <v>11</v>
      </c>
      <c r="F22" s="9">
        <f t="shared" ref="F22:R22" si="1">COUNTIF(F23:F35, "&gt;79%")</f>
        <v>11</v>
      </c>
      <c r="G22" s="9">
        <f t="shared" si="1"/>
        <v>11</v>
      </c>
      <c r="H22" s="9">
        <f t="shared" si="1"/>
        <v>11</v>
      </c>
      <c r="I22" s="9">
        <f t="shared" si="1"/>
        <v>11</v>
      </c>
      <c r="J22" s="9">
        <f t="shared" si="1"/>
        <v>10</v>
      </c>
      <c r="K22" s="9">
        <f t="shared" si="1"/>
        <v>11</v>
      </c>
      <c r="L22" s="9">
        <f t="shared" si="1"/>
        <v>11</v>
      </c>
      <c r="M22" s="9">
        <f t="shared" si="1"/>
        <v>10</v>
      </c>
      <c r="N22" s="9">
        <f t="shared" si="1"/>
        <v>10</v>
      </c>
      <c r="O22" s="9">
        <f t="shared" si="1"/>
        <v>10</v>
      </c>
      <c r="P22" s="9">
        <f t="shared" si="1"/>
        <v>11</v>
      </c>
      <c r="Q22" s="9">
        <f t="shared" si="1"/>
        <v>11</v>
      </c>
      <c r="R22" s="9">
        <f t="shared" si="1"/>
        <v>11</v>
      </c>
      <c r="S22" s="9"/>
      <c r="T22" s="30">
        <f>'[11]Class Summary'!$B$6</f>
        <v>45847</v>
      </c>
    </row>
    <row r="23" spans="1:20" x14ac:dyDescent="0.3">
      <c r="A23" s="6">
        <f>'[12]Student Data'!M5</f>
        <v>345520</v>
      </c>
      <c r="B23" t="str">
        <f>[12]Reporting!C4</f>
        <v>Resigned Tier 1A</v>
      </c>
      <c r="C23" s="10" t="str">
        <f>[11]Reporting!F4</f>
        <v>Anna Liza Valenzuela</v>
      </c>
      <c r="D23" cm="1">
        <f t="array" ref="D23">--(SUM(COUNTIF(B23,{"*nest*","*grad*","*trans*","*1B*","*1C*"}))&gt;0)</f>
        <v>0</v>
      </c>
      <c r="E23" s="18">
        <f>[12]Performance!P5</f>
        <v>0</v>
      </c>
      <c r="F23" s="18">
        <f>[12]Performance!Q5</f>
        <v>0</v>
      </c>
      <c r="G23" s="18">
        <f>[12]Performance!R5</f>
        <v>0</v>
      </c>
      <c r="H23" s="18">
        <f>[12]Performance!S5</f>
        <v>0</v>
      </c>
      <c r="I23" s="18">
        <f>[12]Performance!T5</f>
        <v>0</v>
      </c>
      <c r="J23" s="11">
        <f>[12]Performance!H5</f>
        <v>0</v>
      </c>
      <c r="K23" s="11">
        <f>[12]Performance!I5</f>
        <v>0</v>
      </c>
      <c r="L23" s="11">
        <f>[12]Performance!J5</f>
        <v>0</v>
      </c>
      <c r="M23" s="11">
        <f>[12]Performance!K5</f>
        <v>0</v>
      </c>
      <c r="N23" s="11">
        <f>[12]Performance!L5</f>
        <v>0</v>
      </c>
      <c r="O23" s="11">
        <f>[12]Performance!M5</f>
        <v>0</v>
      </c>
      <c r="P23" s="11">
        <f>[12]Performance!N5</f>
        <v>0</v>
      </c>
      <c r="Q23" s="11">
        <f>[12]Performance!O5</f>
        <v>0</v>
      </c>
      <c r="R23" s="11">
        <f>[12]Performance!P5</f>
        <v>0</v>
      </c>
    </row>
    <row r="24" spans="1:20" x14ac:dyDescent="0.3">
      <c r="A24" s="6">
        <f>'[12]Student Data'!M6</f>
        <v>345568</v>
      </c>
      <c r="B24" t="str">
        <f>[12]Reporting!C5</f>
        <v>Transition to Production</v>
      </c>
      <c r="C24" s="10" t="str">
        <f>[11]Reporting!F5</f>
        <v>Arvin Nareto De Leon</v>
      </c>
      <c r="D24" cm="1">
        <f t="array" ref="D24">--(SUM(COUNTIF(B24,{"*nest*","*grad*","*trans*","*1B*","*1C*"}))&gt;0)</f>
        <v>1</v>
      </c>
      <c r="E24" s="18">
        <f>[12]Performance!P6</f>
        <v>1</v>
      </c>
      <c r="F24" s="18">
        <f>[12]Performance!Q6</f>
        <v>1</v>
      </c>
      <c r="G24" s="18">
        <f>[12]Performance!R6</f>
        <v>1</v>
      </c>
      <c r="H24" s="18">
        <f>[12]Performance!S6</f>
        <v>0.88</v>
      </c>
      <c r="I24" s="18">
        <f>[12]Performance!T6</f>
        <v>1</v>
      </c>
      <c r="J24" s="11">
        <f>[12]Performance!H6</f>
        <v>1</v>
      </c>
      <c r="K24" s="11">
        <f>[12]Performance!I6</f>
        <v>0.88</v>
      </c>
      <c r="L24" s="11">
        <f>[12]Performance!J6</f>
        <v>1</v>
      </c>
      <c r="M24" s="11">
        <f>[12]Performance!K6</f>
        <v>1</v>
      </c>
      <c r="N24" s="11">
        <f>[12]Performance!L6</f>
        <v>1</v>
      </c>
      <c r="O24" s="11">
        <f>[12]Performance!M6</f>
        <v>1</v>
      </c>
      <c r="P24" s="11">
        <f>[12]Performance!N6</f>
        <v>1</v>
      </c>
      <c r="Q24" s="11">
        <f>[12]Performance!O6</f>
        <v>1</v>
      </c>
      <c r="R24" s="11">
        <f>[12]Performance!P6</f>
        <v>1</v>
      </c>
    </row>
    <row r="25" spans="1:20" x14ac:dyDescent="0.3">
      <c r="A25" s="6">
        <f>'[12]Student Data'!M7</f>
        <v>345526</v>
      </c>
      <c r="B25" t="str">
        <f>[12]Reporting!C6</f>
        <v>Transition to Production</v>
      </c>
      <c r="C25" s="10" t="str">
        <f>[11]Reporting!F6</f>
        <v>Asnor Alden</v>
      </c>
      <c r="D25" cm="1">
        <f t="array" ref="D25">--(SUM(COUNTIF(B25,{"*nest*","*grad*","*trans*","*1B*","*1C*"}))&gt;0)</f>
        <v>1</v>
      </c>
      <c r="E25" s="18">
        <f>[12]Performance!P7</f>
        <v>1</v>
      </c>
      <c r="F25" s="18">
        <f>[12]Performance!Q7</f>
        <v>1</v>
      </c>
      <c r="G25" s="18">
        <f>[12]Performance!R7</f>
        <v>1</v>
      </c>
      <c r="H25" s="18">
        <f>[12]Performance!S7</f>
        <v>1</v>
      </c>
      <c r="I25" s="18">
        <f>[12]Performance!T7</f>
        <v>1</v>
      </c>
      <c r="J25" s="11">
        <f>[12]Performance!H7</f>
        <v>1</v>
      </c>
      <c r="K25" s="11">
        <f>[12]Performance!I7</f>
        <v>0.88</v>
      </c>
      <c r="L25" s="11">
        <f>[12]Performance!J7</f>
        <v>1</v>
      </c>
      <c r="M25" s="11">
        <f>[12]Performance!K7</f>
        <v>1</v>
      </c>
      <c r="N25" s="11">
        <f>[12]Performance!L7</f>
        <v>1</v>
      </c>
      <c r="O25" s="11">
        <f>[12]Performance!M7</f>
        <v>1</v>
      </c>
      <c r="P25" s="11">
        <f>[12]Performance!N7</f>
        <v>1</v>
      </c>
      <c r="Q25" s="11">
        <f>[12]Performance!O7</f>
        <v>1</v>
      </c>
      <c r="R25" s="11">
        <f>[12]Performance!P7</f>
        <v>1</v>
      </c>
    </row>
    <row r="26" spans="1:20" x14ac:dyDescent="0.3">
      <c r="A26" s="6">
        <f>'[12]Student Data'!M8</f>
        <v>345532</v>
      </c>
      <c r="B26" t="str">
        <f>[12]Reporting!C7</f>
        <v>Transition to Production</v>
      </c>
      <c r="C26" s="10" t="str">
        <f>[11]Reporting!F7</f>
        <v>Edilito Nartea Jr.</v>
      </c>
      <c r="D26" cm="1">
        <f t="array" ref="D26">--(SUM(COUNTIF(B26,{"*nest*","*grad*","*trans*","*1B*","*1C*"}))&gt;0)</f>
        <v>1</v>
      </c>
      <c r="E26" s="18">
        <f>[12]Performance!P8</f>
        <v>0.82</v>
      </c>
      <c r="F26" s="18">
        <f>[12]Performance!Q8</f>
        <v>1</v>
      </c>
      <c r="G26" s="18">
        <f>[12]Performance!R8</f>
        <v>1</v>
      </c>
      <c r="H26" s="18">
        <f>[12]Performance!S8</f>
        <v>0.88</v>
      </c>
      <c r="I26" s="18">
        <f>[12]Performance!T8</f>
        <v>1</v>
      </c>
      <c r="J26" s="11">
        <f>[12]Performance!H8</f>
        <v>1</v>
      </c>
      <c r="K26" s="11">
        <f>[12]Performance!I8</f>
        <v>0.88</v>
      </c>
      <c r="L26" s="11">
        <f>[12]Performance!J8</f>
        <v>1</v>
      </c>
      <c r="M26" s="11">
        <f>[12]Performance!K8</f>
        <v>1</v>
      </c>
      <c r="N26" s="11">
        <f>[12]Performance!L8</f>
        <v>1</v>
      </c>
      <c r="O26" s="11">
        <f>[12]Performance!M8</f>
        <v>1</v>
      </c>
      <c r="P26" s="11">
        <f>[12]Performance!N8</f>
        <v>1</v>
      </c>
      <c r="Q26" s="11">
        <f>[12]Performance!O8</f>
        <v>1</v>
      </c>
      <c r="R26" s="11">
        <f>[12]Performance!P8</f>
        <v>0.82</v>
      </c>
    </row>
    <row r="27" spans="1:20" x14ac:dyDescent="0.3">
      <c r="A27" s="6">
        <f>'[12]Student Data'!M9</f>
        <v>0</v>
      </c>
      <c r="B27" t="str">
        <f>[12]Reporting!C8</f>
        <v>Did not Start</v>
      </c>
      <c r="C27" s="10" t="str">
        <f>[11]Reporting!F8</f>
        <v>Jemwell Morante</v>
      </c>
      <c r="D27" cm="1">
        <f t="array" ref="D27">--(SUM(COUNTIF(B27,{"*nest*","*grad*","*trans*","*1B*","*1C*"}))&gt;0)</f>
        <v>0</v>
      </c>
      <c r="E27" s="18">
        <f>[12]Performance!P9</f>
        <v>0</v>
      </c>
      <c r="F27" s="18">
        <f>[12]Performance!Q9</f>
        <v>0</v>
      </c>
      <c r="G27" s="18">
        <f>[12]Performance!R9</f>
        <v>0</v>
      </c>
      <c r="H27" s="18">
        <f>[12]Performance!S9</f>
        <v>0</v>
      </c>
      <c r="I27" s="18">
        <f>[12]Performance!T9</f>
        <v>0</v>
      </c>
      <c r="J27" s="11">
        <f>[12]Performance!H9</f>
        <v>0</v>
      </c>
      <c r="K27" s="11">
        <f>[12]Performance!I9</f>
        <v>0</v>
      </c>
      <c r="L27" s="11">
        <f>[12]Performance!J9</f>
        <v>0</v>
      </c>
      <c r="M27" s="11">
        <f>[12]Performance!K9</f>
        <v>0</v>
      </c>
      <c r="N27" s="11">
        <f>[12]Performance!L9</f>
        <v>0</v>
      </c>
      <c r="O27" s="11">
        <f>[12]Performance!M9</f>
        <v>0</v>
      </c>
      <c r="P27" s="11">
        <f>[12]Performance!N9</f>
        <v>0</v>
      </c>
      <c r="Q27" s="11">
        <f>[12]Performance!O9</f>
        <v>0</v>
      </c>
      <c r="R27" s="11">
        <f>[12]Performance!P9</f>
        <v>0</v>
      </c>
    </row>
    <row r="28" spans="1:20" x14ac:dyDescent="0.3">
      <c r="A28" s="6">
        <f>'[12]Student Data'!M10</f>
        <v>345530</v>
      </c>
      <c r="B28" t="str">
        <f>[12]Reporting!C9</f>
        <v>Transition to Production</v>
      </c>
      <c r="C28" s="10" t="str">
        <f>[11]Reporting!F9</f>
        <v>Joros Rian</v>
      </c>
      <c r="D28" cm="1">
        <f t="array" ref="D28">--(SUM(COUNTIF(B28,{"*nest*","*grad*","*trans*","*1B*","*1C*"}))&gt;0)</f>
        <v>1</v>
      </c>
      <c r="E28" s="18">
        <f>[12]Performance!P10</f>
        <v>1</v>
      </c>
      <c r="F28" s="18">
        <f>[12]Performance!Q10</f>
        <v>1</v>
      </c>
      <c r="G28" s="18">
        <f>[12]Performance!R10</f>
        <v>1</v>
      </c>
      <c r="H28" s="18">
        <f>[12]Performance!S10</f>
        <v>0.96</v>
      </c>
      <c r="I28" s="18">
        <f>[12]Performance!T10</f>
        <v>0.8</v>
      </c>
      <c r="J28" s="11">
        <f>[12]Performance!H10</f>
        <v>1</v>
      </c>
      <c r="K28" s="11">
        <f>[12]Performance!I10</f>
        <v>0.88</v>
      </c>
      <c r="L28" s="11">
        <f>[12]Performance!J10</f>
        <v>0.8</v>
      </c>
      <c r="M28" s="11">
        <f>[12]Performance!K10</f>
        <v>1</v>
      </c>
      <c r="N28" s="11">
        <f>[12]Performance!L10</f>
        <v>1</v>
      </c>
      <c r="O28" s="11">
        <f>[12]Performance!M10</f>
        <v>1</v>
      </c>
      <c r="P28" s="11">
        <f>[12]Performance!N10</f>
        <v>1</v>
      </c>
      <c r="Q28" s="11">
        <f>[12]Performance!O10</f>
        <v>1</v>
      </c>
      <c r="R28" s="11">
        <f>[12]Performance!P10</f>
        <v>1</v>
      </c>
    </row>
    <row r="29" spans="1:20" x14ac:dyDescent="0.3">
      <c r="A29" s="6">
        <f>'[12]Student Data'!M11</f>
        <v>345556</v>
      </c>
      <c r="B29" t="str">
        <f>[12]Reporting!C10</f>
        <v>Resigned Tier 1A</v>
      </c>
      <c r="C29" s="10" t="str">
        <f>[11]Reporting!F10</f>
        <v>Myla May Delos Santos</v>
      </c>
      <c r="D29" cm="1">
        <f t="array" ref="D29">--(SUM(COUNTIF(B29,{"*nest*","*grad*","*trans*","*1B*","*1C*"}))&gt;0)</f>
        <v>0</v>
      </c>
      <c r="E29" s="18">
        <f>[12]Performance!P11</f>
        <v>1</v>
      </c>
      <c r="F29" s="18">
        <f>[12]Performance!Q11</f>
        <v>1</v>
      </c>
      <c r="G29" s="18">
        <f>[12]Performance!R11</f>
        <v>1</v>
      </c>
      <c r="H29" s="18">
        <f>[12]Performance!S11</f>
        <v>0.86</v>
      </c>
      <c r="I29" s="18">
        <f>[12]Performance!T11</f>
        <v>1</v>
      </c>
      <c r="J29" s="11">
        <f>[12]Performance!H11</f>
        <v>0</v>
      </c>
      <c r="K29" s="11">
        <f>[12]Performance!I11</f>
        <v>0.88</v>
      </c>
      <c r="L29" s="11">
        <f>[12]Performance!J11</f>
        <v>0.8</v>
      </c>
      <c r="M29" s="11">
        <f>[12]Performance!K11</f>
        <v>0</v>
      </c>
      <c r="N29" s="11">
        <f>[12]Performance!L11</f>
        <v>0</v>
      </c>
      <c r="O29" s="11">
        <f>[12]Performance!M11</f>
        <v>0</v>
      </c>
      <c r="P29" s="11">
        <f>[12]Performance!N11</f>
        <v>1</v>
      </c>
      <c r="Q29" s="11">
        <f>[12]Performance!O11</f>
        <v>1</v>
      </c>
      <c r="R29" s="11">
        <f>[12]Performance!P11</f>
        <v>1</v>
      </c>
    </row>
    <row r="30" spans="1:20" x14ac:dyDescent="0.3">
      <c r="A30" s="6">
        <f>'[12]Student Data'!M12</f>
        <v>345540</v>
      </c>
      <c r="B30" t="str">
        <f>[12]Reporting!C11</f>
        <v>Transition to Production</v>
      </c>
      <c r="C30" s="10" t="str">
        <f>[11]Reporting!F11</f>
        <v>Nicole Sto. Domingo</v>
      </c>
      <c r="D30" cm="1">
        <f t="array" ref="D30">--(SUM(COUNTIF(B30,{"*nest*","*grad*","*trans*","*1B*","*1C*"}))&gt;0)</f>
        <v>1</v>
      </c>
      <c r="E30" s="18">
        <f>[12]Performance!P12</f>
        <v>0.82</v>
      </c>
      <c r="F30" s="18">
        <f>[12]Performance!Q12</f>
        <v>1</v>
      </c>
      <c r="G30" s="18">
        <f>[12]Performance!R12</f>
        <v>1</v>
      </c>
      <c r="H30" s="18">
        <f>[12]Performance!S12</f>
        <v>0.94</v>
      </c>
      <c r="I30" s="18">
        <f>[12]Performance!T12</f>
        <v>1</v>
      </c>
      <c r="J30" s="11">
        <f>[12]Performance!H12</f>
        <v>1</v>
      </c>
      <c r="K30" s="11">
        <f>[12]Performance!I12</f>
        <v>1</v>
      </c>
      <c r="L30" s="11">
        <f>[12]Performance!J12</f>
        <v>1</v>
      </c>
      <c r="M30" s="11">
        <f>[12]Performance!K12</f>
        <v>1</v>
      </c>
      <c r="N30" s="11">
        <f>[12]Performance!L12</f>
        <v>1</v>
      </c>
      <c r="O30" s="11">
        <f>[12]Performance!M12</f>
        <v>1</v>
      </c>
      <c r="P30" s="11">
        <f>[12]Performance!N12</f>
        <v>1</v>
      </c>
      <c r="Q30" s="11">
        <f>[12]Performance!O12</f>
        <v>1</v>
      </c>
      <c r="R30" s="11">
        <f>[12]Performance!P12</f>
        <v>0.82</v>
      </c>
    </row>
    <row r="31" spans="1:20" x14ac:dyDescent="0.3">
      <c r="A31" s="6">
        <f>'[12]Student Data'!M13</f>
        <v>345542</v>
      </c>
      <c r="B31" t="str">
        <f>[12]Reporting!C12</f>
        <v>Transition to Production</v>
      </c>
      <c r="C31" s="10" t="str">
        <f>[11]Reporting!F12</f>
        <v>Rey Jumar Ty</v>
      </c>
      <c r="D31" cm="1">
        <f t="array" ref="D31">--(SUM(COUNTIF(B31,{"*nest*","*grad*","*trans*","*1B*","*1C*"}))&gt;0)</f>
        <v>1</v>
      </c>
      <c r="E31" s="18">
        <f>[12]Performance!P13</f>
        <v>0.88</v>
      </c>
      <c r="F31" s="18">
        <f>[12]Performance!Q13</f>
        <v>1</v>
      </c>
      <c r="G31" s="18">
        <f>[12]Performance!R13</f>
        <v>1</v>
      </c>
      <c r="H31" s="18">
        <f>[12]Performance!S13</f>
        <v>0.84</v>
      </c>
      <c r="I31" s="18">
        <f>[12]Performance!T13</f>
        <v>1</v>
      </c>
      <c r="J31" s="11">
        <f>[12]Performance!H13</f>
        <v>1</v>
      </c>
      <c r="K31" s="11">
        <f>[12]Performance!I13</f>
        <v>0.88</v>
      </c>
      <c r="L31" s="11">
        <f>[12]Performance!J13</f>
        <v>1</v>
      </c>
      <c r="M31" s="11">
        <f>[12]Performance!K13</f>
        <v>1</v>
      </c>
      <c r="N31" s="11">
        <f>[12]Performance!L13</f>
        <v>1</v>
      </c>
      <c r="O31" s="11">
        <f>[12]Performance!M13</f>
        <v>1</v>
      </c>
      <c r="P31" s="11">
        <f>[12]Performance!N13</f>
        <v>1</v>
      </c>
      <c r="Q31" s="11">
        <f>[12]Performance!O13</f>
        <v>1</v>
      </c>
      <c r="R31" s="11">
        <f>[12]Performance!P13</f>
        <v>0.88</v>
      </c>
    </row>
    <row r="32" spans="1:20" x14ac:dyDescent="0.3">
      <c r="A32" s="6">
        <f>'[12]Student Data'!M14</f>
        <v>345548</v>
      </c>
      <c r="B32" t="str">
        <f>[12]Reporting!C13</f>
        <v>Transition to Production</v>
      </c>
      <c r="C32" s="10" t="str">
        <f>[11]Reporting!F13</f>
        <v>Russile Jepollo</v>
      </c>
      <c r="D32" cm="1">
        <f t="array" ref="D32">--(SUM(COUNTIF(B32,{"*nest*","*grad*","*trans*","*1B*","*1C*"}))&gt;0)</f>
        <v>1</v>
      </c>
      <c r="E32" s="18">
        <f>[12]Performance!P14</f>
        <v>0.82</v>
      </c>
      <c r="F32" s="18">
        <f>[12]Performance!Q14</f>
        <v>1</v>
      </c>
      <c r="G32" s="18">
        <f>[12]Performance!R14</f>
        <v>1</v>
      </c>
      <c r="H32" s="18">
        <f>[12]Performance!S14</f>
        <v>0.94</v>
      </c>
      <c r="I32" s="18">
        <f>[12]Performance!T14</f>
        <v>1</v>
      </c>
      <c r="J32" s="11">
        <f>[12]Performance!H14</f>
        <v>1</v>
      </c>
      <c r="K32" s="11">
        <f>[12]Performance!I14</f>
        <v>0.88</v>
      </c>
      <c r="L32" s="11">
        <f>[12]Performance!J14</f>
        <v>1</v>
      </c>
      <c r="M32" s="11">
        <f>[12]Performance!K14</f>
        <v>1</v>
      </c>
      <c r="N32" s="11">
        <f>[12]Performance!L14</f>
        <v>1</v>
      </c>
      <c r="O32" s="11">
        <f>[12]Performance!M14</f>
        <v>1</v>
      </c>
      <c r="P32" s="11">
        <f>[12]Performance!N14</f>
        <v>1</v>
      </c>
      <c r="Q32" s="11">
        <f>[12]Performance!O14</f>
        <v>1</v>
      </c>
      <c r="R32" s="11">
        <f>[12]Performance!P14</f>
        <v>0.82</v>
      </c>
    </row>
    <row r="33" spans="1:22" x14ac:dyDescent="0.3">
      <c r="A33" s="6">
        <f>'[12]Student Data'!M15</f>
        <v>345554</v>
      </c>
      <c r="B33" t="str">
        <f>[12]Reporting!C14</f>
        <v>Transition to Production</v>
      </c>
      <c r="C33" s="10" t="str">
        <f>[11]Reporting!F14</f>
        <v>Valerie Perez</v>
      </c>
      <c r="D33" cm="1">
        <f t="array" ref="D33">--(SUM(COUNTIF(B33,{"*nest*","*grad*","*trans*","*1B*","*1C*"}))&gt;0)</f>
        <v>1</v>
      </c>
      <c r="E33" s="18">
        <f>[12]Performance!P15</f>
        <v>1</v>
      </c>
      <c r="F33" s="18">
        <f>[12]Performance!Q15</f>
        <v>1</v>
      </c>
      <c r="G33" s="18">
        <f>[12]Performance!R15</f>
        <v>1</v>
      </c>
      <c r="H33" s="18">
        <f>[12]Performance!S15</f>
        <v>1</v>
      </c>
      <c r="I33" s="18">
        <f>[12]Performance!T15</f>
        <v>0.8</v>
      </c>
      <c r="J33" s="11">
        <f>[12]Performance!H15</f>
        <v>1</v>
      </c>
      <c r="K33" s="11">
        <f>[12]Performance!I15</f>
        <v>0.88</v>
      </c>
      <c r="L33" s="11">
        <f>[12]Performance!J15</f>
        <v>1</v>
      </c>
      <c r="M33" s="11">
        <f>[12]Performance!K15</f>
        <v>1</v>
      </c>
      <c r="N33" s="11">
        <f>[12]Performance!L15</f>
        <v>1</v>
      </c>
      <c r="O33" s="11">
        <f>[12]Performance!M15</f>
        <v>1</v>
      </c>
      <c r="P33" s="11">
        <f>[12]Performance!N15</f>
        <v>1</v>
      </c>
      <c r="Q33" s="11">
        <f>[12]Performance!O15</f>
        <v>1</v>
      </c>
      <c r="R33" s="11">
        <f>[12]Performance!P15</f>
        <v>1</v>
      </c>
    </row>
    <row r="34" spans="1:22" x14ac:dyDescent="0.3">
      <c r="A34" s="6">
        <f>'[12]Student Data'!M16</f>
        <v>345543</v>
      </c>
      <c r="B34" t="str">
        <f>[12]Reporting!C15</f>
        <v>Transition to Production</v>
      </c>
      <c r="C34" s="10" t="str">
        <f>[11]Reporting!F15</f>
        <v>Victor Fabro</v>
      </c>
      <c r="D34" cm="1">
        <f t="array" ref="D34">--(SUM(COUNTIF(B34,{"*nest*","*grad*","*trans*","*1B*","*1C*"}))&gt;0)</f>
        <v>1</v>
      </c>
      <c r="E34" s="18">
        <f>[12]Performance!P16</f>
        <v>1</v>
      </c>
      <c r="F34" s="18">
        <f>[12]Performance!Q16</f>
        <v>1</v>
      </c>
      <c r="G34" s="18">
        <f>[12]Performance!R16</f>
        <v>1</v>
      </c>
      <c r="H34" s="18">
        <f>[12]Performance!S16</f>
        <v>0.82</v>
      </c>
      <c r="I34" s="18">
        <f>[12]Performance!T16</f>
        <v>1</v>
      </c>
      <c r="J34" s="11">
        <f>[12]Performance!H16</f>
        <v>1</v>
      </c>
      <c r="K34" s="11">
        <f>[12]Performance!I16</f>
        <v>1</v>
      </c>
      <c r="L34" s="11">
        <f>[12]Performance!J16</f>
        <v>1</v>
      </c>
      <c r="M34" s="11">
        <f>[12]Performance!K16</f>
        <v>1</v>
      </c>
      <c r="N34" s="11">
        <f>[12]Performance!L16</f>
        <v>1</v>
      </c>
      <c r="O34" s="11">
        <f>[12]Performance!M16</f>
        <v>1</v>
      </c>
      <c r="P34" s="11">
        <f>[12]Performance!N16</f>
        <v>1</v>
      </c>
      <c r="Q34" s="11">
        <f>[12]Performance!O16</f>
        <v>1</v>
      </c>
      <c r="R34" s="11">
        <f>[12]Performance!P16</f>
        <v>1</v>
      </c>
    </row>
    <row r="35" spans="1:22" x14ac:dyDescent="0.3">
      <c r="A35" s="6">
        <f>'[12]Student Data'!M17</f>
        <v>345549</v>
      </c>
      <c r="B35" t="str">
        <f>[12]Reporting!C16</f>
        <v>Terminated-Nesting 1B</v>
      </c>
      <c r="C35" s="10" t="str">
        <f>[11]Reporting!F16</f>
        <v>Zenarth Solicito</v>
      </c>
      <c r="D35" cm="1">
        <f t="array" ref="D35">--(SUM(COUNTIF(B35,{"*nest*","*grad*","*trans*","*1B*","*1C*"}))&gt;0)</f>
        <v>1</v>
      </c>
      <c r="E35" s="18">
        <f>[12]Performance!P17</f>
        <v>1</v>
      </c>
      <c r="F35" s="18">
        <f>[12]Performance!Q17</f>
        <v>1</v>
      </c>
      <c r="G35" s="18">
        <f>[12]Performance!R17</f>
        <v>1</v>
      </c>
      <c r="H35" s="18">
        <f>[12]Performance!S17</f>
        <v>0.86</v>
      </c>
      <c r="I35" s="18">
        <f>[12]Performance!T17</f>
        <v>1</v>
      </c>
      <c r="J35" s="11">
        <f>[12]Performance!H17</f>
        <v>1</v>
      </c>
      <c r="K35" s="11">
        <f>[12]Performance!I17</f>
        <v>0.88</v>
      </c>
      <c r="L35" s="11">
        <f>[12]Performance!J17</f>
        <v>1</v>
      </c>
      <c r="M35" s="11">
        <f>[12]Performance!K17</f>
        <v>1</v>
      </c>
      <c r="N35" s="11">
        <f>[12]Performance!L17</f>
        <v>1</v>
      </c>
      <c r="O35" s="11">
        <f>[12]Performance!M17</f>
        <v>1</v>
      </c>
      <c r="P35" s="11">
        <f>[12]Performance!N17</f>
        <v>1</v>
      </c>
      <c r="Q35" s="11">
        <f>[12]Performance!O17</f>
        <v>1</v>
      </c>
      <c r="R35" s="11">
        <f>[12]Performance!P17</f>
        <v>1</v>
      </c>
    </row>
    <row r="36" spans="1:22" x14ac:dyDescent="0.3">
      <c r="A36" s="8" t="s">
        <v>67</v>
      </c>
      <c r="B36" s="9" t="s">
        <v>34</v>
      </c>
      <c r="C36" s="9" t="s">
        <v>35</v>
      </c>
      <c r="D36" s="9">
        <f>SUM(D37:D80)</f>
        <v>30</v>
      </c>
      <c r="E36" s="9">
        <f>COUNTIF(E37:E80, "&gt;79%")</f>
        <v>37</v>
      </c>
      <c r="F36" s="9">
        <f t="shared" ref="F36:R36" si="2">COUNTIF(F37:F80, "&gt;79%")</f>
        <v>37</v>
      </c>
      <c r="G36" s="9">
        <f t="shared" si="2"/>
        <v>34</v>
      </c>
      <c r="H36" s="9">
        <f t="shared" si="2"/>
        <v>36</v>
      </c>
      <c r="I36" s="9">
        <f t="shared" si="2"/>
        <v>35</v>
      </c>
      <c r="J36" s="9">
        <f t="shared" si="2"/>
        <v>37</v>
      </c>
      <c r="K36" s="9">
        <f t="shared" si="2"/>
        <v>36</v>
      </c>
      <c r="L36" s="9">
        <f t="shared" si="2"/>
        <v>37</v>
      </c>
      <c r="M36" s="9">
        <f t="shared" si="2"/>
        <v>37</v>
      </c>
      <c r="N36" s="9">
        <f t="shared" si="2"/>
        <v>37</v>
      </c>
      <c r="O36" s="9">
        <f t="shared" si="2"/>
        <v>37</v>
      </c>
      <c r="P36" s="9">
        <f t="shared" si="2"/>
        <v>37</v>
      </c>
      <c r="Q36" s="9">
        <f t="shared" si="2"/>
        <v>36</v>
      </c>
      <c r="R36" s="9">
        <f t="shared" si="2"/>
        <v>25</v>
      </c>
      <c r="S36" s="9"/>
      <c r="T36" s="30">
        <f>'[13]Class Summary'!$B$6</f>
        <v>45848</v>
      </c>
      <c r="U36" t="s">
        <v>33</v>
      </c>
      <c r="V36" t="s">
        <v>32</v>
      </c>
    </row>
    <row r="37" spans="1:22" x14ac:dyDescent="0.3">
      <c r="A37" s="6">
        <f>'[13]Student Data'!M5</f>
        <v>35555</v>
      </c>
      <c r="B37" t="str">
        <f>[13]Reporting!C4</f>
        <v>Transition to Production with SMART plan</v>
      </c>
      <c r="C37" s="10" t="str">
        <f>[13]Reporting!F4</f>
        <v>Saleha Khatoon</v>
      </c>
      <c r="D37" cm="1">
        <f t="array" ref="D37">--(SUM(COUNTIF(B37,{"*nest*","*grad*","*trans*","*1B*","*1C*"}))&gt;0)</f>
        <v>1</v>
      </c>
      <c r="E37" s="18">
        <f>[13]Performance!Q5</f>
        <v>1</v>
      </c>
      <c r="F37" s="18">
        <f>[13]Performance!R5</f>
        <v>1</v>
      </c>
      <c r="G37" s="18">
        <f>[13]Performance!S5</f>
        <v>0.86</v>
      </c>
      <c r="H37" s="18">
        <f>[13]Performance!T5</f>
        <v>0.8</v>
      </c>
      <c r="I37" s="18">
        <f>[13]Performance!U5</f>
        <v>0.8</v>
      </c>
      <c r="J37" s="11">
        <f>[13]Performance!H5</f>
        <v>1</v>
      </c>
      <c r="K37" s="11">
        <f>[13]Performance!I5</f>
        <v>0.88</v>
      </c>
      <c r="L37" s="11">
        <f>[13]Performance!J5</f>
        <v>0.8</v>
      </c>
      <c r="M37" s="11">
        <f>[13]Performance!K5</f>
        <v>1</v>
      </c>
      <c r="N37" s="11">
        <f>[13]Performance!L5</f>
        <v>1</v>
      </c>
      <c r="O37" s="11">
        <f>[13]Performance!M5</f>
        <v>1</v>
      </c>
      <c r="P37" s="11">
        <f>[13]Performance!N5</f>
        <v>1</v>
      </c>
      <c r="Q37" s="11">
        <f>[13]Performance!O5</f>
        <v>0.9</v>
      </c>
      <c r="R37" s="11">
        <f>[13]Performance!P19</f>
        <v>1</v>
      </c>
    </row>
    <row r="38" spans="1:22" x14ac:dyDescent="0.3">
      <c r="A38" s="6">
        <f>'[13]Student Data'!M6</f>
        <v>22692</v>
      </c>
      <c r="B38" t="str">
        <f>[13]Reporting!C5</f>
        <v>Transition to Production with SMART plan</v>
      </c>
      <c r="C38" s="10" t="str">
        <f>[13]Reporting!F5</f>
        <v>Prema Oza</v>
      </c>
      <c r="D38" cm="1">
        <f t="array" ref="D38">--(SUM(COUNTIF(B38,{"*nest*","*grad*","*trans*","*1B*","*1C*"}))&gt;0)</f>
        <v>1</v>
      </c>
      <c r="E38" s="18">
        <f>[13]Performance!Q6</f>
        <v>1</v>
      </c>
      <c r="F38" s="18">
        <f>[13]Performance!R6</f>
        <v>1</v>
      </c>
      <c r="G38" s="18">
        <f>[13]Performance!S6</f>
        <v>0.9</v>
      </c>
      <c r="H38" s="18">
        <f>[13]Performance!T6</f>
        <v>0.8</v>
      </c>
      <c r="I38" s="18">
        <f>[13]Performance!U6</f>
        <v>0.88</v>
      </c>
      <c r="J38" s="11">
        <f>[13]Performance!H6</f>
        <v>1</v>
      </c>
      <c r="K38" s="11">
        <f>[13]Performance!I6</f>
        <v>1</v>
      </c>
      <c r="L38" s="11">
        <f>[13]Performance!J6</f>
        <v>1</v>
      </c>
      <c r="M38" s="11">
        <f>[13]Performance!K6</f>
        <v>1</v>
      </c>
      <c r="N38" s="11">
        <f>[13]Performance!L6</f>
        <v>0.89</v>
      </c>
      <c r="O38" s="11">
        <f>[13]Performance!M6</f>
        <v>1</v>
      </c>
      <c r="P38" s="11">
        <f>[13]Performance!N6</f>
        <v>1</v>
      </c>
      <c r="Q38" s="11" t="str">
        <f>[13]Performance!O6</f>
        <v>82`%</v>
      </c>
      <c r="R38" s="11">
        <f>[13]Performance!P20</f>
        <v>0.94</v>
      </c>
    </row>
    <row r="39" spans="1:22" x14ac:dyDescent="0.3">
      <c r="A39" s="6">
        <f>'[13]Student Data'!M7</f>
        <v>24120</v>
      </c>
      <c r="B39" t="str">
        <f>[13]Reporting!C6</f>
        <v>Transition to Production</v>
      </c>
      <c r="C39" s="10" t="str">
        <f>[13]Reporting!F6</f>
        <v>Julian Nakasule</v>
      </c>
      <c r="D39" cm="1">
        <f t="array" ref="D39">--(SUM(COUNTIF(B39,{"*nest*","*grad*","*trans*","*1B*","*1C*"}))&gt;0)</f>
        <v>1</v>
      </c>
      <c r="E39" s="18">
        <f>[13]Performance!Q7</f>
        <v>1</v>
      </c>
      <c r="F39" s="18">
        <f>[13]Performance!R7</f>
        <v>1</v>
      </c>
      <c r="G39" s="18">
        <f>[13]Performance!S7</f>
        <v>0.92</v>
      </c>
      <c r="H39" s="18">
        <f>[13]Performance!T7</f>
        <v>1</v>
      </c>
      <c r="I39" s="18">
        <f>[13]Performance!U7</f>
        <v>0.9</v>
      </c>
      <c r="J39" s="11">
        <f>[13]Performance!H7</f>
        <v>1</v>
      </c>
      <c r="K39" s="11">
        <f>[13]Performance!I7</f>
        <v>0.88</v>
      </c>
      <c r="L39" s="11">
        <f>[13]Performance!J7</f>
        <v>1</v>
      </c>
      <c r="M39" s="11">
        <f>[13]Performance!K7</f>
        <v>1</v>
      </c>
      <c r="N39" s="11">
        <f>[13]Performance!L7</f>
        <v>1</v>
      </c>
      <c r="O39" s="11">
        <f>[13]Performance!M7</f>
        <v>1</v>
      </c>
      <c r="P39" s="11">
        <f>[13]Performance!N7</f>
        <v>1</v>
      </c>
      <c r="Q39" s="11">
        <f>[13]Performance!O7</f>
        <v>0.91</v>
      </c>
      <c r="R39" s="11" t="str">
        <f>[13]Performance!P21</f>
        <v>N/A</v>
      </c>
    </row>
    <row r="40" spans="1:22" x14ac:dyDescent="0.3">
      <c r="A40" s="6">
        <f>'[13]Student Data'!M8</f>
        <v>37901</v>
      </c>
      <c r="B40" t="str">
        <f>[13]Reporting!C7</f>
        <v>Transition to Production</v>
      </c>
      <c r="C40" s="10" t="str">
        <f>[13]Reporting!F7</f>
        <v>Amal Ibrahim</v>
      </c>
      <c r="D40" cm="1">
        <f t="array" ref="D40">--(SUM(COUNTIF(B40,{"*nest*","*grad*","*trans*","*1B*","*1C*"}))&gt;0)</f>
        <v>1</v>
      </c>
      <c r="E40" s="18">
        <f>[13]Performance!Q8</f>
        <v>1</v>
      </c>
      <c r="F40" s="18">
        <f>[13]Performance!R8</f>
        <v>1</v>
      </c>
      <c r="G40" s="18">
        <f>[13]Performance!S8</f>
        <v>0.98</v>
      </c>
      <c r="H40" s="18">
        <f>[13]Performance!T8</f>
        <v>0.8</v>
      </c>
      <c r="I40" s="18">
        <f>[13]Performance!U8</f>
        <v>1</v>
      </c>
      <c r="J40" s="11">
        <f>[13]Performance!H8</f>
        <v>1</v>
      </c>
      <c r="K40" s="11">
        <f>[13]Performance!I8</f>
        <v>0.88</v>
      </c>
      <c r="L40" s="11">
        <f>[13]Performance!J8</f>
        <v>1</v>
      </c>
      <c r="M40" s="11">
        <f>[13]Performance!K8</f>
        <v>1</v>
      </c>
      <c r="N40" s="11">
        <f>[13]Performance!L8</f>
        <v>0.89</v>
      </c>
      <c r="O40" s="11">
        <f>[13]Performance!M8</f>
        <v>1</v>
      </c>
      <c r="P40" s="11">
        <f>[13]Performance!N8</f>
        <v>1</v>
      </c>
      <c r="Q40" s="11">
        <f>[13]Performance!O8</f>
        <v>1</v>
      </c>
      <c r="R40" s="11">
        <f>[13]Performance!P22</f>
        <v>0.94</v>
      </c>
    </row>
    <row r="41" spans="1:22" x14ac:dyDescent="0.3">
      <c r="A41" s="6">
        <f>'[13]Student Data'!M9</f>
        <v>33351</v>
      </c>
      <c r="B41" t="str">
        <f>[13]Reporting!C8</f>
        <v>Resigned-Nesting 1B</v>
      </c>
      <c r="C41" s="10" t="str">
        <f>[13]Reporting!F8</f>
        <v>Gale Good</v>
      </c>
      <c r="D41" cm="1">
        <f t="array" ref="D41">--(SUM(COUNTIF(B41,{"*nest*","*grad*","*trans*","*1B*","*1C*"}))&gt;0)</f>
        <v>1</v>
      </c>
      <c r="E41" s="18">
        <f>[13]Performance!Q9</f>
        <v>1</v>
      </c>
      <c r="F41" s="18">
        <f>[13]Performance!R9</f>
        <v>1</v>
      </c>
      <c r="G41" s="18">
        <f>[13]Performance!S9</f>
        <v>0.8</v>
      </c>
      <c r="H41" s="18">
        <f>[13]Performance!T9</f>
        <v>0.8</v>
      </c>
      <c r="I41" s="18">
        <f>[13]Performance!U9</f>
        <v>0.83</v>
      </c>
      <c r="J41" s="11">
        <f>[13]Performance!H9</f>
        <v>1</v>
      </c>
      <c r="K41" s="11">
        <f>[13]Performance!I9</f>
        <v>0.88</v>
      </c>
      <c r="L41" s="11">
        <f>[13]Performance!J9</f>
        <v>1</v>
      </c>
      <c r="M41" s="11">
        <f>[13]Performance!K9</f>
        <v>1</v>
      </c>
      <c r="N41" s="11">
        <f>[13]Performance!L9</f>
        <v>0.89</v>
      </c>
      <c r="O41" s="11">
        <f>[13]Performance!M9</f>
        <v>1</v>
      </c>
      <c r="P41" s="11">
        <f>[13]Performance!N9</f>
        <v>1</v>
      </c>
      <c r="Q41" s="11">
        <f>[13]Performance!O9</f>
        <v>1</v>
      </c>
      <c r="R41" s="11">
        <f>[13]Performance!P23</f>
        <v>0.91</v>
      </c>
    </row>
    <row r="42" spans="1:22" x14ac:dyDescent="0.3">
      <c r="A42" s="6" t="str">
        <f>'[13]Student Data'!M10</f>
        <v>21375 </v>
      </c>
      <c r="B42" t="str">
        <f>[13]Reporting!C9</f>
        <v>Transition to Production</v>
      </c>
      <c r="C42" s="10" t="str">
        <f>[13]Reporting!F9</f>
        <v>Habib Moussaoui</v>
      </c>
      <c r="D42" cm="1">
        <f t="array" ref="D42">--(SUM(COUNTIF(B42,{"*nest*","*grad*","*trans*","*1B*","*1C*"}))&gt;0)</f>
        <v>1</v>
      </c>
      <c r="E42" s="18">
        <f>[13]Performance!Q10</f>
        <v>1</v>
      </c>
      <c r="F42" s="18">
        <f>[13]Performance!R10</f>
        <v>1</v>
      </c>
      <c r="G42" s="18">
        <f>[13]Performance!S10</f>
        <v>0.86</v>
      </c>
      <c r="H42" s="18">
        <f>[13]Performance!T10</f>
        <v>1</v>
      </c>
      <c r="I42" s="18">
        <f>[13]Performance!U10</f>
        <v>0.88</v>
      </c>
      <c r="J42" s="11">
        <f>[13]Performance!H10</f>
        <v>1</v>
      </c>
      <c r="K42" s="11">
        <f>[13]Performance!I10</f>
        <v>0.88</v>
      </c>
      <c r="L42" s="11">
        <f>[13]Performance!J10</f>
        <v>0.8</v>
      </c>
      <c r="M42" s="11">
        <f>[13]Performance!K10</f>
        <v>1</v>
      </c>
      <c r="N42" s="11">
        <f>[13]Performance!L10</f>
        <v>1</v>
      </c>
      <c r="O42" s="11">
        <f>[13]Performance!M10</f>
        <v>1</v>
      </c>
      <c r="P42" s="11">
        <f>[13]Performance!N10</f>
        <v>1</v>
      </c>
      <c r="Q42" s="11">
        <f>[13]Performance!O10</f>
        <v>0.91</v>
      </c>
      <c r="R42" s="11">
        <f>[13]Performance!P24</f>
        <v>0.88</v>
      </c>
    </row>
    <row r="43" spans="1:22" x14ac:dyDescent="0.3">
      <c r="A43" s="6">
        <f>'[13]Student Data'!M11</f>
        <v>37786</v>
      </c>
      <c r="B43" t="str">
        <f>[13]Reporting!C10</f>
        <v>LOA</v>
      </c>
      <c r="C43" s="10" t="str">
        <f>[13]Reporting!F10</f>
        <v>Ablan Nadège N'guessan</v>
      </c>
      <c r="D43" cm="1">
        <f t="array" ref="D43">--(SUM(COUNTIF(B43,{"*nest*","*grad*","*trans*","*1B*","*1C*"}))&gt;0)</f>
        <v>0</v>
      </c>
      <c r="E43" s="18">
        <f>[13]Performance!Q11</f>
        <v>1</v>
      </c>
      <c r="F43" s="18">
        <f>[13]Performance!R11</f>
        <v>1</v>
      </c>
      <c r="G43" s="18">
        <f>[13]Performance!S11</f>
        <v>1</v>
      </c>
      <c r="H43" s="18">
        <f>[13]Performance!T11</f>
        <v>1</v>
      </c>
      <c r="I43" s="18">
        <f>[13]Performance!U11</f>
        <v>1</v>
      </c>
      <c r="J43" s="11">
        <f>[13]Performance!H11</f>
        <v>1</v>
      </c>
      <c r="K43" s="11">
        <f>[13]Performance!I11</f>
        <v>0.88</v>
      </c>
      <c r="L43" s="11">
        <f>[13]Performance!J11</f>
        <v>1</v>
      </c>
      <c r="M43" s="11">
        <f>[13]Performance!K11</f>
        <v>1</v>
      </c>
      <c r="N43" s="11">
        <f>[13]Performance!L11</f>
        <v>1</v>
      </c>
      <c r="O43" s="11">
        <f>[13]Performance!M11</f>
        <v>1</v>
      </c>
      <c r="P43" s="11">
        <f>[13]Performance!N11</f>
        <v>1</v>
      </c>
      <c r="Q43" s="11">
        <f>[13]Performance!O11</f>
        <v>0.87</v>
      </c>
      <c r="R43" s="11">
        <f>[13]Performance!P25</f>
        <v>1</v>
      </c>
    </row>
    <row r="44" spans="1:22" x14ac:dyDescent="0.3">
      <c r="A44" s="6">
        <f>'[13]Student Data'!M12</f>
        <v>21893</v>
      </c>
      <c r="B44" t="str">
        <f>[13]Reporting!C11</f>
        <v>Missed too much time - pending HR</v>
      </c>
      <c r="C44" s="10" t="str">
        <f>[13]Reporting!F11</f>
        <v>Jean Bosco Beiz Niyibizi</v>
      </c>
      <c r="D44" cm="1">
        <f t="array" ref="D44">--(SUM(COUNTIF(B44,{"*nest*","*grad*","*trans*","*1B*","*1C*"}))&gt;0)</f>
        <v>0</v>
      </c>
      <c r="E44" s="18">
        <f>[13]Performance!Q12</f>
        <v>1</v>
      </c>
      <c r="F44" s="18">
        <f>[13]Performance!R12</f>
        <v>1</v>
      </c>
      <c r="G44" s="18">
        <f>[13]Performance!S12</f>
        <v>0.86</v>
      </c>
      <c r="H44" s="18">
        <f>[13]Performance!T12</f>
        <v>0.8</v>
      </c>
      <c r="I44" s="18">
        <f>[13]Performance!U12</f>
        <v>0.99</v>
      </c>
      <c r="J44" s="11">
        <f>[13]Performance!H12</f>
        <v>1</v>
      </c>
      <c r="K44" s="11">
        <f>[13]Performance!I12</f>
        <v>1</v>
      </c>
      <c r="L44" s="11">
        <f>[13]Performance!J12</f>
        <v>1</v>
      </c>
      <c r="M44" s="11">
        <f>[13]Performance!K12</f>
        <v>1</v>
      </c>
      <c r="N44" s="11">
        <f>[13]Performance!L12</f>
        <v>1</v>
      </c>
      <c r="O44" s="11">
        <f>[13]Performance!M12</f>
        <v>1</v>
      </c>
      <c r="P44" s="11">
        <f>[13]Performance!N12</f>
        <v>1</v>
      </c>
      <c r="Q44" s="11">
        <f>[13]Performance!O12</f>
        <v>0.96</v>
      </c>
      <c r="R44" s="11">
        <f>[13]Performance!P26</f>
        <v>0.88</v>
      </c>
    </row>
    <row r="45" spans="1:22" x14ac:dyDescent="0.3">
      <c r="A45" s="6">
        <f>'[13]Student Data'!M13</f>
        <v>39755</v>
      </c>
      <c r="B45" t="str">
        <f>[13]Reporting!C12</f>
        <v>Transition to Production</v>
      </c>
      <c r="C45" s="10" t="str">
        <f>[13]Reporting!F12</f>
        <v>Kevin Ndizeye</v>
      </c>
      <c r="D45" cm="1">
        <f t="array" ref="D45">--(SUM(COUNTIF(B45,{"*nest*","*grad*","*trans*","*1B*","*1C*"}))&gt;0)</f>
        <v>1</v>
      </c>
      <c r="E45" s="18">
        <f>[13]Performance!Q13</f>
        <v>1</v>
      </c>
      <c r="F45" s="18">
        <f>[13]Performance!R13</f>
        <v>1</v>
      </c>
      <c r="G45" s="18">
        <f>[13]Performance!S13</f>
        <v>0.96</v>
      </c>
      <c r="H45" s="18">
        <f>[13]Performance!T13</f>
        <v>1</v>
      </c>
      <c r="I45" s="18">
        <f>[13]Performance!U13</f>
        <v>0.84</v>
      </c>
      <c r="J45" s="11">
        <f>[13]Performance!H13</f>
        <v>1</v>
      </c>
      <c r="K45" s="11">
        <f>[13]Performance!I13</f>
        <v>0.88</v>
      </c>
      <c r="L45" s="11">
        <f>[13]Performance!J13</f>
        <v>0.8</v>
      </c>
      <c r="M45" s="11">
        <f>[13]Performance!K13</f>
        <v>1</v>
      </c>
      <c r="N45" s="11">
        <f>[13]Performance!L13</f>
        <v>0.89</v>
      </c>
      <c r="O45" s="11">
        <f>[13]Performance!M13</f>
        <v>1</v>
      </c>
      <c r="P45" s="11">
        <f>[13]Performance!N13</f>
        <v>1</v>
      </c>
      <c r="Q45" s="11">
        <f>[13]Performance!O13</f>
        <v>0.91</v>
      </c>
      <c r="R45" s="11">
        <f>[13]Performance!P27</f>
        <v>0.88</v>
      </c>
    </row>
    <row r="46" spans="1:22" x14ac:dyDescent="0.3">
      <c r="A46" s="6">
        <f>'[13]Student Data'!M14</f>
        <v>32307</v>
      </c>
      <c r="B46" t="str">
        <f>[13]Reporting!C13</f>
        <v>LOA</v>
      </c>
      <c r="C46" s="10" t="str">
        <f>[13]Reporting!F13</f>
        <v>Lakesha Smith</v>
      </c>
      <c r="D46" cm="1">
        <f t="array" ref="D46">--(SUM(COUNTIF(B46,{"*nest*","*grad*","*trans*","*1B*","*1C*"}))&gt;0)</f>
        <v>0</v>
      </c>
      <c r="E46" s="18">
        <f>[13]Performance!Q14</f>
        <v>1</v>
      </c>
      <c r="F46" s="18">
        <f>[13]Performance!R14</f>
        <v>1</v>
      </c>
      <c r="G46" s="18" t="str">
        <f>[13]Performance!S14</f>
        <v>N/A</v>
      </c>
      <c r="H46" s="18">
        <f>[13]Performance!T14</f>
        <v>0.8</v>
      </c>
      <c r="I46" s="18" t="str">
        <f>[13]Performance!U14</f>
        <v>N/A</v>
      </c>
      <c r="J46" s="11">
        <f>[13]Performance!H14</f>
        <v>1</v>
      </c>
      <c r="K46" s="11">
        <f>[13]Performance!I14</f>
        <v>1</v>
      </c>
      <c r="L46" s="11">
        <f>[13]Performance!J14</f>
        <v>1</v>
      </c>
      <c r="M46" s="11">
        <f>[13]Performance!K14</f>
        <v>1</v>
      </c>
      <c r="N46" s="11">
        <f>[13]Performance!L14</f>
        <v>1</v>
      </c>
      <c r="O46" s="11">
        <f>[13]Performance!M14</f>
        <v>1</v>
      </c>
      <c r="P46" s="11">
        <f>[13]Performance!N14</f>
        <v>1</v>
      </c>
      <c r="Q46" s="11">
        <f>[13]Performance!O14</f>
        <v>0.91</v>
      </c>
      <c r="R46" s="11">
        <f>[13]Performance!P28</f>
        <v>0.94</v>
      </c>
    </row>
    <row r="47" spans="1:22" x14ac:dyDescent="0.3">
      <c r="A47" s="6">
        <f>'[13]Student Data'!M15</f>
        <v>39762</v>
      </c>
      <c r="B47" t="str">
        <f>[13]Reporting!C14</f>
        <v>Transition to Production</v>
      </c>
      <c r="C47" s="10" t="str">
        <f>[13]Reporting!F14</f>
        <v>Mahi Sharma</v>
      </c>
      <c r="D47" cm="1">
        <f t="array" ref="D47">--(SUM(COUNTIF(B47,{"*nest*","*grad*","*trans*","*1B*","*1C*"}))&gt;0)</f>
        <v>1</v>
      </c>
      <c r="E47" s="18">
        <f>[13]Performance!Q15</f>
        <v>1</v>
      </c>
      <c r="F47" s="18">
        <f>[13]Performance!R15</f>
        <v>1</v>
      </c>
      <c r="G47" s="18">
        <f>[13]Performance!S15</f>
        <v>0.94</v>
      </c>
      <c r="H47" s="18">
        <f>[13]Performance!T15</f>
        <v>0.8</v>
      </c>
      <c r="I47" s="18">
        <f>[13]Performance!U15</f>
        <v>0.86</v>
      </c>
      <c r="J47" s="11">
        <f>[13]Performance!H15</f>
        <v>1</v>
      </c>
      <c r="K47" s="11">
        <f>[13]Performance!I15</f>
        <v>0.88</v>
      </c>
      <c r="L47" s="11">
        <f>[13]Performance!J15</f>
        <v>1</v>
      </c>
      <c r="M47" s="11">
        <f>[13]Performance!K15</f>
        <v>1</v>
      </c>
      <c r="N47" s="11">
        <f>[13]Performance!L15</f>
        <v>1</v>
      </c>
      <c r="O47" s="11">
        <f>[13]Performance!M15</f>
        <v>1</v>
      </c>
      <c r="P47" s="11">
        <f>[13]Performance!N15</f>
        <v>1</v>
      </c>
      <c r="Q47" s="11">
        <f>[13]Performance!O15</f>
        <v>0.82</v>
      </c>
      <c r="R47" s="11">
        <f>[13]Performance!P29</f>
        <v>1</v>
      </c>
    </row>
    <row r="48" spans="1:22" x14ac:dyDescent="0.3">
      <c r="A48" s="6">
        <f>'[13]Student Data'!M16</f>
        <v>602515</v>
      </c>
      <c r="B48" t="str">
        <f>[13]Reporting!C15</f>
        <v>Did not Start</v>
      </c>
      <c r="C48" s="10" t="str">
        <f>[13]Reporting!F15</f>
        <v>Mei (Laura) Yuan</v>
      </c>
      <c r="D48" cm="1">
        <f t="array" ref="D48">--(SUM(COUNTIF(B48,{"*nest*","*grad*","*trans*","*1B*","*1C*"}))&gt;0)</f>
        <v>0</v>
      </c>
      <c r="E48" s="18" t="str">
        <f>[13]Performance!Q16</f>
        <v>N/A</v>
      </c>
      <c r="F48" s="18" t="str">
        <f>[13]Performance!R16</f>
        <v>N/A</v>
      </c>
      <c r="G48" s="18" t="str">
        <f>[13]Performance!S16</f>
        <v>N/A</v>
      </c>
      <c r="H48" s="18" t="str">
        <f>[13]Performance!T16</f>
        <v>N/A</v>
      </c>
      <c r="I48" s="18" t="str">
        <f>[13]Performance!U16</f>
        <v>N/A</v>
      </c>
      <c r="J48" s="11" t="str">
        <f>[13]Performance!H16</f>
        <v>N/A</v>
      </c>
      <c r="K48" s="11" t="str">
        <f>[13]Performance!I16</f>
        <v>N/A</v>
      </c>
      <c r="L48" s="11" t="str">
        <f>[13]Performance!J16</f>
        <v>N/A</v>
      </c>
      <c r="M48" s="11" t="str">
        <f>[13]Performance!K16</f>
        <v>N/A</v>
      </c>
      <c r="N48" s="11" t="str">
        <f>[13]Performance!L16</f>
        <v>N/A</v>
      </c>
      <c r="O48" s="11" t="str">
        <f>[13]Performance!M16</f>
        <v>N/A</v>
      </c>
      <c r="P48" s="11" t="str">
        <f>[13]Performance!N16</f>
        <v>N/A</v>
      </c>
      <c r="Q48" s="11" t="str">
        <f>[13]Performance!O16</f>
        <v>N/A</v>
      </c>
      <c r="R48" s="11">
        <f>[13]Performance!P30</f>
        <v>0.88</v>
      </c>
    </row>
    <row r="49" spans="1:18" x14ac:dyDescent="0.3">
      <c r="A49" s="6">
        <f>'[13]Student Data'!M17</f>
        <v>39754</v>
      </c>
      <c r="B49" t="str">
        <f>[13]Reporting!C16</f>
        <v>Did not Start</v>
      </c>
      <c r="C49" s="10" t="str">
        <f>[13]Reporting!F16</f>
        <v>Neelima Gadde</v>
      </c>
      <c r="D49" cm="1">
        <f t="array" ref="D49">--(SUM(COUNTIF(B49,{"*nest*","*grad*","*trans*","*1B*","*1C*"}))&gt;0)</f>
        <v>0</v>
      </c>
      <c r="E49" s="18" t="str">
        <f>[13]Performance!Q17</f>
        <v>N/A</v>
      </c>
      <c r="F49" s="18" t="str">
        <f>[13]Performance!R17</f>
        <v>N/A</v>
      </c>
      <c r="G49" s="18" t="str">
        <f>[13]Performance!S17</f>
        <v>N/A</v>
      </c>
      <c r="H49" s="18" t="str">
        <f>[13]Performance!T17</f>
        <v>N/A</v>
      </c>
      <c r="I49" s="18" t="str">
        <f>[13]Performance!U17</f>
        <v>N/A</v>
      </c>
      <c r="J49" s="11" t="str">
        <f>[13]Performance!H17</f>
        <v>N/A</v>
      </c>
      <c r="K49" s="11" t="str">
        <f>[13]Performance!I17</f>
        <v>N/A</v>
      </c>
      <c r="L49" s="11" t="str">
        <f>[13]Performance!J17</f>
        <v>N/A</v>
      </c>
      <c r="M49" s="11" t="str">
        <f>[13]Performance!K17</f>
        <v>N/A</v>
      </c>
      <c r="N49" s="11" t="str">
        <f>[13]Performance!L17</f>
        <v>N/A</v>
      </c>
      <c r="O49" s="11" t="str">
        <f>[13]Performance!M17</f>
        <v>N/A</v>
      </c>
      <c r="P49" s="11" t="str">
        <f>[13]Performance!N17</f>
        <v>N/A</v>
      </c>
      <c r="Q49" s="11" t="str">
        <f>[13]Performance!O17</f>
        <v>N/A</v>
      </c>
      <c r="R49" s="11">
        <f>[13]Performance!P31</f>
        <v>0.94</v>
      </c>
    </row>
    <row r="50" spans="1:18" x14ac:dyDescent="0.3">
      <c r="A50" s="6">
        <f>'[13]Student Data'!M18</f>
        <v>39351</v>
      </c>
      <c r="B50" t="str">
        <f>[13]Reporting!C17</f>
        <v>Missed too much time - pending HR</v>
      </c>
      <c r="C50" s="10" t="str">
        <f>[13]Reporting!F17</f>
        <v>Timothy Oberthier</v>
      </c>
      <c r="D50" cm="1">
        <f t="array" ref="D50">--(SUM(COUNTIF(B50,{"*nest*","*grad*","*trans*","*1B*","*1C*"}))&gt;0)</f>
        <v>0</v>
      </c>
      <c r="E50" s="18">
        <f>[13]Performance!Q18</f>
        <v>1</v>
      </c>
      <c r="F50" s="18">
        <f>[13]Performance!R18</f>
        <v>1</v>
      </c>
      <c r="G50" s="18">
        <f>[13]Performance!S18</f>
        <v>0.94</v>
      </c>
      <c r="H50" s="18">
        <f>[13]Performance!T18</f>
        <v>1</v>
      </c>
      <c r="I50" s="18">
        <f>[13]Performance!U18</f>
        <v>0.98</v>
      </c>
      <c r="J50" s="11">
        <f>[13]Performance!H18</f>
        <v>1</v>
      </c>
      <c r="K50" s="11">
        <f>[13]Performance!I18</f>
        <v>1</v>
      </c>
      <c r="L50" s="11">
        <f>[13]Performance!J18</f>
        <v>1</v>
      </c>
      <c r="M50" s="11">
        <f>[13]Performance!K18</f>
        <v>1</v>
      </c>
      <c r="N50" s="11">
        <f>[13]Performance!L18</f>
        <v>1</v>
      </c>
      <c r="O50" s="11">
        <f>[13]Performance!M18</f>
        <v>1</v>
      </c>
      <c r="P50" s="11">
        <f>[13]Performance!N18</f>
        <v>1</v>
      </c>
      <c r="Q50" s="11">
        <f>[13]Performance!O18</f>
        <v>0.91</v>
      </c>
      <c r="R50" s="11" t="str">
        <f>[13]Performance!P32</f>
        <v>N/A</v>
      </c>
    </row>
    <row r="51" spans="1:18" x14ac:dyDescent="0.3">
      <c r="A51" s="6">
        <f>'[13]Student Data'!M19</f>
        <v>16115</v>
      </c>
      <c r="B51" t="str">
        <f>[13]Reporting!C18</f>
        <v>LOA</v>
      </c>
      <c r="C51" s="10" t="str">
        <f>[13]Reporting!F18</f>
        <v>Yannick Salomon</v>
      </c>
      <c r="D51" cm="1">
        <f t="array" ref="D51">--(SUM(COUNTIF(B51,{"*nest*","*grad*","*trans*","*1B*","*1C*"}))&gt;0)</f>
        <v>0</v>
      </c>
      <c r="E51" s="18">
        <f>[13]Performance!Q19</f>
        <v>1</v>
      </c>
      <c r="F51" s="18">
        <f>[13]Performance!R19</f>
        <v>1</v>
      </c>
      <c r="G51" s="18" t="str">
        <f>[13]Performance!S19</f>
        <v>N/A</v>
      </c>
      <c r="H51" s="18" t="str">
        <f>[13]Performance!T19</f>
        <v>N/A</v>
      </c>
      <c r="I51" s="18" t="str">
        <f>[13]Performance!U19</f>
        <v>N/A</v>
      </c>
      <c r="J51" s="11">
        <f>[13]Performance!H19</f>
        <v>1</v>
      </c>
      <c r="K51" s="11">
        <f>[13]Performance!I19</f>
        <v>1</v>
      </c>
      <c r="L51" s="11">
        <f>[13]Performance!J19</f>
        <v>1</v>
      </c>
      <c r="M51" s="11">
        <f>[13]Performance!K19</f>
        <v>1</v>
      </c>
      <c r="N51" s="11">
        <f>[13]Performance!L19</f>
        <v>1</v>
      </c>
      <c r="O51" s="11">
        <f>[13]Performance!M19</f>
        <v>1</v>
      </c>
      <c r="P51" s="11">
        <f>[13]Performance!N19</f>
        <v>1</v>
      </c>
      <c r="Q51" s="11">
        <f>[13]Performance!O19</f>
        <v>0.91</v>
      </c>
      <c r="R51" s="11">
        <f>[13]Performance!P33</f>
        <v>0.94</v>
      </c>
    </row>
    <row r="52" spans="1:18" x14ac:dyDescent="0.3">
      <c r="A52" s="6">
        <f>'[13]Student Data'!M20</f>
        <v>21489</v>
      </c>
      <c r="B52" t="str">
        <f>[13]Reporting!C19</f>
        <v>Transition to Production</v>
      </c>
      <c r="C52" s="10" t="str">
        <f>[13]Reporting!F19</f>
        <v>Sai Krishna Velicheti</v>
      </c>
      <c r="D52" cm="1">
        <f t="array" ref="D52">--(SUM(COUNTIF(B52,{"*nest*","*grad*","*trans*","*1B*","*1C*"}))&gt;0)</f>
        <v>1</v>
      </c>
      <c r="E52" s="18">
        <f>[13]Performance!Q20</f>
        <v>1</v>
      </c>
      <c r="F52" s="18">
        <f>[13]Performance!R20</f>
        <v>1</v>
      </c>
      <c r="G52" s="18">
        <f>[13]Performance!S20</f>
        <v>1</v>
      </c>
      <c r="H52" s="18">
        <f>[13]Performance!T20</f>
        <v>1</v>
      </c>
      <c r="I52" s="18">
        <f>[13]Performance!U20</f>
        <v>0.83</v>
      </c>
      <c r="J52" s="11">
        <f>[13]Performance!H20</f>
        <v>1</v>
      </c>
      <c r="K52" s="11">
        <f>[13]Performance!I20</f>
        <v>1</v>
      </c>
      <c r="L52" s="11">
        <f>[13]Performance!J20</f>
        <v>1</v>
      </c>
      <c r="M52" s="11">
        <f>[13]Performance!K20</f>
        <v>1</v>
      </c>
      <c r="N52" s="11">
        <f>[13]Performance!L20</f>
        <v>1</v>
      </c>
      <c r="O52" s="11">
        <f>[13]Performance!M20</f>
        <v>1</v>
      </c>
      <c r="P52" s="11">
        <f>[13]Performance!N20</f>
        <v>1</v>
      </c>
      <c r="Q52" s="11">
        <f>[13]Performance!O20</f>
        <v>1</v>
      </c>
      <c r="R52" s="11">
        <f>[13]Performance!P34</f>
        <v>0.88</v>
      </c>
    </row>
    <row r="53" spans="1:18" x14ac:dyDescent="0.3">
      <c r="A53" s="6">
        <f>'[13]Student Data'!M21</f>
        <v>602582</v>
      </c>
      <c r="B53" t="str">
        <f>[13]Reporting!C20</f>
        <v>Did not Start</v>
      </c>
      <c r="C53" s="10" t="str">
        <f>[13]Reporting!F20</f>
        <v>Ying Xun (Tiffany) Liang</v>
      </c>
      <c r="D53" cm="1">
        <f t="array" ref="D53">--(SUM(COUNTIF(B53,{"*nest*","*grad*","*trans*","*1B*","*1C*"}))&gt;0)</f>
        <v>0</v>
      </c>
      <c r="E53" s="18" t="str">
        <f>[13]Performance!Q21</f>
        <v>N/A</v>
      </c>
      <c r="F53" s="18" t="str">
        <f>[13]Performance!R21</f>
        <v>N/A</v>
      </c>
      <c r="G53" s="18" t="str">
        <f>[13]Performance!S21</f>
        <v>N/A</v>
      </c>
      <c r="H53" s="18" t="str">
        <f>[13]Performance!T21</f>
        <v>N/A</v>
      </c>
      <c r="I53" s="18" t="str">
        <f>[13]Performance!U21</f>
        <v>N/A</v>
      </c>
      <c r="J53" s="11" t="str">
        <f>[13]Performance!H21</f>
        <v>N/A</v>
      </c>
      <c r="K53" s="11" t="str">
        <f>[13]Performance!I21</f>
        <v>N/A</v>
      </c>
      <c r="L53" s="11" t="str">
        <f>[13]Performance!J21</f>
        <v>N/A</v>
      </c>
      <c r="M53" s="11" t="str">
        <f>[13]Performance!K21</f>
        <v>N/A</v>
      </c>
      <c r="N53" s="11" t="str">
        <f>[13]Performance!L21</f>
        <v>N/A</v>
      </c>
      <c r="O53" s="11" t="str">
        <f>[13]Performance!M21</f>
        <v>N/A</v>
      </c>
      <c r="P53" s="11" t="str">
        <f>[13]Performance!N21</f>
        <v>N/A</v>
      </c>
      <c r="Q53" s="11" t="str">
        <f>[13]Performance!O21</f>
        <v>N/A</v>
      </c>
      <c r="R53" s="11">
        <f>[13]Performance!P35</f>
        <v>1</v>
      </c>
    </row>
    <row r="54" spans="1:18" x14ac:dyDescent="0.3">
      <c r="A54" s="6">
        <f>'[13]Student Data'!M22</f>
        <v>37768</v>
      </c>
      <c r="B54" t="str">
        <f>[13]Reporting!C21</f>
        <v>Resigned-Nesting 3</v>
      </c>
      <c r="C54" s="10" t="str">
        <f>[13]Reporting!F21</f>
        <v>Sema Daniel Asanga-Fombe</v>
      </c>
      <c r="D54" cm="1">
        <f t="array" ref="D54">--(SUM(COUNTIF(B54,{"*nest*","*grad*","*trans*","*1B*","*1C*"}))&gt;0)</f>
        <v>1</v>
      </c>
      <c r="E54" s="18">
        <f>[13]Performance!Q22</f>
        <v>1</v>
      </c>
      <c r="F54" s="18">
        <f>[13]Performance!R22</f>
        <v>1</v>
      </c>
      <c r="G54" s="18">
        <f>[13]Performance!S22</f>
        <v>0.88</v>
      </c>
      <c r="H54" s="18">
        <f>[13]Performance!T22</f>
        <v>1</v>
      </c>
      <c r="I54" s="18">
        <f>[13]Performance!U22</f>
        <v>0.94</v>
      </c>
      <c r="J54" s="11">
        <f>[13]Performance!H22</f>
        <v>1</v>
      </c>
      <c r="K54" s="11">
        <f>[13]Performance!I22</f>
        <v>1</v>
      </c>
      <c r="L54" s="11">
        <f>[13]Performance!J22</f>
        <v>1</v>
      </c>
      <c r="M54" s="11">
        <f>[13]Performance!K22</f>
        <v>1</v>
      </c>
      <c r="N54" s="11">
        <f>[13]Performance!L22</f>
        <v>1</v>
      </c>
      <c r="O54" s="11">
        <f>[13]Performance!M22</f>
        <v>1</v>
      </c>
      <c r="P54" s="11">
        <f>[13]Performance!N22</f>
        <v>1</v>
      </c>
      <c r="Q54" s="11">
        <f>[13]Performance!O22</f>
        <v>1</v>
      </c>
      <c r="R54" s="11">
        <f>[13]Performance!P36</f>
        <v>0.94</v>
      </c>
    </row>
    <row r="55" spans="1:18" x14ac:dyDescent="0.3">
      <c r="A55" s="6">
        <f>'[13]Student Data'!M23</f>
        <v>39723</v>
      </c>
      <c r="B55" t="str">
        <f>[13]Reporting!C22</f>
        <v>Transition to Production</v>
      </c>
      <c r="C55" s="10" t="str">
        <f>[13]Reporting!F22</f>
        <v>Elianne Mbongnui</v>
      </c>
      <c r="D55" cm="1">
        <f t="array" ref="D55">--(SUM(COUNTIF(B55,{"*nest*","*grad*","*trans*","*1B*","*1C*"}))&gt;0)</f>
        <v>1</v>
      </c>
      <c r="E55" s="18">
        <f>[13]Performance!Q23</f>
        <v>1</v>
      </c>
      <c r="F55" s="18">
        <f>[13]Performance!R23</f>
        <v>1</v>
      </c>
      <c r="G55" s="18">
        <f>[13]Performance!S23</f>
        <v>0.94</v>
      </c>
      <c r="H55" s="18">
        <f>[13]Performance!T23</f>
        <v>0.8</v>
      </c>
      <c r="I55" s="18">
        <f>[13]Performance!U23</f>
        <v>0.88</v>
      </c>
      <c r="J55" s="11">
        <f>[13]Performance!H23</f>
        <v>1</v>
      </c>
      <c r="K55" s="11">
        <f>[13]Performance!I23</f>
        <v>0.88</v>
      </c>
      <c r="L55" s="11">
        <f>[13]Performance!J23</f>
        <v>1</v>
      </c>
      <c r="M55" s="11">
        <f>[13]Performance!K23</f>
        <v>1</v>
      </c>
      <c r="N55" s="11">
        <f>[13]Performance!L23</f>
        <v>0.89</v>
      </c>
      <c r="O55" s="11">
        <f>[13]Performance!M23</f>
        <v>1</v>
      </c>
      <c r="P55" s="11">
        <f>[13]Performance!N23</f>
        <v>1</v>
      </c>
      <c r="Q55" s="11">
        <f>[13]Performance!O23</f>
        <v>1</v>
      </c>
      <c r="R55" s="11">
        <f>[13]Performance!P37</f>
        <v>0.92</v>
      </c>
    </row>
    <row r="56" spans="1:18" x14ac:dyDescent="0.3">
      <c r="A56" s="6">
        <f>'[13]Student Data'!M24</f>
        <v>39725</v>
      </c>
      <c r="B56" t="str">
        <f>[13]Reporting!C23</f>
        <v>Transition to Production</v>
      </c>
      <c r="C56" s="10" t="str">
        <f>[13]Reporting!F23</f>
        <v>Haroun  Dirie</v>
      </c>
      <c r="D56" cm="1">
        <f t="array" ref="D56">--(SUM(COUNTIF(B56,{"*nest*","*grad*","*trans*","*1B*","*1C*"}))&gt;0)</f>
        <v>1</v>
      </c>
      <c r="E56" s="18">
        <f>[13]Performance!Q24</f>
        <v>1</v>
      </c>
      <c r="F56" s="18">
        <f>[13]Performance!R24</f>
        <v>1</v>
      </c>
      <c r="G56" s="18">
        <f>[13]Performance!S24</f>
        <v>0.88</v>
      </c>
      <c r="H56" s="18">
        <f>[13]Performance!T24</f>
        <v>0.8</v>
      </c>
      <c r="I56" s="18">
        <f>[13]Performance!U24</f>
        <v>0.9</v>
      </c>
      <c r="J56" s="11">
        <f>[13]Performance!H24</f>
        <v>1</v>
      </c>
      <c r="K56" s="11">
        <f>[13]Performance!I24</f>
        <v>1</v>
      </c>
      <c r="L56" s="11">
        <f>[13]Performance!J24</f>
        <v>1</v>
      </c>
      <c r="M56" s="11">
        <f>[13]Performance!K24</f>
        <v>1</v>
      </c>
      <c r="N56" s="11">
        <f>[13]Performance!L24</f>
        <v>1</v>
      </c>
      <c r="O56" s="11">
        <f>[13]Performance!M24</f>
        <v>1</v>
      </c>
      <c r="P56" s="11">
        <f>[13]Performance!N24</f>
        <v>1</v>
      </c>
      <c r="Q56" s="11">
        <f>[13]Performance!O24</f>
        <v>0.91</v>
      </c>
      <c r="R56" s="11">
        <f>[13]Performance!P38</f>
        <v>1</v>
      </c>
    </row>
    <row r="57" spans="1:18" x14ac:dyDescent="0.3">
      <c r="A57" s="6">
        <f>'[13]Student Data'!M25</f>
        <v>33175</v>
      </c>
      <c r="B57" t="str">
        <f>[13]Reporting!C24</f>
        <v>Transition to Production</v>
      </c>
      <c r="C57" s="10" t="str">
        <f>[13]Reporting!F24</f>
        <v>Samantha Wilson</v>
      </c>
      <c r="D57" cm="1">
        <f t="array" ref="D57">--(SUM(COUNTIF(B57,{"*nest*","*grad*","*trans*","*1B*","*1C*"}))&gt;0)</f>
        <v>1</v>
      </c>
      <c r="E57" s="18">
        <f>[13]Performance!Q25</f>
        <v>1</v>
      </c>
      <c r="F57" s="18">
        <f>[13]Performance!R25</f>
        <v>1</v>
      </c>
      <c r="G57" s="18">
        <f>[13]Performance!S25</f>
        <v>1</v>
      </c>
      <c r="H57" s="18">
        <f>[13]Performance!T25</f>
        <v>1</v>
      </c>
      <c r="I57" s="18">
        <f>[13]Performance!U25</f>
        <v>0.85</v>
      </c>
      <c r="J57" s="11">
        <f>[13]Performance!H25</f>
        <v>1</v>
      </c>
      <c r="K57" s="11">
        <f>[13]Performance!I25</f>
        <v>0.88</v>
      </c>
      <c r="L57" s="11">
        <f>[13]Performance!J25</f>
        <v>1</v>
      </c>
      <c r="M57" s="11">
        <f>[13]Performance!K25</f>
        <v>1</v>
      </c>
      <c r="N57" s="11">
        <f>[13]Performance!L25</f>
        <v>0.89</v>
      </c>
      <c r="O57" s="11">
        <f>[13]Performance!M25</f>
        <v>1</v>
      </c>
      <c r="P57" s="11">
        <f>[13]Performance!N25</f>
        <v>1</v>
      </c>
      <c r="Q57" s="11">
        <f>[13]Performance!O25</f>
        <v>0.82</v>
      </c>
      <c r="R57" s="11">
        <f>[13]Performance!P39</f>
        <v>1</v>
      </c>
    </row>
    <row r="58" spans="1:18" x14ac:dyDescent="0.3">
      <c r="A58" s="6">
        <f>'[13]Student Data'!M26</f>
        <v>40662</v>
      </c>
      <c r="B58" t="str">
        <f>[13]Reporting!C25</f>
        <v>Transition to Production with SMART plan</v>
      </c>
      <c r="C58" s="10" t="str">
        <f>[13]Reporting!F25</f>
        <v>Tarik El Fergougui</v>
      </c>
      <c r="D58" cm="1">
        <f t="array" ref="D58">--(SUM(COUNTIF(B58,{"*nest*","*grad*","*trans*","*1B*","*1C*"}))&gt;0)</f>
        <v>1</v>
      </c>
      <c r="E58" s="18">
        <f>[13]Performance!Q26</f>
        <v>1</v>
      </c>
      <c r="F58" s="18">
        <f>[13]Performance!R26</f>
        <v>1</v>
      </c>
      <c r="G58" s="18">
        <f>[13]Performance!S26</f>
        <v>0.94</v>
      </c>
      <c r="H58" s="18">
        <f>[13]Performance!T26</f>
        <v>0.95</v>
      </c>
      <c r="I58" s="18">
        <f>[13]Performance!U26</f>
        <v>0.99</v>
      </c>
      <c r="J58" s="11">
        <f>[13]Performance!H26</f>
        <v>1</v>
      </c>
      <c r="K58" s="11">
        <f>[13]Performance!I26</f>
        <v>0.88</v>
      </c>
      <c r="L58" s="11">
        <f>[13]Performance!J26</f>
        <v>1</v>
      </c>
      <c r="M58" s="11">
        <f>[13]Performance!K26</f>
        <v>1</v>
      </c>
      <c r="N58" s="11">
        <f>[13]Performance!L26</f>
        <v>1</v>
      </c>
      <c r="O58" s="11">
        <f>[13]Performance!M26</f>
        <v>1</v>
      </c>
      <c r="P58" s="11">
        <f>[13]Performance!N26</f>
        <v>1</v>
      </c>
      <c r="Q58" s="11">
        <f>[13]Performance!O26</f>
        <v>1</v>
      </c>
      <c r="R58" s="11">
        <f>[13]Performance!P40</f>
        <v>0.88</v>
      </c>
    </row>
    <row r="59" spans="1:18" x14ac:dyDescent="0.3">
      <c r="A59" s="6">
        <f>'[13]Student Data'!M27</f>
        <v>40663</v>
      </c>
      <c r="B59" t="str">
        <f>[13]Reporting!C26</f>
        <v>Resigned Tier 1B</v>
      </c>
      <c r="C59" s="10" t="str">
        <f>[13]Reporting!F26</f>
        <v>Christophe(Chris) Nkaka</v>
      </c>
      <c r="D59" cm="1">
        <f t="array" ref="D59">--(SUM(COUNTIF(B59,{"*nest*","*grad*","*trans*","*1B*","*1C*"}))&gt;0)</f>
        <v>1</v>
      </c>
      <c r="E59" s="18">
        <f>[13]Performance!Q27</f>
        <v>1</v>
      </c>
      <c r="F59" s="18">
        <f>[13]Performance!R27</f>
        <v>1</v>
      </c>
      <c r="G59" s="18">
        <f>[13]Performance!S27</f>
        <v>0.96</v>
      </c>
      <c r="H59" s="18">
        <f>[13]Performance!T27</f>
        <v>1</v>
      </c>
      <c r="I59" s="18">
        <f>[13]Performance!U27</f>
        <v>0.88</v>
      </c>
      <c r="J59" s="11">
        <f>[13]Performance!H27</f>
        <v>1</v>
      </c>
      <c r="K59" s="11">
        <f>[13]Performance!I27</f>
        <v>0.88</v>
      </c>
      <c r="L59" s="11">
        <f>[13]Performance!J27</f>
        <v>1</v>
      </c>
      <c r="M59" s="11">
        <f>[13]Performance!K27</f>
        <v>1</v>
      </c>
      <c r="N59" s="11">
        <f>[13]Performance!L27</f>
        <v>1</v>
      </c>
      <c r="O59" s="11">
        <f>[13]Performance!M27</f>
        <v>1</v>
      </c>
      <c r="P59" s="11">
        <f>[13]Performance!N27</f>
        <v>1</v>
      </c>
      <c r="Q59" s="11">
        <f>[13]Performance!O27</f>
        <v>0.91</v>
      </c>
      <c r="R59" s="11" t="str">
        <f>[13]Performance!P41</f>
        <v>N/A</v>
      </c>
    </row>
    <row r="60" spans="1:18" x14ac:dyDescent="0.3">
      <c r="A60" s="6">
        <f>'[13]Student Data'!M28</f>
        <v>40664</v>
      </c>
      <c r="B60" t="str">
        <f>[13]Reporting!C27</f>
        <v>Resigned Tier 1A</v>
      </c>
      <c r="C60" s="10" t="str">
        <f>[13]Reporting!F27</f>
        <v>Monica Sauvé</v>
      </c>
      <c r="D60" cm="1">
        <f t="array" ref="D60">--(SUM(COUNTIF(B60,{"*nest*","*grad*","*trans*","*1B*","*1C*"}))&gt;0)</f>
        <v>0</v>
      </c>
      <c r="E60" s="18">
        <f>[13]Performance!Q28</f>
        <v>1</v>
      </c>
      <c r="F60" s="18">
        <f>[13]Performance!R28</f>
        <v>1</v>
      </c>
      <c r="G60" s="18">
        <f>[13]Performance!S28</f>
        <v>0</v>
      </c>
      <c r="H60" s="18">
        <f>[13]Performance!T28</f>
        <v>0.8</v>
      </c>
      <c r="I60" s="18">
        <f>[13]Performance!U28</f>
        <v>0.9</v>
      </c>
      <c r="J60" s="11">
        <f>[13]Performance!H28</f>
        <v>1</v>
      </c>
      <c r="K60" s="11">
        <f>[13]Performance!I28</f>
        <v>0.75</v>
      </c>
      <c r="L60" s="11">
        <f>[13]Performance!J28</f>
        <v>1</v>
      </c>
      <c r="M60" s="11">
        <f>[13]Performance!K28</f>
        <v>1</v>
      </c>
      <c r="N60" s="11">
        <f>[13]Performance!L28</f>
        <v>1</v>
      </c>
      <c r="O60" s="11">
        <f>[13]Performance!M28</f>
        <v>0.8</v>
      </c>
      <c r="P60" s="11">
        <f>[13]Performance!N28</f>
        <v>1</v>
      </c>
      <c r="Q60" s="11">
        <f>[13]Performance!O28</f>
        <v>0.91</v>
      </c>
      <c r="R60" s="11">
        <f>[13]Performance!P42</f>
        <v>0.94</v>
      </c>
    </row>
    <row r="61" spans="1:18" x14ac:dyDescent="0.3">
      <c r="A61" s="6">
        <f>'[13]Student Data'!M29</f>
        <v>40665</v>
      </c>
      <c r="B61" t="str">
        <f>[13]Reporting!C28</f>
        <v>Transition to Production with SMART plan</v>
      </c>
      <c r="C61" s="10" t="str">
        <f>[13]Reporting!F28</f>
        <v>Hubert Kivuguto</v>
      </c>
      <c r="D61" cm="1">
        <f t="array" ref="D61">--(SUM(COUNTIF(B61,{"*nest*","*grad*","*trans*","*1B*","*1C*"}))&gt;0)</f>
        <v>1</v>
      </c>
      <c r="E61" s="18">
        <f>[13]Performance!Q29</f>
        <v>1</v>
      </c>
      <c r="F61" s="18">
        <f>[13]Performance!R29</f>
        <v>1</v>
      </c>
      <c r="G61" s="18">
        <f>[13]Performance!S29</f>
        <v>0.88</v>
      </c>
      <c r="H61" s="18">
        <f>[13]Performance!T29</f>
        <v>0.8</v>
      </c>
      <c r="I61" s="18">
        <f>[13]Performance!U29</f>
        <v>1</v>
      </c>
      <c r="J61" s="11">
        <f>[13]Performance!H29</f>
        <v>1</v>
      </c>
      <c r="K61" s="11">
        <f>[13]Performance!I29</f>
        <v>0.88</v>
      </c>
      <c r="L61" s="11">
        <f>[13]Performance!J29</f>
        <v>1</v>
      </c>
      <c r="M61" s="11">
        <f>[13]Performance!K29</f>
        <v>1</v>
      </c>
      <c r="N61" s="11">
        <f>[13]Performance!L29</f>
        <v>0.89</v>
      </c>
      <c r="O61" s="11">
        <f>[13]Performance!M29</f>
        <v>1</v>
      </c>
      <c r="P61" s="11">
        <f>[13]Performance!N29</f>
        <v>1</v>
      </c>
      <c r="Q61" s="11">
        <f>[13]Performance!O29</f>
        <v>0.82</v>
      </c>
      <c r="R61" s="11">
        <f>[13]Performance!P43</f>
        <v>0.82</v>
      </c>
    </row>
    <row r="62" spans="1:18" x14ac:dyDescent="0.3">
      <c r="A62" s="6">
        <f>'[13]Student Data'!M30</f>
        <v>40666</v>
      </c>
      <c r="B62" t="str">
        <f>[13]Reporting!C29</f>
        <v>Transition to Production with SMART plan</v>
      </c>
      <c r="C62" s="10" t="str">
        <f>[13]Reporting!F29</f>
        <v>Mohammed Messaoudi</v>
      </c>
      <c r="D62" cm="1">
        <f t="array" ref="D62">--(SUM(COUNTIF(B62,{"*nest*","*grad*","*trans*","*1B*","*1C*"}))&gt;0)</f>
        <v>1</v>
      </c>
      <c r="E62" s="18">
        <f>[13]Performance!Q30</f>
        <v>1</v>
      </c>
      <c r="F62" s="18">
        <f>[13]Performance!R30</f>
        <v>1</v>
      </c>
      <c r="G62" s="18">
        <f>[13]Performance!S30</f>
        <v>0.94</v>
      </c>
      <c r="H62" s="18">
        <f>[13]Performance!T30</f>
        <v>1</v>
      </c>
      <c r="I62" s="18">
        <f>[13]Performance!U30</f>
        <v>0.93</v>
      </c>
      <c r="J62" s="11">
        <f>[13]Performance!H30</f>
        <v>1</v>
      </c>
      <c r="K62" s="11">
        <f>[13]Performance!I30</f>
        <v>1</v>
      </c>
      <c r="L62" s="11">
        <f>[13]Performance!J30</f>
        <v>1</v>
      </c>
      <c r="M62" s="11">
        <f>[13]Performance!K30</f>
        <v>1</v>
      </c>
      <c r="N62" s="11">
        <f>[13]Performance!L30</f>
        <v>0.89</v>
      </c>
      <c r="O62" s="11">
        <f>[13]Performance!M30</f>
        <v>1</v>
      </c>
      <c r="P62" s="11">
        <f>[13]Performance!N30</f>
        <v>1</v>
      </c>
      <c r="Q62" s="11">
        <f>[13]Performance!O30</f>
        <v>0.91</v>
      </c>
      <c r="R62" s="11">
        <f>[13]Performance!P44</f>
        <v>0.82</v>
      </c>
    </row>
    <row r="63" spans="1:18" x14ac:dyDescent="0.3">
      <c r="A63" s="6">
        <f>'[13]Student Data'!M31</f>
        <v>40667</v>
      </c>
      <c r="B63" t="str">
        <f>[13]Reporting!C30</f>
        <v>Transition to Production</v>
      </c>
      <c r="C63" s="10" t="str">
        <f>[13]Reporting!F30</f>
        <v>Aline Niyibiai</v>
      </c>
      <c r="D63" cm="1">
        <f t="array" ref="D63">--(SUM(COUNTIF(B63,{"*nest*","*grad*","*trans*","*1B*","*1C*"}))&gt;0)</f>
        <v>1</v>
      </c>
      <c r="E63" s="18">
        <f>[13]Performance!Q31</f>
        <v>1</v>
      </c>
      <c r="F63" s="18">
        <f>[13]Performance!R31</f>
        <v>1</v>
      </c>
      <c r="G63" s="18">
        <f>[13]Performance!S31</f>
        <v>0.86</v>
      </c>
      <c r="H63" s="18">
        <f>[13]Performance!T31</f>
        <v>1</v>
      </c>
      <c r="I63" s="18">
        <f>[13]Performance!U31</f>
        <v>0.9</v>
      </c>
      <c r="J63" s="11">
        <f>[13]Performance!H31</f>
        <v>1</v>
      </c>
      <c r="K63" s="11">
        <f>[13]Performance!I31</f>
        <v>1</v>
      </c>
      <c r="L63" s="11">
        <f>[13]Performance!J31</f>
        <v>0.8</v>
      </c>
      <c r="M63" s="11">
        <f>[13]Performance!K31</f>
        <v>1</v>
      </c>
      <c r="N63" s="11">
        <f>[13]Performance!L31</f>
        <v>1</v>
      </c>
      <c r="O63" s="11">
        <f>[13]Performance!M31</f>
        <v>1</v>
      </c>
      <c r="P63" s="11">
        <f>[13]Performance!N31</f>
        <v>1</v>
      </c>
      <c r="Q63" s="11">
        <f>[13]Performance!O31</f>
        <v>0.96</v>
      </c>
      <c r="R63" s="11" t="str">
        <f>[13]Performance!P45</f>
        <v>N/A</v>
      </c>
    </row>
    <row r="64" spans="1:18" x14ac:dyDescent="0.3">
      <c r="A64" s="6">
        <f>'[13]Student Data'!M32</f>
        <v>40668</v>
      </c>
      <c r="B64" t="str">
        <f>[13]Reporting!C31</f>
        <v>Did not Start</v>
      </c>
      <c r="C64" s="10" t="str">
        <f>[13]Reporting!F31</f>
        <v>Carine Toukam Lando</v>
      </c>
      <c r="D64" cm="1">
        <f t="array" ref="D64">--(SUM(COUNTIF(B64,{"*nest*","*grad*","*trans*","*1B*","*1C*"}))&gt;0)</f>
        <v>0</v>
      </c>
      <c r="E64" s="18" t="str">
        <f>[13]Performance!Q32</f>
        <v>N/A</v>
      </c>
      <c r="F64" s="18" t="str">
        <f>[13]Performance!R32</f>
        <v>N/A</v>
      </c>
      <c r="G64" s="18" t="str">
        <f>[13]Performance!S32</f>
        <v>N/A</v>
      </c>
      <c r="H64" s="18" t="str">
        <f>[13]Performance!T32</f>
        <v>N/A</v>
      </c>
      <c r="I64" s="18" t="str">
        <f>[13]Performance!U32</f>
        <v>N/A</v>
      </c>
      <c r="J64" s="11" t="str">
        <f>[13]Performance!H32</f>
        <v>N/A</v>
      </c>
      <c r="K64" s="11" t="str">
        <f>[13]Performance!I32</f>
        <v>N/A</v>
      </c>
      <c r="L64" s="11" t="str">
        <f>[13]Performance!J32</f>
        <v>N/A</v>
      </c>
      <c r="M64" s="11" t="str">
        <f>[13]Performance!K32</f>
        <v>N/A</v>
      </c>
      <c r="N64" s="11" t="str">
        <f>[13]Performance!L32</f>
        <v>N/A</v>
      </c>
      <c r="O64" s="11" t="str">
        <f>[13]Performance!M32</f>
        <v>N/A</v>
      </c>
      <c r="P64" s="11" t="str">
        <f>[13]Performance!N32</f>
        <v>N/A</v>
      </c>
      <c r="Q64" s="11" t="str">
        <f>[13]Performance!O32</f>
        <v>N/A</v>
      </c>
      <c r="R64" s="11">
        <f>[13]Performance!P46</f>
        <v>0.91</v>
      </c>
    </row>
    <row r="65" spans="1:18" x14ac:dyDescent="0.3">
      <c r="A65" s="6">
        <f>'[13]Student Data'!M33</f>
        <v>40669</v>
      </c>
      <c r="B65" t="str">
        <f>[13]Reporting!C32</f>
        <v>Transition to Production with SMART plan</v>
      </c>
      <c r="C65" s="10" t="str">
        <f>[13]Reporting!F32</f>
        <v>Mukasonga Sheila Ange Bana</v>
      </c>
      <c r="D65" cm="1">
        <f t="array" ref="D65">--(SUM(COUNTIF(B65,{"*nest*","*grad*","*trans*","*1B*","*1C*"}))&gt;0)</f>
        <v>1</v>
      </c>
      <c r="E65" s="18">
        <f>[13]Performance!Q33</f>
        <v>1</v>
      </c>
      <c r="F65" s="18">
        <f>[13]Performance!R33</f>
        <v>1</v>
      </c>
      <c r="G65" s="18">
        <f>[13]Performance!S33</f>
        <v>1</v>
      </c>
      <c r="H65" s="18">
        <f>[13]Performance!T33</f>
        <v>0.8</v>
      </c>
      <c r="I65" s="18">
        <f>[13]Performance!U33</f>
        <v>0.8</v>
      </c>
      <c r="J65" s="11">
        <f>[13]Performance!H33</f>
        <v>1</v>
      </c>
      <c r="K65" s="11">
        <f>[13]Performance!I33</f>
        <v>0.88</v>
      </c>
      <c r="L65" s="11">
        <f>[13]Performance!J33</f>
        <v>1</v>
      </c>
      <c r="M65" s="11">
        <f>[13]Performance!K33</f>
        <v>1</v>
      </c>
      <c r="N65" s="11">
        <f>[13]Performance!L33</f>
        <v>1</v>
      </c>
      <c r="O65" s="11">
        <f>[13]Performance!M33</f>
        <v>1</v>
      </c>
      <c r="P65" s="11">
        <f>[13]Performance!N33</f>
        <v>1</v>
      </c>
      <c r="Q65" s="11">
        <f>[13]Performance!O33</f>
        <v>0.91</v>
      </c>
      <c r="R65" s="11">
        <f>[13]Performance!P47</f>
        <v>0.88</v>
      </c>
    </row>
    <row r="66" spans="1:18" x14ac:dyDescent="0.3">
      <c r="A66" s="6">
        <f>'[13]Student Data'!M34</f>
        <v>40670</v>
      </c>
      <c r="B66" t="str">
        <f>[13]Reporting!C33</f>
        <v>Moved/Joining Alternate Class/Program</v>
      </c>
      <c r="C66" s="10" t="str">
        <f>[13]Reporting!F33</f>
        <v>Max Mabano</v>
      </c>
      <c r="D66" cm="1">
        <f t="array" ref="D66">--(SUM(COUNTIF(B66,{"*nest*","*grad*","*trans*","*1B*","*1C*"}))&gt;0)</f>
        <v>0</v>
      </c>
      <c r="E66" s="18">
        <f>[13]Performance!Q34</f>
        <v>1</v>
      </c>
      <c r="F66" s="18">
        <f>[13]Performance!R34</f>
        <v>1</v>
      </c>
      <c r="G66" s="18">
        <f>[13]Performance!S34</f>
        <v>0.8</v>
      </c>
      <c r="H66" s="18">
        <f>[13]Performance!T34</f>
        <v>1</v>
      </c>
      <c r="I66" s="18">
        <f>[13]Performance!U34</f>
        <v>0.95</v>
      </c>
      <c r="J66" s="11">
        <f>[13]Performance!H34</f>
        <v>1</v>
      </c>
      <c r="K66" s="11">
        <f>[13]Performance!I34</f>
        <v>0.88</v>
      </c>
      <c r="L66" s="11">
        <f>[13]Performance!J34</f>
        <v>1</v>
      </c>
      <c r="M66" s="11">
        <f>[13]Performance!K34</f>
        <v>1</v>
      </c>
      <c r="N66" s="11">
        <f>[13]Performance!L34</f>
        <v>1</v>
      </c>
      <c r="O66" s="11">
        <f>[13]Performance!M34</f>
        <v>1</v>
      </c>
      <c r="P66" s="11">
        <f>[13]Performance!N34</f>
        <v>1</v>
      </c>
      <c r="Q66" s="11">
        <f>[13]Performance!O34</f>
        <v>0.91</v>
      </c>
      <c r="R66" s="11" t="str">
        <f>[13]Performance!P48</f>
        <v>N/A</v>
      </c>
    </row>
    <row r="67" spans="1:18" x14ac:dyDescent="0.3">
      <c r="A67" s="6">
        <f>'[13]Student Data'!M35</f>
        <v>40671</v>
      </c>
      <c r="B67" t="str">
        <f>[13]Reporting!C34</f>
        <v>Transition to Production</v>
      </c>
      <c r="C67" s="10" t="str">
        <f>[13]Reporting!F34</f>
        <v>Fee Kim Stephanie Lin Tsze Chung</v>
      </c>
      <c r="D67" cm="1">
        <f t="array" ref="D67">--(SUM(COUNTIF(B67,{"*nest*","*grad*","*trans*","*1B*","*1C*"}))&gt;0)</f>
        <v>1</v>
      </c>
      <c r="E67" s="18">
        <f>[13]Performance!Q35</f>
        <v>1</v>
      </c>
      <c r="F67" s="18">
        <f>[13]Performance!R35</f>
        <v>1</v>
      </c>
      <c r="G67" s="18">
        <f>[13]Performance!S35</f>
        <v>0.92</v>
      </c>
      <c r="H67" s="18">
        <f>[13]Performance!T35</f>
        <v>0.8</v>
      </c>
      <c r="I67" s="18">
        <f>[13]Performance!U35</f>
        <v>0.9</v>
      </c>
      <c r="J67" s="11">
        <f>[13]Performance!H35</f>
        <v>1</v>
      </c>
      <c r="K67" s="11">
        <f>[13]Performance!I35</f>
        <v>1</v>
      </c>
      <c r="L67" s="11">
        <f>[13]Performance!J35</f>
        <v>1</v>
      </c>
      <c r="M67" s="11">
        <f>[13]Performance!K35</f>
        <v>1</v>
      </c>
      <c r="N67" s="11">
        <f>[13]Performance!L35</f>
        <v>1</v>
      </c>
      <c r="O67" s="11">
        <f>[13]Performance!M35</f>
        <v>1</v>
      </c>
      <c r="P67" s="11">
        <f>[13]Performance!N35</f>
        <v>1</v>
      </c>
      <c r="Q67" s="11">
        <f>[13]Performance!O35</f>
        <v>0.91</v>
      </c>
      <c r="R67" s="11">
        <f>[13]Performance!P49</f>
        <v>0</v>
      </c>
    </row>
    <row r="68" spans="1:18" x14ac:dyDescent="0.3">
      <c r="A68" s="6">
        <f>'[13]Student Data'!M36</f>
        <v>40672</v>
      </c>
      <c r="B68" t="str">
        <f>[13]Reporting!C35</f>
        <v>Transition to Production with SMART plan</v>
      </c>
      <c r="C68" s="10" t="str">
        <f>[13]Reporting!F35</f>
        <v>Derek Darius</v>
      </c>
      <c r="D68" cm="1">
        <f t="array" ref="D68">--(SUM(COUNTIF(B68,{"*nest*","*grad*","*trans*","*1B*","*1C*"}))&gt;0)</f>
        <v>1</v>
      </c>
      <c r="E68" s="18">
        <f>[13]Performance!Q36</f>
        <v>1</v>
      </c>
      <c r="F68" s="18">
        <f>[13]Performance!R36</f>
        <v>1</v>
      </c>
      <c r="G68" s="18">
        <f>[13]Performance!S36</f>
        <v>1</v>
      </c>
      <c r="H68" s="18">
        <f>[13]Performance!T36</f>
        <v>1</v>
      </c>
      <c r="I68" s="18">
        <f>[13]Performance!U36</f>
        <v>1</v>
      </c>
      <c r="J68" s="11">
        <f>[13]Performance!H36</f>
        <v>1</v>
      </c>
      <c r="K68" s="11">
        <f>[13]Performance!I36</f>
        <v>0.88</v>
      </c>
      <c r="L68" s="11">
        <f>[13]Performance!J36</f>
        <v>0.8</v>
      </c>
      <c r="M68" s="11">
        <f>[13]Performance!K36</f>
        <v>1</v>
      </c>
      <c r="N68" s="11">
        <f>[13]Performance!L36</f>
        <v>0.88</v>
      </c>
      <c r="O68" s="11">
        <f>[13]Performance!M36</f>
        <v>1</v>
      </c>
      <c r="P68" s="11">
        <f>[13]Performance!N36</f>
        <v>1</v>
      </c>
      <c r="Q68" s="11">
        <f>[13]Performance!O36</f>
        <v>0.91</v>
      </c>
      <c r="R68" s="11">
        <f>[13]Performance!P50</f>
        <v>0</v>
      </c>
    </row>
    <row r="69" spans="1:18" x14ac:dyDescent="0.3">
      <c r="A69" s="6">
        <f>'[13]Student Data'!M37</f>
        <v>40673</v>
      </c>
      <c r="B69" t="str">
        <f>[13]Reporting!C36</f>
        <v>Terminated-Nesting 3</v>
      </c>
      <c r="C69" s="10" t="str">
        <f>[13]Reporting!F36</f>
        <v>Delv-Dario Famawa Keutchiankeu</v>
      </c>
      <c r="D69" cm="1">
        <f t="array" ref="D69">--(SUM(COUNTIF(B69,{"*nest*","*grad*","*trans*","*1B*","*1C*"}))&gt;0)</f>
        <v>1</v>
      </c>
      <c r="E69" s="18">
        <f>[13]Performance!Q37</f>
        <v>1</v>
      </c>
      <c r="F69" s="18">
        <f>[13]Performance!R37</f>
        <v>1</v>
      </c>
      <c r="G69" s="18">
        <f>[13]Performance!S37</f>
        <v>1</v>
      </c>
      <c r="H69" s="18">
        <f>[13]Performance!T37</f>
        <v>0.8</v>
      </c>
      <c r="I69" s="18">
        <f>[13]Performance!U37</f>
        <v>0.89</v>
      </c>
      <c r="J69" s="11">
        <f>[13]Performance!H37</f>
        <v>1</v>
      </c>
      <c r="K69" s="11">
        <f>[13]Performance!I37</f>
        <v>1</v>
      </c>
      <c r="L69" s="11">
        <f>[13]Performance!J37</f>
        <v>1</v>
      </c>
      <c r="M69" s="11">
        <f>[13]Performance!K37</f>
        <v>1</v>
      </c>
      <c r="N69" s="11">
        <f>[13]Performance!L37</f>
        <v>1</v>
      </c>
      <c r="O69" s="11">
        <f>[13]Performance!M37</f>
        <v>1</v>
      </c>
      <c r="P69" s="11">
        <f>[13]Performance!N37</f>
        <v>1</v>
      </c>
      <c r="Q69" s="11">
        <f>[13]Performance!O37</f>
        <v>0.87</v>
      </c>
      <c r="R69" s="11">
        <f>[13]Performance!P51</f>
        <v>0</v>
      </c>
    </row>
    <row r="70" spans="1:18" x14ac:dyDescent="0.3">
      <c r="A70" s="6">
        <f>'[13]Student Data'!M38</f>
        <v>40674</v>
      </c>
      <c r="B70" t="str">
        <f>[13]Reporting!C37</f>
        <v>Terminated-Nesting 3</v>
      </c>
      <c r="C70" s="10" t="str">
        <f>[13]Reporting!F37</f>
        <v>Amata Benigne</v>
      </c>
      <c r="D70" cm="1">
        <f t="array" ref="D70">--(SUM(COUNTIF(B70,{"*nest*","*grad*","*trans*","*1B*","*1C*"}))&gt;0)</f>
        <v>1</v>
      </c>
      <c r="E70" s="18">
        <f>[13]Performance!Q38</f>
        <v>1</v>
      </c>
      <c r="F70" s="18">
        <f>[13]Performance!R38</f>
        <v>1</v>
      </c>
      <c r="G70" s="18">
        <f>[13]Performance!S38</f>
        <v>0.8</v>
      </c>
      <c r="H70" s="18">
        <f>[13]Performance!T38</f>
        <v>1</v>
      </c>
      <c r="I70" s="18">
        <f>[13]Performance!U38</f>
        <v>1</v>
      </c>
      <c r="J70" s="11">
        <f>[13]Performance!H38</f>
        <v>1</v>
      </c>
      <c r="K70" s="11">
        <f>[13]Performance!I38</f>
        <v>1</v>
      </c>
      <c r="L70" s="11">
        <f>[13]Performance!J38</f>
        <v>1</v>
      </c>
      <c r="M70" s="11">
        <f>[13]Performance!K38</f>
        <v>1</v>
      </c>
      <c r="N70" s="11">
        <f>[13]Performance!L38</f>
        <v>1</v>
      </c>
      <c r="O70" s="11">
        <f>[13]Performance!M38</f>
        <v>1</v>
      </c>
      <c r="P70" s="11">
        <f>[13]Performance!N38</f>
        <v>1</v>
      </c>
      <c r="Q70" s="11">
        <f>[13]Performance!O38</f>
        <v>1</v>
      </c>
      <c r="R70" s="11">
        <f>[13]Performance!P52</f>
        <v>0</v>
      </c>
    </row>
    <row r="71" spans="1:18" x14ac:dyDescent="0.3">
      <c r="A71" s="6">
        <f>'[13]Student Data'!M39</f>
        <v>40675</v>
      </c>
      <c r="B71" t="str">
        <f>[13]Reporting!C38</f>
        <v>Transition to Production with SMART plan</v>
      </c>
      <c r="C71" s="10" t="str">
        <f>[13]Reporting!F38</f>
        <v>Makayla Travis</v>
      </c>
      <c r="D71" cm="1">
        <f t="array" ref="D71">--(SUM(COUNTIF(B71,{"*nest*","*grad*","*trans*","*1B*","*1C*"}))&gt;0)</f>
        <v>1</v>
      </c>
      <c r="E71" s="18">
        <f>[13]Performance!Q39</f>
        <v>1</v>
      </c>
      <c r="F71" s="18">
        <f>[13]Performance!R39</f>
        <v>1</v>
      </c>
      <c r="G71" s="18">
        <f>[13]Performance!S39</f>
        <v>1</v>
      </c>
      <c r="H71" s="18">
        <f>[13]Performance!T39</f>
        <v>0.8</v>
      </c>
      <c r="I71" s="18">
        <f>[13]Performance!U39</f>
        <v>0.87</v>
      </c>
      <c r="J71" s="11">
        <f>[13]Performance!H39</f>
        <v>1</v>
      </c>
      <c r="K71" s="11">
        <f>[13]Performance!I39</f>
        <v>0.88</v>
      </c>
      <c r="L71" s="11">
        <f>[13]Performance!J39</f>
        <v>1</v>
      </c>
      <c r="M71" s="11">
        <f>[13]Performance!K39</f>
        <v>1</v>
      </c>
      <c r="N71" s="11">
        <f>[13]Performance!L39</f>
        <v>1</v>
      </c>
      <c r="O71" s="11">
        <f>[13]Performance!M39</f>
        <v>1</v>
      </c>
      <c r="P71" s="11">
        <f>[13]Performance!N39</f>
        <v>1</v>
      </c>
      <c r="Q71" s="11">
        <f>[13]Performance!O39</f>
        <v>0.96</v>
      </c>
      <c r="R71" s="11">
        <f>[13]Performance!P53</f>
        <v>0</v>
      </c>
    </row>
    <row r="72" spans="1:18" x14ac:dyDescent="0.3">
      <c r="A72" s="6">
        <f>'[13]Student Data'!M40</f>
        <v>40676</v>
      </c>
      <c r="B72" t="str">
        <f>[13]Reporting!C39</f>
        <v>Transition to Production</v>
      </c>
      <c r="C72" s="10" t="str">
        <f>[13]Reporting!F39</f>
        <v>Marie Andrée Mousseau</v>
      </c>
      <c r="D72" cm="1">
        <f t="array" ref="D72">--(SUM(COUNTIF(B72,{"*nest*","*grad*","*trans*","*1B*","*1C*"}))&gt;0)</f>
        <v>1</v>
      </c>
      <c r="E72" s="18">
        <f>[13]Performance!Q40</f>
        <v>1</v>
      </c>
      <c r="F72" s="18">
        <f>[13]Performance!R40</f>
        <v>1</v>
      </c>
      <c r="G72" s="18">
        <f>[13]Performance!S40</f>
        <v>1</v>
      </c>
      <c r="H72" s="18">
        <f>[13]Performance!T40</f>
        <v>1</v>
      </c>
      <c r="I72" s="18">
        <f>[13]Performance!U40</f>
        <v>0.93</v>
      </c>
      <c r="J72" s="11">
        <f>[13]Performance!H40</f>
        <v>1</v>
      </c>
      <c r="K72" s="11">
        <f>[13]Performance!I40</f>
        <v>0.88</v>
      </c>
      <c r="L72" s="11">
        <f>[13]Performance!J40</f>
        <v>1</v>
      </c>
      <c r="M72" s="11">
        <f>[13]Performance!K40</f>
        <v>1</v>
      </c>
      <c r="N72" s="11">
        <f>[13]Performance!L40</f>
        <v>1</v>
      </c>
      <c r="O72" s="11">
        <f>[13]Performance!M40</f>
        <v>1</v>
      </c>
      <c r="P72" s="11">
        <f>[13]Performance!N40</f>
        <v>1</v>
      </c>
      <c r="Q72" s="11">
        <f>[13]Performance!O40</f>
        <v>0.82</v>
      </c>
      <c r="R72" s="11">
        <f>[13]Performance!P54</f>
        <v>0</v>
      </c>
    </row>
    <row r="73" spans="1:18" x14ac:dyDescent="0.3">
      <c r="A73" s="6">
        <f>'[13]Student Data'!M41</f>
        <v>40677</v>
      </c>
      <c r="B73" t="str">
        <f>[13]Reporting!C40</f>
        <v>Did not Start</v>
      </c>
      <c r="C73" s="10" t="str">
        <f>[13]Reporting!F40</f>
        <v>Mary Catherine Dobson</v>
      </c>
      <c r="D73" cm="1">
        <f t="array" ref="D73">--(SUM(COUNTIF(B73,{"*nest*","*grad*","*trans*","*1B*","*1C*"}))&gt;0)</f>
        <v>0</v>
      </c>
      <c r="E73" s="18" t="str">
        <f>[13]Performance!Q41</f>
        <v>N/A</v>
      </c>
      <c r="F73" s="18" t="str">
        <f>[13]Performance!R41</f>
        <v>N/A</v>
      </c>
      <c r="G73" s="18" t="str">
        <f>[13]Performance!S41</f>
        <v>N/A</v>
      </c>
      <c r="H73" s="18" t="str">
        <f>[13]Performance!T41</f>
        <v>N/A</v>
      </c>
      <c r="I73" s="18" t="str">
        <f>[13]Performance!U41</f>
        <v>N/A</v>
      </c>
      <c r="J73" s="11" t="str">
        <f>[13]Performance!H41</f>
        <v>N/A</v>
      </c>
      <c r="K73" s="11" t="str">
        <f>[13]Performance!I41</f>
        <v>N/A</v>
      </c>
      <c r="L73" s="11" t="str">
        <f>[13]Performance!J41</f>
        <v>N/A</v>
      </c>
      <c r="M73" s="11" t="str">
        <f>[13]Performance!K41</f>
        <v>N/A</v>
      </c>
      <c r="N73" s="11" t="str">
        <f>[13]Performance!L41</f>
        <v>N/A</v>
      </c>
      <c r="O73" s="11" t="str">
        <f>[13]Performance!M41</f>
        <v>N/A</v>
      </c>
      <c r="P73" s="11" t="str">
        <f>[13]Performance!N41</f>
        <v>N/A</v>
      </c>
      <c r="Q73" s="11" t="str">
        <f>[13]Performance!O41</f>
        <v>N/A</v>
      </c>
      <c r="R73" s="11">
        <f>[13]Performance!P55</f>
        <v>0</v>
      </c>
    </row>
    <row r="74" spans="1:18" x14ac:dyDescent="0.3">
      <c r="A74" s="6">
        <f>'[13]Student Data'!M42</f>
        <v>40678</v>
      </c>
      <c r="B74" t="str">
        <f>[13]Reporting!C41</f>
        <v>Resigned Tier 1B</v>
      </c>
      <c r="C74" s="10" t="str">
        <f>[13]Reporting!F41</f>
        <v>Danielle Hicks</v>
      </c>
      <c r="D74" cm="1">
        <f t="array" ref="D74">--(SUM(COUNTIF(B74,{"*nest*","*grad*","*trans*","*1B*","*1C*"}))&gt;0)</f>
        <v>1</v>
      </c>
      <c r="E74" s="18">
        <f>[13]Performance!Q42</f>
        <v>1</v>
      </c>
      <c r="F74" s="18">
        <f>[13]Performance!R42</f>
        <v>1</v>
      </c>
      <c r="G74" s="18">
        <f>[13]Performance!S42</f>
        <v>0.9</v>
      </c>
      <c r="H74" s="18">
        <f>[13]Performance!T42</f>
        <v>0.8</v>
      </c>
      <c r="I74" s="18">
        <f>[13]Performance!U42</f>
        <v>0.8</v>
      </c>
      <c r="J74" s="11">
        <f>[13]Performance!H42</f>
        <v>1</v>
      </c>
      <c r="K74" s="11">
        <f>[13]Performance!I42</f>
        <v>0.88</v>
      </c>
      <c r="L74" s="11">
        <f>[13]Performance!J42</f>
        <v>1</v>
      </c>
      <c r="M74" s="11">
        <f>[13]Performance!K42</f>
        <v>1</v>
      </c>
      <c r="N74" s="11">
        <f>[13]Performance!L42</f>
        <v>1</v>
      </c>
      <c r="O74" s="11">
        <f>[13]Performance!M42</f>
        <v>1</v>
      </c>
      <c r="P74" s="11">
        <f>[13]Performance!N42</f>
        <v>1</v>
      </c>
      <c r="Q74" s="11">
        <f>[13]Performance!O42</f>
        <v>1</v>
      </c>
      <c r="R74" s="11">
        <f>[13]Performance!P56</f>
        <v>0</v>
      </c>
    </row>
    <row r="75" spans="1:18" x14ac:dyDescent="0.3">
      <c r="A75" s="6">
        <f>'[13]Student Data'!M43</f>
        <v>40679</v>
      </c>
      <c r="B75" t="str">
        <f>[13]Reporting!C42</f>
        <v>Terminated-Nesting 3</v>
      </c>
      <c r="C75" s="10" t="str">
        <f>[13]Reporting!F42</f>
        <v>Mathieu Bourgeois</v>
      </c>
      <c r="D75" cm="1">
        <f t="array" ref="D75">--(SUM(COUNTIF(B75,{"*nest*","*grad*","*trans*","*1B*","*1C*"}))&gt;0)</f>
        <v>1</v>
      </c>
      <c r="E75" s="18">
        <f>[13]Performance!Q43</f>
        <v>1</v>
      </c>
      <c r="F75" s="18">
        <f>[13]Performance!R43</f>
        <v>1</v>
      </c>
      <c r="G75" s="18">
        <f>[13]Performance!S43</f>
        <v>0.86</v>
      </c>
      <c r="H75" s="18">
        <f>[13]Performance!T43</f>
        <v>0.8</v>
      </c>
      <c r="I75" s="18">
        <f>[13]Performance!U43</f>
        <v>0.83</v>
      </c>
      <c r="J75" s="11">
        <f>[13]Performance!H43</f>
        <v>1</v>
      </c>
      <c r="K75" s="11">
        <f>[13]Performance!I43</f>
        <v>1</v>
      </c>
      <c r="L75" s="11">
        <f>[13]Performance!J43</f>
        <v>1</v>
      </c>
      <c r="M75" s="11">
        <f>[13]Performance!K43</f>
        <v>1</v>
      </c>
      <c r="N75" s="11">
        <f>[13]Performance!L43</f>
        <v>0.89</v>
      </c>
      <c r="O75" s="11">
        <f>[13]Performance!M43</f>
        <v>1</v>
      </c>
      <c r="P75" s="11">
        <f>[13]Performance!N43</f>
        <v>1</v>
      </c>
      <c r="Q75" s="11">
        <f>[13]Performance!O43</f>
        <v>0.91</v>
      </c>
      <c r="R75" s="11">
        <f>[13]Performance!P57</f>
        <v>0</v>
      </c>
    </row>
    <row r="76" spans="1:18" x14ac:dyDescent="0.3">
      <c r="A76" s="6">
        <f>'[13]Student Data'!M44</f>
        <v>40680</v>
      </c>
      <c r="B76" t="str">
        <f>[13]Reporting!C43</f>
        <v>Transition to Production with SMART plan</v>
      </c>
      <c r="C76" s="10" t="str">
        <f>[13]Reporting!F43</f>
        <v>Choukri Labib</v>
      </c>
      <c r="D76" cm="1">
        <f t="array" ref="D76">--(SUM(COUNTIF(B76,{"*nest*","*grad*","*trans*","*1B*","*1C*"}))&gt;0)</f>
        <v>1</v>
      </c>
      <c r="E76" s="18">
        <f>[13]Performance!Q44</f>
        <v>1</v>
      </c>
      <c r="F76" s="18">
        <f>[13]Performance!R44</f>
        <v>1</v>
      </c>
      <c r="G76" s="18">
        <f>[13]Performance!S44</f>
        <v>0.88</v>
      </c>
      <c r="H76" s="18">
        <f>[13]Performance!T44</f>
        <v>0.8</v>
      </c>
      <c r="I76" s="18">
        <f>[13]Performance!U44</f>
        <v>0.8</v>
      </c>
      <c r="J76" s="11">
        <f>[13]Performance!H44</f>
        <v>1</v>
      </c>
      <c r="K76" s="11">
        <f>[13]Performance!I44</f>
        <v>0.88</v>
      </c>
      <c r="L76" s="11">
        <f>[13]Performance!J44</f>
        <v>0.8</v>
      </c>
      <c r="M76" s="11">
        <f>[13]Performance!K44</f>
        <v>1</v>
      </c>
      <c r="N76" s="11">
        <f>[13]Performance!L44</f>
        <v>0.89</v>
      </c>
      <c r="O76" s="11">
        <f>[13]Performance!M44</f>
        <v>1</v>
      </c>
      <c r="P76" s="11">
        <f>[13]Performance!N44</f>
        <v>1</v>
      </c>
      <c r="Q76" s="11">
        <f>[13]Performance!O44</f>
        <v>1</v>
      </c>
      <c r="R76" s="11">
        <f>[13]Performance!P58</f>
        <v>0</v>
      </c>
    </row>
    <row r="77" spans="1:18" x14ac:dyDescent="0.3">
      <c r="A77" s="6">
        <f>'[13]Student Data'!M45</f>
        <v>40681</v>
      </c>
      <c r="B77" t="str">
        <f>[13]Reporting!C44</f>
        <v>Did not Start</v>
      </c>
      <c r="C77" s="10" t="str">
        <f>[13]Reporting!F44</f>
        <v>Mohammed Rassim Lakoues</v>
      </c>
      <c r="D77" cm="1">
        <f t="array" ref="D77">--(SUM(COUNTIF(B77,{"*nest*","*grad*","*trans*","*1B*","*1C*"}))&gt;0)</f>
        <v>0</v>
      </c>
      <c r="E77" s="18" t="str">
        <f>[13]Performance!Q45</f>
        <v>N/A</v>
      </c>
      <c r="F77" s="18" t="str">
        <f>[13]Performance!R45</f>
        <v>N/A</v>
      </c>
      <c r="G77" s="18" t="str">
        <f>[13]Performance!S45</f>
        <v>N/A</v>
      </c>
      <c r="H77" s="18" t="str">
        <f>[13]Performance!T45</f>
        <v>N/A</v>
      </c>
      <c r="I77" s="18" t="str">
        <f>[13]Performance!U45</f>
        <v>N/A</v>
      </c>
      <c r="J77" s="11" t="str">
        <f>[13]Performance!H45</f>
        <v>N/A</v>
      </c>
      <c r="K77" s="11" t="str">
        <f>[13]Performance!I45</f>
        <v>N/A</v>
      </c>
      <c r="L77" s="11" t="str">
        <f>[13]Performance!J45</f>
        <v>N/A</v>
      </c>
      <c r="M77" s="11" t="str">
        <f>[13]Performance!K45</f>
        <v>N/A</v>
      </c>
      <c r="N77" s="11" t="str">
        <f>[13]Performance!L45</f>
        <v>N/A</v>
      </c>
      <c r="O77" s="11" t="str">
        <f>[13]Performance!M45</f>
        <v>N/A</v>
      </c>
      <c r="P77" s="11" t="str">
        <f>[13]Performance!N45</f>
        <v>N/A</v>
      </c>
      <c r="Q77" s="11" t="str">
        <f>[13]Performance!O45</f>
        <v>N/A</v>
      </c>
      <c r="R77" s="11">
        <f>[13]Performance!P59</f>
        <v>0</v>
      </c>
    </row>
    <row r="78" spans="1:18" x14ac:dyDescent="0.3">
      <c r="A78" s="6">
        <f>'[13]Student Data'!M46</f>
        <v>40682</v>
      </c>
      <c r="B78" t="str">
        <f>[13]Reporting!C45</f>
        <v>Transition to Production with SMART plan</v>
      </c>
      <c r="C78" s="10" t="str">
        <f>[13]Reporting!F45</f>
        <v>Joseph Muganza</v>
      </c>
      <c r="D78" cm="1">
        <f t="array" ref="D78">--(SUM(COUNTIF(B78,{"*nest*","*grad*","*trans*","*1B*","*1C*"}))&gt;0)</f>
        <v>1</v>
      </c>
      <c r="E78" s="18">
        <f>[13]Performance!Q46</f>
        <v>1</v>
      </c>
      <c r="F78" s="18">
        <f>[13]Performance!R46</f>
        <v>1</v>
      </c>
      <c r="G78" s="18">
        <f>[13]Performance!S46</f>
        <v>0.8</v>
      </c>
      <c r="H78" s="18">
        <f>[13]Performance!T46</f>
        <v>0.8</v>
      </c>
      <c r="I78" s="18">
        <f>[13]Performance!U46</f>
        <v>1</v>
      </c>
      <c r="J78" s="11">
        <f>[13]Performance!H46</f>
        <v>1</v>
      </c>
      <c r="K78" s="11">
        <f>[13]Performance!I46</f>
        <v>1</v>
      </c>
      <c r="L78" s="11">
        <f>[13]Performance!J46</f>
        <v>1</v>
      </c>
      <c r="M78" s="11">
        <f>[13]Performance!K46</f>
        <v>1</v>
      </c>
      <c r="N78" s="11">
        <f>[13]Performance!L46</f>
        <v>1</v>
      </c>
      <c r="O78" s="11">
        <f>[13]Performance!M46</f>
        <v>1</v>
      </c>
      <c r="P78" s="11">
        <f>[13]Performance!N46</f>
        <v>1</v>
      </c>
      <c r="Q78" s="11">
        <f>[13]Performance!O46</f>
        <v>1</v>
      </c>
      <c r="R78" s="11">
        <f>[13]Performance!P60</f>
        <v>0</v>
      </c>
    </row>
    <row r="79" spans="1:18" x14ac:dyDescent="0.3">
      <c r="A79" s="6">
        <f>'[13]Student Data'!M47</f>
        <v>40683</v>
      </c>
      <c r="B79" t="str">
        <f>[13]Reporting!C46</f>
        <v>Transition to Production with SMART plan</v>
      </c>
      <c r="C79" s="10" t="str">
        <f>[13]Reporting!F46</f>
        <v>Boris Ngoloa Moafo</v>
      </c>
      <c r="D79" cm="1">
        <f t="array" ref="D79">--(SUM(COUNTIF(B79,{"*nest*","*grad*","*trans*","*1B*","*1C*"}))&gt;0)</f>
        <v>1</v>
      </c>
      <c r="E79" s="18">
        <f>[13]Performance!Q47</f>
        <v>1</v>
      </c>
      <c r="F79" s="18">
        <f>[13]Performance!R47</f>
        <v>1</v>
      </c>
      <c r="G79" s="18">
        <f>[13]Performance!S47</f>
        <v>0.87</v>
      </c>
      <c r="H79" s="18">
        <f>[13]Performance!T47</f>
        <v>0.8</v>
      </c>
      <c r="I79" s="18">
        <f>[13]Performance!U47</f>
        <v>0.92</v>
      </c>
      <c r="J79" s="11">
        <f>[13]Performance!H47</f>
        <v>1</v>
      </c>
      <c r="K79" s="11">
        <f>[13]Performance!I47</f>
        <v>0.88</v>
      </c>
      <c r="L79" s="11">
        <f>[13]Performance!J47</f>
        <v>0.8</v>
      </c>
      <c r="M79" s="11">
        <f>[13]Performance!K47</f>
        <v>1</v>
      </c>
      <c r="N79" s="11">
        <f>[13]Performance!L47</f>
        <v>1</v>
      </c>
      <c r="O79" s="11">
        <f>[13]Performance!M47</f>
        <v>1</v>
      </c>
      <c r="P79" s="11">
        <f>[13]Performance!N47</f>
        <v>1</v>
      </c>
      <c r="Q79" s="11">
        <f>[13]Performance!O47</f>
        <v>1</v>
      </c>
      <c r="R79" s="11">
        <f>[13]Performance!P61</f>
        <v>0</v>
      </c>
    </row>
    <row r="80" spans="1:18" x14ac:dyDescent="0.3">
      <c r="A80" s="6">
        <f>'[13]Student Data'!M48</f>
        <v>40684</v>
      </c>
      <c r="B80" t="str">
        <f>[13]Reporting!C47</f>
        <v>Did not Start</v>
      </c>
      <c r="C80" s="10" t="str">
        <f>[13]Reporting!F47</f>
        <v>Elodith Madjo Tsata</v>
      </c>
      <c r="D80" cm="1">
        <f t="array" ref="D80">--(SUM(COUNTIF(B80,{"*nest*","*grad*","*trans*","*1B*","*1C*"}))&gt;0)</f>
        <v>0</v>
      </c>
      <c r="E80" s="18" t="str">
        <f>[13]Performance!Q48</f>
        <v>N/A</v>
      </c>
      <c r="F80" s="18" t="str">
        <f>[13]Performance!R48</f>
        <v>N/A</v>
      </c>
      <c r="G80" s="18" t="str">
        <f>[13]Performance!S48</f>
        <v>N/A</v>
      </c>
      <c r="H80" s="18" t="str">
        <f>[13]Performance!T48</f>
        <v>N/A</v>
      </c>
      <c r="I80" s="18" t="str">
        <f>[13]Performance!U48</f>
        <v>N/A</v>
      </c>
      <c r="J80" s="11" t="str">
        <f>[13]Performance!H48</f>
        <v>N/A</v>
      </c>
      <c r="K80" s="11" t="str">
        <f>[13]Performance!I48</f>
        <v>N/A</v>
      </c>
      <c r="L80" s="11" t="str">
        <f>[13]Performance!J48</f>
        <v>N/A</v>
      </c>
      <c r="M80" s="11" t="str">
        <f>[13]Performance!K48</f>
        <v>N/A</v>
      </c>
      <c r="N80" s="11" t="str">
        <f>[13]Performance!L48</f>
        <v>N/A</v>
      </c>
      <c r="O80" s="11" t="str">
        <f>[13]Performance!M48</f>
        <v>N/A</v>
      </c>
      <c r="P80" s="11" t="str">
        <f>[13]Performance!N48</f>
        <v>N/A</v>
      </c>
      <c r="Q80" s="11" t="str">
        <f>[13]Performance!O48</f>
        <v>N/A</v>
      </c>
      <c r="R80" s="11">
        <f>[13]Performance!P62</f>
        <v>0</v>
      </c>
    </row>
    <row r="81" spans="1:20" x14ac:dyDescent="0.3">
      <c r="A81" s="8" t="s">
        <v>47</v>
      </c>
      <c r="B81" s="9" t="s">
        <v>36</v>
      </c>
      <c r="C81" s="9" t="s">
        <v>21</v>
      </c>
      <c r="D81" s="9">
        <f>SUM(D82:D110)</f>
        <v>31</v>
      </c>
      <c r="E81" s="9">
        <f>COUNTIF(E82:E110, "&gt;79%")</f>
        <v>22</v>
      </c>
      <c r="F81" s="9">
        <f t="shared" ref="F81:R81" si="3">COUNTIF(F82:F110, "&gt;79%")</f>
        <v>22</v>
      </c>
      <c r="G81" s="9">
        <f t="shared" si="3"/>
        <v>22</v>
      </c>
      <c r="H81" s="9">
        <f t="shared" si="3"/>
        <v>22</v>
      </c>
      <c r="I81" s="9">
        <f t="shared" si="3"/>
        <v>22</v>
      </c>
      <c r="J81" s="9" t="s">
        <v>25</v>
      </c>
      <c r="K81" s="9">
        <f t="shared" si="3"/>
        <v>22</v>
      </c>
      <c r="L81" s="9">
        <f t="shared" si="3"/>
        <v>22</v>
      </c>
      <c r="M81" s="9" t="s">
        <v>25</v>
      </c>
      <c r="N81" s="9" t="s">
        <v>25</v>
      </c>
      <c r="O81" s="9" t="s">
        <v>25</v>
      </c>
      <c r="P81" s="9">
        <f t="shared" si="3"/>
        <v>22</v>
      </c>
      <c r="Q81" s="9" t="s">
        <v>25</v>
      </c>
      <c r="R81" s="9">
        <f t="shared" si="3"/>
        <v>22</v>
      </c>
      <c r="S81" s="9"/>
      <c r="T81" s="30">
        <f>'[13]Class Summary'!$B$6</f>
        <v>45848</v>
      </c>
    </row>
    <row r="82" spans="1:20" x14ac:dyDescent="0.3">
      <c r="A82" s="6">
        <f>'[14]Student Data'!M5</f>
        <v>345786</v>
      </c>
      <c r="B82" t="str">
        <f>[14]Performance!D5</f>
        <v>Transition to Production</v>
      </c>
      <c r="C82" s="10" t="str">
        <f>[14]Reporting!F4</f>
        <v>Vee Alyssa Maquinto</v>
      </c>
      <c r="D82" cm="1">
        <f t="array" ref="D82">--(SUM(COUNTIF(B82,{"*nest*","*grad*","*trans*","*1B*","*1C*"}))&gt;0)</f>
        <v>1</v>
      </c>
      <c r="E82" s="18">
        <f>[14]Performance!Q5</f>
        <v>1</v>
      </c>
      <c r="F82" s="18">
        <f>[14]Performance!R5</f>
        <v>1</v>
      </c>
      <c r="G82" s="18">
        <f>[14]Performance!S5</f>
        <v>0.81</v>
      </c>
      <c r="H82" s="18">
        <f>[14]Performance!T5</f>
        <v>1</v>
      </c>
      <c r="I82" s="18">
        <f>[14]Performance!U5</f>
        <v>0.93</v>
      </c>
      <c r="J82" s="11" t="str">
        <f>[14]Performance!H5</f>
        <v>N/A</v>
      </c>
      <c r="K82" s="11">
        <f>[14]Performance!I5</f>
        <v>1</v>
      </c>
      <c r="L82" s="11">
        <f>[14]Performance!J5</f>
        <v>1</v>
      </c>
      <c r="M82" s="11" t="str">
        <f>[14]Performance!K5</f>
        <v>N/A</v>
      </c>
      <c r="N82" s="11" t="str">
        <f>[14]Performance!L5</f>
        <v>N/A</v>
      </c>
      <c r="O82" s="11" t="str">
        <f>[14]Performance!M5</f>
        <v>N/A</v>
      </c>
      <c r="P82" s="11">
        <f>[14]Performance!N5</f>
        <v>1</v>
      </c>
      <c r="Q82" s="11" t="str">
        <f>[14]Performance!O5</f>
        <v>N/A</v>
      </c>
      <c r="R82" s="11">
        <f>[14]Performance!P5</f>
        <v>0.94</v>
      </c>
    </row>
    <row r="83" spans="1:20" x14ac:dyDescent="0.3">
      <c r="A83" s="6">
        <f>'[14]Student Data'!M6</f>
        <v>345779</v>
      </c>
      <c r="B83" t="str">
        <f>[14]Performance!D6</f>
        <v>Transition to Production with SMART plan</v>
      </c>
      <c r="C83" s="10" t="str">
        <f>[14]Reporting!F5</f>
        <v>Jojie Andrea Almazan</v>
      </c>
      <c r="D83" cm="1">
        <f t="array" ref="D83">--(SUM(COUNTIF(B83,{"*nest*","*grad*","*trans*","*1B*","*1C*"}))&gt;0)</f>
        <v>1</v>
      </c>
      <c r="E83" s="18">
        <f>[14]Performance!Q6</f>
        <v>1</v>
      </c>
      <c r="F83" s="18">
        <f>[14]Performance!R6</f>
        <v>1</v>
      </c>
      <c r="G83" s="18">
        <f>[14]Performance!S6</f>
        <v>0.8</v>
      </c>
      <c r="H83" s="18">
        <f>[14]Performance!T6</f>
        <v>1</v>
      </c>
      <c r="I83" s="18">
        <f>[14]Performance!U6</f>
        <v>1</v>
      </c>
      <c r="J83" s="11" t="str">
        <f>[14]Performance!H6</f>
        <v>N/A</v>
      </c>
      <c r="K83" s="11">
        <f>[14]Performance!I6</f>
        <v>1</v>
      </c>
      <c r="L83" s="11">
        <f>[14]Performance!J6</f>
        <v>1</v>
      </c>
      <c r="M83" s="11" t="str">
        <f>[14]Performance!K6</f>
        <v>N/A</v>
      </c>
      <c r="N83" s="11" t="str">
        <f>[14]Performance!L6</f>
        <v>N/A</v>
      </c>
      <c r="O83" s="11" t="str">
        <f>[14]Performance!M6</f>
        <v>N/A</v>
      </c>
      <c r="P83" s="11">
        <f>[14]Performance!N6</f>
        <v>1</v>
      </c>
      <c r="Q83" s="11" t="str">
        <f>[14]Performance!O6</f>
        <v>N/A</v>
      </c>
      <c r="R83" s="11">
        <f>[14]Performance!P6</f>
        <v>1</v>
      </c>
    </row>
    <row r="84" spans="1:20" x14ac:dyDescent="0.3">
      <c r="A84" s="6">
        <f>'[14]Student Data'!M7</f>
        <v>345777</v>
      </c>
      <c r="B84" t="str">
        <f>[14]Performance!D7</f>
        <v>Transition to Production with SMART plan</v>
      </c>
      <c r="C84" s="10" t="str">
        <f>[14]Reporting!F6</f>
        <v>Icon John Matrix Aqui</v>
      </c>
      <c r="D84" cm="1">
        <f t="array" ref="D84">--(SUM(COUNTIF(B84,{"*nest*","*grad*","*trans*","*1B*","*1C*"}))&gt;0)</f>
        <v>1</v>
      </c>
      <c r="E84" s="18">
        <f>[14]Performance!Q7</f>
        <v>1</v>
      </c>
      <c r="F84" s="18">
        <f>[14]Performance!R7</f>
        <v>1</v>
      </c>
      <c r="G84" s="18">
        <f>[14]Performance!S7</f>
        <v>0.93</v>
      </c>
      <c r="H84" s="18">
        <f>[14]Performance!T7</f>
        <v>1</v>
      </c>
      <c r="I84" s="18">
        <f>[14]Performance!U7</f>
        <v>0.8</v>
      </c>
      <c r="J84" s="11" t="str">
        <f>[14]Performance!H7</f>
        <v>N/A</v>
      </c>
      <c r="K84" s="11">
        <f>[14]Performance!I7</f>
        <v>1</v>
      </c>
      <c r="L84" s="11">
        <f>[14]Performance!J7</f>
        <v>0.8</v>
      </c>
      <c r="M84" s="11" t="str">
        <f>[14]Performance!K7</f>
        <v>N/A</v>
      </c>
      <c r="N84" s="11" t="str">
        <f>[14]Performance!L7</f>
        <v>N/A</v>
      </c>
      <c r="O84" s="11" t="str">
        <f>[14]Performance!M7</f>
        <v>N/A</v>
      </c>
      <c r="P84" s="11">
        <f>[14]Performance!N7</f>
        <v>1</v>
      </c>
      <c r="Q84" s="11" t="str">
        <f>[14]Performance!O7</f>
        <v>N/A</v>
      </c>
      <c r="R84" s="11">
        <f>[14]Performance!P7</f>
        <v>0.88</v>
      </c>
    </row>
    <row r="85" spans="1:20" x14ac:dyDescent="0.3">
      <c r="A85" s="6">
        <f>'[14]Student Data'!M8</f>
        <v>345787</v>
      </c>
      <c r="B85" t="str">
        <f>[14]Performance!D8</f>
        <v>Transition to Production</v>
      </c>
      <c r="C85" s="10" t="str">
        <f>[14]Reporting!F7</f>
        <v>Kenneth Balote</v>
      </c>
      <c r="D85" cm="1">
        <f t="array" ref="D85">--(SUM(COUNTIF(B85,{"*nest*","*grad*","*trans*","*1B*","*1C*"}))&gt;0)</f>
        <v>1</v>
      </c>
      <c r="E85" s="18">
        <f>[14]Performance!Q8</f>
        <v>1</v>
      </c>
      <c r="F85" s="18">
        <f>[14]Performance!R8</f>
        <v>1</v>
      </c>
      <c r="G85" s="18">
        <f>[14]Performance!S8</f>
        <v>0.94</v>
      </c>
      <c r="H85" s="18">
        <f>[14]Performance!T8</f>
        <v>1</v>
      </c>
      <c r="I85" s="18">
        <f>[14]Performance!U8</f>
        <v>0.94</v>
      </c>
      <c r="J85" s="11" t="str">
        <f>[14]Performance!H8</f>
        <v>N/A</v>
      </c>
      <c r="K85" s="11">
        <f>[14]Performance!I8</f>
        <v>0.88</v>
      </c>
      <c r="L85" s="11">
        <f>[14]Performance!J8</f>
        <v>0.8</v>
      </c>
      <c r="M85" s="11" t="str">
        <f>[14]Performance!K8</f>
        <v>N/A</v>
      </c>
      <c r="N85" s="11" t="str">
        <f>[14]Performance!L8</f>
        <v>N/A</v>
      </c>
      <c r="O85" s="11" t="str">
        <f>[14]Performance!M8</f>
        <v>N/A</v>
      </c>
      <c r="P85" s="11">
        <f>[14]Performance!N8</f>
        <v>1</v>
      </c>
      <c r="Q85" s="11" t="str">
        <f>[14]Performance!O8</f>
        <v>N/A</v>
      </c>
      <c r="R85" s="11">
        <f>[14]Performance!P8</f>
        <v>1</v>
      </c>
    </row>
    <row r="86" spans="1:20" x14ac:dyDescent="0.3">
      <c r="A86" s="6">
        <f>'[14]Student Data'!M9</f>
        <v>345778</v>
      </c>
      <c r="B86" t="str">
        <f>[14]Performance!D9</f>
        <v>Terminated-Nesting 3</v>
      </c>
      <c r="C86" s="10" t="str">
        <f>[14]Reporting!F8</f>
        <v>Jayson Caldoza</v>
      </c>
      <c r="D86" cm="1">
        <f t="array" ref="D86">--(SUM(COUNTIF(B86,{"*nest*","*grad*","*trans*","*1B*","*1C*"}))&gt;0)</f>
        <v>1</v>
      </c>
      <c r="E86" s="18">
        <f>[14]Performance!Q9</f>
        <v>1</v>
      </c>
      <c r="F86" s="18">
        <f>[14]Performance!R9</f>
        <v>1</v>
      </c>
      <c r="G86" s="18">
        <f>[14]Performance!S9</f>
        <v>0.94</v>
      </c>
      <c r="H86" s="18">
        <f>[14]Performance!T9</f>
        <v>1</v>
      </c>
      <c r="I86" s="18">
        <f>[14]Performance!U9</f>
        <v>0.96</v>
      </c>
      <c r="J86" s="11" t="str">
        <f>[14]Performance!H9</f>
        <v>N/A</v>
      </c>
      <c r="K86" s="11">
        <f>[14]Performance!I9</f>
        <v>0.88</v>
      </c>
      <c r="L86" s="11">
        <f>[14]Performance!J9</f>
        <v>1</v>
      </c>
      <c r="M86" s="11" t="str">
        <f>[14]Performance!K9</f>
        <v>N/A</v>
      </c>
      <c r="N86" s="11" t="str">
        <f>[14]Performance!L9</f>
        <v>N/A</v>
      </c>
      <c r="O86" s="11" t="str">
        <f>[14]Performance!M9</f>
        <v>N/A</v>
      </c>
      <c r="P86" s="11">
        <f>[14]Performance!N9</f>
        <v>1</v>
      </c>
      <c r="Q86" s="11" t="str">
        <f>[14]Performance!O9</f>
        <v>N/A</v>
      </c>
      <c r="R86" s="11">
        <f>[14]Performance!P9</f>
        <v>0.98</v>
      </c>
    </row>
    <row r="87" spans="1:20" x14ac:dyDescent="0.3">
      <c r="A87" s="6">
        <f>'[14]Student Data'!M10</f>
        <v>0</v>
      </c>
      <c r="B87" t="str">
        <f>[14]Performance!D10</f>
        <v>Did not Start</v>
      </c>
      <c r="C87" s="10" t="str">
        <f>[14]Reporting!F9</f>
        <v xml:space="preserve">Rose Ann Calimag </v>
      </c>
      <c r="D87" cm="1">
        <f t="array" ref="D87">--(SUM(COUNTIF(B87,{"*nest*","*grad*","*trans*","*1B*","*1C*"}))&gt;0)</f>
        <v>0</v>
      </c>
      <c r="E87" s="18" t="str">
        <f>[14]Performance!Q10</f>
        <v>DNS</v>
      </c>
      <c r="F87" s="18" t="str">
        <f>[14]Performance!R10</f>
        <v>DNS</v>
      </c>
      <c r="G87" s="18" t="str">
        <f>[14]Performance!S10</f>
        <v>DNS</v>
      </c>
      <c r="H87" s="18" t="str">
        <f>[14]Performance!T10</f>
        <v>DNS</v>
      </c>
      <c r="I87" s="18" t="str">
        <f>[14]Performance!U10</f>
        <v>DNS</v>
      </c>
      <c r="J87" s="11" t="str">
        <f>[14]Performance!H10</f>
        <v>DNS</v>
      </c>
      <c r="K87" s="11" t="str">
        <f>[14]Performance!I10</f>
        <v>DNS</v>
      </c>
      <c r="L87" s="11" t="str">
        <f>[14]Performance!J10</f>
        <v>DNS</v>
      </c>
      <c r="M87" s="11" t="str">
        <f>[14]Performance!K10</f>
        <v>DNS</v>
      </c>
      <c r="N87" s="11" t="str">
        <f>[14]Performance!L10</f>
        <v>DNS</v>
      </c>
      <c r="O87" s="11" t="str">
        <f>[14]Performance!M10</f>
        <v>DNS</v>
      </c>
      <c r="P87" s="11" t="str">
        <f>[14]Performance!N10</f>
        <v>DNS</v>
      </c>
      <c r="Q87" s="11" t="str">
        <f>[14]Performance!O10</f>
        <v>DNS</v>
      </c>
      <c r="R87" s="11" t="str">
        <f>[14]Performance!P10</f>
        <v>DNS</v>
      </c>
    </row>
    <row r="88" spans="1:20" x14ac:dyDescent="0.3">
      <c r="A88" s="6">
        <f>'[14]Student Data'!M11</f>
        <v>345775</v>
      </c>
      <c r="B88" t="str">
        <f>[14]Performance!D11</f>
        <v>Transition to Production with SMART plan</v>
      </c>
      <c r="C88" s="10" t="str">
        <f>[14]Reporting!F10</f>
        <v>Katherine Ann Dacanay</v>
      </c>
      <c r="D88" cm="1">
        <f t="array" ref="D88">--(SUM(COUNTIF(B88,{"*nest*","*grad*","*trans*","*1B*","*1C*"}))&gt;0)</f>
        <v>1</v>
      </c>
      <c r="E88" s="18">
        <f>[14]Performance!Q11</f>
        <v>1</v>
      </c>
      <c r="F88" s="18">
        <f>[14]Performance!R11</f>
        <v>1</v>
      </c>
      <c r="G88" s="18">
        <f>[14]Performance!S11</f>
        <v>0.94</v>
      </c>
      <c r="H88" s="18">
        <f>[14]Performance!T11</f>
        <v>0.8</v>
      </c>
      <c r="I88" s="18">
        <f>[14]Performance!U11</f>
        <v>0.8</v>
      </c>
      <c r="J88" s="11" t="str">
        <f>[14]Performance!H11</f>
        <v>N/A</v>
      </c>
      <c r="K88" s="11">
        <f>[14]Performance!I11</f>
        <v>1</v>
      </c>
      <c r="L88" s="11">
        <f>[14]Performance!J11</f>
        <v>1</v>
      </c>
      <c r="M88" s="11" t="str">
        <f>[14]Performance!K11</f>
        <v>N/A</v>
      </c>
      <c r="N88" s="11" t="str">
        <f>[14]Performance!L11</f>
        <v>N/A</v>
      </c>
      <c r="O88" s="11" t="str">
        <f>[14]Performance!M11</f>
        <v>N/A</v>
      </c>
      <c r="P88" s="11">
        <f>[14]Performance!N11</f>
        <v>1</v>
      </c>
      <c r="Q88" s="11" t="str">
        <f>[14]Performance!O11</f>
        <v>N/A</v>
      </c>
      <c r="R88" s="11">
        <f>[14]Performance!P11</f>
        <v>0.82</v>
      </c>
    </row>
    <row r="89" spans="1:20" x14ac:dyDescent="0.3">
      <c r="A89" s="6">
        <f>'[14]Student Data'!M12</f>
        <v>345771</v>
      </c>
      <c r="B89" t="str">
        <f>[14]Performance!D12</f>
        <v>Terminated-Nesting 3</v>
      </c>
      <c r="C89" s="10" t="str">
        <f>[14]Reporting!F11</f>
        <v>Fernan Kenjohn Dizon</v>
      </c>
      <c r="D89" cm="1">
        <f t="array" ref="D89">--(SUM(COUNTIF(B89,{"*nest*","*grad*","*trans*","*1B*","*1C*"}))&gt;0)</f>
        <v>1</v>
      </c>
      <c r="E89" s="18">
        <f>[14]Performance!Q12</f>
        <v>1</v>
      </c>
      <c r="F89" s="18">
        <f>[14]Performance!R12</f>
        <v>1</v>
      </c>
      <c r="G89" s="18">
        <f>[14]Performance!S12</f>
        <v>0.86</v>
      </c>
      <c r="H89" s="18">
        <f>[14]Performance!T12</f>
        <v>1</v>
      </c>
      <c r="I89" s="18">
        <f>[14]Performance!U12</f>
        <v>0.83</v>
      </c>
      <c r="J89" s="11" t="str">
        <f>[14]Performance!H12</f>
        <v>N/A</v>
      </c>
      <c r="K89" s="11">
        <f>[14]Performance!I12</f>
        <v>1</v>
      </c>
      <c r="L89" s="11">
        <f>[14]Performance!J12</f>
        <v>0.8</v>
      </c>
      <c r="M89" s="11" t="str">
        <f>[14]Performance!K12</f>
        <v>N/A</v>
      </c>
      <c r="N89" s="11" t="str">
        <f>[14]Performance!L12</f>
        <v>N/A</v>
      </c>
      <c r="O89" s="11" t="str">
        <f>[14]Performance!M12</f>
        <v>N/A</v>
      </c>
      <c r="P89" s="11">
        <f>[14]Performance!N12</f>
        <v>1</v>
      </c>
      <c r="Q89" s="11" t="str">
        <f>[14]Performance!O12</f>
        <v>N/A</v>
      </c>
      <c r="R89" s="11">
        <f>[14]Performance!P12</f>
        <v>1</v>
      </c>
    </row>
    <row r="90" spans="1:20" x14ac:dyDescent="0.3">
      <c r="A90" s="6">
        <f>'[14]Student Data'!M13</f>
        <v>345773</v>
      </c>
      <c r="B90" t="str">
        <f>[14]Performance!D13</f>
        <v>Transition to Production with SMART plan</v>
      </c>
      <c r="C90" s="10" t="str">
        <f>[14]Reporting!F12</f>
        <v>Chelubai Shimea (Cielo) Gabriel</v>
      </c>
      <c r="D90" cm="1">
        <f t="array" ref="D90">--(SUM(COUNTIF(B90,{"*nest*","*grad*","*trans*","*1B*","*1C*"}))&gt;0)</f>
        <v>1</v>
      </c>
      <c r="E90" s="18">
        <f>[14]Performance!Q13</f>
        <v>1</v>
      </c>
      <c r="F90" s="18">
        <f>[14]Performance!R13</f>
        <v>1</v>
      </c>
      <c r="G90" s="18">
        <f>[14]Performance!S13</f>
        <v>0.88</v>
      </c>
      <c r="H90" s="18">
        <f>[14]Performance!T13</f>
        <v>0.8</v>
      </c>
      <c r="I90" s="18">
        <f>[14]Performance!U13</f>
        <v>0.98</v>
      </c>
      <c r="J90" s="11" t="str">
        <f>[14]Performance!H13</f>
        <v>N/A</v>
      </c>
      <c r="K90" s="11">
        <f>[14]Performance!I13</f>
        <v>0.88</v>
      </c>
      <c r="L90" s="11">
        <f>[14]Performance!J13</f>
        <v>1</v>
      </c>
      <c r="M90" s="11" t="str">
        <f>[14]Performance!K13</f>
        <v>N/A</v>
      </c>
      <c r="N90" s="11" t="str">
        <f>[14]Performance!L13</f>
        <v>N/A</v>
      </c>
      <c r="O90" s="11" t="str">
        <f>[14]Performance!M13</f>
        <v>N/A</v>
      </c>
      <c r="P90" s="11">
        <f>[14]Performance!N13</f>
        <v>1</v>
      </c>
      <c r="Q90" s="11" t="str">
        <f>[14]Performance!O13</f>
        <v>N/A</v>
      </c>
      <c r="R90" s="11">
        <f>[14]Performance!P13</f>
        <v>0.94</v>
      </c>
    </row>
    <row r="91" spans="1:20" x14ac:dyDescent="0.3">
      <c r="A91" s="6">
        <f>'[14]Student Data'!M14</f>
        <v>345782</v>
      </c>
      <c r="B91" t="str">
        <f>[14]Performance!D14</f>
        <v>Resigned-Nesting 3</v>
      </c>
      <c r="C91" s="10" t="str">
        <f>[14]Reporting!F13</f>
        <v>Jone Lovendino</v>
      </c>
      <c r="D91" cm="1">
        <f t="array" ref="D91">--(SUM(COUNTIF(B91,{"*nest*","*grad*","*trans*","*1B*","*1C*"}))&gt;0)</f>
        <v>1</v>
      </c>
      <c r="E91" s="18">
        <f>[14]Performance!Q14</f>
        <v>1</v>
      </c>
      <c r="F91" s="18">
        <f>[14]Performance!R14</f>
        <v>1</v>
      </c>
      <c r="G91" s="18">
        <f>[14]Performance!S14</f>
        <v>0.86</v>
      </c>
      <c r="H91" s="18">
        <f>[14]Performance!T14</f>
        <v>0.8</v>
      </c>
      <c r="I91" s="18">
        <f>[14]Performance!U14</f>
        <v>0.85</v>
      </c>
      <c r="J91" s="11" t="str">
        <f>[14]Performance!H14</f>
        <v>N/A</v>
      </c>
      <c r="K91" s="11">
        <f>[14]Performance!I14</f>
        <v>1</v>
      </c>
      <c r="L91" s="11">
        <f>[14]Performance!J14</f>
        <v>1</v>
      </c>
      <c r="M91" s="11" t="str">
        <f>[14]Performance!K14</f>
        <v>N/A</v>
      </c>
      <c r="N91" s="11" t="str">
        <f>[14]Performance!L14</f>
        <v>N/A</v>
      </c>
      <c r="O91" s="11" t="str">
        <f>[14]Performance!M14</f>
        <v>N/A</v>
      </c>
      <c r="P91" s="11">
        <f>[14]Performance!N14</f>
        <v>1</v>
      </c>
      <c r="Q91" s="11" t="str">
        <f>[14]Performance!O14</f>
        <v>N/A</v>
      </c>
      <c r="R91" s="11">
        <f>[14]Performance!P14</f>
        <v>0.84</v>
      </c>
    </row>
    <row r="92" spans="1:20" x14ac:dyDescent="0.3">
      <c r="A92" s="6">
        <f>'[14]Student Data'!M15</f>
        <v>345780</v>
      </c>
      <c r="B92" t="str">
        <f>[14]Performance!D15</f>
        <v>Terminated-Nesting 3</v>
      </c>
      <c r="C92" s="10" t="str">
        <f>[14]Reporting!F14</f>
        <v>Pamela Rabino</v>
      </c>
      <c r="D92" cm="1">
        <f t="array" ref="D92">--(SUM(COUNTIF(B92,{"*nest*","*grad*","*trans*","*1B*","*1C*"}))&gt;0)</f>
        <v>1</v>
      </c>
      <c r="E92" s="18">
        <f>[14]Performance!Q15</f>
        <v>1</v>
      </c>
      <c r="F92" s="18">
        <f>[14]Performance!R15</f>
        <v>1</v>
      </c>
      <c r="G92" s="18">
        <f>[14]Performance!S15</f>
        <v>0.86</v>
      </c>
      <c r="H92" s="18">
        <f>[14]Performance!T15</f>
        <v>1</v>
      </c>
      <c r="I92" s="18">
        <f>[14]Performance!U15</f>
        <v>0.93</v>
      </c>
      <c r="J92" s="11" t="str">
        <f>[14]Performance!H15</f>
        <v>N/A</v>
      </c>
      <c r="K92" s="11">
        <f>[14]Performance!I15</f>
        <v>0.88</v>
      </c>
      <c r="L92" s="11">
        <f>[14]Performance!J15</f>
        <v>0.8</v>
      </c>
      <c r="M92" s="11" t="str">
        <f>[14]Performance!K15</f>
        <v>N/A</v>
      </c>
      <c r="N92" s="11" t="str">
        <f>[14]Performance!L15</f>
        <v>N/A</v>
      </c>
      <c r="O92" s="11" t="str">
        <f>[14]Performance!M15</f>
        <v>N/A</v>
      </c>
      <c r="P92" s="11">
        <f>[14]Performance!N15</f>
        <v>1</v>
      </c>
      <c r="Q92" s="11" t="str">
        <f>[14]Performance!O15</f>
        <v>N/A</v>
      </c>
      <c r="R92" s="11">
        <f>[14]Performance!P15</f>
        <v>1</v>
      </c>
    </row>
    <row r="93" spans="1:20" x14ac:dyDescent="0.3">
      <c r="A93" s="6">
        <f>'[14]Student Data'!M16</f>
        <v>345776</v>
      </c>
      <c r="B93" t="str">
        <f>[14]Performance!D16</f>
        <v>Resigned-Nesting 3</v>
      </c>
      <c r="C93" s="10" t="str">
        <f>[14]Reporting!F15</f>
        <v>Nathanael Roda</v>
      </c>
      <c r="D93" cm="1">
        <f t="array" ref="D93">--(SUM(COUNTIF(B93,{"*nest*","*grad*","*trans*","*1B*","*1C*"}))&gt;0)</f>
        <v>1</v>
      </c>
      <c r="E93" s="18">
        <f>[14]Performance!Q16</f>
        <v>1</v>
      </c>
      <c r="F93" s="18">
        <f>[14]Performance!R16</f>
        <v>1</v>
      </c>
      <c r="G93" s="18">
        <f>[14]Performance!S16</f>
        <v>1</v>
      </c>
      <c r="H93" s="18">
        <f>[14]Performance!T16</f>
        <v>1</v>
      </c>
      <c r="I93" s="18">
        <f>[14]Performance!U16</f>
        <v>0.98</v>
      </c>
      <c r="J93" s="11" t="str">
        <f>[14]Performance!H16</f>
        <v>N/A</v>
      </c>
      <c r="K93" s="11">
        <f>[14]Performance!I16</f>
        <v>0.88</v>
      </c>
      <c r="L93" s="11">
        <f>[14]Performance!J16</f>
        <v>0.8</v>
      </c>
      <c r="M93" s="11" t="str">
        <f>[14]Performance!K16</f>
        <v>N/A</v>
      </c>
      <c r="N93" s="11" t="str">
        <f>[14]Performance!L16</f>
        <v>N/A</v>
      </c>
      <c r="O93" s="11" t="str">
        <f>[14]Performance!M16</f>
        <v>N/A</v>
      </c>
      <c r="P93" s="11">
        <f>[14]Performance!N16</f>
        <v>1</v>
      </c>
      <c r="Q93" s="11" t="str">
        <f>[14]Performance!O16</f>
        <v>N/A</v>
      </c>
      <c r="R93" s="11">
        <f>[14]Performance!P16</f>
        <v>0.88</v>
      </c>
    </row>
    <row r="94" spans="1:20" x14ac:dyDescent="0.3">
      <c r="A94" s="6">
        <f>'[14]Student Data'!M17</f>
        <v>345772</v>
      </c>
      <c r="B94" t="str">
        <f>[14]Performance!D17</f>
        <v>Transition to Production with SMART plan</v>
      </c>
      <c r="C94" s="10" t="str">
        <f>[14]Reporting!F16</f>
        <v>Christine Salvador</v>
      </c>
      <c r="D94" cm="1">
        <f t="array" ref="D94">--(SUM(COUNTIF(B94,{"*nest*","*grad*","*trans*","*1B*","*1C*"}))&gt;0)</f>
        <v>1</v>
      </c>
      <c r="E94" s="18">
        <f>[14]Performance!Q17</f>
        <v>1</v>
      </c>
      <c r="F94" s="18">
        <f>[14]Performance!R17</f>
        <v>1</v>
      </c>
      <c r="G94" s="18">
        <f>[14]Performance!S17</f>
        <v>0.86</v>
      </c>
      <c r="H94" s="18">
        <f>[14]Performance!T17</f>
        <v>1</v>
      </c>
      <c r="I94" s="18">
        <f>[14]Performance!U17</f>
        <v>0.9</v>
      </c>
      <c r="J94" s="11" t="str">
        <f>[14]Performance!H17</f>
        <v>N/A</v>
      </c>
      <c r="K94" s="11">
        <f>[14]Performance!I17</f>
        <v>1</v>
      </c>
      <c r="L94" s="11">
        <f>[14]Performance!J17</f>
        <v>1</v>
      </c>
      <c r="M94" s="11" t="str">
        <f>[14]Performance!K17</f>
        <v>N/A</v>
      </c>
      <c r="N94" s="11" t="str">
        <f>[14]Performance!L17</f>
        <v>N/A</v>
      </c>
      <c r="O94" s="11" t="str">
        <f>[14]Performance!M17</f>
        <v>N/A</v>
      </c>
      <c r="P94" s="11">
        <f>[14]Performance!N17</f>
        <v>1</v>
      </c>
      <c r="Q94" s="11" t="str">
        <f>[14]Performance!O17</f>
        <v>N/A</v>
      </c>
      <c r="R94" s="11">
        <f>[14]Performance!P17</f>
        <v>0.94</v>
      </c>
    </row>
    <row r="95" spans="1:20" x14ac:dyDescent="0.3">
      <c r="A95" s="6">
        <f>'[14]Student Data'!M18</f>
        <v>345791</v>
      </c>
      <c r="B95" t="str">
        <f>[14]Performance!D18</f>
        <v>Transition to Production</v>
      </c>
      <c r="C95" s="10" t="str">
        <f>[14]Reporting!F17</f>
        <v>Terence Tabios</v>
      </c>
      <c r="D95" cm="1">
        <f t="array" ref="D95">--(SUM(COUNTIF(B95,{"*nest*","*grad*","*trans*","*1B*","*1C*"}))&gt;0)</f>
        <v>1</v>
      </c>
      <c r="E95" s="18">
        <f>[14]Performance!Q18</f>
        <v>1</v>
      </c>
      <c r="F95" s="18">
        <f>[14]Performance!R18</f>
        <v>1</v>
      </c>
      <c r="G95" s="18">
        <f>[14]Performance!S18</f>
        <v>1</v>
      </c>
      <c r="H95" s="18">
        <f>[14]Performance!T18</f>
        <v>0.8</v>
      </c>
      <c r="I95" s="18">
        <f>[14]Performance!U18</f>
        <v>1</v>
      </c>
      <c r="J95" s="11" t="str">
        <f>[14]Performance!H18</f>
        <v>N/A</v>
      </c>
      <c r="K95" s="11">
        <f>[14]Performance!I18</f>
        <v>1</v>
      </c>
      <c r="L95" s="11">
        <f>[14]Performance!J18</f>
        <v>1</v>
      </c>
      <c r="M95" s="11" t="str">
        <f>[14]Performance!K18</f>
        <v>N/A</v>
      </c>
      <c r="N95" s="11" t="str">
        <f>[14]Performance!L18</f>
        <v>N/A</v>
      </c>
      <c r="O95" s="11" t="str">
        <f>[14]Performance!M18</f>
        <v>N/A</v>
      </c>
      <c r="P95" s="11">
        <f>[14]Performance!N18</f>
        <v>1</v>
      </c>
      <c r="Q95" s="11" t="str">
        <f>[14]Performance!O18</f>
        <v>N/A</v>
      </c>
      <c r="R95" s="11">
        <f>[14]Performance!P18</f>
        <v>1</v>
      </c>
    </row>
    <row r="96" spans="1:20" x14ac:dyDescent="0.3">
      <c r="A96" s="6">
        <f>'[14]Student Data'!M19</f>
        <v>345770</v>
      </c>
      <c r="B96" t="str">
        <f>[14]Performance!D19</f>
        <v>Transition to Production with SMART plan</v>
      </c>
      <c r="C96" s="10" t="str">
        <f>[14]Reporting!F18</f>
        <v>Catherine  Vergara</v>
      </c>
      <c r="D96" cm="1">
        <f t="array" ref="D96">--(SUM(COUNTIF(B96,{"*nest*","*grad*","*trans*","*1B*","*1C*"}))&gt;0)</f>
        <v>1</v>
      </c>
      <c r="E96" s="18">
        <f>[14]Performance!Q19</f>
        <v>1</v>
      </c>
      <c r="F96" s="18">
        <f>[14]Performance!R19</f>
        <v>1</v>
      </c>
      <c r="G96" s="18">
        <f>[14]Performance!S19</f>
        <v>1</v>
      </c>
      <c r="H96" s="18">
        <f>[14]Performance!T19</f>
        <v>0.8</v>
      </c>
      <c r="I96" s="18">
        <f>[14]Performance!U19</f>
        <v>0.85</v>
      </c>
      <c r="J96" s="11" t="str">
        <f>[14]Performance!H19</f>
        <v>N/A</v>
      </c>
      <c r="K96" s="11">
        <f>[14]Performance!I19</f>
        <v>1</v>
      </c>
      <c r="L96" s="11">
        <f>[14]Performance!J19</f>
        <v>1</v>
      </c>
      <c r="M96" s="11" t="str">
        <f>[14]Performance!K19</f>
        <v>N/A</v>
      </c>
      <c r="N96" s="11" t="str">
        <f>[14]Performance!L19</f>
        <v>N/A</v>
      </c>
      <c r="O96" s="11" t="str">
        <f>[14]Performance!M19</f>
        <v>N/A</v>
      </c>
      <c r="P96" s="11">
        <f>[14]Performance!N19</f>
        <v>1</v>
      </c>
      <c r="Q96" s="11" t="str">
        <f>[14]Performance!O19</f>
        <v>N/A</v>
      </c>
      <c r="R96" s="11">
        <f>[14]Performance!P19</f>
        <v>1</v>
      </c>
    </row>
    <row r="97" spans="1:20" x14ac:dyDescent="0.3">
      <c r="A97" s="6">
        <f>'[14]Student Data'!M20</f>
        <v>345769</v>
      </c>
      <c r="B97" t="str">
        <f>[14]Performance!D20</f>
        <v>Resigned-Nesting 1B</v>
      </c>
      <c r="C97" s="10" t="str">
        <f>[14]Reporting!F19</f>
        <v>Ariel  Villarmente</v>
      </c>
      <c r="D97" cm="1">
        <f t="array" ref="D97">--(SUM(COUNTIF(B97,{"*nest*","*grad*","*trans*","*1B*","*1C*"}))&gt;0)</f>
        <v>1</v>
      </c>
      <c r="E97" s="18">
        <f>[14]Performance!Q20</f>
        <v>1</v>
      </c>
      <c r="F97" s="18">
        <f>[14]Performance!R20</f>
        <v>1</v>
      </c>
      <c r="G97" s="18">
        <f>[14]Performance!S20</f>
        <v>0.88</v>
      </c>
      <c r="H97" s="18">
        <f>[14]Performance!T20</f>
        <v>1</v>
      </c>
      <c r="I97" s="18">
        <f>[14]Performance!U20</f>
        <v>1</v>
      </c>
      <c r="J97" s="11" t="str">
        <f>[14]Performance!H20</f>
        <v>N/A</v>
      </c>
      <c r="K97" s="11">
        <f>[14]Performance!I20</f>
        <v>0.88</v>
      </c>
      <c r="L97" s="11">
        <f>[14]Performance!J20</f>
        <v>1</v>
      </c>
      <c r="M97" s="11" t="str">
        <f>[14]Performance!K20</f>
        <v>N/A</v>
      </c>
      <c r="N97" s="11" t="str">
        <f>[14]Performance!L20</f>
        <v>N/A</v>
      </c>
      <c r="O97" s="11" t="str">
        <f>[14]Performance!M20</f>
        <v>N/A</v>
      </c>
      <c r="P97" s="11">
        <f>[14]Performance!N20</f>
        <v>1</v>
      </c>
      <c r="Q97" s="11" t="str">
        <f>[14]Performance!O20</f>
        <v>N/A</v>
      </c>
      <c r="R97" s="11">
        <f>[14]Performance!P20</f>
        <v>0.94</v>
      </c>
    </row>
    <row r="98" spans="1:20" x14ac:dyDescent="0.3">
      <c r="A98" s="38" t="s">
        <v>68</v>
      </c>
      <c r="B98" s="9" t="s">
        <v>65</v>
      </c>
      <c r="C98" s="9" t="s">
        <v>37</v>
      </c>
      <c r="D98" s="9">
        <f>SUM(D99:D115)</f>
        <v>10</v>
      </c>
      <c r="E98" s="9">
        <f>COUNTIF(E99:E115, "&gt;79%")</f>
        <v>10</v>
      </c>
      <c r="F98" s="9">
        <f>COUNTIF(F99:F115, "&gt;79%")</f>
        <v>10</v>
      </c>
      <c r="G98" s="9">
        <f>COUNTIF(G99:G115, "&gt;79%")</f>
        <v>10</v>
      </c>
      <c r="H98" s="9">
        <f>COUNTIF(H99:H115, "&gt;79%")</f>
        <v>10</v>
      </c>
      <c r="I98" s="9">
        <f>COUNTIF(I99:I115, "&gt;79%")</f>
        <v>9</v>
      </c>
      <c r="J98" s="9" t="s">
        <v>25</v>
      </c>
      <c r="K98" s="9">
        <f>COUNTIF(K99:K115, "&gt;79%")</f>
        <v>10</v>
      </c>
      <c r="L98" s="9">
        <f>COUNTIF(L99:L115, "&gt;79%")</f>
        <v>10</v>
      </c>
      <c r="M98" s="9" t="s">
        <v>25</v>
      </c>
      <c r="N98" s="9" t="s">
        <v>25</v>
      </c>
      <c r="O98" s="9" t="s">
        <v>25</v>
      </c>
      <c r="P98" s="9">
        <f>COUNTIF(P99:P115, "&gt;79%")</f>
        <v>10</v>
      </c>
      <c r="Q98" s="9" t="s">
        <v>25</v>
      </c>
      <c r="R98" s="9">
        <f>COUNTIF(R99:R115, "&gt;79%")</f>
        <v>10</v>
      </c>
      <c r="S98" s="9"/>
      <c r="T98" s="30"/>
    </row>
    <row r="99" spans="1:20" x14ac:dyDescent="0.3">
      <c r="A99" s="35">
        <f>'[15]Student Data'!M5</f>
        <v>0</v>
      </c>
      <c r="B99" s="35" t="str">
        <f>[15]Reporting!C4</f>
        <v>Did not Start</v>
      </c>
      <c r="C99" s="39" t="str">
        <f>[15]Reporting!F4</f>
        <v>Jasmine Sharon Adanza</v>
      </c>
      <c r="D99" s="35" cm="1">
        <f t="array" ref="D99">--(SUM(COUNTIF(B99,{"*nest*","*grad*","*trans*","*1B*","*1C*"}))&gt;0)</f>
        <v>0</v>
      </c>
      <c r="E99" s="40" t="str">
        <f>[15]Performance!Q5</f>
        <v>N/A</v>
      </c>
      <c r="F99" s="40" t="str">
        <f>[15]Performance!R5</f>
        <v>N/A</v>
      </c>
      <c r="G99" s="40" t="str">
        <f>[15]Performance!S5</f>
        <v>N/A</v>
      </c>
      <c r="H99" s="40" t="str">
        <f>[15]Performance!T5</f>
        <v>N/A</v>
      </c>
      <c r="I99" s="40" t="str">
        <f>[15]Performance!U5</f>
        <v>N/A</v>
      </c>
      <c r="J99" s="40" t="str">
        <f>[15]Performance!H5</f>
        <v>N/A</v>
      </c>
      <c r="K99" s="40" t="str">
        <f>[15]Performance!I5</f>
        <v>N/A</v>
      </c>
      <c r="L99" s="40" t="str">
        <f>[15]Performance!J5</f>
        <v>N/A</v>
      </c>
      <c r="M99" s="40" t="str">
        <f>[15]Performance!K5</f>
        <v>N/A</v>
      </c>
      <c r="N99" s="40" t="str">
        <f>[15]Performance!L5</f>
        <v>N/A</v>
      </c>
      <c r="O99" s="40" t="str">
        <f>[15]Performance!M5</f>
        <v>N/A</v>
      </c>
      <c r="P99" s="40" t="str">
        <f>[15]Performance!N5</f>
        <v>N/A</v>
      </c>
      <c r="Q99" s="40" t="str">
        <f>[15]Performance!O5</f>
        <v>N/A</v>
      </c>
      <c r="R99" s="40" t="str">
        <f>[15]Performance!P5</f>
        <v>N/A</v>
      </c>
      <c r="S99" s="35"/>
      <c r="T99" s="35"/>
    </row>
    <row r="100" spans="1:20" x14ac:dyDescent="0.3">
      <c r="A100" s="35">
        <f>'[15]Student Data'!M6</f>
        <v>346038</v>
      </c>
      <c r="B100" s="35" t="str">
        <f>[15]Reporting!C5</f>
        <v>Tier 1B</v>
      </c>
      <c r="C100" s="39" t="str">
        <f>[15]Reporting!F5</f>
        <v>Jullia Alegre</v>
      </c>
      <c r="D100" s="35" cm="1">
        <f t="array" ref="D100">--(SUM(COUNTIF(B100,{"*nest*","*grad*","*trans*","*1B*","*1C*"}))&gt;0)</f>
        <v>1</v>
      </c>
      <c r="E100" s="40">
        <f>[15]Performance!Q6</f>
        <v>1</v>
      </c>
      <c r="F100" s="40">
        <f>[15]Performance!R6</f>
        <v>1</v>
      </c>
      <c r="G100" s="40">
        <f>[15]Performance!S6</f>
        <v>0.92</v>
      </c>
      <c r="H100" s="40">
        <f>[15]Performance!T6</f>
        <v>0.8</v>
      </c>
      <c r="I100" s="40">
        <f>[15]Performance!U6</f>
        <v>0.98</v>
      </c>
      <c r="J100" s="40" t="str">
        <f>[15]Performance!H6</f>
        <v>Manila Data</v>
      </c>
      <c r="K100" s="40">
        <f>[15]Performance!I6</f>
        <v>0.88</v>
      </c>
      <c r="L100" s="40">
        <f>[15]Performance!J6</f>
        <v>1</v>
      </c>
      <c r="M100" s="40" t="str">
        <f>[15]Performance!K6</f>
        <v>Manila Data</v>
      </c>
      <c r="N100" s="40" t="str">
        <f>[15]Performance!L6</f>
        <v>Manila Data</v>
      </c>
      <c r="O100" s="40" t="str">
        <f>[15]Performance!M6</f>
        <v>Manila Data</v>
      </c>
      <c r="P100" s="40">
        <f>[15]Performance!N6</f>
        <v>1</v>
      </c>
      <c r="Q100" s="40" t="str">
        <f>[15]Performance!O6</f>
        <v>Manila Data</v>
      </c>
      <c r="R100" s="40">
        <f>[15]Performance!P6</f>
        <v>1</v>
      </c>
      <c r="S100" s="35"/>
      <c r="T100" s="35"/>
    </row>
    <row r="101" spans="1:20" x14ac:dyDescent="0.3">
      <c r="A101" s="35">
        <f>'[15]Student Data'!M7</f>
        <v>0</v>
      </c>
      <c r="B101" s="35" t="str">
        <f>[15]Reporting!C6</f>
        <v>Did not Start</v>
      </c>
      <c r="C101" s="39" t="str">
        <f>[15]Reporting!F6</f>
        <v>Roman Nicko  Buday</v>
      </c>
      <c r="D101" s="35" cm="1">
        <f t="array" ref="D101">--(SUM(COUNTIF(B101,{"*nest*","*grad*","*trans*","*1B*","*1C*"}))&gt;0)</f>
        <v>0</v>
      </c>
      <c r="E101" s="40" t="str">
        <f>[15]Performance!Q7</f>
        <v>N/A</v>
      </c>
      <c r="F101" s="40" t="str">
        <f>[15]Performance!R7</f>
        <v>N/A</v>
      </c>
      <c r="G101" s="40" t="str">
        <f>[15]Performance!S7</f>
        <v>N/A</v>
      </c>
      <c r="H101" s="40" t="str">
        <f>[15]Performance!T7</f>
        <v>N/A</v>
      </c>
      <c r="I101" s="40" t="str">
        <f>[15]Performance!U7</f>
        <v>N/A</v>
      </c>
      <c r="J101" s="40" t="str">
        <f>[15]Performance!H7</f>
        <v>N/A</v>
      </c>
      <c r="K101" s="40" t="str">
        <f>[15]Performance!I7</f>
        <v>N/A</v>
      </c>
      <c r="L101" s="40" t="str">
        <f>[15]Performance!J7</f>
        <v>N/A</v>
      </c>
      <c r="M101" s="40" t="str">
        <f>[15]Performance!K7</f>
        <v>N/A</v>
      </c>
      <c r="N101" s="40" t="str">
        <f>[15]Performance!L7</f>
        <v>N/A</v>
      </c>
      <c r="O101" s="40" t="str">
        <f>[15]Performance!M7</f>
        <v>N/A</v>
      </c>
      <c r="P101" s="40" t="str">
        <f>[15]Performance!N7</f>
        <v>N/A</v>
      </c>
      <c r="Q101" s="40" t="str">
        <f>[15]Performance!O7</f>
        <v>N/A</v>
      </c>
      <c r="R101" s="40" t="str">
        <f>[15]Performance!P7</f>
        <v>N/A</v>
      </c>
      <c r="S101" s="35"/>
      <c r="T101" s="35"/>
    </row>
    <row r="102" spans="1:20" x14ac:dyDescent="0.3">
      <c r="A102" s="35">
        <f>'[15]Student Data'!M8</f>
        <v>346072</v>
      </c>
      <c r="B102" s="35" t="str">
        <f>[15]Reporting!C7</f>
        <v>Tier 1B</v>
      </c>
      <c r="C102" s="39" t="str">
        <f>[15]Reporting!F7</f>
        <v>Christian Sen  Canales</v>
      </c>
      <c r="D102" s="35" cm="1">
        <f t="array" ref="D102">--(SUM(COUNTIF(B102,{"*nest*","*grad*","*trans*","*1B*","*1C*"}))&gt;0)</f>
        <v>1</v>
      </c>
      <c r="E102" s="40">
        <f>[15]Performance!Q8</f>
        <v>1</v>
      </c>
      <c r="F102" s="40">
        <f>[15]Performance!R8</f>
        <v>1</v>
      </c>
      <c r="G102" s="40">
        <f>[15]Performance!S8</f>
        <v>0.84</v>
      </c>
      <c r="H102" s="40">
        <f>[15]Performance!T8</f>
        <v>0.8</v>
      </c>
      <c r="I102" s="40">
        <f>[15]Performance!U8</f>
        <v>1</v>
      </c>
      <c r="J102" s="40" t="str">
        <f>[15]Performance!H8</f>
        <v>Manila Data</v>
      </c>
      <c r="K102" s="40">
        <f>[15]Performance!I8</f>
        <v>1</v>
      </c>
      <c r="L102" s="40">
        <f>[15]Performance!J8</f>
        <v>1</v>
      </c>
      <c r="M102" s="40" t="str">
        <f>[15]Performance!K8</f>
        <v>Manila Data</v>
      </c>
      <c r="N102" s="40" t="str">
        <f>[15]Performance!L8</f>
        <v>Manila Data</v>
      </c>
      <c r="O102" s="40" t="str">
        <f>[15]Performance!M8</f>
        <v>Manila Data</v>
      </c>
      <c r="P102" s="40">
        <f>[15]Performance!N8</f>
        <v>1</v>
      </c>
      <c r="Q102" s="40" t="str">
        <f>[15]Performance!O8</f>
        <v>Manila Data</v>
      </c>
      <c r="R102" s="40">
        <f>[15]Performance!P8</f>
        <v>1</v>
      </c>
      <c r="S102" s="35"/>
      <c r="T102" s="35"/>
    </row>
    <row r="103" spans="1:20" x14ac:dyDescent="0.3">
      <c r="A103" s="35">
        <f>'[15]Student Data'!M9</f>
        <v>0</v>
      </c>
      <c r="B103" s="35" t="str">
        <f>[15]Reporting!C8</f>
        <v>Did not Start</v>
      </c>
      <c r="C103" s="39" t="str">
        <f>[15]Reporting!F8</f>
        <v>Catherine  Del Rosario</v>
      </c>
      <c r="D103" s="35" cm="1">
        <f t="array" ref="D103">--(SUM(COUNTIF(B103,{"*nest*","*grad*","*trans*","*1B*","*1C*"}))&gt;0)</f>
        <v>0</v>
      </c>
      <c r="E103" s="40" t="str">
        <f>[15]Performance!Q9</f>
        <v>N/A</v>
      </c>
      <c r="F103" s="40" t="str">
        <f>[15]Performance!R9</f>
        <v>N/A</v>
      </c>
      <c r="G103" s="40" t="str">
        <f>[15]Performance!S9</f>
        <v>N/A</v>
      </c>
      <c r="H103" s="40" t="str">
        <f>[15]Performance!T9</f>
        <v>N/A</v>
      </c>
      <c r="I103" s="40" t="str">
        <f>[15]Performance!U9</f>
        <v>N/A</v>
      </c>
      <c r="J103" s="40" t="str">
        <f>[15]Performance!H9</f>
        <v>N/A</v>
      </c>
      <c r="K103" s="40" t="str">
        <f>[15]Performance!I9</f>
        <v>N/A</v>
      </c>
      <c r="L103" s="40" t="str">
        <f>[15]Performance!J9</f>
        <v>N/A</v>
      </c>
      <c r="M103" s="40" t="str">
        <f>[15]Performance!K9</f>
        <v>N/A</v>
      </c>
      <c r="N103" s="40" t="str">
        <f>[15]Performance!L9</f>
        <v>N/A</v>
      </c>
      <c r="O103" s="40" t="str">
        <f>[15]Performance!M9</f>
        <v>N/A</v>
      </c>
      <c r="P103" s="40" t="str">
        <f>[15]Performance!N9</f>
        <v>N/A</v>
      </c>
      <c r="Q103" s="40" t="str">
        <f>[15]Performance!O9</f>
        <v>N/A</v>
      </c>
      <c r="R103" s="40" t="str">
        <f>[15]Performance!P9</f>
        <v>N/A</v>
      </c>
      <c r="S103" s="35"/>
      <c r="T103" s="35"/>
    </row>
    <row r="104" spans="1:20" x14ac:dyDescent="0.3">
      <c r="A104" s="35">
        <f>'[15]Student Data'!M10</f>
        <v>0</v>
      </c>
      <c r="B104" s="35" t="str">
        <f>[15]Reporting!C9</f>
        <v>Did not Start</v>
      </c>
      <c r="C104" s="39" t="str">
        <f>[15]Reporting!F9</f>
        <v>May  Labante</v>
      </c>
      <c r="D104" s="35" cm="1">
        <f t="array" ref="D104">--(SUM(COUNTIF(B104,{"*nest*","*grad*","*trans*","*1B*","*1C*"}))&gt;0)</f>
        <v>0</v>
      </c>
      <c r="E104" s="40" t="str">
        <f>[15]Performance!Q10</f>
        <v>N/A</v>
      </c>
      <c r="F104" s="40" t="str">
        <f>[15]Performance!R10</f>
        <v>N/A</v>
      </c>
      <c r="G104" s="40" t="str">
        <f>[15]Performance!S10</f>
        <v>N/A</v>
      </c>
      <c r="H104" s="40" t="str">
        <f>[15]Performance!T10</f>
        <v>N/A</v>
      </c>
      <c r="I104" s="40" t="str">
        <f>[15]Performance!U10</f>
        <v>N/A</v>
      </c>
      <c r="J104" s="40" t="str">
        <f>[15]Performance!H10</f>
        <v>N/A</v>
      </c>
      <c r="K104" s="40" t="str">
        <f>[15]Performance!I10</f>
        <v>N/A</v>
      </c>
      <c r="L104" s="40" t="str">
        <f>[15]Performance!J10</f>
        <v>N/A</v>
      </c>
      <c r="M104" s="40" t="str">
        <f>[15]Performance!K10</f>
        <v>N/A</v>
      </c>
      <c r="N104" s="40" t="str">
        <f>[15]Performance!L10</f>
        <v>N/A</v>
      </c>
      <c r="O104" s="40" t="str">
        <f>[15]Performance!M10</f>
        <v>N/A</v>
      </c>
      <c r="P104" s="40" t="str">
        <f>[15]Performance!N10</f>
        <v>N/A</v>
      </c>
      <c r="Q104" s="40" t="str">
        <f>[15]Performance!O10</f>
        <v>N/A</v>
      </c>
      <c r="R104" s="40" t="str">
        <f>[15]Performance!P10</f>
        <v>N/A</v>
      </c>
      <c r="S104" s="35"/>
      <c r="T104" s="35"/>
    </row>
    <row r="105" spans="1:20" x14ac:dyDescent="0.3">
      <c r="A105" s="35">
        <f>'[15]Student Data'!M11</f>
        <v>346123</v>
      </c>
      <c r="B105" s="35" t="str">
        <f>[15]Reporting!C10</f>
        <v>Tier 1B</v>
      </c>
      <c r="C105" s="39" t="str">
        <f>[15]Reporting!F10</f>
        <v>Eric  Mallanao Jr.</v>
      </c>
      <c r="D105" s="35" cm="1">
        <f t="array" ref="D105">--(SUM(COUNTIF(B105,{"*nest*","*grad*","*trans*","*1B*","*1C*"}))&gt;0)</f>
        <v>1</v>
      </c>
      <c r="E105" s="40">
        <f>[15]Performance!Q11</f>
        <v>1</v>
      </c>
      <c r="F105" s="40">
        <f>[15]Performance!R11</f>
        <v>1</v>
      </c>
      <c r="G105" s="40">
        <f>[15]Performance!S11</f>
        <v>0.82</v>
      </c>
      <c r="H105" s="40">
        <f>[15]Performance!T11</f>
        <v>0.8</v>
      </c>
      <c r="I105" s="40">
        <f>[15]Performance!U11</f>
        <v>0.85</v>
      </c>
      <c r="J105" s="40" t="str">
        <f>[15]Performance!H11</f>
        <v>Manila Data</v>
      </c>
      <c r="K105" s="40">
        <f>[15]Performance!I11</f>
        <v>1</v>
      </c>
      <c r="L105" s="40">
        <f>[15]Performance!J11</f>
        <v>1</v>
      </c>
      <c r="M105" s="40" t="str">
        <f>[15]Performance!K11</f>
        <v>Manila Data</v>
      </c>
      <c r="N105" s="40" t="str">
        <f>[15]Performance!L11</f>
        <v>Manila Data</v>
      </c>
      <c r="O105" s="40" t="str">
        <f>[15]Performance!M11</f>
        <v>Manila Data</v>
      </c>
      <c r="P105" s="40">
        <f>[15]Performance!N11</f>
        <v>1</v>
      </c>
      <c r="Q105" s="40" t="str">
        <f>[15]Performance!O11</f>
        <v>Manila Data</v>
      </c>
      <c r="R105" s="40">
        <f>[15]Performance!P11</f>
        <v>1</v>
      </c>
      <c r="S105" s="35"/>
      <c r="T105" s="35"/>
    </row>
    <row r="106" spans="1:20" x14ac:dyDescent="0.3">
      <c r="A106" s="35">
        <f>'[15]Student Data'!M12</f>
        <v>346064</v>
      </c>
      <c r="B106" s="35" t="str">
        <f>[15]Reporting!C11</f>
        <v>Tier 1B</v>
      </c>
      <c r="C106" s="39" t="str">
        <f>[15]Reporting!F11</f>
        <v>Rein Juvette  Miclat</v>
      </c>
      <c r="D106" s="35" cm="1">
        <f t="array" ref="D106">--(SUM(COUNTIF(B106,{"*nest*","*grad*","*trans*","*1B*","*1C*"}))&gt;0)</f>
        <v>1</v>
      </c>
      <c r="E106" s="40">
        <f>[15]Performance!Q12</f>
        <v>1</v>
      </c>
      <c r="F106" s="40">
        <f>[15]Performance!R12</f>
        <v>1</v>
      </c>
      <c r="G106" s="40">
        <f>[15]Performance!S12</f>
        <v>0.88</v>
      </c>
      <c r="H106" s="40">
        <f>[15]Performance!T12</f>
        <v>1</v>
      </c>
      <c r="I106" s="40">
        <f>[15]Performance!U12</f>
        <v>0.8</v>
      </c>
      <c r="J106" s="40" t="str">
        <f>[15]Performance!H12</f>
        <v>Manila Data</v>
      </c>
      <c r="K106" s="40">
        <f>[15]Performance!I12</f>
        <v>1</v>
      </c>
      <c r="L106" s="40">
        <f>[15]Performance!J12</f>
        <v>1</v>
      </c>
      <c r="M106" s="40" t="str">
        <f>[15]Performance!K12</f>
        <v>Manila Data</v>
      </c>
      <c r="N106" s="40" t="str">
        <f>[15]Performance!L12</f>
        <v>Manila Data</v>
      </c>
      <c r="O106" s="40" t="str">
        <f>[15]Performance!M12</f>
        <v>Manila Data</v>
      </c>
      <c r="P106" s="40">
        <f>[15]Performance!N12</f>
        <v>1</v>
      </c>
      <c r="Q106" s="40" t="str">
        <f>[15]Performance!O12</f>
        <v>Manila Data</v>
      </c>
      <c r="R106" s="40">
        <f>[15]Performance!P12</f>
        <v>1</v>
      </c>
      <c r="S106" s="35"/>
      <c r="T106" s="35"/>
    </row>
    <row r="107" spans="1:20" x14ac:dyDescent="0.3">
      <c r="A107" s="35">
        <f>'[15]Student Data'!M13</f>
        <v>0</v>
      </c>
      <c r="B107" s="35" t="str">
        <f>[15]Reporting!C12</f>
        <v>Did not Start</v>
      </c>
      <c r="C107" s="39" t="str">
        <f>[15]Reporting!F12</f>
        <v>Alessandra  Nola</v>
      </c>
      <c r="D107" s="35" cm="1">
        <f t="array" ref="D107">--(SUM(COUNTIF(B107,{"*nest*","*grad*","*trans*","*1B*","*1C*"}))&gt;0)</f>
        <v>0</v>
      </c>
      <c r="E107" s="40" t="str">
        <f>[15]Performance!Q13</f>
        <v>N/A</v>
      </c>
      <c r="F107" s="40" t="str">
        <f>[15]Performance!R13</f>
        <v>N/A</v>
      </c>
      <c r="G107" s="40" t="str">
        <f>[15]Performance!S13</f>
        <v>N/A</v>
      </c>
      <c r="H107" s="40" t="str">
        <f>[15]Performance!T13</f>
        <v>N/A</v>
      </c>
      <c r="I107" s="40" t="str">
        <f>[15]Performance!U13</f>
        <v>N/A</v>
      </c>
      <c r="J107" s="40" t="str">
        <f>[15]Performance!H13</f>
        <v>N/A</v>
      </c>
      <c r="K107" s="40" t="str">
        <f>[15]Performance!I13</f>
        <v>N/A</v>
      </c>
      <c r="L107" s="40" t="str">
        <f>[15]Performance!J13</f>
        <v>N/A</v>
      </c>
      <c r="M107" s="40" t="str">
        <f>[15]Performance!K13</f>
        <v>N/A</v>
      </c>
      <c r="N107" s="40" t="str">
        <f>[15]Performance!L13</f>
        <v>N/A</v>
      </c>
      <c r="O107" s="40" t="str">
        <f>[15]Performance!M13</f>
        <v>N/A</v>
      </c>
      <c r="P107" s="40" t="str">
        <f>[15]Performance!N13</f>
        <v>N/A</v>
      </c>
      <c r="Q107" s="40" t="str">
        <f>[15]Performance!O13</f>
        <v>N/A</v>
      </c>
      <c r="R107" s="40" t="str">
        <f>[15]Performance!P13</f>
        <v>N/A</v>
      </c>
      <c r="S107" s="35"/>
      <c r="T107" s="35"/>
    </row>
    <row r="108" spans="1:20" x14ac:dyDescent="0.3">
      <c r="A108" s="35">
        <f>'[15]Student Data'!M14</f>
        <v>346067</v>
      </c>
      <c r="B108" s="35" t="str">
        <f>[15]Reporting!C13</f>
        <v>Tier 1B</v>
      </c>
      <c r="C108" s="39" t="str">
        <f>[15]Reporting!F13</f>
        <v>Sophia  Parane</v>
      </c>
      <c r="D108" s="35" cm="1">
        <f t="array" ref="D108">--(SUM(COUNTIF(B108,{"*nest*","*grad*","*trans*","*1B*","*1C*"}))&gt;0)</f>
        <v>1</v>
      </c>
      <c r="E108" s="40">
        <f>[15]Performance!Q14</f>
        <v>1</v>
      </c>
      <c r="F108" s="40">
        <f>[15]Performance!R14</f>
        <v>1</v>
      </c>
      <c r="G108" s="40">
        <f>[15]Performance!S14</f>
        <v>0.94</v>
      </c>
      <c r="H108" s="40">
        <f>[15]Performance!T14</f>
        <v>1</v>
      </c>
      <c r="I108" s="40">
        <f>[15]Performance!U14</f>
        <v>1</v>
      </c>
      <c r="J108" s="40" t="str">
        <f>[15]Performance!H14</f>
        <v>Manila Data</v>
      </c>
      <c r="K108" s="40">
        <f>[15]Performance!I14</f>
        <v>0.88</v>
      </c>
      <c r="L108" s="40">
        <f>[15]Performance!J14</f>
        <v>1</v>
      </c>
      <c r="M108" s="40" t="str">
        <f>[15]Performance!K14</f>
        <v>Manila Data</v>
      </c>
      <c r="N108" s="40" t="str">
        <f>[15]Performance!L14</f>
        <v>Manila Data</v>
      </c>
      <c r="O108" s="40" t="str">
        <f>[15]Performance!M14</f>
        <v>Manila Data</v>
      </c>
      <c r="P108" s="40">
        <f>[15]Performance!N14</f>
        <v>1</v>
      </c>
      <c r="Q108" s="40" t="str">
        <f>[15]Performance!O14</f>
        <v>Manila Data</v>
      </c>
      <c r="R108" s="40">
        <f>[15]Performance!P14</f>
        <v>0.94</v>
      </c>
      <c r="S108" s="35"/>
      <c r="T108" s="35"/>
    </row>
    <row r="109" spans="1:20" x14ac:dyDescent="0.3">
      <c r="A109" s="35">
        <f>'[15]Student Data'!M15</f>
        <v>0</v>
      </c>
      <c r="B109" s="35" t="str">
        <f>[15]Reporting!C14</f>
        <v>Did not Start</v>
      </c>
      <c r="C109" s="39" t="str">
        <f>[15]Reporting!F14</f>
        <v>Jo-Anne May  Ramos</v>
      </c>
      <c r="D109" s="35" cm="1">
        <f t="array" ref="D109">--(SUM(COUNTIF(B109,{"*nest*","*grad*","*trans*","*1B*","*1C*"}))&gt;0)</f>
        <v>0</v>
      </c>
      <c r="E109" s="40" t="str">
        <f>[15]Performance!Q15</f>
        <v>N/A</v>
      </c>
      <c r="F109" s="40" t="str">
        <f>[15]Performance!R15</f>
        <v>N/A</v>
      </c>
      <c r="G109" s="40" t="str">
        <f>[15]Performance!S15</f>
        <v>N/A</v>
      </c>
      <c r="H109" s="40" t="str">
        <f>[15]Performance!T15</f>
        <v>N/A</v>
      </c>
      <c r="I109" s="40" t="str">
        <f>[15]Performance!U15</f>
        <v>N/A</v>
      </c>
      <c r="J109" s="40" t="str">
        <f>[15]Performance!H15</f>
        <v>N/A</v>
      </c>
      <c r="K109" s="40" t="str">
        <f>[15]Performance!I15</f>
        <v>N/A</v>
      </c>
      <c r="L109" s="40" t="str">
        <f>[15]Performance!J15</f>
        <v>N/A</v>
      </c>
      <c r="M109" s="40" t="str">
        <f>[15]Performance!K15</f>
        <v>N/A</v>
      </c>
      <c r="N109" s="40" t="str">
        <f>[15]Performance!L15</f>
        <v>N/A</v>
      </c>
      <c r="O109" s="40" t="str">
        <f>[15]Performance!M15</f>
        <v>N/A</v>
      </c>
      <c r="P109" s="40" t="str">
        <f>[15]Performance!N15</f>
        <v>N/A</v>
      </c>
      <c r="Q109" s="40" t="str">
        <f>[15]Performance!O15</f>
        <v>N/A</v>
      </c>
      <c r="R109" s="40" t="str">
        <f>[15]Performance!P15</f>
        <v>N/A</v>
      </c>
      <c r="S109" s="35"/>
      <c r="T109" s="35"/>
    </row>
    <row r="110" spans="1:20" x14ac:dyDescent="0.3">
      <c r="A110" s="35">
        <f>'[15]Student Data'!M16</f>
        <v>346040</v>
      </c>
      <c r="B110" s="35" t="str">
        <f>[15]Reporting!C15</f>
        <v>Tier 1B</v>
      </c>
      <c r="C110" s="39" t="str">
        <f>[15]Reporting!F15</f>
        <v>April John  Rioja</v>
      </c>
      <c r="D110" s="35" cm="1">
        <f t="array" ref="D110">--(SUM(COUNTIF(B110,{"*nest*","*grad*","*trans*","*1B*","*1C*"}))&gt;0)</f>
        <v>1</v>
      </c>
      <c r="E110" s="40">
        <f>[15]Performance!Q16</f>
        <v>1</v>
      </c>
      <c r="F110" s="40">
        <f>[15]Performance!R16</f>
        <v>1</v>
      </c>
      <c r="G110" s="40">
        <f>[15]Performance!S16</f>
        <v>0.81</v>
      </c>
      <c r="H110" s="40">
        <f>[15]Performance!T16</f>
        <v>0.8</v>
      </c>
      <c r="I110" s="40">
        <f>[15]Performance!U16</f>
        <v>0.93</v>
      </c>
      <c r="J110" s="40" t="str">
        <f>[15]Performance!H16</f>
        <v>Manila Data</v>
      </c>
      <c r="K110" s="40">
        <f>[15]Performance!I16</f>
        <v>1</v>
      </c>
      <c r="L110" s="40">
        <f>[15]Performance!J16</f>
        <v>1</v>
      </c>
      <c r="M110" s="40" t="str">
        <f>[15]Performance!K16</f>
        <v>Manila Data</v>
      </c>
      <c r="N110" s="40" t="str">
        <f>[15]Performance!L16</f>
        <v>Manila Data</v>
      </c>
      <c r="O110" s="40" t="str">
        <f>[15]Performance!M16</f>
        <v>Manila Data</v>
      </c>
      <c r="P110" s="40">
        <f>[15]Performance!N16</f>
        <v>1</v>
      </c>
      <c r="Q110" s="40" t="str">
        <f>[15]Performance!O16</f>
        <v>Manila Data</v>
      </c>
      <c r="R110" s="40">
        <f>[15]Performance!P16</f>
        <v>1</v>
      </c>
      <c r="S110" s="35"/>
      <c r="T110" s="35"/>
    </row>
    <row r="111" spans="1:20" x14ac:dyDescent="0.3">
      <c r="A111" s="35">
        <f>'[15]Student Data'!M17</f>
        <v>346119</v>
      </c>
      <c r="B111" s="35" t="str">
        <f>[15]Reporting!C16</f>
        <v>Tier 1B</v>
      </c>
      <c r="C111" s="39" t="str">
        <f>[15]Reporting!F16</f>
        <v>Danica  Rosos</v>
      </c>
      <c r="D111" s="35" cm="1">
        <f t="array" ref="D111">--(SUM(COUNTIF(B111,{"*nest*","*grad*","*trans*","*1B*","*1C*"}))&gt;0)</f>
        <v>1</v>
      </c>
      <c r="E111" s="40">
        <f>[15]Performance!Q17</f>
        <v>1</v>
      </c>
      <c r="F111" s="40">
        <f>[15]Performance!R17</f>
        <v>1</v>
      </c>
      <c r="G111" s="40">
        <f>[15]Performance!S17</f>
        <v>0.94</v>
      </c>
      <c r="H111" s="40">
        <f>[15]Performance!T17</f>
        <v>1</v>
      </c>
      <c r="I111" s="40">
        <f>[15]Performance!U17</f>
        <v>0.99</v>
      </c>
      <c r="J111" s="40" t="str">
        <f>[15]Performance!H17</f>
        <v>Manila Data</v>
      </c>
      <c r="K111" s="40">
        <f>[15]Performance!I17</f>
        <v>1</v>
      </c>
      <c r="L111" s="40">
        <f>[15]Performance!J17</f>
        <v>1</v>
      </c>
      <c r="M111" s="40" t="str">
        <f>[15]Performance!K17</f>
        <v>Manila Data</v>
      </c>
      <c r="N111" s="40" t="str">
        <f>[15]Performance!L17</f>
        <v>Manila Data</v>
      </c>
      <c r="O111" s="40" t="str">
        <f>[15]Performance!M17</f>
        <v>Manila Data</v>
      </c>
      <c r="P111" s="40">
        <f>[15]Performance!N17</f>
        <v>1</v>
      </c>
      <c r="Q111" s="40" t="str">
        <f>[15]Performance!O17</f>
        <v>Manila Data</v>
      </c>
      <c r="R111" s="40">
        <f>[15]Performance!P17</f>
        <v>1</v>
      </c>
      <c r="S111" s="35"/>
      <c r="T111" s="35"/>
    </row>
    <row r="112" spans="1:20" x14ac:dyDescent="0.3">
      <c r="A112" s="35">
        <f>'[15]Student Data'!M18</f>
        <v>0</v>
      </c>
      <c r="B112" s="35" t="str">
        <f>[15]Reporting!C17</f>
        <v>Did not Start</v>
      </c>
      <c r="C112" s="39" t="str">
        <f>[15]Reporting!F17</f>
        <v>Manolo James Sintos Jr</v>
      </c>
      <c r="D112" s="35" cm="1">
        <f t="array" ref="D112">--(SUM(COUNTIF(B112,{"*nest*","*grad*","*trans*","*1B*","*1C*"}))&gt;0)</f>
        <v>0</v>
      </c>
      <c r="E112" s="40" t="str">
        <f>[15]Performance!Q18</f>
        <v>N/A</v>
      </c>
      <c r="F112" s="40" t="str">
        <f>[15]Performance!R18</f>
        <v>N/A</v>
      </c>
      <c r="G112" s="40" t="str">
        <f>[15]Performance!S18</f>
        <v>N/A</v>
      </c>
      <c r="H112" s="40" t="str">
        <f>[15]Performance!T18</f>
        <v>N/A</v>
      </c>
      <c r="I112" s="40" t="str">
        <f>[15]Performance!U18</f>
        <v>N/A</v>
      </c>
      <c r="J112" s="40" t="str">
        <f>[15]Performance!H18</f>
        <v>N/A</v>
      </c>
      <c r="K112" s="40" t="str">
        <f>[15]Performance!I18</f>
        <v>N/A</v>
      </c>
      <c r="L112" s="40" t="str">
        <f>[15]Performance!J18</f>
        <v>N/A</v>
      </c>
      <c r="M112" s="40" t="str">
        <f>[15]Performance!K18</f>
        <v>N/A</v>
      </c>
      <c r="N112" s="40" t="str">
        <f>[15]Performance!L18</f>
        <v>N/A</v>
      </c>
      <c r="O112" s="40" t="str">
        <f>[15]Performance!M18</f>
        <v>N/A</v>
      </c>
      <c r="P112" s="40" t="str">
        <f>[15]Performance!N18</f>
        <v>N/A</v>
      </c>
      <c r="Q112" s="40" t="str">
        <f>[15]Performance!O18</f>
        <v>N/A</v>
      </c>
      <c r="R112" s="40" t="str">
        <f>[15]Performance!P18</f>
        <v>N/A</v>
      </c>
      <c r="S112" s="35"/>
      <c r="T112" s="35"/>
    </row>
    <row r="113" spans="1:20" x14ac:dyDescent="0.3">
      <c r="A113" s="35">
        <f>'[15]Student Data'!M19</f>
        <v>346063</v>
      </c>
      <c r="B113" s="35" t="str">
        <f>[15]Reporting!C18</f>
        <v>Resigned-Nesting 1A</v>
      </c>
      <c r="C113" s="39" t="str">
        <f>[15]Reporting!F18</f>
        <v>Rochelle  Teves</v>
      </c>
      <c r="D113" s="35" cm="1">
        <f t="array" ref="D113">--(SUM(COUNTIF(B113,{"*nest*","*grad*","*trans*","*1B*","*1C*"}))&gt;0)</f>
        <v>1</v>
      </c>
      <c r="E113" s="40">
        <f>[15]Performance!Q19</f>
        <v>1</v>
      </c>
      <c r="F113" s="40">
        <f>[15]Performance!R19</f>
        <v>1</v>
      </c>
      <c r="G113" s="40">
        <f>[15]Performance!S19</f>
        <v>0.92</v>
      </c>
      <c r="H113" s="40">
        <f>[15]Performance!T19</f>
        <v>0.8</v>
      </c>
      <c r="I113" s="40" t="str">
        <f>[15]Performance!U19</f>
        <v>N/A</v>
      </c>
      <c r="J113" s="40" t="str">
        <f>[15]Performance!H19</f>
        <v>Manila Data</v>
      </c>
      <c r="K113" s="40">
        <f>[15]Performance!I19</f>
        <v>0.88</v>
      </c>
      <c r="L113" s="40">
        <f>[15]Performance!J19</f>
        <v>0.8</v>
      </c>
      <c r="M113" s="40" t="str">
        <f>[15]Performance!K19</f>
        <v>Manila Data</v>
      </c>
      <c r="N113" s="40" t="str">
        <f>[15]Performance!L19</f>
        <v>Manila Data</v>
      </c>
      <c r="O113" s="40" t="str">
        <f>[15]Performance!M19</f>
        <v>Manila Data</v>
      </c>
      <c r="P113" s="40">
        <f>[15]Performance!N19</f>
        <v>1</v>
      </c>
      <c r="Q113" s="40" t="str">
        <f>[15]Performance!O19</f>
        <v>Manila Data</v>
      </c>
      <c r="R113" s="40">
        <f>[15]Performance!P19</f>
        <v>1</v>
      </c>
      <c r="S113" s="35"/>
      <c r="T113" s="35"/>
    </row>
    <row r="114" spans="1:20" x14ac:dyDescent="0.3">
      <c r="A114" s="35">
        <f>'[15]Student Data'!M20</f>
        <v>346044</v>
      </c>
      <c r="B114" s="35" t="str">
        <f>[15]Reporting!C19</f>
        <v>Tier 1B</v>
      </c>
      <c r="C114" s="39" t="str">
        <f>[15]Reporting!F19</f>
        <v>Eric  Vicencio</v>
      </c>
      <c r="D114" s="35" cm="1">
        <f t="array" ref="D114">--(SUM(COUNTIF(B114,{"*nest*","*grad*","*trans*","*1B*","*1C*"}))&gt;0)</f>
        <v>1</v>
      </c>
      <c r="E114" s="40">
        <f>[15]Performance!Q20</f>
        <v>1</v>
      </c>
      <c r="F114" s="40">
        <f>[15]Performance!R20</f>
        <v>1</v>
      </c>
      <c r="G114" s="40">
        <f>[15]Performance!S20</f>
        <v>0.86</v>
      </c>
      <c r="H114" s="40">
        <f>[15]Performance!T20</f>
        <v>1</v>
      </c>
      <c r="I114" s="40">
        <f>[15]Performance!U20</f>
        <v>0.9</v>
      </c>
      <c r="J114" s="40" t="str">
        <f>[15]Performance!H20</f>
        <v>Manila Data</v>
      </c>
      <c r="K114" s="40">
        <f>[15]Performance!I20</f>
        <v>1</v>
      </c>
      <c r="L114" s="40">
        <f>[15]Performance!J20</f>
        <v>1</v>
      </c>
      <c r="M114" s="40" t="str">
        <f>[15]Performance!K20</f>
        <v>Manila Data</v>
      </c>
      <c r="N114" s="40" t="str">
        <f>[15]Performance!L20</f>
        <v>Manila Data</v>
      </c>
      <c r="O114" s="40" t="str">
        <f>[15]Performance!M20</f>
        <v>Manila Data</v>
      </c>
      <c r="P114" s="40">
        <f>[15]Performance!N20</f>
        <v>1</v>
      </c>
      <c r="Q114" s="40" t="str">
        <f>[15]Performance!O20</f>
        <v>Manila Data</v>
      </c>
      <c r="R114" s="40">
        <f>[15]Performance!P20</f>
        <v>1</v>
      </c>
      <c r="S114" s="35"/>
      <c r="T114" s="35"/>
    </row>
    <row r="115" spans="1:20" x14ac:dyDescent="0.3">
      <c r="A115" s="35">
        <f>'[15]Student Data'!M21</f>
        <v>402514</v>
      </c>
      <c r="B115" s="35" t="str">
        <f>[15]Reporting!C20</f>
        <v>Tier 1B</v>
      </c>
      <c r="C115" s="39" t="str">
        <f>[15]Reporting!F20</f>
        <v>Juan Miguel Cruz</v>
      </c>
      <c r="D115" s="35" cm="1">
        <f t="array" ref="D115">--(SUM(COUNTIF(B115,{"*nest*","*grad*","*trans*","*1B*","*1C*"}))&gt;0)</f>
        <v>1</v>
      </c>
      <c r="E115" s="40">
        <f>[15]Performance!Q21</f>
        <v>1</v>
      </c>
      <c r="F115" s="40">
        <f>[15]Performance!R21</f>
        <v>1</v>
      </c>
      <c r="G115" s="40">
        <f>[15]Performance!S21</f>
        <v>1</v>
      </c>
      <c r="H115" s="40">
        <f>[15]Performance!T21</f>
        <v>1</v>
      </c>
      <c r="I115" s="40">
        <f>[15]Performance!U21</f>
        <v>1</v>
      </c>
      <c r="J115" s="40">
        <f>[15]Performance!H21</f>
        <v>1</v>
      </c>
      <c r="K115" s="40">
        <f>[15]Performance!I21</f>
        <v>0.88</v>
      </c>
      <c r="L115" s="40">
        <f>[15]Performance!J21</f>
        <v>1</v>
      </c>
      <c r="M115" s="40">
        <f>[15]Performance!K21</f>
        <v>1</v>
      </c>
      <c r="N115" s="40">
        <f>[15]Performance!L21</f>
        <v>1</v>
      </c>
      <c r="O115" s="40">
        <f>[15]Performance!M21</f>
        <v>1</v>
      </c>
      <c r="P115" s="40">
        <f>[15]Performance!N21</f>
        <v>1</v>
      </c>
      <c r="Q115" s="40">
        <f>[15]Performance!O21</f>
        <v>0.82</v>
      </c>
      <c r="R115" s="40">
        <f>[15]Performance!P21</f>
        <v>0.82</v>
      </c>
      <c r="S115" s="35"/>
      <c r="T115" s="35"/>
    </row>
    <row r="116" spans="1:20" x14ac:dyDescent="0.3">
      <c r="A116" s="8" t="s">
        <v>69</v>
      </c>
      <c r="B116" s="43" t="s">
        <v>24</v>
      </c>
      <c r="C116" s="43" t="s">
        <v>29</v>
      </c>
      <c r="D116" s="43">
        <f>SUM(D117:D134)</f>
        <v>14</v>
      </c>
      <c r="E116" s="43">
        <f>COUNTIF(E117:E134, "&gt;79%")</f>
        <v>14</v>
      </c>
      <c r="F116" s="43">
        <f>COUNTIF(F117:F134, "&gt;79%")</f>
        <v>14</v>
      </c>
      <c r="G116" s="43">
        <f>COUNTIF(G117:G134, "&gt;79%")</f>
        <v>14</v>
      </c>
      <c r="H116" s="43">
        <f>COUNTIF(H117:H134, "&gt;79%")</f>
        <v>14</v>
      </c>
      <c r="I116" s="43">
        <f>COUNTIF(I117:I135, "&gt;79%")</f>
        <v>15</v>
      </c>
      <c r="J116" s="43" t="s">
        <v>25</v>
      </c>
      <c r="K116" s="43">
        <f>COUNTIF(K117:K134, "&gt;79%")</f>
        <v>14</v>
      </c>
      <c r="L116" s="43">
        <f>COUNTIF(L117:L134, "&gt;79%")</f>
        <v>14</v>
      </c>
      <c r="M116" s="43" t="s">
        <v>25</v>
      </c>
      <c r="N116" s="43" t="s">
        <v>25</v>
      </c>
      <c r="O116" s="43" t="s">
        <v>25</v>
      </c>
      <c r="P116" s="43">
        <f>COUNTIF(P117:P134, "&gt;79%")</f>
        <v>14</v>
      </c>
      <c r="Q116" s="43" t="s">
        <v>25</v>
      </c>
      <c r="R116" s="43">
        <f>COUNTIF(R117:R134, "&gt;79%")</f>
        <v>14</v>
      </c>
      <c r="S116" s="9"/>
      <c r="T116" s="30">
        <f>'[13]Class Summary'!$B$6</f>
        <v>45848</v>
      </c>
    </row>
    <row r="117" spans="1:20" x14ac:dyDescent="0.3">
      <c r="A117" s="35">
        <f>'[16]Student Data'!M5</f>
        <v>346575</v>
      </c>
      <c r="B117" s="35" t="str">
        <f>[16]Reporting!C4</f>
        <v>Resigned-Nesting 1B</v>
      </c>
      <c r="C117" s="39" t="str">
        <f>[16]Reporting!F4</f>
        <v>Al-Nahar Bocua</v>
      </c>
      <c r="D117" s="35" cm="1">
        <f t="array" ref="D117">--(SUM(COUNTIF(B117,{"*nest*","*grad*","*trans*","*1B*","*1C*"}))&gt;0)</f>
        <v>1</v>
      </c>
      <c r="E117" s="40">
        <f>[16]Performance!Q5</f>
        <v>1</v>
      </c>
      <c r="F117" s="40">
        <f>[16]Performance!R5</f>
        <v>1</v>
      </c>
      <c r="G117" s="40">
        <f>[16]Performance!S5</f>
        <v>0.88</v>
      </c>
      <c r="H117" s="40">
        <f>[16]Performance!T5</f>
        <v>1</v>
      </c>
      <c r="I117" s="40">
        <f>[16]Performance!U5</f>
        <v>0.82</v>
      </c>
      <c r="J117" s="40" t="str">
        <f>[16]Performance!H5</f>
        <v>NTT</v>
      </c>
      <c r="K117" s="40">
        <f>[16]Performance!I5</f>
        <v>0.88</v>
      </c>
      <c r="L117" s="40">
        <f>[16]Performance!J5</f>
        <v>1</v>
      </c>
      <c r="M117" s="40" t="str">
        <f>[16]Performance!K5</f>
        <v>NTT</v>
      </c>
      <c r="N117" s="40" t="str">
        <f>[16]Performance!L5</f>
        <v>NTT</v>
      </c>
      <c r="O117" s="40" t="str">
        <f>[16]Performance!M5</f>
        <v>N/A</v>
      </c>
      <c r="P117" s="40">
        <f>[16]Performance!N5</f>
        <v>1</v>
      </c>
      <c r="Q117" s="40" t="str">
        <f>[16]Performance!O5</f>
        <v>NTT</v>
      </c>
      <c r="R117" s="40">
        <f>[16]Performance!P5</f>
        <v>1</v>
      </c>
    </row>
    <row r="118" spans="1:20" x14ac:dyDescent="0.3">
      <c r="A118" s="35">
        <f>'[16]Student Data'!M6</f>
        <v>346594</v>
      </c>
      <c r="B118" s="35" t="str">
        <f>[16]Reporting!C5</f>
        <v>Terminated-Nesting 3</v>
      </c>
      <c r="C118" s="39" t="str">
        <f>[16]Reporting!F5</f>
        <v>Adrian Pete Buenaflor</v>
      </c>
      <c r="D118" s="35" cm="1">
        <f t="array" ref="D118">--(SUM(COUNTIF(B118,{"*nest*","*grad*","*trans*","*1B*","*1C*"}))&gt;0)</f>
        <v>1</v>
      </c>
      <c r="E118" s="40">
        <f>[16]Performance!Q6</f>
        <v>1</v>
      </c>
      <c r="F118" s="40">
        <f>[16]Performance!R6</f>
        <v>1</v>
      </c>
      <c r="G118" s="40">
        <f>[16]Performance!S6</f>
        <v>0.9</v>
      </c>
      <c r="H118" s="40">
        <f>[16]Performance!T6</f>
        <v>1</v>
      </c>
      <c r="I118" s="40">
        <f>[16]Performance!U6</f>
        <v>1</v>
      </c>
      <c r="J118" s="40" t="str">
        <f>[16]Performance!H6</f>
        <v>NTT</v>
      </c>
      <c r="K118" s="40">
        <f>[16]Performance!I6</f>
        <v>0.88</v>
      </c>
      <c r="L118" s="40">
        <f>[16]Performance!J6</f>
        <v>1</v>
      </c>
      <c r="M118" s="40" t="str">
        <f>[16]Performance!K6</f>
        <v>NTT</v>
      </c>
      <c r="N118" s="40" t="str">
        <f>[16]Performance!L6</f>
        <v>NTT</v>
      </c>
      <c r="O118" s="40" t="str">
        <f>[16]Performance!M6</f>
        <v>N/A</v>
      </c>
      <c r="P118" s="40">
        <f>[16]Performance!N6</f>
        <v>1</v>
      </c>
      <c r="Q118" s="40" t="str">
        <f>[16]Performance!O6</f>
        <v>NTT</v>
      </c>
      <c r="R118" s="40">
        <f>[16]Performance!P6</f>
        <v>0.8</v>
      </c>
    </row>
    <row r="119" spans="1:20" x14ac:dyDescent="0.3">
      <c r="A119" s="35">
        <f>'[16]Student Data'!M7</f>
        <v>346576</v>
      </c>
      <c r="B119" s="35" t="str">
        <f>[16]Reporting!C6</f>
        <v>Transition to Production with SMART plan</v>
      </c>
      <c r="C119" s="39" t="str">
        <f>[16]Reporting!F6</f>
        <v>Michelle Chongco</v>
      </c>
      <c r="D119" s="35" cm="1">
        <f t="array" ref="D119">--(SUM(COUNTIF(B119,{"*nest*","*grad*","*trans*","*1B*","*1C*"}))&gt;0)</f>
        <v>1</v>
      </c>
      <c r="E119" s="40">
        <f>[16]Performance!Q7</f>
        <v>1</v>
      </c>
      <c r="F119" s="40">
        <f>[16]Performance!R7</f>
        <v>1</v>
      </c>
      <c r="G119" s="40">
        <f>[16]Performance!S7</f>
        <v>0.86</v>
      </c>
      <c r="H119" s="40">
        <f>[16]Performance!T7</f>
        <v>0.8</v>
      </c>
      <c r="I119" s="40">
        <f>[16]Performance!U7</f>
        <v>1</v>
      </c>
      <c r="J119" s="40" t="str">
        <f>[16]Performance!H7</f>
        <v>NTT</v>
      </c>
      <c r="K119" s="40">
        <f>[16]Performance!I7</f>
        <v>0.88</v>
      </c>
      <c r="L119" s="40">
        <f>[16]Performance!J7</f>
        <v>1</v>
      </c>
      <c r="M119" s="40" t="str">
        <f>[16]Performance!K7</f>
        <v>NTT</v>
      </c>
      <c r="N119" s="40" t="str">
        <f>[16]Performance!L7</f>
        <v>NTT</v>
      </c>
      <c r="O119" s="40" t="str">
        <f>[16]Performance!M7</f>
        <v>N/A</v>
      </c>
      <c r="P119" s="40">
        <f>[16]Performance!N7</f>
        <v>1</v>
      </c>
      <c r="Q119" s="40" t="str">
        <f>[16]Performance!O7</f>
        <v>NTT</v>
      </c>
      <c r="R119" s="40">
        <f>[16]Performance!P7</f>
        <v>1</v>
      </c>
    </row>
    <row r="120" spans="1:20" x14ac:dyDescent="0.3">
      <c r="A120" s="35">
        <f>'[16]Student Data'!M8</f>
        <v>346570</v>
      </c>
      <c r="B120" s="35" t="str">
        <f>[16]Reporting!C7</f>
        <v>Transition to Production</v>
      </c>
      <c r="C120" s="39" t="str">
        <f>[16]Reporting!F7</f>
        <v>Fiannah Marie Claro</v>
      </c>
      <c r="D120" s="35" cm="1">
        <f t="array" ref="D120">--(SUM(COUNTIF(B120,{"*nest*","*grad*","*trans*","*1B*","*1C*"}))&gt;0)</f>
        <v>1</v>
      </c>
      <c r="E120" s="40">
        <f>[16]Performance!Q8</f>
        <v>1</v>
      </c>
      <c r="F120" s="40">
        <f>[16]Performance!R8</f>
        <v>1</v>
      </c>
      <c r="G120" s="40">
        <f>[16]Performance!S8</f>
        <v>1</v>
      </c>
      <c r="H120" s="40">
        <f>[16]Performance!T8</f>
        <v>1</v>
      </c>
      <c r="I120" s="40">
        <f>[16]Performance!U8</f>
        <v>0.9</v>
      </c>
      <c r="J120" s="40" t="str">
        <f>[16]Performance!H8</f>
        <v>NTT</v>
      </c>
      <c r="K120" s="40">
        <f>[16]Performance!I8</f>
        <v>1</v>
      </c>
      <c r="L120" s="40">
        <f>[16]Performance!J8</f>
        <v>1</v>
      </c>
      <c r="M120" s="40" t="str">
        <f>[16]Performance!K8</f>
        <v>NTT</v>
      </c>
      <c r="N120" s="40" t="str">
        <f>[16]Performance!L8</f>
        <v>NTT</v>
      </c>
      <c r="O120" s="40" t="str">
        <f>[16]Performance!M8</f>
        <v>N/A</v>
      </c>
      <c r="P120" s="40">
        <f>[16]Performance!N8</f>
        <v>1</v>
      </c>
      <c r="Q120" s="40" t="str">
        <f>[16]Performance!O8</f>
        <v>NTT</v>
      </c>
      <c r="R120" s="40">
        <f>[16]Performance!P8</f>
        <v>1</v>
      </c>
    </row>
    <row r="121" spans="1:20" x14ac:dyDescent="0.3">
      <c r="A121" s="35">
        <f>'[16]Student Data'!M9</f>
        <v>341518</v>
      </c>
      <c r="B121" s="35" t="str">
        <f>[16]Reporting!C8</f>
        <v>Terminated Tier 1B</v>
      </c>
      <c r="C121" s="39" t="str">
        <f>[16]Reporting!F8</f>
        <v>Tuesday Brea Cruz</v>
      </c>
      <c r="D121" s="35" cm="1">
        <f t="array" ref="D121">--(SUM(COUNTIF(B121,{"*nest*","*grad*","*trans*","*1B*","*1C*"}))&gt;0)</f>
        <v>1</v>
      </c>
      <c r="E121" s="40">
        <f>[16]Performance!Q9</f>
        <v>1</v>
      </c>
      <c r="F121" s="40">
        <f>[16]Performance!R9</f>
        <v>1</v>
      </c>
      <c r="G121" s="40">
        <f>[16]Performance!S9</f>
        <v>1</v>
      </c>
      <c r="H121" s="40">
        <f>[16]Performance!T9</f>
        <v>0.8</v>
      </c>
      <c r="I121" s="40">
        <f>[16]Performance!U9</f>
        <v>0.9</v>
      </c>
      <c r="J121" s="40" t="str">
        <f>[16]Performance!H9</f>
        <v>NTT</v>
      </c>
      <c r="K121" s="40">
        <f>[16]Performance!I9</f>
        <v>1</v>
      </c>
      <c r="L121" s="40">
        <f>[16]Performance!J9</f>
        <v>1</v>
      </c>
      <c r="M121" s="40" t="str">
        <f>[16]Performance!K9</f>
        <v>NTT</v>
      </c>
      <c r="N121" s="40" t="str">
        <f>[16]Performance!L9</f>
        <v>NTT</v>
      </c>
      <c r="O121" s="40" t="str">
        <f>[16]Performance!M9</f>
        <v>N/A</v>
      </c>
      <c r="P121" s="40">
        <f>[16]Performance!N9</f>
        <v>1</v>
      </c>
      <c r="Q121" s="40" t="str">
        <f>[16]Performance!O9</f>
        <v>NTT</v>
      </c>
      <c r="R121" s="40">
        <f>[16]Performance!P9</f>
        <v>0.92</v>
      </c>
    </row>
    <row r="122" spans="1:20" x14ac:dyDescent="0.3">
      <c r="A122" s="35">
        <f>'[16]Student Data'!M10</f>
        <v>346587</v>
      </c>
      <c r="B122" s="35" t="str">
        <f>[16]Reporting!C9</f>
        <v>Terminated-Nesting 3</v>
      </c>
      <c r="C122" s="39" t="str">
        <f>[16]Reporting!F9</f>
        <v>Jacquelene Dingcong</v>
      </c>
      <c r="D122" s="35" cm="1">
        <f t="array" ref="D122">--(SUM(COUNTIF(B122,{"*nest*","*grad*","*trans*","*1B*","*1C*"}))&gt;0)</f>
        <v>1</v>
      </c>
      <c r="E122" s="40">
        <f>[16]Performance!Q10</f>
        <v>1</v>
      </c>
      <c r="F122" s="40">
        <f>[16]Performance!R10</f>
        <v>1</v>
      </c>
      <c r="G122" s="40">
        <f>[16]Performance!S10</f>
        <v>0.94</v>
      </c>
      <c r="H122" s="40">
        <f>[16]Performance!T10</f>
        <v>1</v>
      </c>
      <c r="I122" s="40">
        <f>[16]Performance!U10</f>
        <v>1</v>
      </c>
      <c r="J122" s="40" t="str">
        <f>[16]Performance!H10</f>
        <v>NTT</v>
      </c>
      <c r="K122" s="40">
        <f>[16]Performance!I10</f>
        <v>0.88</v>
      </c>
      <c r="L122" s="40">
        <f>[16]Performance!J10</f>
        <v>1</v>
      </c>
      <c r="M122" s="40" t="str">
        <f>[16]Performance!K10</f>
        <v>NTT</v>
      </c>
      <c r="N122" s="40" t="str">
        <f>[16]Performance!L10</f>
        <v>NTT</v>
      </c>
      <c r="O122" s="40" t="str">
        <f>[16]Performance!M10</f>
        <v>N/A</v>
      </c>
      <c r="P122" s="40">
        <f>[16]Performance!N10</f>
        <v>1</v>
      </c>
      <c r="Q122" s="40" t="str">
        <f>[16]Performance!O10</f>
        <v>NTT</v>
      </c>
      <c r="R122" s="40">
        <f>[16]Performance!P10</f>
        <v>0.94</v>
      </c>
    </row>
    <row r="123" spans="1:20" x14ac:dyDescent="0.3">
      <c r="A123" s="35">
        <f>'[16]Student Data'!M11</f>
        <v>346583</v>
      </c>
      <c r="B123" s="35" t="str">
        <f>[16]Reporting!C10</f>
        <v>Terminated-Nesting 3</v>
      </c>
      <c r="C123" s="39" t="str">
        <f>[16]Reporting!F10</f>
        <v>Moira Esparrago</v>
      </c>
      <c r="D123" s="35" cm="1">
        <f t="array" ref="D123">--(SUM(COUNTIF(B123,{"*nest*","*grad*","*trans*","*1B*","*1C*"}))&gt;0)</f>
        <v>1</v>
      </c>
      <c r="E123" s="40">
        <f>[16]Performance!Q11</f>
        <v>1</v>
      </c>
      <c r="F123" s="40">
        <f>[16]Performance!R11</f>
        <v>1</v>
      </c>
      <c r="G123" s="40">
        <f>[16]Performance!S11</f>
        <v>0.88</v>
      </c>
      <c r="H123" s="40">
        <f>[16]Performance!T11</f>
        <v>1</v>
      </c>
      <c r="I123" s="40">
        <f>[16]Performance!U11</f>
        <v>0.93</v>
      </c>
      <c r="J123" s="40" t="str">
        <f>[16]Performance!H11</f>
        <v>NTT</v>
      </c>
      <c r="K123" s="40">
        <f>[16]Performance!I11</f>
        <v>1</v>
      </c>
      <c r="L123" s="40">
        <f>[16]Performance!J11</f>
        <v>1</v>
      </c>
      <c r="M123" s="40" t="str">
        <f>[16]Performance!K11</f>
        <v>NTT</v>
      </c>
      <c r="N123" s="40" t="str">
        <f>[16]Performance!L11</f>
        <v>NTT</v>
      </c>
      <c r="O123" s="40" t="str">
        <f>[16]Performance!M11</f>
        <v>N/A</v>
      </c>
      <c r="P123" s="40">
        <f>[16]Performance!N11</f>
        <v>10</v>
      </c>
      <c r="Q123" s="40" t="str">
        <f>[16]Performance!O11</f>
        <v>NTT</v>
      </c>
      <c r="R123" s="40">
        <f>[16]Performance!P11</f>
        <v>1</v>
      </c>
    </row>
    <row r="124" spans="1:20" x14ac:dyDescent="0.3">
      <c r="A124" s="35">
        <f>'[16]Student Data'!M12</f>
        <v>346577</v>
      </c>
      <c r="B124" s="35" t="str">
        <f>[16]Reporting!C11</f>
        <v>Transition to Production with SMART plan</v>
      </c>
      <c r="C124" s="39" t="str">
        <f>[16]Reporting!F11</f>
        <v>John Mike Genovia</v>
      </c>
      <c r="D124" s="35" cm="1">
        <f t="array" ref="D124">--(SUM(COUNTIF(B124,{"*nest*","*grad*","*trans*","*1B*","*1C*"}))&gt;0)</f>
        <v>1</v>
      </c>
      <c r="E124" s="40">
        <f>[16]Performance!Q12</f>
        <v>1</v>
      </c>
      <c r="F124" s="40">
        <f>[16]Performance!R12</f>
        <v>1</v>
      </c>
      <c r="G124" s="40">
        <f>[16]Performance!S12</f>
        <v>0.88</v>
      </c>
      <c r="H124" s="40">
        <f>[16]Performance!T12</f>
        <v>0.8</v>
      </c>
      <c r="I124" s="40">
        <f>[16]Performance!U12</f>
        <v>0.9</v>
      </c>
      <c r="J124" s="40" t="str">
        <f>[16]Performance!H12</f>
        <v>NTT</v>
      </c>
      <c r="K124" s="40">
        <f>[16]Performance!I12</f>
        <v>0.88</v>
      </c>
      <c r="L124" s="40">
        <f>[16]Performance!J12</f>
        <v>0.8</v>
      </c>
      <c r="M124" s="40" t="str">
        <f>[16]Performance!K12</f>
        <v>NTT</v>
      </c>
      <c r="N124" s="40" t="str">
        <f>[16]Performance!L12</f>
        <v>NTT</v>
      </c>
      <c r="O124" s="40" t="str">
        <f>[16]Performance!M12</f>
        <v>N/A</v>
      </c>
      <c r="P124" s="40">
        <f>[16]Performance!N12</f>
        <v>1</v>
      </c>
      <c r="Q124" s="40" t="str">
        <f>[16]Performance!O12</f>
        <v>NTT</v>
      </c>
      <c r="R124" s="40">
        <f>[16]Performance!P12</f>
        <v>0.94</v>
      </c>
    </row>
    <row r="125" spans="1:20" x14ac:dyDescent="0.3">
      <c r="A125" s="35">
        <f>'[16]Student Data'!M13</f>
        <v>346568</v>
      </c>
      <c r="B125" s="35" t="str">
        <f>[16]Reporting!C12</f>
        <v>Terminated-Nesting 3</v>
      </c>
      <c r="C125" s="39" t="str">
        <f>[16]Reporting!F12</f>
        <v>Joviert Jaducana</v>
      </c>
      <c r="D125" s="35" cm="1">
        <f t="array" ref="D125">--(SUM(COUNTIF(B125,{"*nest*","*grad*","*trans*","*1B*","*1C*"}))&gt;0)</f>
        <v>1</v>
      </c>
      <c r="E125" s="40">
        <f>[16]Performance!Q13</f>
        <v>1</v>
      </c>
      <c r="F125" s="40">
        <f>[16]Performance!R13</f>
        <v>1</v>
      </c>
      <c r="G125" s="40">
        <f>[16]Performance!S13</f>
        <v>1</v>
      </c>
      <c r="H125" s="40">
        <f>[16]Performance!T13</f>
        <v>1</v>
      </c>
      <c r="I125" s="40">
        <f>[16]Performance!U13</f>
        <v>1</v>
      </c>
      <c r="J125" s="40" t="str">
        <f>[16]Performance!H13</f>
        <v>NTT</v>
      </c>
      <c r="K125" s="40">
        <f>[16]Performance!I13</f>
        <v>1</v>
      </c>
      <c r="L125" s="40">
        <f>[16]Performance!J13</f>
        <v>1</v>
      </c>
      <c r="M125" s="40" t="str">
        <f>[16]Performance!K13</f>
        <v>NTT</v>
      </c>
      <c r="N125" s="40" t="str">
        <f>[16]Performance!L13</f>
        <v>NTT</v>
      </c>
      <c r="O125" s="40" t="str">
        <f>[16]Performance!M13</f>
        <v>N/A</v>
      </c>
      <c r="P125" s="40">
        <f>[16]Performance!N13</f>
        <v>1</v>
      </c>
      <c r="Q125" s="40" t="str">
        <f>[16]Performance!O13</f>
        <v>NTT</v>
      </c>
      <c r="R125" s="40">
        <f>[16]Performance!P13</f>
        <v>1</v>
      </c>
    </row>
    <row r="126" spans="1:20" x14ac:dyDescent="0.3">
      <c r="A126" s="35">
        <f>'[16]Student Data'!M14</f>
        <v>346567</v>
      </c>
      <c r="B126" s="35" t="str">
        <f>[16]Reporting!C13</f>
        <v>Transition to Production with SMART plan</v>
      </c>
      <c r="C126" s="39" t="str">
        <f>[16]Reporting!F13</f>
        <v>May Labante</v>
      </c>
      <c r="D126" s="35" cm="1">
        <f t="array" ref="D126">--(SUM(COUNTIF(B126,{"*nest*","*grad*","*trans*","*1B*","*1C*"}))&gt;0)</f>
        <v>1</v>
      </c>
      <c r="E126" s="40">
        <f>[16]Performance!Q14</f>
        <v>1</v>
      </c>
      <c r="F126" s="40">
        <f>[16]Performance!R14</f>
        <v>1</v>
      </c>
      <c r="G126" s="40">
        <f>[16]Performance!S14</f>
        <v>0.94</v>
      </c>
      <c r="H126" s="40">
        <f>[16]Performance!T14</f>
        <v>1</v>
      </c>
      <c r="I126" s="40">
        <f>[16]Performance!U14</f>
        <v>0.95</v>
      </c>
      <c r="J126" s="40" t="str">
        <f>[16]Performance!H14</f>
        <v>NTT</v>
      </c>
      <c r="K126" s="40">
        <f>[16]Performance!I14</f>
        <v>1</v>
      </c>
      <c r="L126" s="40">
        <f>[16]Performance!J14</f>
        <v>1</v>
      </c>
      <c r="M126" s="40" t="str">
        <f>[16]Performance!K14</f>
        <v>NTT</v>
      </c>
      <c r="N126" s="40" t="str">
        <f>[16]Performance!L14</f>
        <v>NTT</v>
      </c>
      <c r="O126" s="40" t="str">
        <f>[16]Performance!M14</f>
        <v>N/A</v>
      </c>
      <c r="P126" s="40">
        <f>[16]Performance!N14</f>
        <v>1</v>
      </c>
      <c r="Q126" s="40" t="str">
        <f>[16]Performance!O14</f>
        <v>NTT</v>
      </c>
      <c r="R126" s="40">
        <f>[16]Performance!P14</f>
        <v>0.82</v>
      </c>
    </row>
    <row r="127" spans="1:20" x14ac:dyDescent="0.3">
      <c r="A127" s="35">
        <f>'[16]Student Data'!M15</f>
        <v>346573</v>
      </c>
      <c r="B127" s="35" t="str">
        <f>[16]Reporting!C14</f>
        <v>Resigned Tier 1B</v>
      </c>
      <c r="C127" s="39" t="str">
        <f>[16]Reporting!F14</f>
        <v>Joana Malabanan</v>
      </c>
      <c r="D127" s="35" cm="1">
        <f t="array" ref="D127">--(SUM(COUNTIF(B127,{"*nest*","*grad*","*trans*","*1B*","*1C*"}))&gt;0)</f>
        <v>1</v>
      </c>
      <c r="E127" s="40">
        <f>[16]Performance!Q15</f>
        <v>1</v>
      </c>
      <c r="F127" s="40">
        <f>[16]Performance!R15</f>
        <v>1</v>
      </c>
      <c r="G127" s="40">
        <f>[16]Performance!S15</f>
        <v>0.88</v>
      </c>
      <c r="H127" s="40">
        <f>[16]Performance!T15</f>
        <v>1</v>
      </c>
      <c r="I127" s="40">
        <f>[16]Performance!U15</f>
        <v>0.9</v>
      </c>
      <c r="J127" s="40" t="str">
        <f>[16]Performance!H15</f>
        <v>NTT</v>
      </c>
      <c r="K127" s="40">
        <f>[16]Performance!I15</f>
        <v>0.88</v>
      </c>
      <c r="L127" s="40">
        <f>[16]Performance!J15</f>
        <v>1</v>
      </c>
      <c r="M127" s="40" t="str">
        <f>[16]Performance!K15</f>
        <v>NTT</v>
      </c>
      <c r="N127" s="40" t="str">
        <f>[16]Performance!L15</f>
        <v>NTT</v>
      </c>
      <c r="O127" s="40" t="str">
        <f>[16]Performance!M15</f>
        <v>N/A</v>
      </c>
      <c r="P127" s="40">
        <f>[16]Performance!N15</f>
        <v>1</v>
      </c>
      <c r="Q127" s="40" t="str">
        <f>[16]Performance!O15</f>
        <v>NTT</v>
      </c>
      <c r="R127" s="40">
        <f>[16]Performance!P15</f>
        <v>0.82</v>
      </c>
    </row>
    <row r="128" spans="1:20" x14ac:dyDescent="0.3">
      <c r="A128" s="35">
        <f>'[16]Student Data'!M16</f>
        <v>346595</v>
      </c>
      <c r="B128" s="35" t="str">
        <f>[16]Reporting!C15</f>
        <v>Resigned Tier 1B</v>
      </c>
      <c r="C128" s="39" t="str">
        <f>[16]Reporting!F15</f>
        <v>Dana Isabelle Obero</v>
      </c>
      <c r="D128" s="35" cm="1">
        <f t="array" ref="D128">--(SUM(COUNTIF(B128,{"*nest*","*grad*","*trans*","*1B*","*1C*"}))&gt;0)</f>
        <v>1</v>
      </c>
      <c r="E128" s="40">
        <f>[16]Performance!Q16</f>
        <v>1</v>
      </c>
      <c r="F128" s="40">
        <f>[16]Performance!R16</f>
        <v>1</v>
      </c>
      <c r="G128" s="40">
        <f>[16]Performance!S16</f>
        <v>0.88</v>
      </c>
      <c r="H128" s="40">
        <f>[16]Performance!T16</f>
        <v>0.8</v>
      </c>
      <c r="I128" s="40">
        <f>[16]Performance!U16</f>
        <v>0.8</v>
      </c>
      <c r="J128" s="40" t="str">
        <f>[16]Performance!H16</f>
        <v>NTT</v>
      </c>
      <c r="K128" s="40">
        <f>[16]Performance!I16</f>
        <v>1</v>
      </c>
      <c r="L128" s="40">
        <f>[16]Performance!J16</f>
        <v>0.8</v>
      </c>
      <c r="M128" s="40" t="str">
        <f>[16]Performance!K16</f>
        <v>NTT</v>
      </c>
      <c r="N128" s="40" t="str">
        <f>[16]Performance!L16</f>
        <v>NTT</v>
      </c>
      <c r="O128" s="40" t="str">
        <f>[16]Performance!M16</f>
        <v>N/A</v>
      </c>
      <c r="P128" s="40">
        <f>[16]Performance!N16</f>
        <v>1</v>
      </c>
      <c r="Q128" s="40" t="str">
        <f>[16]Performance!O16</f>
        <v>NTT</v>
      </c>
      <c r="R128" s="40">
        <f>[16]Performance!P16</f>
        <v>0.94</v>
      </c>
    </row>
    <row r="129" spans="1:20" x14ac:dyDescent="0.3">
      <c r="A129" s="35">
        <f>'[16]Student Data'!M17</f>
        <v>346565</v>
      </c>
      <c r="B129" s="35" t="str">
        <f>[16]Reporting!C16</f>
        <v>Transition to Production with SMART plan</v>
      </c>
      <c r="C129" s="39" t="str">
        <f>[16]Reporting!F16</f>
        <v>Inigo Louise Roces</v>
      </c>
      <c r="D129" s="35" cm="1">
        <f t="array" ref="D129">--(SUM(COUNTIF(B129,{"*nest*","*grad*","*trans*","*1B*","*1C*"}))&gt;0)</f>
        <v>1</v>
      </c>
      <c r="E129" s="40">
        <f>[16]Performance!Q17</f>
        <v>1</v>
      </c>
      <c r="F129" s="40">
        <f>[16]Performance!R17</f>
        <v>1</v>
      </c>
      <c r="G129" s="40">
        <f>[16]Performance!S17</f>
        <v>0.87</v>
      </c>
      <c r="H129" s="40">
        <f>[16]Performance!T17</f>
        <v>1</v>
      </c>
      <c r="I129" s="40">
        <f>[16]Performance!U17</f>
        <v>0.93</v>
      </c>
      <c r="J129" s="40" t="str">
        <f>[16]Performance!H17</f>
        <v>NTT</v>
      </c>
      <c r="K129" s="40">
        <f>[16]Performance!I17</f>
        <v>0.88</v>
      </c>
      <c r="L129" s="40">
        <f>[16]Performance!J17</f>
        <v>1</v>
      </c>
      <c r="M129" s="40" t="str">
        <f>[16]Performance!K17</f>
        <v>NTT</v>
      </c>
      <c r="N129" s="40" t="str">
        <f>[16]Performance!L17</f>
        <v>NTT</v>
      </c>
      <c r="O129" s="40" t="str">
        <f>[16]Performance!M17</f>
        <v>N/A</v>
      </c>
      <c r="P129" s="40">
        <f>[16]Performance!N17</f>
        <v>1</v>
      </c>
      <c r="Q129" s="40" t="str">
        <f>[16]Performance!O17</f>
        <v>NTT</v>
      </c>
      <c r="R129" s="40">
        <f>[16]Performance!P17</f>
        <v>0.86</v>
      </c>
    </row>
    <row r="130" spans="1:20" x14ac:dyDescent="0.3">
      <c r="A130" s="35">
        <f>'[16]Student Data'!M18</f>
        <v>346580</v>
      </c>
      <c r="B130" s="35" t="str">
        <f>[16]Reporting!C17</f>
        <v>Transition to Production with SMART plan</v>
      </c>
      <c r="C130" s="39" t="str">
        <f>[16]Reporting!F17</f>
        <v>Querofina Zapata</v>
      </c>
      <c r="D130" s="35" cm="1">
        <f t="array" ref="D130">--(SUM(COUNTIF(B130,{"*nest*","*grad*","*trans*","*1B*","*1C*"}))&gt;0)</f>
        <v>1</v>
      </c>
      <c r="E130" s="40">
        <f>[16]Performance!Q18</f>
        <v>1</v>
      </c>
      <c r="F130" s="40">
        <f>[16]Performance!R18</f>
        <v>1</v>
      </c>
      <c r="G130" s="40">
        <f>[16]Performance!S18</f>
        <v>1</v>
      </c>
      <c r="H130" s="40">
        <f>[16]Performance!T18</f>
        <v>0.8</v>
      </c>
      <c r="I130" s="40">
        <f>[16]Performance!U18</f>
        <v>1</v>
      </c>
      <c r="J130" s="40" t="str">
        <f>[16]Performance!H18</f>
        <v>NTT</v>
      </c>
      <c r="K130" s="40">
        <f>[16]Performance!I18</f>
        <v>1</v>
      </c>
      <c r="L130" s="40">
        <f>[16]Performance!J18</f>
        <v>0.8</v>
      </c>
      <c r="M130" s="40" t="str">
        <f>[16]Performance!K18</f>
        <v>NTT</v>
      </c>
      <c r="N130" s="40" t="str">
        <f>[16]Performance!L18</f>
        <v>NTT</v>
      </c>
      <c r="O130" s="40" t="str">
        <f>[16]Performance!M18</f>
        <v>N/A</v>
      </c>
      <c r="P130" s="40">
        <f>[16]Performance!N18</f>
        <v>1</v>
      </c>
      <c r="Q130" s="40" t="str">
        <f>[16]Performance!O18</f>
        <v>NTT</v>
      </c>
      <c r="R130" s="40">
        <f>[16]Performance!P18</f>
        <v>0.94</v>
      </c>
    </row>
    <row r="131" spans="1:20" x14ac:dyDescent="0.3">
      <c r="A131" s="35">
        <f>'[16]Student Data'!M19</f>
        <v>0</v>
      </c>
      <c r="B131" s="35" t="str">
        <f>[16]Reporting!C18</f>
        <v>Did not Start</v>
      </c>
      <c r="C131" s="39" t="str">
        <f>[16]Reporting!F18</f>
        <v>Reynante Bolima</v>
      </c>
      <c r="D131" s="35" cm="1">
        <f t="array" ref="D131">--(SUM(COUNTIF(B131,{"*nest*","*grad*","*trans*","*1B*","*1C*"}))&gt;0)</f>
        <v>0</v>
      </c>
      <c r="E131" s="40">
        <f>[16]Performance!Q19</f>
        <v>0</v>
      </c>
      <c r="F131" s="40">
        <f>[16]Performance!R19</f>
        <v>0</v>
      </c>
      <c r="G131" s="40">
        <f>[16]Performance!S19</f>
        <v>0</v>
      </c>
      <c r="H131" s="40">
        <f>[16]Performance!T19</f>
        <v>0</v>
      </c>
      <c r="I131" s="40">
        <f>[16]Performance!U19</f>
        <v>0</v>
      </c>
      <c r="J131" s="40">
        <f>[16]Performance!H19</f>
        <v>0</v>
      </c>
      <c r="K131" s="40">
        <f>[16]Performance!I19</f>
        <v>0</v>
      </c>
      <c r="L131" s="40">
        <f>[16]Performance!J19</f>
        <v>0</v>
      </c>
      <c r="M131" s="40">
        <f>[16]Performance!K19</f>
        <v>0</v>
      </c>
      <c r="N131" s="40">
        <f>[16]Performance!L19</f>
        <v>0</v>
      </c>
      <c r="O131" s="40">
        <f>[16]Performance!M19</f>
        <v>0</v>
      </c>
      <c r="P131" s="40">
        <f>[16]Performance!N19</f>
        <v>0</v>
      </c>
      <c r="Q131" s="40">
        <f>[16]Performance!O19</f>
        <v>0</v>
      </c>
      <c r="R131" s="40">
        <f>[16]Performance!P19</f>
        <v>0</v>
      </c>
    </row>
    <row r="132" spans="1:20" x14ac:dyDescent="0.3">
      <c r="A132" s="35">
        <f>'[16]Student Data'!M20</f>
        <v>0</v>
      </c>
      <c r="B132" s="35" t="str">
        <f>[16]Reporting!C19</f>
        <v>Did not Start</v>
      </c>
      <c r="C132" s="39" t="str">
        <f>[16]Reporting!F19</f>
        <v>Alvin John Hernandez</v>
      </c>
      <c r="D132" s="35" cm="1">
        <f t="array" ref="D132">--(SUM(COUNTIF(B132,{"*nest*","*grad*","*trans*","*1B*","*1C*"}))&gt;0)</f>
        <v>0</v>
      </c>
      <c r="E132" s="40">
        <f>[16]Performance!Q20</f>
        <v>0</v>
      </c>
      <c r="F132" s="40">
        <f>[16]Performance!R20</f>
        <v>0</v>
      </c>
      <c r="G132" s="40">
        <f>[16]Performance!S20</f>
        <v>0</v>
      </c>
      <c r="H132" s="40">
        <f>[16]Performance!T20</f>
        <v>0</v>
      </c>
      <c r="I132" s="40">
        <f>[16]Performance!U20</f>
        <v>0</v>
      </c>
      <c r="J132" s="40">
        <f>[16]Performance!H20</f>
        <v>0</v>
      </c>
      <c r="K132" s="40">
        <f>[16]Performance!I20</f>
        <v>0</v>
      </c>
      <c r="L132" s="40">
        <f>[16]Performance!J20</f>
        <v>0</v>
      </c>
      <c r="M132" s="40">
        <f>[16]Performance!K20</f>
        <v>0</v>
      </c>
      <c r="N132" s="40">
        <f>[16]Performance!L20</f>
        <v>0</v>
      </c>
      <c r="O132" s="40">
        <f>[16]Performance!M20</f>
        <v>0</v>
      </c>
      <c r="P132" s="40">
        <f>[16]Performance!N20</f>
        <v>0</v>
      </c>
      <c r="Q132" s="40">
        <f>[16]Performance!O20</f>
        <v>0</v>
      </c>
      <c r="R132" s="40">
        <f>[16]Performance!P20</f>
        <v>0</v>
      </c>
    </row>
    <row r="133" spans="1:20" x14ac:dyDescent="0.3">
      <c r="A133" s="35">
        <f>'[16]Student Data'!M21</f>
        <v>0</v>
      </c>
      <c r="B133" s="35" t="str">
        <f>[16]Reporting!C20</f>
        <v>Did not Start</v>
      </c>
      <c r="C133" s="39" t="str">
        <f>[16]Reporting!F20</f>
        <v>Edelyn Mangansakan</v>
      </c>
      <c r="D133" s="35" cm="1">
        <f t="array" ref="D133">--(SUM(COUNTIF(B133,{"*nest*","*grad*","*trans*","*1B*","*1C*"}))&gt;0)</f>
        <v>0</v>
      </c>
      <c r="E133" s="40">
        <f>[16]Performance!Q21</f>
        <v>0</v>
      </c>
      <c r="F133" s="40">
        <f>[16]Performance!R21</f>
        <v>0</v>
      </c>
      <c r="G133" s="40">
        <f>[16]Performance!S21</f>
        <v>0</v>
      </c>
      <c r="H133" s="40">
        <f>[16]Performance!T21</f>
        <v>0</v>
      </c>
      <c r="I133" s="40">
        <f>[16]Performance!U21</f>
        <v>0</v>
      </c>
      <c r="J133" s="40">
        <f>[16]Performance!H21</f>
        <v>0</v>
      </c>
      <c r="K133" s="40">
        <f>[16]Performance!I21</f>
        <v>0</v>
      </c>
      <c r="L133" s="40">
        <f>[16]Performance!J21</f>
        <v>0</v>
      </c>
      <c r="M133" s="40">
        <f>[16]Performance!K21</f>
        <v>0</v>
      </c>
      <c r="N133" s="40">
        <f>[16]Performance!L21</f>
        <v>0</v>
      </c>
      <c r="O133" s="40">
        <f>[16]Performance!M21</f>
        <v>0</v>
      </c>
      <c r="P133" s="40">
        <f>[16]Performance!N21</f>
        <v>0</v>
      </c>
      <c r="Q133" s="40">
        <f>[16]Performance!O21</f>
        <v>0</v>
      </c>
      <c r="R133" s="40">
        <f>[16]Performance!P21</f>
        <v>0</v>
      </c>
    </row>
    <row r="134" spans="1:20" x14ac:dyDescent="0.3">
      <c r="A134" s="35">
        <f>'[16]Student Data'!M22</f>
        <v>0</v>
      </c>
      <c r="B134" s="35" t="str">
        <f>[16]Reporting!C21</f>
        <v>Did not Start</v>
      </c>
      <c r="C134" s="39" t="str">
        <f>[16]Reporting!F21</f>
        <v>Marie Cris Tolentino</v>
      </c>
      <c r="D134" s="35" cm="1">
        <f t="array" ref="D134">--(SUM(COUNTIF(B134,{"*nest*","*grad*","*trans*","*1B*","*1C*"}))&gt;0)</f>
        <v>0</v>
      </c>
      <c r="E134" s="40">
        <f>[16]Performance!Q22</f>
        <v>0</v>
      </c>
      <c r="F134" s="40">
        <f>[16]Performance!R22</f>
        <v>0</v>
      </c>
      <c r="G134" s="40">
        <f>[16]Performance!S22</f>
        <v>0</v>
      </c>
      <c r="H134" s="40">
        <f>[16]Performance!T22</f>
        <v>0</v>
      </c>
      <c r="I134" s="40">
        <f>[16]Performance!U22</f>
        <v>0</v>
      </c>
      <c r="J134" s="40">
        <f>[16]Performance!H22</f>
        <v>0</v>
      </c>
      <c r="K134" s="40">
        <f>[16]Performance!I22</f>
        <v>0</v>
      </c>
      <c r="L134" s="40">
        <f>[16]Performance!J22</f>
        <v>0</v>
      </c>
      <c r="M134" s="40">
        <f>[16]Performance!K22</f>
        <v>0</v>
      </c>
      <c r="N134" s="40">
        <f>[16]Performance!L22</f>
        <v>0</v>
      </c>
      <c r="O134" s="40">
        <f>[16]Performance!M22</f>
        <v>0</v>
      </c>
      <c r="P134" s="40">
        <f>[16]Performance!N22</f>
        <v>0</v>
      </c>
      <c r="Q134" s="40">
        <f>[16]Performance!O22</f>
        <v>0</v>
      </c>
      <c r="R134" s="40">
        <f>[16]Performance!P22</f>
        <v>0</v>
      </c>
    </row>
    <row r="135" spans="1:20" x14ac:dyDescent="0.3">
      <c r="A135" s="8" t="s">
        <v>50</v>
      </c>
      <c r="B135" s="44" t="str">
        <f>'[1]Class Summary'!$B$11</f>
        <v>Jean Luzada</v>
      </c>
      <c r="C135" s="44" t="str">
        <f>'[1]Class Summary'!$B$12</f>
        <v>Maria Lourdes Tendenilla</v>
      </c>
      <c r="D135" s="43">
        <f>SUM(D136:D153)</f>
        <v>15</v>
      </c>
      <c r="E135" s="43">
        <f>COUNTIF(E136:E153, "&gt;79%")</f>
        <v>17</v>
      </c>
      <c r="F135" s="43">
        <f>COUNTIF(F136:F153, "&gt;79%")</f>
        <v>17</v>
      </c>
      <c r="G135" s="43">
        <f>COUNTIF(G136:G153, "&gt;79%")</f>
        <v>16</v>
      </c>
      <c r="H135" s="43">
        <f>COUNTIF(H136:H153, "&gt;79%")</f>
        <v>17</v>
      </c>
      <c r="I135" s="43">
        <f>COUNTIF(I136:I153, "&gt;79%")</f>
        <v>16</v>
      </c>
      <c r="J135" s="43">
        <f t="shared" ref="J135:R135" si="4">COUNTIF(J136:J153, "&gt;79%")</f>
        <v>17</v>
      </c>
      <c r="K135" s="43">
        <f t="shared" si="4"/>
        <v>18</v>
      </c>
      <c r="L135" s="43">
        <f t="shared" si="4"/>
        <v>18</v>
      </c>
      <c r="M135" s="43">
        <f t="shared" si="4"/>
        <v>17</v>
      </c>
      <c r="N135" s="43">
        <f t="shared" si="4"/>
        <v>17</v>
      </c>
      <c r="O135" s="43">
        <f t="shared" si="4"/>
        <v>18</v>
      </c>
      <c r="P135" s="43">
        <f t="shared" si="4"/>
        <v>17</v>
      </c>
      <c r="Q135" s="43">
        <f t="shared" si="4"/>
        <v>18</v>
      </c>
      <c r="R135" s="43">
        <f t="shared" si="4"/>
        <v>18</v>
      </c>
      <c r="S135" s="9"/>
      <c r="T135" s="30"/>
    </row>
    <row r="136" spans="1:20" x14ac:dyDescent="0.3">
      <c r="A136" s="35">
        <f>'[1]Student Data'!M5</f>
        <v>24593</v>
      </c>
      <c r="B136" s="35" t="str">
        <f>[17]Reporting!C4</f>
        <v>Transition to Production with SMART plan</v>
      </c>
      <c r="C136" s="39" t="str">
        <f>[17]Reporting!F4</f>
        <v>Stella Bamawo</v>
      </c>
      <c r="D136" s="35" cm="1">
        <f t="array" ref="D136">--(SUM(COUNTIF(B136,{"*nest*","*grad*","*trans*","*1B*","*1C*"}))&gt;0)</f>
        <v>1</v>
      </c>
      <c r="E136" s="40">
        <f>[17]Performance!Q5</f>
        <v>1</v>
      </c>
      <c r="F136" s="40">
        <f>[17]Performance!R5</f>
        <v>1</v>
      </c>
      <c r="G136" s="40">
        <f>[17]Performance!S5</f>
        <v>0.88</v>
      </c>
      <c r="H136" s="40">
        <f>[17]Performance!T5</f>
        <v>0.8</v>
      </c>
      <c r="I136" s="40">
        <f>[17]Performance!U5</f>
        <v>0.89</v>
      </c>
      <c r="J136" s="40">
        <f>[17]Performance!H5</f>
        <v>0</v>
      </c>
      <c r="K136" s="40">
        <f>[17]Performance!I5</f>
        <v>0.88</v>
      </c>
      <c r="L136" s="40">
        <f>[17]Performance!J5</f>
        <v>1</v>
      </c>
      <c r="M136" s="40">
        <f>[17]Performance!K5</f>
        <v>0</v>
      </c>
      <c r="N136" s="40">
        <f>[17]Performance!L5</f>
        <v>0</v>
      </c>
      <c r="O136" s="40">
        <f>[17]Performance!M5</f>
        <v>1</v>
      </c>
      <c r="P136" s="40">
        <f>[17]Performance!N5</f>
        <v>0</v>
      </c>
      <c r="Q136" s="40">
        <f>[17]Performance!O5</f>
        <v>0.82</v>
      </c>
      <c r="R136" s="40">
        <f>[17]Performance!P5</f>
        <v>1</v>
      </c>
    </row>
    <row r="137" spans="1:20" x14ac:dyDescent="0.3">
      <c r="A137" s="35">
        <f>'[1]Student Data'!M6</f>
        <v>33101</v>
      </c>
      <c r="B137" s="35" t="str">
        <f>[17]Reporting!C5</f>
        <v>Transition to Production</v>
      </c>
      <c r="C137" s="39" t="str">
        <f>[17]Reporting!F5</f>
        <v>Keilly Maptouom</v>
      </c>
      <c r="D137" s="35" cm="1">
        <f t="array" ref="D137">--(SUM(COUNTIF(B137,{"*nest*","*grad*","*trans*","*1B*","*1C*"}))&gt;0)</f>
        <v>1</v>
      </c>
      <c r="E137" s="40">
        <f>[17]Performance!Q6</f>
        <v>1</v>
      </c>
      <c r="F137" s="40">
        <f>[17]Performance!R6</f>
        <v>1</v>
      </c>
      <c r="G137" s="40">
        <f>[17]Performance!S6</f>
        <v>0.94</v>
      </c>
      <c r="H137" s="40">
        <f>[17]Performance!T6</f>
        <v>1</v>
      </c>
      <c r="I137" s="40">
        <f>[17]Performance!U6</f>
        <v>0.9</v>
      </c>
      <c r="J137" s="40">
        <f>[17]Performance!H6</f>
        <v>1</v>
      </c>
      <c r="K137" s="40">
        <f>[17]Performance!I6</f>
        <v>0.88</v>
      </c>
      <c r="L137" s="40">
        <f>[17]Performance!J6</f>
        <v>1</v>
      </c>
      <c r="M137" s="40">
        <f>[17]Performance!K6</f>
        <v>1</v>
      </c>
      <c r="N137" s="40">
        <f>[17]Performance!L6</f>
        <v>1</v>
      </c>
      <c r="O137" s="40">
        <f>[17]Performance!M6</f>
        <v>1</v>
      </c>
      <c r="P137" s="40">
        <f>[17]Performance!N6</f>
        <v>1</v>
      </c>
      <c r="Q137" s="40">
        <f>[17]Performance!O6</f>
        <v>0.82</v>
      </c>
      <c r="R137" s="40">
        <f>[17]Performance!P6</f>
        <v>1</v>
      </c>
    </row>
    <row r="138" spans="1:20" x14ac:dyDescent="0.3">
      <c r="A138" s="35">
        <f>'[1]Student Data'!M7</f>
        <v>32307</v>
      </c>
      <c r="B138" s="35" t="str">
        <f>[17]Reporting!C6</f>
        <v>Moved/Joining Alternate Class/Program</v>
      </c>
      <c r="C138" s="39" t="str">
        <f>[17]Reporting!F6</f>
        <v>Lakesha Smith</v>
      </c>
      <c r="D138" s="35" cm="1">
        <f t="array" ref="D138">--(SUM(COUNTIF(B138,{"*nest*","*grad*","*trans*","*1B*","*1C*"}))&gt;0)</f>
        <v>0</v>
      </c>
      <c r="E138" s="40">
        <f>[17]Performance!Q7</f>
        <v>1</v>
      </c>
      <c r="F138" s="40">
        <f>[17]Performance!R7</f>
        <v>1</v>
      </c>
      <c r="G138" s="40">
        <f>[17]Performance!S7</f>
        <v>0.94</v>
      </c>
      <c r="H138" s="40">
        <f>[17]Performance!T7</f>
        <v>0.8</v>
      </c>
      <c r="I138" s="40">
        <f>[17]Performance!U7</f>
        <v>0.86</v>
      </c>
      <c r="J138" s="40">
        <f>[17]Performance!H7</f>
        <v>1</v>
      </c>
      <c r="K138" s="40">
        <f>[17]Performance!I7</f>
        <v>1</v>
      </c>
      <c r="L138" s="40">
        <f>[17]Performance!J7</f>
        <v>1</v>
      </c>
      <c r="M138" s="40">
        <f>[17]Performance!K7</f>
        <v>1</v>
      </c>
      <c r="N138" s="40">
        <f>[17]Performance!L7</f>
        <v>1</v>
      </c>
      <c r="O138" s="40">
        <f>[17]Performance!M7</f>
        <v>1</v>
      </c>
      <c r="P138" s="40">
        <f>[17]Performance!N7</f>
        <v>1</v>
      </c>
      <c r="Q138" s="40">
        <f>[17]Performance!O7</f>
        <v>0.91</v>
      </c>
      <c r="R138" s="40">
        <f>[17]Performance!P7</f>
        <v>1</v>
      </c>
    </row>
    <row r="139" spans="1:20" x14ac:dyDescent="0.3">
      <c r="A139" s="35">
        <f>'[1]Student Data'!M8</f>
        <v>40263</v>
      </c>
      <c r="B139" s="35" t="str">
        <f>[17]Reporting!C7</f>
        <v>Terminated-Nesting 3</v>
      </c>
      <c r="C139" s="39" t="str">
        <f>[17]Reporting!F7</f>
        <v>Hubert Styve Wassou</v>
      </c>
      <c r="D139" s="35" cm="1">
        <f t="array" ref="D139">--(SUM(COUNTIF(B139,{"*nest*","*grad*","*trans*","*1B*","*1C*"}))&gt;0)</f>
        <v>1</v>
      </c>
      <c r="E139" s="40">
        <f>[17]Performance!Q8</f>
        <v>1</v>
      </c>
      <c r="F139" s="40">
        <f>[17]Performance!R8</f>
        <v>1</v>
      </c>
      <c r="G139" s="40">
        <f>[17]Performance!S8</f>
        <v>1</v>
      </c>
      <c r="H139" s="40">
        <f>[17]Performance!T8</f>
        <v>1</v>
      </c>
      <c r="I139" s="40">
        <f>[17]Performance!U8</f>
        <v>0.81</v>
      </c>
      <c r="J139" s="40">
        <f>[17]Performance!H8</f>
        <v>1</v>
      </c>
      <c r="K139" s="40">
        <f>[17]Performance!I8</f>
        <v>0.88</v>
      </c>
      <c r="L139" s="40">
        <f>[17]Performance!J8</f>
        <v>0.8</v>
      </c>
      <c r="M139" s="40">
        <f>[17]Performance!K8</f>
        <v>1</v>
      </c>
      <c r="N139" s="40">
        <f>[17]Performance!L8</f>
        <v>1</v>
      </c>
      <c r="O139" s="40">
        <f>[17]Performance!M8</f>
        <v>1</v>
      </c>
      <c r="P139" s="40">
        <f>[17]Performance!N8</f>
        <v>1</v>
      </c>
      <c r="Q139" s="40">
        <f>[17]Performance!O8</f>
        <v>1</v>
      </c>
      <c r="R139" s="40">
        <f>[17]Performance!P8</f>
        <v>1</v>
      </c>
    </row>
    <row r="140" spans="1:20" x14ac:dyDescent="0.3">
      <c r="A140" s="35">
        <f>'[1]Student Data'!M9</f>
        <v>39170</v>
      </c>
      <c r="B140" s="35" t="str">
        <f>[17]Reporting!C8</f>
        <v>Resigned Tier 1A</v>
      </c>
      <c r="C140" s="39" t="str">
        <f>[17]Reporting!F8</f>
        <v>Stevy Kuimi</v>
      </c>
      <c r="D140" s="35" cm="1">
        <f t="array" ref="D140">--(SUM(COUNTIF(B140,{"*nest*","*grad*","*trans*","*1B*","*1C*"}))&gt;0)</f>
        <v>0</v>
      </c>
      <c r="E140" s="40">
        <f>[17]Performance!Q9</f>
        <v>1</v>
      </c>
      <c r="F140" s="40">
        <f>[17]Performance!R9</f>
        <v>1</v>
      </c>
      <c r="G140" s="40" t="str">
        <f>[17]Performance!S9</f>
        <v>NLE</v>
      </c>
      <c r="H140" s="40">
        <f>[17]Performance!T9</f>
        <v>0.9</v>
      </c>
      <c r="I140" s="40" t="str">
        <f>[17]Performance!U9</f>
        <v>NLE</v>
      </c>
      <c r="J140" s="40">
        <f>[17]Performance!H9</f>
        <v>1</v>
      </c>
      <c r="K140" s="40">
        <f>[17]Performance!I9</f>
        <v>0.88</v>
      </c>
      <c r="L140" s="40">
        <f>[17]Performance!J9</f>
        <v>1</v>
      </c>
      <c r="M140" s="40">
        <f>[17]Performance!K9</f>
        <v>1</v>
      </c>
      <c r="N140" s="40">
        <f>[17]Performance!L9</f>
        <v>0.89</v>
      </c>
      <c r="O140" s="40">
        <f>[17]Performance!M9</f>
        <v>1</v>
      </c>
      <c r="P140" s="40">
        <f>[17]Performance!N9</f>
        <v>1</v>
      </c>
      <c r="Q140" s="40">
        <f>[17]Performance!O9</f>
        <v>0.91</v>
      </c>
      <c r="R140" s="40">
        <f>[17]Performance!P9</f>
        <v>0.91</v>
      </c>
    </row>
    <row r="141" spans="1:20" x14ac:dyDescent="0.3">
      <c r="A141" s="35">
        <f>'[1]Student Data'!M10</f>
        <v>39206</v>
      </c>
      <c r="B141" s="35" t="str">
        <f>[17]Reporting!C9</f>
        <v>Terminated-Nesting 3</v>
      </c>
      <c r="C141" s="39" t="str">
        <f>[17]Reporting!F9</f>
        <v>Ange Merveille Nameni Kuenzob</v>
      </c>
      <c r="D141" s="35" cm="1">
        <f t="array" ref="D141">--(SUM(COUNTIF(B141,{"*nest*","*grad*","*trans*","*1B*","*1C*"}))&gt;0)</f>
        <v>1</v>
      </c>
      <c r="E141" s="40">
        <f>[17]Performance!Q10</f>
        <v>1</v>
      </c>
      <c r="F141" s="40">
        <f>[17]Performance!R10</f>
        <v>1</v>
      </c>
      <c r="G141" s="40">
        <f>[17]Performance!S10</f>
        <v>0.86</v>
      </c>
      <c r="H141" s="40">
        <f>[17]Performance!T10</f>
        <v>0.8</v>
      </c>
      <c r="I141" s="40">
        <f>[17]Performance!U10</f>
        <v>0.93</v>
      </c>
      <c r="J141" s="40">
        <f>[17]Performance!H10</f>
        <v>1</v>
      </c>
      <c r="K141" s="40">
        <f>[17]Performance!I10</f>
        <v>1</v>
      </c>
      <c r="L141" s="40">
        <f>[17]Performance!J10</f>
        <v>1</v>
      </c>
      <c r="M141" s="40">
        <f>[17]Performance!K10</f>
        <v>1</v>
      </c>
      <c r="N141" s="40">
        <f>[17]Performance!L10</f>
        <v>0.88</v>
      </c>
      <c r="O141" s="40">
        <f>[17]Performance!M10</f>
        <v>1</v>
      </c>
      <c r="P141" s="40">
        <f>[17]Performance!N10</f>
        <v>1</v>
      </c>
      <c r="Q141" s="40">
        <f>[17]Performance!O10</f>
        <v>0.82</v>
      </c>
      <c r="R141" s="40">
        <f>[17]Performance!P10</f>
        <v>0.88</v>
      </c>
    </row>
    <row r="142" spans="1:20" x14ac:dyDescent="0.3">
      <c r="A142" s="35">
        <f>'[1]Student Data'!M11</f>
        <v>40725</v>
      </c>
      <c r="B142" s="35" t="str">
        <f>[17]Reporting!C10</f>
        <v>Resigned Tier 1B</v>
      </c>
      <c r="C142" s="39" t="str">
        <f>[17]Reporting!F10</f>
        <v>Benjamin Ntamwishimiro</v>
      </c>
      <c r="D142" s="35" cm="1">
        <f t="array" ref="D142">--(SUM(COUNTIF(B142,{"*nest*","*grad*","*trans*","*1B*","*1C*"}))&gt;0)</f>
        <v>1</v>
      </c>
      <c r="E142" s="40">
        <f>[17]Performance!Q11</f>
        <v>1</v>
      </c>
      <c r="F142" s="40">
        <f>[17]Performance!R11</f>
        <v>1</v>
      </c>
      <c r="G142" s="40">
        <f>[17]Performance!S11</f>
        <v>0.8</v>
      </c>
      <c r="H142" s="40">
        <f>[17]Performance!T11</f>
        <v>1</v>
      </c>
      <c r="I142" s="40">
        <f>[17]Performance!U11</f>
        <v>0.82</v>
      </c>
      <c r="J142" s="40">
        <f>[17]Performance!H11</f>
        <v>1</v>
      </c>
      <c r="K142" s="40">
        <f>[17]Performance!I11</f>
        <v>1</v>
      </c>
      <c r="L142" s="40">
        <f>[17]Performance!J11</f>
        <v>1</v>
      </c>
      <c r="M142" s="40">
        <f>[17]Performance!K11</f>
        <v>1</v>
      </c>
      <c r="N142" s="40">
        <f>[17]Performance!L11</f>
        <v>1</v>
      </c>
      <c r="O142" s="40">
        <f>[17]Performance!M11</f>
        <v>1</v>
      </c>
      <c r="P142" s="40">
        <f>[17]Performance!N11</f>
        <v>1</v>
      </c>
      <c r="Q142" s="40">
        <f>[17]Performance!O11</f>
        <v>1</v>
      </c>
      <c r="R142" s="40">
        <f>[17]Performance!P11</f>
        <v>0.82</v>
      </c>
    </row>
    <row r="143" spans="1:20" x14ac:dyDescent="0.3">
      <c r="A143" s="35">
        <f>'[1]Student Data'!M12</f>
        <v>40726</v>
      </c>
      <c r="B143" s="35" t="str">
        <f>[17]Reporting!C11</f>
        <v>Terminated-Nesting 3</v>
      </c>
      <c r="C143" s="39" t="str">
        <f>[17]Reporting!F11</f>
        <v>Dylan  Kalonji</v>
      </c>
      <c r="D143" s="35" cm="1">
        <f t="array" ref="D143">--(SUM(COUNTIF(B143,{"*nest*","*grad*","*trans*","*1B*","*1C*"}))&gt;0)</f>
        <v>1</v>
      </c>
      <c r="E143" s="40">
        <f>[17]Performance!Q12</f>
        <v>1</v>
      </c>
      <c r="F143" s="40">
        <f>[17]Performance!R12</f>
        <v>1</v>
      </c>
      <c r="G143" s="40">
        <f>[17]Performance!S12</f>
        <v>0.82</v>
      </c>
      <c r="H143" s="40">
        <f>[17]Performance!T12</f>
        <v>1</v>
      </c>
      <c r="I143" s="40">
        <f>[17]Performance!U12</f>
        <v>0.98</v>
      </c>
      <c r="J143" s="40">
        <f>[17]Performance!H12</f>
        <v>1</v>
      </c>
      <c r="K143" s="40">
        <f>[17]Performance!I12</f>
        <v>1</v>
      </c>
      <c r="L143" s="40">
        <f>[17]Performance!J12</f>
        <v>1</v>
      </c>
      <c r="M143" s="40">
        <f>[17]Performance!K12</f>
        <v>1</v>
      </c>
      <c r="N143" s="40">
        <f>[17]Performance!L12</f>
        <v>1</v>
      </c>
      <c r="O143" s="40">
        <f>[17]Performance!M12</f>
        <v>1</v>
      </c>
      <c r="P143" s="40">
        <f>[17]Performance!N12</f>
        <v>1</v>
      </c>
      <c r="Q143" s="40">
        <f>[17]Performance!O12</f>
        <v>0.96</v>
      </c>
      <c r="R143" s="40">
        <f>[17]Performance!P12</f>
        <v>0.88</v>
      </c>
    </row>
    <row r="144" spans="1:20" x14ac:dyDescent="0.3">
      <c r="A144" s="35">
        <f>'[1]Student Data'!M13</f>
        <v>40727</v>
      </c>
      <c r="B144" s="35" t="str">
        <f>[17]Reporting!C12</f>
        <v>Resigned Tier 1A</v>
      </c>
      <c r="C144" s="39" t="str">
        <f>[17]Reporting!F12</f>
        <v>Yassmine Attobi</v>
      </c>
      <c r="D144" s="47" cm="1">
        <f t="array" ref="D144">--(SUM(COUNTIF(B144,{"*nest*","*grad*","*trans*","*1B*","*1C*"}))&gt;0)</f>
        <v>0</v>
      </c>
      <c r="E144" s="40" t="str">
        <f>[17]Performance!Q13</f>
        <v> </v>
      </c>
      <c r="F144" s="40" t="str">
        <f>[17]Performance!R13</f>
        <v> </v>
      </c>
      <c r="G144" s="40" t="str">
        <f>[17]Performance!S13</f>
        <v> </v>
      </c>
      <c r="H144" s="40" t="str">
        <f>[17]Performance!T13</f>
        <v> </v>
      </c>
      <c r="I144" s="40" t="str">
        <f>[17]Performance!U13</f>
        <v> </v>
      </c>
      <c r="J144" s="40">
        <f>[17]Performance!H13</f>
        <v>1</v>
      </c>
      <c r="K144" s="40">
        <f>[17]Performance!I13</f>
        <v>1</v>
      </c>
      <c r="L144" s="40">
        <f>[17]Performance!J13</f>
        <v>1</v>
      </c>
      <c r="M144" s="40">
        <f>[17]Performance!K13</f>
        <v>1</v>
      </c>
      <c r="N144" s="40">
        <f>[17]Performance!L13</f>
        <v>0.89</v>
      </c>
      <c r="O144" s="40">
        <f>[17]Performance!M13</f>
        <v>1</v>
      </c>
      <c r="P144" s="40">
        <f>[17]Performance!N13</f>
        <v>1</v>
      </c>
      <c r="Q144" s="40">
        <f>[17]Performance!O13</f>
        <v>0.82</v>
      </c>
      <c r="R144" s="40">
        <f>[17]Performance!P13</f>
        <v>0.88</v>
      </c>
    </row>
    <row r="145" spans="1:18" x14ac:dyDescent="0.3">
      <c r="A145" s="35">
        <f>'[1]Student Data'!M14</f>
        <v>40728</v>
      </c>
      <c r="B145" s="35" t="str">
        <f>[17]Reporting!C13</f>
        <v>Terminated-Nesting 3</v>
      </c>
      <c r="C145" s="39" t="str">
        <f>[17]Reporting!F13</f>
        <v>Walid Maghri</v>
      </c>
      <c r="D145" s="35" cm="1">
        <f t="array" ref="D145">--(SUM(COUNTIF(B145,{"*nest*","*grad*","*trans*","*1B*","*1C*"}))&gt;0)</f>
        <v>1</v>
      </c>
      <c r="E145" s="40">
        <f>[17]Performance!Q14</f>
        <v>1</v>
      </c>
      <c r="F145" s="40">
        <f>[17]Performance!R14</f>
        <v>1</v>
      </c>
      <c r="G145" s="40">
        <f>[17]Performance!S14</f>
        <v>0.88</v>
      </c>
      <c r="H145" s="40">
        <f>[17]Performance!T14</f>
        <v>0.8</v>
      </c>
      <c r="I145" s="40">
        <f>[17]Performance!U14</f>
        <v>0.8</v>
      </c>
      <c r="J145" s="40">
        <f>[17]Performance!H14</f>
        <v>1</v>
      </c>
      <c r="K145" s="40">
        <f>[17]Performance!I14</f>
        <v>0.88</v>
      </c>
      <c r="L145" s="40">
        <f>[17]Performance!J14</f>
        <v>1</v>
      </c>
      <c r="M145" s="40">
        <f>[17]Performance!K14</f>
        <v>1</v>
      </c>
      <c r="N145" s="40">
        <f>[17]Performance!L14</f>
        <v>0.89</v>
      </c>
      <c r="O145" s="40">
        <f>[17]Performance!M14</f>
        <v>1</v>
      </c>
      <c r="P145" s="40">
        <f>[17]Performance!N14</f>
        <v>1</v>
      </c>
      <c r="Q145" s="40">
        <f>[17]Performance!O14</f>
        <v>0.91</v>
      </c>
      <c r="R145" s="40">
        <f>[17]Performance!P14</f>
        <v>0.88</v>
      </c>
    </row>
    <row r="146" spans="1:18" x14ac:dyDescent="0.3">
      <c r="A146" s="35">
        <f>'[1]Student Data'!M15</f>
        <v>40729</v>
      </c>
      <c r="B146" s="35" t="str">
        <f>[17]Reporting!C14</f>
        <v>Resigned Tier 1B</v>
      </c>
      <c r="C146" s="39" t="str">
        <f>[17]Reporting!F14</f>
        <v>Francky Donfack Fouegue</v>
      </c>
      <c r="D146" s="35" cm="1">
        <f t="array" ref="D146">--(SUM(COUNTIF(B146,{"*nest*","*grad*","*trans*","*1B*","*1C*"}))&gt;0)</f>
        <v>1</v>
      </c>
      <c r="E146" s="40">
        <f>[17]Performance!Q15</f>
        <v>1</v>
      </c>
      <c r="F146" s="40">
        <f>[17]Performance!R15</f>
        <v>1</v>
      </c>
      <c r="G146" s="40">
        <f>[17]Performance!S15</f>
        <v>0.86</v>
      </c>
      <c r="H146" s="40">
        <f>[17]Performance!T15</f>
        <v>0.8</v>
      </c>
      <c r="I146" s="40">
        <f>[17]Performance!U15</f>
        <v>0.8</v>
      </c>
      <c r="J146" s="40">
        <f>[17]Performance!H15</f>
        <v>1</v>
      </c>
      <c r="K146" s="40">
        <f>[17]Performance!I15</f>
        <v>1</v>
      </c>
      <c r="L146" s="40">
        <f>[17]Performance!J15</f>
        <v>1</v>
      </c>
      <c r="M146" s="40">
        <f>[17]Performance!K15</f>
        <v>1</v>
      </c>
      <c r="N146" s="40">
        <f>[17]Performance!L15</f>
        <v>0.89</v>
      </c>
      <c r="O146" s="40">
        <f>[17]Performance!M15</f>
        <v>1</v>
      </c>
      <c r="P146" s="40">
        <f>[17]Performance!N15</f>
        <v>1</v>
      </c>
      <c r="Q146" s="40">
        <f>[17]Performance!O15</f>
        <v>0.87</v>
      </c>
      <c r="R146" s="40">
        <f>[17]Performance!P15</f>
        <v>0.94</v>
      </c>
    </row>
    <row r="147" spans="1:18" x14ac:dyDescent="0.3">
      <c r="A147" s="35">
        <f>'[1]Student Data'!M16</f>
        <v>40730</v>
      </c>
      <c r="B147" s="35" t="str">
        <f>[17]Reporting!C15</f>
        <v>Terminated-Nesting 3</v>
      </c>
      <c r="C147" s="39" t="str">
        <f>[17]Reporting!F15</f>
        <v>Dan Luccin Dushime</v>
      </c>
      <c r="D147" s="35" cm="1">
        <f t="array" ref="D147">--(SUM(COUNTIF(B147,{"*nest*","*grad*","*trans*","*1B*","*1C*"}))&gt;0)</f>
        <v>1</v>
      </c>
      <c r="E147" s="40">
        <f>[17]Performance!Q16</f>
        <v>1</v>
      </c>
      <c r="F147" s="40">
        <f>[17]Performance!R16</f>
        <v>1</v>
      </c>
      <c r="G147" s="40">
        <f>[17]Performance!S16</f>
        <v>0.92</v>
      </c>
      <c r="H147" s="40">
        <f>[17]Performance!T16</f>
        <v>0.8</v>
      </c>
      <c r="I147" s="40">
        <f>[17]Performance!U16</f>
        <v>0.89</v>
      </c>
      <c r="J147" s="40">
        <f>[17]Performance!H16</f>
        <v>1</v>
      </c>
      <c r="K147" s="40">
        <f>[17]Performance!I16</f>
        <v>1</v>
      </c>
      <c r="L147" s="40">
        <f>[17]Performance!J16</f>
        <v>1</v>
      </c>
      <c r="M147" s="40">
        <f>[17]Performance!K16</f>
        <v>1</v>
      </c>
      <c r="N147" s="40">
        <f>[17]Performance!L16</f>
        <v>1</v>
      </c>
      <c r="O147" s="40">
        <f>[17]Performance!M16</f>
        <v>1</v>
      </c>
      <c r="P147" s="40">
        <f>[17]Performance!N16</f>
        <v>1</v>
      </c>
      <c r="Q147" s="40">
        <f>[17]Performance!O16</f>
        <v>1</v>
      </c>
      <c r="R147" s="40">
        <f>[17]Performance!P16</f>
        <v>0.88</v>
      </c>
    </row>
    <row r="148" spans="1:18" x14ac:dyDescent="0.3">
      <c r="A148" s="35">
        <f>'[1]Student Data'!M17</f>
        <v>35404</v>
      </c>
      <c r="B148" s="35" t="str">
        <f>[17]Reporting!C16</f>
        <v>Terminated-Nesting 3</v>
      </c>
      <c r="C148" s="39" t="str">
        <f>[17]Reporting!F16</f>
        <v>Raissa Kakessa</v>
      </c>
      <c r="D148" s="35" cm="1">
        <f t="array" ref="D148">--(SUM(COUNTIF(B148,{"*nest*","*grad*","*trans*","*1B*","*1C*"}))&gt;0)</f>
        <v>1</v>
      </c>
      <c r="E148" s="40">
        <f>[17]Performance!Q17</f>
        <v>1</v>
      </c>
      <c r="F148" s="40">
        <f>[17]Performance!R17</f>
        <v>1</v>
      </c>
      <c r="G148" s="40">
        <f>[17]Performance!S17</f>
        <v>0.94</v>
      </c>
      <c r="H148" s="40">
        <f>[17]Performance!T17</f>
        <v>0.8</v>
      </c>
      <c r="I148" s="40">
        <f>[17]Performance!U17</f>
        <v>0.98</v>
      </c>
      <c r="J148" s="40">
        <f>[17]Performance!H17</f>
        <v>1</v>
      </c>
      <c r="K148" s="40">
        <f>[17]Performance!I17</f>
        <v>0.88</v>
      </c>
      <c r="L148" s="40">
        <f>[17]Performance!J17</f>
        <v>1</v>
      </c>
      <c r="M148" s="40">
        <f>[17]Performance!K17</f>
        <v>1</v>
      </c>
      <c r="N148" s="40">
        <f>[17]Performance!L17</f>
        <v>1</v>
      </c>
      <c r="O148" s="40">
        <f>[17]Performance!M17</f>
        <v>1</v>
      </c>
      <c r="P148" s="40">
        <f>[17]Performance!N17</f>
        <v>1</v>
      </c>
      <c r="Q148" s="40">
        <f>[17]Performance!O17</f>
        <v>0.87</v>
      </c>
      <c r="R148" s="40">
        <f>[17]Performance!P17</f>
        <v>1</v>
      </c>
    </row>
    <row r="149" spans="1:18" x14ac:dyDescent="0.3">
      <c r="A149" s="35">
        <f>'[1]Student Data'!M18</f>
        <v>40731</v>
      </c>
      <c r="B149" s="35" t="str">
        <f>[17]Reporting!C17</f>
        <v>Resigned-Nesting 3</v>
      </c>
      <c r="C149" s="39" t="str">
        <f>[17]Reporting!F17</f>
        <v>Julienne Tedom Mamga</v>
      </c>
      <c r="D149" s="35" cm="1">
        <f t="array" ref="D149">--(SUM(COUNTIF(B149,{"*nest*","*grad*","*trans*","*1B*","*1C*"}))&gt;0)</f>
        <v>1</v>
      </c>
      <c r="E149" s="40">
        <f>[17]Performance!Q18</f>
        <v>1</v>
      </c>
      <c r="F149" s="40">
        <f>[17]Performance!R18</f>
        <v>1</v>
      </c>
      <c r="G149" s="40">
        <f>[17]Performance!S18</f>
        <v>0.97</v>
      </c>
      <c r="H149" s="40">
        <f>[17]Performance!T18</f>
        <v>0.8</v>
      </c>
      <c r="I149" s="40">
        <f>[17]Performance!U18</f>
        <v>0.85</v>
      </c>
      <c r="J149" s="40">
        <f>[17]Performance!H18</f>
        <v>1</v>
      </c>
      <c r="K149" s="40">
        <f>[17]Performance!I18</f>
        <v>1</v>
      </c>
      <c r="L149" s="40">
        <f>[17]Performance!J18</f>
        <v>1</v>
      </c>
      <c r="M149" s="40">
        <f>[17]Performance!K18</f>
        <v>1</v>
      </c>
      <c r="N149" s="40">
        <f>[17]Performance!L18</f>
        <v>0.89</v>
      </c>
      <c r="O149" s="40">
        <f>[17]Performance!M18</f>
        <v>1</v>
      </c>
      <c r="P149" s="40">
        <f>[17]Performance!N18</f>
        <v>1</v>
      </c>
      <c r="Q149" s="40">
        <f>[17]Performance!O18</f>
        <v>0.82</v>
      </c>
      <c r="R149" s="40">
        <f>[17]Performance!P18</f>
        <v>0.91</v>
      </c>
    </row>
    <row r="150" spans="1:18" x14ac:dyDescent="0.3">
      <c r="A150" s="35">
        <f>'[1]Student Data'!M19</f>
        <v>40732</v>
      </c>
      <c r="B150" s="35" t="str">
        <f>[17]Reporting!C18</f>
        <v>Transition to Production with SMART plan</v>
      </c>
      <c r="C150" s="39" t="str">
        <f>[17]Reporting!F18</f>
        <v>Chloe Michaud</v>
      </c>
      <c r="D150" s="35" cm="1">
        <f t="array" ref="D150">--(SUM(COUNTIF(B150,{"*nest*","*grad*","*trans*","*1B*","*1C*"}))&gt;0)</f>
        <v>1</v>
      </c>
      <c r="E150" s="40">
        <f>[17]Performance!Q19</f>
        <v>1</v>
      </c>
      <c r="F150" s="40">
        <f>[17]Performance!R19</f>
        <v>1</v>
      </c>
      <c r="G150" s="40">
        <f>[17]Performance!S19</f>
        <v>0.86</v>
      </c>
      <c r="H150" s="40">
        <f>[17]Performance!T19</f>
        <v>0.8</v>
      </c>
      <c r="I150" s="40">
        <f>[17]Performance!U19</f>
        <v>1</v>
      </c>
      <c r="J150" s="40">
        <f>[17]Performance!H19</f>
        <v>1</v>
      </c>
      <c r="K150" s="40">
        <f>[17]Performance!I19</f>
        <v>1</v>
      </c>
      <c r="L150" s="40">
        <f>[17]Performance!J19</f>
        <v>1</v>
      </c>
      <c r="M150" s="40">
        <f>[17]Performance!K19</f>
        <v>1</v>
      </c>
      <c r="N150" s="40">
        <f>[17]Performance!L19</f>
        <v>1</v>
      </c>
      <c r="O150" s="40">
        <f>[17]Performance!M19</f>
        <v>1</v>
      </c>
      <c r="P150" s="40">
        <f>[17]Performance!N19</f>
        <v>1</v>
      </c>
      <c r="Q150" s="40">
        <f>[17]Performance!O19</f>
        <v>0.87</v>
      </c>
      <c r="R150" s="40">
        <f>[17]Performance!P19</f>
        <v>1</v>
      </c>
    </row>
    <row r="151" spans="1:18" x14ac:dyDescent="0.3">
      <c r="A151" s="35">
        <f>'[1]Student Data'!M20</f>
        <v>40733</v>
      </c>
      <c r="B151" s="35" t="str">
        <f>[17]Reporting!C19</f>
        <v>Terminated-Nesting 3</v>
      </c>
      <c r="C151" s="39" t="str">
        <f>[17]Reporting!F19</f>
        <v>Watson Koffi Christ David</v>
      </c>
      <c r="D151" s="35" cm="1">
        <f t="array" ref="D151">--(SUM(COUNTIF(B151,{"*nest*","*grad*","*trans*","*1B*","*1C*"}))&gt;0)</f>
        <v>1</v>
      </c>
      <c r="E151" s="40">
        <f>[17]Performance!Q20</f>
        <v>1</v>
      </c>
      <c r="F151" s="40">
        <f>[17]Performance!R20</f>
        <v>1</v>
      </c>
      <c r="G151" s="40">
        <f>[17]Performance!S20</f>
        <v>0.89</v>
      </c>
      <c r="H151" s="40">
        <f>[17]Performance!T20</f>
        <v>0.8</v>
      </c>
      <c r="I151" s="40">
        <f>[17]Performance!U20</f>
        <v>0.97</v>
      </c>
      <c r="J151" s="40">
        <f>[17]Performance!H20</f>
        <v>1</v>
      </c>
      <c r="K151" s="40">
        <f>[17]Performance!I20</f>
        <v>1</v>
      </c>
      <c r="L151" s="40">
        <f>[17]Performance!J20</f>
        <v>1</v>
      </c>
      <c r="M151" s="40">
        <f>[17]Performance!K20</f>
        <v>1</v>
      </c>
      <c r="N151" s="40">
        <f>[17]Performance!L20</f>
        <v>1</v>
      </c>
      <c r="O151" s="40">
        <f>[17]Performance!M20</f>
        <v>1</v>
      </c>
      <c r="P151" s="40">
        <f>[17]Performance!N20</f>
        <v>1</v>
      </c>
      <c r="Q151" s="40">
        <f>[17]Performance!O20</f>
        <v>0.91</v>
      </c>
      <c r="R151" s="40">
        <f>[17]Performance!P20</f>
        <v>1</v>
      </c>
    </row>
    <row r="152" spans="1:18" x14ac:dyDescent="0.3">
      <c r="A152" s="35">
        <f>'[1]Student Data'!M21</f>
        <v>40734</v>
      </c>
      <c r="B152" s="35" t="str">
        <f>[17]Reporting!C20</f>
        <v>Terminated-Nesting 3</v>
      </c>
      <c r="C152" s="39" t="str">
        <f>[17]Reporting!F20</f>
        <v>Rachid Alahiane</v>
      </c>
      <c r="D152" s="35" cm="1">
        <f t="array" ref="D152">--(SUM(COUNTIF(B152,{"*nest*","*grad*","*trans*","*1B*","*1C*"}))&gt;0)</f>
        <v>1</v>
      </c>
      <c r="E152" s="40">
        <f>[17]Performance!Q21</f>
        <v>1</v>
      </c>
      <c r="F152" s="40">
        <f>[17]Performance!R21</f>
        <v>1</v>
      </c>
      <c r="G152" s="40">
        <f>[17]Performance!S21</f>
        <v>1</v>
      </c>
      <c r="H152" s="40">
        <f>[17]Performance!T21</f>
        <v>1</v>
      </c>
      <c r="I152" s="40">
        <f>[17]Performance!U21</f>
        <v>0.8</v>
      </c>
      <c r="J152" s="40">
        <f>[17]Performance!H21</f>
        <v>1</v>
      </c>
      <c r="K152" s="40">
        <f>[17]Performance!I21</f>
        <v>1</v>
      </c>
      <c r="L152" s="40">
        <f>[17]Performance!J21</f>
        <v>1</v>
      </c>
      <c r="M152" s="40">
        <f>[17]Performance!K21</f>
        <v>1</v>
      </c>
      <c r="N152" s="40">
        <f>[17]Performance!L21</f>
        <v>0.89</v>
      </c>
      <c r="O152" s="40">
        <f>[17]Performance!M21</f>
        <v>1</v>
      </c>
      <c r="P152" s="40">
        <f>[17]Performance!N21</f>
        <v>1</v>
      </c>
      <c r="Q152" s="40">
        <f>[17]Performance!O21</f>
        <v>0.96</v>
      </c>
      <c r="R152" s="40">
        <f>[17]Performance!P21</f>
        <v>1</v>
      </c>
    </row>
    <row r="153" spans="1:18" x14ac:dyDescent="0.3">
      <c r="A153" s="35">
        <f>'[1]Student Data'!M22</f>
        <v>40643</v>
      </c>
      <c r="B153" s="35" t="str">
        <f>[17]Reporting!C21</f>
        <v>Resigned-Nesting 3</v>
      </c>
      <c r="C153" s="39" t="str">
        <f>[17]Reporting!F21</f>
        <v>Christiane (Chris) Lalonde</v>
      </c>
      <c r="D153" s="35" cm="1">
        <f t="array" ref="D153">--(SUM(COUNTIF(B153,{"*nest*","*grad*","*trans*","*1B*","*1C*"}))&gt;0)</f>
        <v>1</v>
      </c>
      <c r="E153" s="40">
        <f>[17]Performance!Q22</f>
        <v>1</v>
      </c>
      <c r="F153" s="40">
        <f>[17]Performance!R22</f>
        <v>1</v>
      </c>
      <c r="G153" s="40">
        <f>[17]Performance!S22</f>
        <v>0.84</v>
      </c>
      <c r="H153" s="40">
        <f>[17]Performance!T22</f>
        <v>0.8</v>
      </c>
      <c r="I153" s="40">
        <f>[17]Performance!U22</f>
        <v>0.8</v>
      </c>
      <c r="J153" s="40">
        <f>[17]Performance!H22</f>
        <v>1</v>
      </c>
      <c r="K153" s="40">
        <f>[17]Performance!I22</f>
        <v>1</v>
      </c>
      <c r="L153" s="40">
        <f>[17]Performance!J22</f>
        <v>1</v>
      </c>
      <c r="M153" s="40">
        <f>[17]Performance!K22</f>
        <v>1</v>
      </c>
      <c r="N153" s="40">
        <f>[17]Performance!L22</f>
        <v>1</v>
      </c>
      <c r="O153" s="40">
        <f>[17]Performance!M22</f>
        <v>1</v>
      </c>
      <c r="P153" s="40">
        <f>[17]Performance!N22</f>
        <v>1</v>
      </c>
      <c r="Q153" s="40">
        <f>[17]Performance!O22</f>
        <v>0.82</v>
      </c>
      <c r="R153" s="40">
        <f>[17]Performance!P22</f>
        <v>0.94</v>
      </c>
    </row>
    <row r="154" spans="1:18" x14ac:dyDescent="0.3">
      <c r="A154" s="8" t="s">
        <v>51</v>
      </c>
      <c r="B154" s="44" t="str">
        <f>'[18]Class Summary'!$B$11</f>
        <v>Anabelle Pizon</v>
      </c>
      <c r="C154" s="44" t="str">
        <f>'[18]Class Summary'!$B$12</f>
        <v>Jennifer Ramirez</v>
      </c>
      <c r="D154" s="43">
        <f>SUM(D155:D168)</f>
        <v>12</v>
      </c>
      <c r="E154" s="43">
        <f>COUNTIF(E155:E168, "&gt;79%")</f>
        <v>13</v>
      </c>
      <c r="F154" s="43">
        <f>COUNTIF(F155:F168, "&gt;79%")</f>
        <v>13</v>
      </c>
      <c r="G154" s="43">
        <f>COUNTIF(G155:G168, "&gt;79%")</f>
        <v>13</v>
      </c>
      <c r="H154" s="43">
        <f>COUNTIF(H155:H168, "&gt;79%")</f>
        <v>13</v>
      </c>
      <c r="I154" s="43">
        <f>COUNTIF(I155:I168, "&gt;79%")</f>
        <v>13</v>
      </c>
      <c r="J154" s="43" t="s">
        <v>25</v>
      </c>
      <c r="K154" s="43">
        <f>COUNTIF(K155:K168, "&gt;79%")</f>
        <v>13</v>
      </c>
      <c r="L154" s="43">
        <f>COUNTIF(L155:L168, "&gt;79%")</f>
        <v>13</v>
      </c>
      <c r="M154" s="43" t="s">
        <v>25</v>
      </c>
      <c r="N154" s="43" t="s">
        <v>25</v>
      </c>
      <c r="O154" s="43" t="s">
        <v>25</v>
      </c>
      <c r="P154" s="43">
        <f>COUNTIF(P155:P168, "&gt;79%")</f>
        <v>13</v>
      </c>
      <c r="Q154" s="43" t="s">
        <v>25</v>
      </c>
      <c r="R154" s="43">
        <f>COUNTIF(R155:R168, "&gt;79%")</f>
        <v>13</v>
      </c>
    </row>
    <row r="155" spans="1:18" x14ac:dyDescent="0.3">
      <c r="A155" s="35">
        <f>'[18]Student Data'!P5</f>
        <v>347573</v>
      </c>
      <c r="B155" s="35" t="str">
        <f>[18]Reporting!C4</f>
        <v>Transition to Production</v>
      </c>
      <c r="C155" s="39" t="str">
        <f>[18]Reporting!F4</f>
        <v>Melody (Mel) Allague</v>
      </c>
      <c r="D155" s="35" cm="1">
        <f t="array" ref="D155">--(SUM(COUNTIF(B155,{"*nest*","*grad*","*trans*","*1B*","*1C*"}))&gt;0)</f>
        <v>1</v>
      </c>
      <c r="E155" s="40">
        <f>[18]Performance!Q5</f>
        <v>1</v>
      </c>
      <c r="F155" s="40">
        <f>[18]Performance!R5</f>
        <v>1</v>
      </c>
      <c r="G155" s="40">
        <f>[18]Performance!S5</f>
        <v>1</v>
      </c>
      <c r="H155" s="40">
        <f>[18]Performance!T5</f>
        <v>0.8</v>
      </c>
      <c r="I155" s="40">
        <f>[18]Performance!U5</f>
        <v>1</v>
      </c>
      <c r="J155" s="40" t="str">
        <f>[18]Performance!H5</f>
        <v>NTT</v>
      </c>
      <c r="K155" s="40">
        <f>[18]Performance!I5</f>
        <v>1</v>
      </c>
      <c r="L155" s="40">
        <f>[18]Performance!J5</f>
        <v>1</v>
      </c>
      <c r="M155" s="40" t="str">
        <f>[18]Performance!K5</f>
        <v>NTT</v>
      </c>
      <c r="N155" s="40" t="str">
        <f>[18]Performance!L5</f>
        <v>NTT</v>
      </c>
      <c r="O155" s="40" t="str">
        <f>[18]Performance!M5</f>
        <v>NTT</v>
      </c>
      <c r="P155" s="40">
        <f>[18]Performance!N5</f>
        <v>1</v>
      </c>
      <c r="Q155" s="40" t="str">
        <f>[18]Performance!O5</f>
        <v>NTT</v>
      </c>
      <c r="R155" s="40">
        <f>[18]Performance!P5</f>
        <v>0.94</v>
      </c>
    </row>
    <row r="156" spans="1:18" x14ac:dyDescent="0.3">
      <c r="A156" s="35">
        <f>'[18]Student Data'!P6</f>
        <v>347572</v>
      </c>
      <c r="B156" s="35" t="str">
        <f>[18]Reporting!C5</f>
        <v>Transition to Production</v>
      </c>
      <c r="C156" s="39" t="str">
        <f>[18]Reporting!F5</f>
        <v>John Carlo (JC) Aquino</v>
      </c>
      <c r="D156" s="35" cm="1">
        <f t="array" ref="D156">--(SUM(COUNTIF(B156,{"*nest*","*grad*","*trans*","*1B*","*1C*"}))&gt;0)</f>
        <v>1</v>
      </c>
      <c r="E156" s="40">
        <f>[18]Performance!Q6</f>
        <v>1</v>
      </c>
      <c r="F156" s="40">
        <f>[18]Performance!R6</f>
        <v>1</v>
      </c>
      <c r="G156" s="40">
        <f>[18]Performance!S6</f>
        <v>1</v>
      </c>
      <c r="H156" s="40">
        <f>[18]Performance!T6</f>
        <v>1</v>
      </c>
      <c r="I156" s="40">
        <f>[18]Performance!U6</f>
        <v>1</v>
      </c>
      <c r="J156" s="40" t="str">
        <f>[18]Performance!H6</f>
        <v>NTT</v>
      </c>
      <c r="K156" s="40">
        <f>[18]Performance!I6</f>
        <v>0.88</v>
      </c>
      <c r="L156" s="40">
        <f>[18]Performance!J6</f>
        <v>1</v>
      </c>
      <c r="M156" s="40" t="str">
        <f>[18]Performance!K6</f>
        <v>NTT</v>
      </c>
      <c r="N156" s="40" t="str">
        <f>[18]Performance!L6</f>
        <v>NTT</v>
      </c>
      <c r="O156" s="40" t="str">
        <f>[18]Performance!M6</f>
        <v>NTT</v>
      </c>
      <c r="P156" s="40">
        <f>[18]Performance!N6</f>
        <v>1</v>
      </c>
      <c r="Q156" s="40" t="str">
        <f>[18]Performance!O6</f>
        <v>NTT</v>
      </c>
      <c r="R156" s="40">
        <f>[18]Performance!P6</f>
        <v>0.94</v>
      </c>
    </row>
    <row r="157" spans="1:18" x14ac:dyDescent="0.3">
      <c r="A157" s="35">
        <f>'[18]Student Data'!P7</f>
        <v>347570</v>
      </c>
      <c r="B157" s="35" t="str">
        <f>[18]Reporting!C6</f>
        <v>Resigned Tier 1B</v>
      </c>
      <c r="C157" s="39" t="str">
        <f>[18]Reporting!F6</f>
        <v>Ennis (EA) Ayuste</v>
      </c>
      <c r="D157" s="35" cm="1">
        <f t="array" ref="D157">--(SUM(COUNTIF(B157,{"*nest*","*grad*","*trans*","*1B*","*1C*"}))&gt;0)</f>
        <v>1</v>
      </c>
      <c r="E157" s="40">
        <f>[18]Performance!Q7</f>
        <v>1</v>
      </c>
      <c r="F157" s="40">
        <f>[18]Performance!R7</f>
        <v>1</v>
      </c>
      <c r="G157" s="40">
        <f>[18]Performance!S7</f>
        <v>1</v>
      </c>
      <c r="H157" s="40">
        <f>[18]Performance!T7</f>
        <v>1</v>
      </c>
      <c r="I157" s="40">
        <f>[18]Performance!U7</f>
        <v>1</v>
      </c>
      <c r="J157" s="40" t="str">
        <f>[18]Performance!H7</f>
        <v>NTT</v>
      </c>
      <c r="K157" s="40">
        <f>[18]Performance!I7</f>
        <v>0.88</v>
      </c>
      <c r="L157" s="40">
        <f>[18]Performance!J7</f>
        <v>1</v>
      </c>
      <c r="M157" s="40" t="str">
        <f>[18]Performance!K7</f>
        <v>NTT</v>
      </c>
      <c r="N157" s="40" t="str">
        <f>[18]Performance!L7</f>
        <v>NTT</v>
      </c>
      <c r="O157" s="40" t="str">
        <f>[18]Performance!M7</f>
        <v>NTT</v>
      </c>
      <c r="P157" s="40">
        <f>[18]Performance!N7</f>
        <v>1</v>
      </c>
      <c r="Q157" s="40" t="str">
        <f>[18]Performance!O7</f>
        <v>NTT</v>
      </c>
      <c r="R157" s="40">
        <f>[18]Performance!P7</f>
        <v>0.94</v>
      </c>
    </row>
    <row r="158" spans="1:18" x14ac:dyDescent="0.3">
      <c r="A158" s="35">
        <f>'[18]Student Data'!P8</f>
        <v>347577</v>
      </c>
      <c r="B158" s="35" t="str">
        <f>[18]Reporting!C7</f>
        <v>Resigned-Nesting 3</v>
      </c>
      <c r="C158" s="39" t="str">
        <f>[18]Reporting!F7</f>
        <v>Lovely Mae Bansali</v>
      </c>
      <c r="D158" s="35" cm="1">
        <f t="array" ref="D158">--(SUM(COUNTIF(B158,{"*nest*","*grad*","*trans*","*1B*","*1C*"}))&gt;0)</f>
        <v>1</v>
      </c>
      <c r="E158" s="40">
        <f>[18]Performance!Q8</f>
        <v>1</v>
      </c>
      <c r="F158" s="40">
        <f>[18]Performance!R8</f>
        <v>1</v>
      </c>
      <c r="G158" s="40">
        <f>[18]Performance!S8</f>
        <v>0.88</v>
      </c>
      <c r="H158" s="40">
        <f>[18]Performance!T8</f>
        <v>0.8</v>
      </c>
      <c r="I158" s="40">
        <f>[18]Performance!U8</f>
        <v>0.83</v>
      </c>
      <c r="J158" s="40" t="str">
        <f>[18]Performance!H8</f>
        <v>NTT</v>
      </c>
      <c r="K158" s="40">
        <f>[18]Performance!I8</f>
        <v>1</v>
      </c>
      <c r="L158" s="40">
        <f>[18]Performance!J8</f>
        <v>1</v>
      </c>
      <c r="M158" s="40" t="str">
        <f>[18]Performance!K8</f>
        <v>NTT</v>
      </c>
      <c r="N158" s="40" t="str">
        <f>[18]Performance!L8</f>
        <v>NTT</v>
      </c>
      <c r="O158" s="40" t="str">
        <f>[18]Performance!M8</f>
        <v>NTT</v>
      </c>
      <c r="P158" s="40">
        <f>[18]Performance!N8</f>
        <v>1</v>
      </c>
      <c r="Q158" s="40" t="str">
        <f>[18]Performance!O8</f>
        <v>NTT</v>
      </c>
      <c r="R158" s="40">
        <f>[18]Performance!P8</f>
        <v>0.88</v>
      </c>
    </row>
    <row r="159" spans="1:18" x14ac:dyDescent="0.3">
      <c r="A159" s="35">
        <f>'[18]Student Data'!P9</f>
        <v>347578</v>
      </c>
      <c r="B159" s="35" t="str">
        <f>[18]Reporting!C8</f>
        <v>Transition to Production</v>
      </c>
      <c r="C159" s="39" t="str">
        <f>[18]Reporting!F8</f>
        <v>Lorrea (Joyce) Dela Cruz</v>
      </c>
      <c r="D159" s="35" cm="1">
        <f t="array" ref="D159">--(SUM(COUNTIF(B159,{"*nest*","*grad*","*trans*","*1B*","*1C*"}))&gt;0)</f>
        <v>1</v>
      </c>
      <c r="E159" s="40">
        <f>[18]Performance!Q9</f>
        <v>1</v>
      </c>
      <c r="F159" s="40">
        <f>[18]Performance!R9</f>
        <v>1</v>
      </c>
      <c r="G159" s="40">
        <f>[18]Performance!S9</f>
        <v>0.88</v>
      </c>
      <c r="H159" s="40">
        <f>[18]Performance!T9</f>
        <v>0.8</v>
      </c>
      <c r="I159" s="40">
        <f>[18]Performance!U9</f>
        <v>0.9</v>
      </c>
      <c r="J159" s="40" t="str">
        <f>[18]Performance!H9</f>
        <v>NTT</v>
      </c>
      <c r="K159" s="40">
        <f>[18]Performance!I9</f>
        <v>1</v>
      </c>
      <c r="L159" s="40">
        <f>[18]Performance!J9</f>
        <v>1</v>
      </c>
      <c r="M159" s="40" t="str">
        <f>[18]Performance!K9</f>
        <v>NTT</v>
      </c>
      <c r="N159" s="40" t="str">
        <f>[18]Performance!L9</f>
        <v>NTT</v>
      </c>
      <c r="O159" s="40" t="str">
        <f>[18]Performance!M9</f>
        <v>NTT</v>
      </c>
      <c r="P159" s="40">
        <f>[18]Performance!N9</f>
        <v>1</v>
      </c>
      <c r="Q159" s="40" t="str">
        <f>[18]Performance!O9</f>
        <v>NTT</v>
      </c>
      <c r="R159" s="40">
        <f>[18]Performance!P9</f>
        <v>0.94</v>
      </c>
    </row>
    <row r="160" spans="1:18" x14ac:dyDescent="0.3">
      <c r="A160" s="35">
        <f>'[18]Student Data'!P10</f>
        <v>0</v>
      </c>
      <c r="B160" s="35" t="str">
        <f>[18]Reporting!C9</f>
        <v>Did not Start</v>
      </c>
      <c r="C160" s="39" t="str">
        <f>[18]Reporting!F9</f>
        <v>Eugene Domagas</v>
      </c>
      <c r="D160" s="35" cm="1">
        <f t="array" ref="D160">--(SUM(COUNTIF(B160,{"*nest*","*grad*","*trans*","*1B*","*1C*"}))&gt;0)</f>
        <v>0</v>
      </c>
      <c r="E160" s="40">
        <f>[18]Performance!Q10</f>
        <v>0</v>
      </c>
      <c r="F160" s="40">
        <f>[18]Performance!R10</f>
        <v>0</v>
      </c>
      <c r="G160" s="40">
        <f>[18]Performance!S10</f>
        <v>0</v>
      </c>
      <c r="H160" s="40">
        <f>[18]Performance!T10</f>
        <v>0</v>
      </c>
      <c r="I160" s="40">
        <f>[18]Performance!U10</f>
        <v>0</v>
      </c>
      <c r="J160" s="40">
        <f>[18]Performance!H10</f>
        <v>0</v>
      </c>
      <c r="K160" s="40">
        <f>[18]Performance!I10</f>
        <v>0</v>
      </c>
      <c r="L160" s="40">
        <f>[18]Performance!J10</f>
        <v>0</v>
      </c>
      <c r="M160" s="40">
        <f>[18]Performance!K10</f>
        <v>0</v>
      </c>
      <c r="N160" s="40">
        <f>[18]Performance!L10</f>
        <v>0</v>
      </c>
      <c r="O160" s="40">
        <f>[18]Performance!M10</f>
        <v>0</v>
      </c>
      <c r="P160" s="40">
        <f>[18]Performance!N10</f>
        <v>0</v>
      </c>
      <c r="Q160" s="40">
        <f>[18]Performance!O10</f>
        <v>0</v>
      </c>
      <c r="R160" s="40">
        <f>[18]Performance!P10</f>
        <v>0</v>
      </c>
    </row>
    <row r="161" spans="1:18" x14ac:dyDescent="0.3">
      <c r="A161" s="35">
        <f>'[18]Student Data'!P11</f>
        <v>347576</v>
      </c>
      <c r="B161" s="35" t="str">
        <f>[18]Reporting!C10</f>
        <v>Transition to Production</v>
      </c>
      <c r="C161" s="39" t="str">
        <f>[18]Reporting!F10</f>
        <v>Ginero Allan (Lan) Ducusin</v>
      </c>
      <c r="D161" s="35" cm="1">
        <f t="array" ref="D161">--(SUM(COUNTIF(B161,{"*nest*","*grad*","*trans*","*1B*","*1C*"}))&gt;0)</f>
        <v>1</v>
      </c>
      <c r="E161" s="40">
        <f>[18]Performance!Q11</f>
        <v>1</v>
      </c>
      <c r="F161" s="40">
        <f>[18]Performance!R11</f>
        <v>1</v>
      </c>
      <c r="G161" s="40">
        <f>[18]Performance!S11</f>
        <v>0.86</v>
      </c>
      <c r="H161" s="40">
        <f>[18]Performance!T11</f>
        <v>1</v>
      </c>
      <c r="I161" s="40">
        <f>[18]Performance!U11</f>
        <v>1</v>
      </c>
      <c r="J161" s="40" t="str">
        <f>[18]Performance!H11</f>
        <v>NTT</v>
      </c>
      <c r="K161" s="40">
        <f>[18]Performance!I11</f>
        <v>0.88</v>
      </c>
      <c r="L161" s="40">
        <f>[18]Performance!J11</f>
        <v>0.8</v>
      </c>
      <c r="M161" s="40" t="str">
        <f>[18]Performance!K11</f>
        <v>NTT</v>
      </c>
      <c r="N161" s="40" t="str">
        <f>[18]Performance!L11</f>
        <v>NTT</v>
      </c>
      <c r="O161" s="40" t="str">
        <f>[18]Performance!M11</f>
        <v>NTT</v>
      </c>
      <c r="P161" s="40">
        <f>[18]Performance!N11</f>
        <v>1</v>
      </c>
      <c r="Q161" s="40" t="str">
        <f>[18]Performance!O11</f>
        <v>NTT</v>
      </c>
      <c r="R161" s="40">
        <f>[18]Performance!P11</f>
        <v>0.88</v>
      </c>
    </row>
    <row r="162" spans="1:18" x14ac:dyDescent="0.3">
      <c r="A162" s="35">
        <f>'[18]Student Data'!P12</f>
        <v>347575</v>
      </c>
      <c r="B162" s="35" t="str">
        <f>[18]Reporting!C11</f>
        <v>Transition to Production</v>
      </c>
      <c r="C162" s="39" t="str">
        <f>[18]Reporting!F11</f>
        <v>Randolph (Randy) Equibal</v>
      </c>
      <c r="D162" s="35" cm="1">
        <f t="array" ref="D162">--(SUM(COUNTIF(B162,{"*nest*","*grad*","*trans*","*1B*","*1C*"}))&gt;0)</f>
        <v>1</v>
      </c>
      <c r="E162" s="40">
        <f>[18]Performance!Q12</f>
        <v>1</v>
      </c>
      <c r="F162" s="40">
        <f>[18]Performance!R12</f>
        <v>1</v>
      </c>
      <c r="G162" s="40">
        <f>[18]Performance!S12</f>
        <v>1</v>
      </c>
      <c r="H162" s="40">
        <f>[18]Performance!T12</f>
        <v>1</v>
      </c>
      <c r="I162" s="40">
        <f>[18]Performance!U12</f>
        <v>0.9</v>
      </c>
      <c r="J162" s="40" t="str">
        <f>[18]Performance!H12</f>
        <v>NTT</v>
      </c>
      <c r="K162" s="40">
        <f>[18]Performance!I12</f>
        <v>1</v>
      </c>
      <c r="L162" s="40">
        <f>[18]Performance!J12</f>
        <v>1</v>
      </c>
      <c r="M162" s="40" t="str">
        <f>[18]Performance!K12</f>
        <v>NTT</v>
      </c>
      <c r="N162" s="40" t="str">
        <f>[18]Performance!L12</f>
        <v>NTT</v>
      </c>
      <c r="O162" s="40" t="str">
        <f>[18]Performance!M12</f>
        <v>NTT</v>
      </c>
      <c r="P162" s="40">
        <f>[18]Performance!N12</f>
        <v>1</v>
      </c>
      <c r="Q162" s="40" t="str">
        <f>[18]Performance!O12</f>
        <v>NTT</v>
      </c>
      <c r="R162" s="40">
        <f>[18]Performance!P12</f>
        <v>0.82</v>
      </c>
    </row>
    <row r="163" spans="1:18" x14ac:dyDescent="0.3">
      <c r="A163" s="35">
        <f>'[18]Student Data'!P13</f>
        <v>347567</v>
      </c>
      <c r="B163" s="35" t="str">
        <f>[18]Reporting!C12</f>
        <v>Terminated-Nesting 3</v>
      </c>
      <c r="C163" s="39" t="str">
        <f>[18]Reporting!F12</f>
        <v>Roselle Mallari</v>
      </c>
      <c r="D163" s="35" cm="1">
        <f t="array" ref="D163">--(SUM(COUNTIF(B163,{"*nest*","*grad*","*trans*","*1B*","*1C*"}))&gt;0)</f>
        <v>1</v>
      </c>
      <c r="E163" s="40">
        <f>[18]Performance!Q13</f>
        <v>1</v>
      </c>
      <c r="F163" s="40">
        <f>[18]Performance!R13</f>
        <v>1</v>
      </c>
      <c r="G163" s="40">
        <f>[18]Performance!S13</f>
        <v>0.94</v>
      </c>
      <c r="H163" s="40">
        <f>[18]Performance!T13</f>
        <v>1</v>
      </c>
      <c r="I163" s="40">
        <f>[18]Performance!U13</f>
        <v>0.83</v>
      </c>
      <c r="J163" s="40" t="str">
        <f>[18]Performance!H13</f>
        <v>NTT</v>
      </c>
      <c r="K163" s="40">
        <f>[18]Performance!I13</f>
        <v>1</v>
      </c>
      <c r="L163" s="40">
        <f>[18]Performance!J13</f>
        <v>0.8</v>
      </c>
      <c r="M163" s="40" t="str">
        <f>[18]Performance!K13</f>
        <v>NTT</v>
      </c>
      <c r="N163" s="40" t="str">
        <f>[18]Performance!L13</f>
        <v>NTT</v>
      </c>
      <c r="O163" s="40" t="str">
        <f>[18]Performance!M13</f>
        <v>NTT</v>
      </c>
      <c r="P163" s="40">
        <f>[18]Performance!N13</f>
        <v>1</v>
      </c>
      <c r="Q163" s="40" t="str">
        <f>[18]Performance!O13</f>
        <v>NTT</v>
      </c>
      <c r="R163" s="40">
        <f>[18]Performance!P13</f>
        <v>0.98</v>
      </c>
    </row>
    <row r="164" spans="1:18" x14ac:dyDescent="0.3">
      <c r="A164" s="35">
        <f>'[18]Student Data'!P14</f>
        <v>347581</v>
      </c>
      <c r="B164" s="35" t="str">
        <f>[18]Reporting!C13</f>
        <v>Terminated Tier 1B</v>
      </c>
      <c r="C164" s="39" t="str">
        <f>[18]Reporting!F13</f>
        <v>Edelyn (Edz) Mangansakan</v>
      </c>
      <c r="D164" s="35" cm="1">
        <f t="array" ref="D164">--(SUM(COUNTIF(B164,{"*nest*","*grad*","*trans*","*1B*","*1C*"}))&gt;0)</f>
        <v>1</v>
      </c>
      <c r="E164" s="40">
        <f>[18]Performance!Q14</f>
        <v>1</v>
      </c>
      <c r="F164" s="40">
        <f>[18]Performance!R14</f>
        <v>1</v>
      </c>
      <c r="G164" s="40">
        <f>[18]Performance!S14</f>
        <v>1</v>
      </c>
      <c r="H164" s="40">
        <f>[18]Performance!T14</f>
        <v>1</v>
      </c>
      <c r="I164" s="40">
        <f>[18]Performance!U14</f>
        <v>0.9</v>
      </c>
      <c r="J164" s="40" t="str">
        <f>[18]Performance!H14</f>
        <v>NTT</v>
      </c>
      <c r="K164" s="40">
        <f>[18]Performance!I14</f>
        <v>1</v>
      </c>
      <c r="L164" s="40">
        <f>[18]Performance!J14</f>
        <v>1</v>
      </c>
      <c r="M164" s="40" t="str">
        <f>[18]Performance!K14</f>
        <v>NTT</v>
      </c>
      <c r="N164" s="40" t="str">
        <f>[18]Performance!L14</f>
        <v>NTT</v>
      </c>
      <c r="O164" s="40" t="str">
        <f>[18]Performance!M14</f>
        <v>NTT</v>
      </c>
      <c r="P164" s="40">
        <f>[18]Performance!N14</f>
        <v>1</v>
      </c>
      <c r="Q164" s="40" t="str">
        <f>[18]Performance!O14</f>
        <v>NTT</v>
      </c>
      <c r="R164" s="40">
        <f>[18]Performance!P14</f>
        <v>0.94</v>
      </c>
    </row>
    <row r="165" spans="1:18" x14ac:dyDescent="0.3">
      <c r="A165" s="35">
        <f>'[18]Student Data'!P15</f>
        <v>347571</v>
      </c>
      <c r="B165" s="35" t="str">
        <f>[18]Reporting!C14</f>
        <v>Terminated-Nesting 3</v>
      </c>
      <c r="C165" s="39" t="str">
        <f>[18]Reporting!F14</f>
        <v>Ronalyn (RR) Mendina</v>
      </c>
      <c r="D165" s="35" cm="1">
        <f t="array" ref="D165">--(SUM(COUNTIF(B165,{"*nest*","*grad*","*trans*","*1B*","*1C*"}))&gt;0)</f>
        <v>1</v>
      </c>
      <c r="E165" s="40">
        <f>[18]Performance!Q15</f>
        <v>1</v>
      </c>
      <c r="F165" s="40">
        <f>[18]Performance!R15</f>
        <v>1</v>
      </c>
      <c r="G165" s="40">
        <f>[18]Performance!S15</f>
        <v>0.8</v>
      </c>
      <c r="H165" s="40">
        <f>[18]Performance!T15</f>
        <v>1</v>
      </c>
      <c r="I165" s="40">
        <f>[18]Performance!U15</f>
        <v>0.8</v>
      </c>
      <c r="J165" s="40" t="str">
        <f>[18]Performance!H15</f>
        <v>NTT</v>
      </c>
      <c r="K165" s="40">
        <f>[18]Performance!I15</f>
        <v>1</v>
      </c>
      <c r="L165" s="40">
        <f>[18]Performance!J15</f>
        <v>1</v>
      </c>
      <c r="M165" s="40" t="str">
        <f>[18]Performance!K15</f>
        <v>NTT</v>
      </c>
      <c r="N165" s="40" t="str">
        <f>[18]Performance!L15</f>
        <v>NTT</v>
      </c>
      <c r="O165" s="40" t="str">
        <f>[18]Performance!M15</f>
        <v>NTT</v>
      </c>
      <c r="P165" s="40">
        <f>[18]Performance!N15</f>
        <v>1</v>
      </c>
      <c r="Q165" s="40" t="str">
        <f>[18]Performance!O15</f>
        <v>NTT</v>
      </c>
      <c r="R165" s="40">
        <f>[18]Performance!P15</f>
        <v>0.88</v>
      </c>
    </row>
    <row r="166" spans="1:18" x14ac:dyDescent="0.3">
      <c r="A166" s="35">
        <f>'[18]Student Data'!P16</f>
        <v>347579</v>
      </c>
      <c r="B166" s="35" t="str">
        <f>[18]Reporting!C15</f>
        <v>Moved/Joining Alternate Class/Program</v>
      </c>
      <c r="C166" s="39" t="str">
        <f>[18]Reporting!F15</f>
        <v>Patrick Verdillo</v>
      </c>
      <c r="D166" s="35" cm="1">
        <f t="array" ref="D166">--(SUM(COUNTIF(B166,{"*nest*","*grad*","*trans*","*1B*","*1C*"}))&gt;0)</f>
        <v>0</v>
      </c>
      <c r="E166" s="40">
        <f>[18]Performance!Q16</f>
        <v>1</v>
      </c>
      <c r="F166" s="40">
        <f>[18]Performance!R16</f>
        <v>1</v>
      </c>
      <c r="G166" s="40">
        <f>[18]Performance!S16</f>
        <v>0.8</v>
      </c>
      <c r="H166" s="40">
        <f>[18]Performance!T16</f>
        <v>1</v>
      </c>
      <c r="I166" s="40">
        <f>[18]Performance!U16</f>
        <v>0.8</v>
      </c>
      <c r="J166" s="40" t="str">
        <f>[18]Performance!H16</f>
        <v>NTT</v>
      </c>
      <c r="K166" s="40">
        <f>[18]Performance!I16</f>
        <v>1</v>
      </c>
      <c r="L166" s="40">
        <f>[18]Performance!J16</f>
        <v>1</v>
      </c>
      <c r="M166" s="40" t="str">
        <f>[18]Performance!K16</f>
        <v>NTT</v>
      </c>
      <c r="N166" s="40" t="str">
        <f>[18]Performance!L16</f>
        <v>NTT</v>
      </c>
      <c r="O166" s="40" t="str">
        <f>[18]Performance!M16</f>
        <v>NTT</v>
      </c>
      <c r="P166" s="40">
        <f>[18]Performance!N16</f>
        <v>1</v>
      </c>
      <c r="Q166" s="40" t="str">
        <f>[18]Performance!O16</f>
        <v>NTT</v>
      </c>
      <c r="R166" s="40">
        <f>[18]Performance!P16</f>
        <v>0.88</v>
      </c>
    </row>
    <row r="167" spans="1:18" x14ac:dyDescent="0.3">
      <c r="A167" s="35">
        <f>'[18]Student Data'!P17</f>
        <v>347574</v>
      </c>
      <c r="B167" s="35" t="str">
        <f>[18]Reporting!C16</f>
        <v>Terminated-Nesting 3</v>
      </c>
      <c r="C167" s="39" t="str">
        <f>[18]Reporting!F16</f>
        <v>Melissa (Mel) Villareal</v>
      </c>
      <c r="D167" s="35" cm="1">
        <f t="array" ref="D167">--(SUM(COUNTIF(B167,{"*nest*","*grad*","*trans*","*1B*","*1C*"}))&gt;0)</f>
        <v>1</v>
      </c>
      <c r="E167" s="40">
        <f>[18]Performance!Q17</f>
        <v>1</v>
      </c>
      <c r="F167" s="40">
        <f>[18]Performance!R17</f>
        <v>1</v>
      </c>
      <c r="G167" s="40">
        <f>[18]Performance!S17</f>
        <v>1</v>
      </c>
      <c r="H167" s="40">
        <f>[18]Performance!T17</f>
        <v>1</v>
      </c>
      <c r="I167" s="40">
        <f>[18]Performance!U17</f>
        <v>0.88</v>
      </c>
      <c r="J167" s="40" t="str">
        <f>[18]Performance!H17</f>
        <v>NTT</v>
      </c>
      <c r="K167" s="40">
        <f>[18]Performance!I17</f>
        <v>0.88</v>
      </c>
      <c r="L167" s="40">
        <f>[18]Performance!J17</f>
        <v>1</v>
      </c>
      <c r="M167" s="40" t="str">
        <f>[18]Performance!K17</f>
        <v>NTT</v>
      </c>
      <c r="N167" s="40" t="str">
        <f>[18]Performance!L17</f>
        <v>NTT</v>
      </c>
      <c r="O167" s="40" t="str">
        <f>[18]Performance!M17</f>
        <v>NTT</v>
      </c>
      <c r="P167" s="40">
        <f>[18]Performance!N17</f>
        <v>1</v>
      </c>
      <c r="Q167" s="40" t="str">
        <f>[18]Performance!O17</f>
        <v>NTT</v>
      </c>
      <c r="R167" s="40">
        <f>[18]Performance!P17</f>
        <v>1</v>
      </c>
    </row>
    <row r="168" spans="1:18" x14ac:dyDescent="0.3">
      <c r="A168" s="35">
        <f>'[18]Student Data'!P18</f>
        <v>347584</v>
      </c>
      <c r="B168" s="35" t="str">
        <f>[18]Reporting!C17</f>
        <v>Resigned-Nesting 3</v>
      </c>
      <c r="C168" s="39" t="str">
        <f>[18]Reporting!F17</f>
        <v>Keith Vizmanos</v>
      </c>
      <c r="D168" s="35" cm="1">
        <f t="array" ref="D168">--(SUM(COUNTIF(B168,{"*nest*","*grad*","*trans*","*1B*","*1C*"}))&gt;0)</f>
        <v>1</v>
      </c>
      <c r="E168" s="40">
        <f>[18]Performance!Q18</f>
        <v>1</v>
      </c>
      <c r="F168" s="40">
        <f>[18]Performance!R18</f>
        <v>1</v>
      </c>
      <c r="G168" s="40">
        <f>[18]Performance!S18</f>
        <v>0.82</v>
      </c>
      <c r="H168" s="40">
        <f>[18]Performance!T18</f>
        <v>0.8</v>
      </c>
      <c r="I168" s="40">
        <f>[18]Performance!U18</f>
        <v>1</v>
      </c>
      <c r="J168" s="40" t="str">
        <f>[18]Performance!H18</f>
        <v>NTT</v>
      </c>
      <c r="K168" s="40">
        <f>[18]Performance!I18</f>
        <v>1</v>
      </c>
      <c r="L168" s="40">
        <f>[18]Performance!J18</f>
        <v>1</v>
      </c>
      <c r="M168" s="40" t="str">
        <f>[18]Performance!K18</f>
        <v>NTT</v>
      </c>
      <c r="N168" s="40" t="str">
        <f>[18]Performance!L18</f>
        <v>NTT</v>
      </c>
      <c r="O168" s="40" t="str">
        <f>[18]Performance!M18</f>
        <v>NTT</v>
      </c>
      <c r="P168" s="40">
        <f>[18]Performance!N18</f>
        <v>1</v>
      </c>
      <c r="Q168" s="40" t="str">
        <f>[18]Performance!O18</f>
        <v>NTT</v>
      </c>
      <c r="R168" s="40">
        <f>[18]Performance!P18</f>
        <v>1</v>
      </c>
    </row>
    <row r="169" spans="1:18" x14ac:dyDescent="0.3">
      <c r="A169" s="8" t="s">
        <v>51</v>
      </c>
      <c r="B169" s="44" t="str">
        <f>'[19]Class Summary'!$B$11</f>
        <v>Kate Saigo</v>
      </c>
      <c r="C169" s="44" t="str">
        <f>'[19]Class Summary'!$B$12</f>
        <v>Robin Yasona </v>
      </c>
      <c r="D169" s="43">
        <f>SUM(D170:D186)</f>
        <v>13</v>
      </c>
      <c r="E169" s="43">
        <f>COUNTIF(E170:E186, "&gt;79%")</f>
        <v>16</v>
      </c>
      <c r="F169" s="43">
        <f t="shared" ref="F169:R169" si="5">COUNTIF(F170:F186, "&gt;79%")</f>
        <v>16</v>
      </c>
      <c r="G169" s="43">
        <f t="shared" si="5"/>
        <v>15</v>
      </c>
      <c r="H169" s="43">
        <f t="shared" si="5"/>
        <v>16</v>
      </c>
      <c r="I169" s="43">
        <f t="shared" si="5"/>
        <v>15</v>
      </c>
      <c r="J169" s="43">
        <f t="shared" si="5"/>
        <v>16</v>
      </c>
      <c r="K169" s="43">
        <f t="shared" si="5"/>
        <v>16</v>
      </c>
      <c r="L169" s="43">
        <f t="shared" si="5"/>
        <v>16</v>
      </c>
      <c r="M169" s="43">
        <f t="shared" si="5"/>
        <v>16</v>
      </c>
      <c r="N169" s="43">
        <f t="shared" si="5"/>
        <v>16</v>
      </c>
      <c r="O169" s="43">
        <f t="shared" si="5"/>
        <v>16</v>
      </c>
      <c r="P169" s="43">
        <f t="shared" si="5"/>
        <v>16</v>
      </c>
      <c r="Q169" s="43">
        <f t="shared" si="5"/>
        <v>16</v>
      </c>
      <c r="R169" s="43">
        <f t="shared" si="5"/>
        <v>16</v>
      </c>
    </row>
    <row r="170" spans="1:18" x14ac:dyDescent="0.3">
      <c r="A170" s="35">
        <f>'[19]Student Data'!M5</f>
        <v>40808</v>
      </c>
      <c r="B170" s="35" t="str">
        <f>[19]Reporting!C4</f>
        <v>Resigned Tier 1A</v>
      </c>
      <c r="C170" s="39" t="str">
        <f>[19]Reporting!F4</f>
        <v>Aymane Bouchama</v>
      </c>
      <c r="D170" s="35" cm="1">
        <f t="array" ref="D170">--(SUM(COUNTIF(B170,{"*nest*","*grad*","*trans*","*1B*","*1C*"}))&gt;0)</f>
        <v>0</v>
      </c>
      <c r="E170" s="40">
        <f>[19]Performance!Q5</f>
        <v>1</v>
      </c>
      <c r="F170" s="40">
        <f>[19]Performance!R5</f>
        <v>1</v>
      </c>
      <c r="G170" s="40">
        <f>[19]Performance!S5</f>
        <v>0</v>
      </c>
      <c r="H170" s="40">
        <f>[19]Performance!T5</f>
        <v>0.8</v>
      </c>
      <c r="I170" s="40">
        <f>[19]Performance!U5</f>
        <v>0</v>
      </c>
      <c r="J170" s="40">
        <f>[19]Performance!H5</f>
        <v>1</v>
      </c>
      <c r="K170" s="40">
        <f>[19]Performance!I5</f>
        <v>0.88</v>
      </c>
      <c r="L170" s="40">
        <f>[19]Performance!J5</f>
        <v>1</v>
      </c>
      <c r="M170" s="40">
        <f>[19]Performance!K5</f>
        <v>1</v>
      </c>
      <c r="N170" s="40">
        <f>[19]Performance!L5</f>
        <v>0.89</v>
      </c>
      <c r="O170" s="40">
        <f>[19]Performance!M5</f>
        <v>1</v>
      </c>
      <c r="P170" s="40">
        <f>[19]Performance!N5</f>
        <v>1</v>
      </c>
      <c r="Q170" s="40">
        <f>[19]Performance!O5</f>
        <v>1</v>
      </c>
      <c r="R170" s="40">
        <f>[19]Performance!P5</f>
        <v>0.91</v>
      </c>
    </row>
    <row r="171" spans="1:18" x14ac:dyDescent="0.3">
      <c r="A171" s="35">
        <f>'[19]Student Data'!M6</f>
        <v>40807</v>
      </c>
      <c r="B171" s="35" t="str">
        <f>[19]Reporting!C5</f>
        <v>Resigned Tier 1A</v>
      </c>
      <c r="C171" s="39" t="str">
        <f>[19]Reporting!F5</f>
        <v>Fouziya Chouqi</v>
      </c>
      <c r="D171" s="35" cm="1">
        <f t="array" ref="D171">--(SUM(COUNTIF(B171,{"*nest*","*grad*","*trans*","*1B*","*1C*"}))&gt;0)</f>
        <v>0</v>
      </c>
      <c r="E171" s="40">
        <f>[19]Performance!Q6</f>
        <v>1</v>
      </c>
      <c r="F171" s="40">
        <f>[19]Performance!R6</f>
        <v>1</v>
      </c>
      <c r="G171" s="40">
        <f>[19]Performance!S6</f>
        <v>0.88</v>
      </c>
      <c r="H171" s="40">
        <f>[19]Performance!T6</f>
        <v>1</v>
      </c>
      <c r="I171" s="40">
        <f>[19]Performance!U6</f>
        <v>0.9</v>
      </c>
      <c r="J171" s="40">
        <f>[19]Performance!H6</f>
        <v>1</v>
      </c>
      <c r="K171" s="40">
        <f>[19]Performance!I6</f>
        <v>0.88</v>
      </c>
      <c r="L171" s="40">
        <f>[19]Performance!J6</f>
        <v>1</v>
      </c>
      <c r="M171" s="40">
        <f>[19]Performance!K6</f>
        <v>1</v>
      </c>
      <c r="N171" s="40">
        <f>[19]Performance!L6</f>
        <v>1</v>
      </c>
      <c r="O171" s="40">
        <f>[19]Performance!M6</f>
        <v>1</v>
      </c>
      <c r="P171" s="40">
        <f>[19]Performance!N6</f>
        <v>1</v>
      </c>
      <c r="Q171" s="40">
        <f>[19]Performance!O6</f>
        <v>1</v>
      </c>
      <c r="R171" s="40">
        <f>[19]Performance!P6</f>
        <v>1</v>
      </c>
    </row>
    <row r="172" spans="1:18" x14ac:dyDescent="0.3">
      <c r="A172" s="35">
        <f>'[19]Student Data'!M7</f>
        <v>40810</v>
      </c>
      <c r="B172" s="35" t="str">
        <f>[19]Reporting!C6</f>
        <v>Did not Start</v>
      </c>
      <c r="C172" s="39" t="str">
        <f>[19]Reporting!F6</f>
        <v>Ghita El Amrani</v>
      </c>
      <c r="D172" s="35" cm="1">
        <f t="array" ref="D172">--(SUM(COUNTIF(B172,{"*nest*","*grad*","*trans*","*1B*","*1C*"}))&gt;0)</f>
        <v>0</v>
      </c>
      <c r="E172" s="40">
        <f>[19]Performance!Q7</f>
        <v>0</v>
      </c>
      <c r="F172" s="40">
        <f>[19]Performance!R7</f>
        <v>0</v>
      </c>
      <c r="G172" s="40">
        <f>[19]Performance!S7</f>
        <v>0</v>
      </c>
      <c r="H172" s="40">
        <f>[19]Performance!T7</f>
        <v>0</v>
      </c>
      <c r="I172" s="40">
        <f>[19]Performance!U7</f>
        <v>0</v>
      </c>
      <c r="J172" s="40">
        <f>[19]Performance!H7</f>
        <v>0</v>
      </c>
      <c r="K172" s="40">
        <f>[19]Performance!I7</f>
        <v>0</v>
      </c>
      <c r="L172" s="40">
        <f>[19]Performance!J7</f>
        <v>0</v>
      </c>
      <c r="M172" s="40">
        <f>[19]Performance!K7</f>
        <v>0</v>
      </c>
      <c r="N172" s="40">
        <f>[19]Performance!L7</f>
        <v>0</v>
      </c>
      <c r="O172" s="40">
        <f>[19]Performance!M7</f>
        <v>0</v>
      </c>
      <c r="P172" s="40">
        <f>[19]Performance!N7</f>
        <v>0</v>
      </c>
      <c r="Q172" s="40">
        <f>[19]Performance!O7</f>
        <v>0</v>
      </c>
      <c r="R172" s="40">
        <f>[19]Performance!P7</f>
        <v>0</v>
      </c>
    </row>
    <row r="173" spans="1:18" x14ac:dyDescent="0.3">
      <c r="A173" s="35">
        <f>'[19]Student Data'!M8</f>
        <v>40801</v>
      </c>
      <c r="B173" s="35" t="str">
        <f>[19]Reporting!C7</f>
        <v>Resigned-Nesting 3</v>
      </c>
      <c r="C173" s="39" t="str">
        <f>[19]Reporting!F7</f>
        <v>Asmaa El Ghoufiri</v>
      </c>
      <c r="D173" s="35" cm="1">
        <f t="array" ref="D173">--(SUM(COUNTIF(B173,{"*nest*","*grad*","*trans*","*1B*","*1C*"}))&gt;0)</f>
        <v>1</v>
      </c>
      <c r="E173" s="40">
        <f>[19]Performance!Q8</f>
        <v>1</v>
      </c>
      <c r="F173" s="40">
        <f>[19]Performance!R8</f>
        <v>1</v>
      </c>
      <c r="G173" s="40">
        <f>[19]Performance!S8</f>
        <v>0.88</v>
      </c>
      <c r="H173" s="40">
        <f>[19]Performance!T8</f>
        <v>1</v>
      </c>
      <c r="I173" s="40">
        <f>[19]Performance!U8</f>
        <v>0.98</v>
      </c>
      <c r="J173" s="40">
        <f>[19]Performance!H8</f>
        <v>1</v>
      </c>
      <c r="K173" s="40">
        <f>[19]Performance!I8</f>
        <v>1</v>
      </c>
      <c r="L173" s="40">
        <f>[19]Performance!J8</f>
        <v>1</v>
      </c>
      <c r="M173" s="40">
        <f>[19]Performance!K8</f>
        <v>1</v>
      </c>
      <c r="N173" s="40">
        <f>[19]Performance!L8</f>
        <v>0.89</v>
      </c>
      <c r="O173" s="40">
        <f>[19]Performance!M8</f>
        <v>1</v>
      </c>
      <c r="P173" s="40">
        <f>[19]Performance!N8</f>
        <v>1</v>
      </c>
      <c r="Q173" s="40">
        <f>[19]Performance!O8</f>
        <v>1</v>
      </c>
      <c r="R173" s="40">
        <f>[19]Performance!P8</f>
        <v>0.82</v>
      </c>
    </row>
    <row r="174" spans="1:18" x14ac:dyDescent="0.3">
      <c r="A174" s="35">
        <f>'[19]Student Data'!M9</f>
        <v>40804</v>
      </c>
      <c r="B174" s="35" t="str">
        <f>[19]Reporting!C8</f>
        <v>Terminated-Nesting 3</v>
      </c>
      <c r="C174" s="39" t="str">
        <f>[19]Reporting!F8</f>
        <v>Falilou Fall</v>
      </c>
      <c r="D174" s="35" cm="1">
        <f t="array" ref="D174">--(SUM(COUNTIF(B174,{"*nest*","*grad*","*trans*","*1B*","*1C*"}))&gt;0)</f>
        <v>1</v>
      </c>
      <c r="E174" s="40">
        <f>[19]Performance!Q9</f>
        <v>1</v>
      </c>
      <c r="F174" s="40">
        <f>[19]Performance!R9</f>
        <v>1</v>
      </c>
      <c r="G174" s="40">
        <f>[19]Performance!S9</f>
        <v>0.92</v>
      </c>
      <c r="H174" s="40">
        <f>[19]Performance!T9</f>
        <v>1</v>
      </c>
      <c r="I174" s="40">
        <f>[19]Performance!U9</f>
        <v>0.9</v>
      </c>
      <c r="J174" s="40">
        <f>[19]Performance!H9</f>
        <v>1</v>
      </c>
      <c r="K174" s="40">
        <f>[19]Performance!I9</f>
        <v>1</v>
      </c>
      <c r="L174" s="40">
        <f>[19]Performance!J9</f>
        <v>0.8</v>
      </c>
      <c r="M174" s="40">
        <f>[19]Performance!K9</f>
        <v>1</v>
      </c>
      <c r="N174" s="40">
        <f>[19]Performance!L9</f>
        <v>1</v>
      </c>
      <c r="O174" s="40">
        <f>[19]Performance!M9</f>
        <v>1</v>
      </c>
      <c r="P174" s="40">
        <f>[19]Performance!N9</f>
        <v>1</v>
      </c>
      <c r="Q174" s="40">
        <f>[19]Performance!O9</f>
        <v>0.86</v>
      </c>
      <c r="R174" s="40">
        <f>[19]Performance!P9</f>
        <v>0.86</v>
      </c>
    </row>
    <row r="175" spans="1:18" x14ac:dyDescent="0.3">
      <c r="A175" s="35">
        <f>'[19]Student Data'!M10</f>
        <v>40809</v>
      </c>
      <c r="B175" s="35" t="str">
        <f>[19]Reporting!C9</f>
        <v>Resigned-Nesting 3</v>
      </c>
      <c r="C175" s="39" t="str">
        <f>[19]Reporting!F9</f>
        <v>Ilias Fousi</v>
      </c>
      <c r="D175" s="35" cm="1">
        <f t="array" ref="D175">--(SUM(COUNTIF(B175,{"*nest*","*grad*","*trans*","*1B*","*1C*"}))&gt;0)</f>
        <v>1</v>
      </c>
      <c r="E175" s="40">
        <f>[19]Performance!Q10</f>
        <v>1</v>
      </c>
      <c r="F175" s="40">
        <f>[19]Performance!R10</f>
        <v>1</v>
      </c>
      <c r="G175" s="40">
        <f>[19]Performance!S10</f>
        <v>0.96</v>
      </c>
      <c r="H175" s="40">
        <f>[19]Performance!T10</f>
        <v>0.8</v>
      </c>
      <c r="I175" s="40">
        <f>[19]Performance!U10</f>
        <v>0.95</v>
      </c>
      <c r="J175" s="40">
        <f>[19]Performance!H10</f>
        <v>1</v>
      </c>
      <c r="K175" s="40">
        <f>[19]Performance!I10</f>
        <v>0.88</v>
      </c>
      <c r="L175" s="40">
        <f>[19]Performance!J10</f>
        <v>1</v>
      </c>
      <c r="M175" s="40">
        <f>[19]Performance!K10</f>
        <v>1</v>
      </c>
      <c r="N175" s="40">
        <f>[19]Performance!L10</f>
        <v>1</v>
      </c>
      <c r="O175" s="40">
        <f>[19]Performance!M10</f>
        <v>1</v>
      </c>
      <c r="P175" s="40">
        <f>[19]Performance!N10</f>
        <v>1</v>
      </c>
      <c r="Q175" s="40">
        <f>[19]Performance!O10</f>
        <v>0.87</v>
      </c>
      <c r="R175" s="40">
        <f>[19]Performance!P10</f>
        <v>1</v>
      </c>
    </row>
    <row r="176" spans="1:18" x14ac:dyDescent="0.3">
      <c r="A176" s="35">
        <f>'[19]Student Data'!M11</f>
        <v>40813</v>
      </c>
      <c r="B176" s="35" t="str">
        <f>[19]Reporting!C10</f>
        <v>Resigned Tier 1B</v>
      </c>
      <c r="C176" s="39" t="str">
        <f>[19]Reporting!F10</f>
        <v>Rika Kamikazi</v>
      </c>
      <c r="D176" s="35" cm="1">
        <f t="array" ref="D176">--(SUM(COUNTIF(B176,{"*nest*","*grad*","*trans*","*1B*","*1C*"}))&gt;0)</f>
        <v>1</v>
      </c>
      <c r="E176" s="40">
        <f>[19]Performance!Q11</f>
        <v>1</v>
      </c>
      <c r="F176" s="40">
        <f>[19]Performance!R11</f>
        <v>1</v>
      </c>
      <c r="G176" s="40">
        <f>[19]Performance!S11</f>
        <v>0.96</v>
      </c>
      <c r="H176" s="40">
        <f>[19]Performance!T11</f>
        <v>1</v>
      </c>
      <c r="I176" s="40">
        <f>[19]Performance!U11</f>
        <v>0.98</v>
      </c>
      <c r="J176" s="40">
        <f>[19]Performance!H11</f>
        <v>1</v>
      </c>
      <c r="K176" s="40">
        <f>[19]Performance!I11</f>
        <v>0.88</v>
      </c>
      <c r="L176" s="40">
        <f>[19]Performance!J11</f>
        <v>0.8</v>
      </c>
      <c r="M176" s="40">
        <f>[19]Performance!K11</f>
        <v>1</v>
      </c>
      <c r="N176" s="40">
        <f>[19]Performance!L11</f>
        <v>0.89</v>
      </c>
      <c r="O176" s="40">
        <f>[19]Performance!M11</f>
        <v>1</v>
      </c>
      <c r="P176" s="40">
        <f>[19]Performance!N11</f>
        <v>1</v>
      </c>
      <c r="Q176" s="40">
        <f>[19]Performance!O11</f>
        <v>0.91</v>
      </c>
      <c r="R176" s="40">
        <f>[19]Performance!P11</f>
        <v>0.94</v>
      </c>
    </row>
    <row r="177" spans="1:18" x14ac:dyDescent="0.3">
      <c r="A177" s="35">
        <f>'[19]Student Data'!M12</f>
        <v>40805</v>
      </c>
      <c r="B177" s="35" t="str">
        <f>[19]Reporting!C11</f>
        <v>Terminated-Nesting 3</v>
      </c>
      <c r="C177" s="39" t="str">
        <f>[19]Reporting!F11</f>
        <v>Kayte Laporte</v>
      </c>
      <c r="D177" s="35" cm="1">
        <f t="array" ref="D177">--(SUM(COUNTIF(B177,{"*nest*","*grad*","*trans*","*1B*","*1C*"}))&gt;0)</f>
        <v>1</v>
      </c>
      <c r="E177" s="40">
        <f>[19]Performance!Q12</f>
        <v>1</v>
      </c>
      <c r="F177" s="40">
        <f>[19]Performance!R12</f>
        <v>1</v>
      </c>
      <c r="G177" s="40">
        <f>[19]Performance!S12</f>
        <v>1</v>
      </c>
      <c r="H177" s="40">
        <f>[19]Performance!T12</f>
        <v>1</v>
      </c>
      <c r="I177" s="40">
        <f>[19]Performance!U12</f>
        <v>0.98</v>
      </c>
      <c r="J177" s="40">
        <f>[19]Performance!H12</f>
        <v>1</v>
      </c>
      <c r="K177" s="40">
        <f>[19]Performance!I12</f>
        <v>0.88</v>
      </c>
      <c r="L177" s="40">
        <f>[19]Performance!J12</f>
        <v>1</v>
      </c>
      <c r="M177" s="40">
        <f>[19]Performance!K12</f>
        <v>1</v>
      </c>
      <c r="N177" s="40">
        <f>[19]Performance!L12</f>
        <v>1</v>
      </c>
      <c r="O177" s="40">
        <f>[19]Performance!M12</f>
        <v>1</v>
      </c>
      <c r="P177" s="40">
        <f>[19]Performance!N12</f>
        <v>1</v>
      </c>
      <c r="Q177" s="40">
        <f>[19]Performance!O12</f>
        <v>1</v>
      </c>
      <c r="R177" s="40">
        <f>[19]Performance!P12</f>
        <v>1</v>
      </c>
    </row>
    <row r="178" spans="1:18" x14ac:dyDescent="0.3">
      <c r="A178" s="35">
        <f>'[19]Student Data'!M13</f>
        <v>40670</v>
      </c>
      <c r="B178" s="35" t="str">
        <f>[19]Reporting!C12</f>
        <v>Terminated Tier 1B</v>
      </c>
      <c r="C178" s="39" t="str">
        <f>[19]Reporting!F12</f>
        <v>Max Mabano</v>
      </c>
      <c r="D178" s="35" cm="1">
        <f t="array" ref="D178">--(SUM(COUNTIF(B178,{"*nest*","*grad*","*trans*","*1B*","*1C*"}))&gt;0)</f>
        <v>1</v>
      </c>
      <c r="E178" s="40">
        <f>[19]Performance!Q13</f>
        <v>1</v>
      </c>
      <c r="F178" s="40">
        <f>[19]Performance!R13</f>
        <v>1</v>
      </c>
      <c r="G178" s="40">
        <f>[19]Performance!S13</f>
        <v>0.8</v>
      </c>
      <c r="H178" s="40">
        <f>[19]Performance!T13</f>
        <v>1</v>
      </c>
      <c r="I178" s="40">
        <f>[19]Performance!U13</f>
        <v>0.85</v>
      </c>
      <c r="J178" s="40">
        <f>[19]Performance!H13</f>
        <v>1</v>
      </c>
      <c r="K178" s="40">
        <f>[19]Performance!I13</f>
        <v>0.88</v>
      </c>
      <c r="L178" s="40">
        <f>[19]Performance!J13</f>
        <v>1</v>
      </c>
      <c r="M178" s="40">
        <f>[19]Performance!K13</f>
        <v>1</v>
      </c>
      <c r="N178" s="40">
        <f>[19]Performance!L13</f>
        <v>1</v>
      </c>
      <c r="O178" s="40">
        <f>[19]Performance!M13</f>
        <v>1</v>
      </c>
      <c r="P178" s="40">
        <f>[19]Performance!N13</f>
        <v>1</v>
      </c>
      <c r="Q178" s="40">
        <f>[19]Performance!O13</f>
        <v>0.91</v>
      </c>
      <c r="R178" s="40">
        <f>[19]Performance!P13</f>
        <v>0.88</v>
      </c>
    </row>
    <row r="179" spans="1:18" x14ac:dyDescent="0.3">
      <c r="A179" s="35">
        <f>'[19]Student Data'!M14</f>
        <v>40806</v>
      </c>
      <c r="B179" s="35" t="str">
        <f>[19]Reporting!C13</f>
        <v>Transition to Production with SMART plan</v>
      </c>
      <c r="C179" s="39" t="str">
        <f>[19]Reporting!F13</f>
        <v>Marie Luce Mardy Pierre</v>
      </c>
      <c r="D179" s="35" cm="1">
        <f t="array" ref="D179">--(SUM(COUNTIF(B179,{"*nest*","*grad*","*trans*","*1B*","*1C*"}))&gt;0)</f>
        <v>1</v>
      </c>
      <c r="E179" s="40">
        <f>[19]Performance!Q14</f>
        <v>1</v>
      </c>
      <c r="F179" s="40">
        <f>[19]Performance!R14</f>
        <v>1</v>
      </c>
      <c r="G179" s="40">
        <f>[19]Performance!S14</f>
        <v>0.92</v>
      </c>
      <c r="H179" s="40">
        <f>[19]Performance!T14</f>
        <v>0.8</v>
      </c>
      <c r="I179" s="40">
        <f>[19]Performance!U14</f>
        <v>0.93</v>
      </c>
      <c r="J179" s="40">
        <f>[19]Performance!H14</f>
        <v>1</v>
      </c>
      <c r="K179" s="40">
        <f>[19]Performance!I14</f>
        <v>1</v>
      </c>
      <c r="L179" s="40">
        <f>[19]Performance!J14</f>
        <v>1</v>
      </c>
      <c r="M179" s="40">
        <f>[19]Performance!K14</f>
        <v>1</v>
      </c>
      <c r="N179" s="40">
        <f>[19]Performance!L14</f>
        <v>1</v>
      </c>
      <c r="O179" s="40">
        <f>[19]Performance!M14</f>
        <v>1</v>
      </c>
      <c r="P179" s="40">
        <f>[19]Performance!N14</f>
        <v>1</v>
      </c>
      <c r="Q179" s="40">
        <f>[19]Performance!O14</f>
        <v>0.96</v>
      </c>
      <c r="R179" s="40">
        <f>[19]Performance!P14</f>
        <v>0.82</v>
      </c>
    </row>
    <row r="180" spans="1:18" x14ac:dyDescent="0.3">
      <c r="A180" s="35">
        <f>'[19]Student Data'!M15</f>
        <v>40812</v>
      </c>
      <c r="B180" s="35" t="str">
        <f>[19]Reporting!C14</f>
        <v>Resigned-Nesting 3</v>
      </c>
      <c r="C180" s="39" t="str">
        <f>[19]Reporting!F14</f>
        <v>Sylvie Martinez</v>
      </c>
      <c r="D180" s="35" cm="1">
        <f t="array" ref="D180">--(SUM(COUNTIF(B180,{"*nest*","*grad*","*trans*","*1B*","*1C*"}))&gt;0)</f>
        <v>1</v>
      </c>
      <c r="E180" s="40">
        <f>[19]Performance!Q15</f>
        <v>1</v>
      </c>
      <c r="F180" s="40">
        <f>[19]Performance!R15</f>
        <v>1</v>
      </c>
      <c r="G180" s="40">
        <f>[19]Performance!S15</f>
        <v>0.88</v>
      </c>
      <c r="H180" s="40">
        <f>[19]Performance!T15</f>
        <v>0.8</v>
      </c>
      <c r="I180" s="40">
        <f>[19]Performance!U15</f>
        <v>0.95</v>
      </c>
      <c r="J180" s="40">
        <f>[19]Performance!H15</f>
        <v>1</v>
      </c>
      <c r="K180" s="40">
        <f>[19]Performance!I15</f>
        <v>0.88</v>
      </c>
      <c r="L180" s="40">
        <f>[19]Performance!J15</f>
        <v>1</v>
      </c>
      <c r="M180" s="40">
        <f>[19]Performance!K15</f>
        <v>1</v>
      </c>
      <c r="N180" s="40">
        <f>[19]Performance!L15</f>
        <v>0.89</v>
      </c>
      <c r="O180" s="40">
        <f>[19]Performance!M15</f>
        <v>1</v>
      </c>
      <c r="P180" s="40">
        <f>[19]Performance!N15</f>
        <v>1</v>
      </c>
      <c r="Q180" s="40">
        <f>[19]Performance!O15</f>
        <v>0.87</v>
      </c>
      <c r="R180" s="40">
        <f>[19]Performance!P15</f>
        <v>0.92</v>
      </c>
    </row>
    <row r="181" spans="1:18" x14ac:dyDescent="0.3">
      <c r="A181" s="35">
        <f>'[19]Student Data'!M16</f>
        <v>40799</v>
      </c>
      <c r="B181" s="35" t="str">
        <f>[19]Reporting!C15</f>
        <v>Transition to Production with SMART plan</v>
      </c>
      <c r="C181" s="39" t="str">
        <f>[19]Reporting!F15</f>
        <v>Jannie Massu Fotso</v>
      </c>
      <c r="D181" s="35" cm="1">
        <f t="array" ref="D181">--(SUM(COUNTIF(B181,{"*nest*","*grad*","*trans*","*1B*","*1C*"}))&gt;0)</f>
        <v>1</v>
      </c>
      <c r="E181" s="40">
        <f>[19]Performance!Q16</f>
        <v>1</v>
      </c>
      <c r="F181" s="40">
        <f>[19]Performance!R16</f>
        <v>1</v>
      </c>
      <c r="G181" s="40">
        <f>[19]Performance!S16</f>
        <v>0.92</v>
      </c>
      <c r="H181" s="40">
        <f>[19]Performance!T16</f>
        <v>0.8</v>
      </c>
      <c r="I181" s="40">
        <f>[19]Performance!U16</f>
        <v>0.9</v>
      </c>
      <c r="J181" s="40">
        <f>[19]Performance!H16</f>
        <v>1</v>
      </c>
      <c r="K181" s="40">
        <f>[19]Performance!I16</f>
        <v>1</v>
      </c>
      <c r="L181" s="40">
        <f>[19]Performance!J16</f>
        <v>1</v>
      </c>
      <c r="M181" s="40">
        <f>[19]Performance!K16</f>
        <v>1</v>
      </c>
      <c r="N181" s="40">
        <f>[19]Performance!L16</f>
        <v>1</v>
      </c>
      <c r="O181" s="40">
        <f>[19]Performance!M16</f>
        <v>1</v>
      </c>
      <c r="P181" s="40">
        <f>[19]Performance!N16</f>
        <v>1</v>
      </c>
      <c r="Q181" s="40">
        <f>[19]Performance!O16</f>
        <v>0.91</v>
      </c>
      <c r="R181" s="40">
        <f>[19]Performance!P16</f>
        <v>1</v>
      </c>
    </row>
    <row r="182" spans="1:18" x14ac:dyDescent="0.3">
      <c r="A182" s="35">
        <f>'[19]Student Data'!M17</f>
        <v>40800</v>
      </c>
      <c r="B182" s="35" t="str">
        <f>[19]Reporting!C16</f>
        <v>Resigned Tier 1B</v>
      </c>
      <c r="C182" s="39" t="str">
        <f>[19]Reporting!F16</f>
        <v>Kiana Michaud</v>
      </c>
      <c r="D182" s="35" cm="1">
        <f t="array" ref="D182">--(SUM(COUNTIF(B182,{"*nest*","*grad*","*trans*","*1B*","*1C*"}))&gt;0)</f>
        <v>1</v>
      </c>
      <c r="E182" s="40">
        <f>[19]Performance!Q17</f>
        <v>1</v>
      </c>
      <c r="F182" s="40">
        <f>[19]Performance!R17</f>
        <v>1</v>
      </c>
      <c r="G182" s="40">
        <f>[19]Performance!S17</f>
        <v>0.8</v>
      </c>
      <c r="H182" s="40">
        <f>[19]Performance!T17</f>
        <v>1</v>
      </c>
      <c r="I182" s="40">
        <f>[19]Performance!U17</f>
        <v>0.85</v>
      </c>
      <c r="J182" s="40">
        <f>[19]Performance!H17</f>
        <v>1</v>
      </c>
      <c r="K182" s="40">
        <f>[19]Performance!I17</f>
        <v>1</v>
      </c>
      <c r="L182" s="40">
        <f>[19]Performance!J17</f>
        <v>1</v>
      </c>
      <c r="M182" s="40">
        <f>[19]Performance!K17</f>
        <v>1</v>
      </c>
      <c r="N182" s="40">
        <f>[19]Performance!L17</f>
        <v>1</v>
      </c>
      <c r="O182" s="40">
        <f>[19]Performance!M17</f>
        <v>1</v>
      </c>
      <c r="P182" s="40">
        <f>[19]Performance!N17</f>
        <v>1</v>
      </c>
      <c r="Q182" s="40">
        <f>[19]Performance!O17</f>
        <v>0.96</v>
      </c>
      <c r="R182" s="40">
        <f>[19]Performance!P17</f>
        <v>1</v>
      </c>
    </row>
    <row r="183" spans="1:18" x14ac:dyDescent="0.3">
      <c r="A183" s="35">
        <f>'[19]Student Data'!M18</f>
        <v>40811</v>
      </c>
      <c r="B183" s="35" t="str">
        <f>[19]Reporting!C17</f>
        <v>Transferred Out of Program</v>
      </c>
      <c r="C183" s="39" t="str">
        <f>[19]Reporting!F17</f>
        <v>Akshay Praveen Gopal</v>
      </c>
      <c r="D183" s="35" cm="1">
        <f t="array" ref="D183">--(SUM(COUNTIF(B183,{"*nest*","*grad*","*trans*","*1B*","*1C*"}))&gt;0)</f>
        <v>1</v>
      </c>
      <c r="E183" s="40">
        <f>[19]Performance!Q18</f>
        <v>1</v>
      </c>
      <c r="F183" s="40">
        <f>[19]Performance!R18</f>
        <v>1</v>
      </c>
      <c r="G183" s="40">
        <f>[19]Performance!S18</f>
        <v>0.84</v>
      </c>
      <c r="H183" s="40">
        <f>[19]Performance!T18</f>
        <v>1</v>
      </c>
      <c r="I183" s="40">
        <f>[19]Performance!U18</f>
        <v>1</v>
      </c>
      <c r="J183" s="40">
        <f>[19]Performance!H18</f>
        <v>1</v>
      </c>
      <c r="K183" s="40">
        <f>[19]Performance!I18</f>
        <v>0.88</v>
      </c>
      <c r="L183" s="40">
        <f>[19]Performance!J18</f>
        <v>1</v>
      </c>
      <c r="M183" s="40">
        <f>[19]Performance!K18</f>
        <v>1</v>
      </c>
      <c r="N183" s="40">
        <f>[19]Performance!L18</f>
        <v>0.89</v>
      </c>
      <c r="O183" s="40">
        <f>[19]Performance!M18</f>
        <v>1</v>
      </c>
      <c r="P183" s="40">
        <f>[19]Performance!N18</f>
        <v>1</v>
      </c>
      <c r="Q183" s="40">
        <f>[19]Performance!O18</f>
        <v>0.91</v>
      </c>
      <c r="R183" s="40">
        <f>[19]Performance!P18</f>
        <v>0.88</v>
      </c>
    </row>
    <row r="184" spans="1:18" x14ac:dyDescent="0.3">
      <c r="A184" s="35">
        <f>'[19]Student Data'!M19</f>
        <v>40802</v>
      </c>
      <c r="B184" s="35" t="str">
        <f>[19]Reporting!C18</f>
        <v>Terminated-Nesting 3</v>
      </c>
      <c r="C184" s="39" t="str">
        <f>[19]Reporting!F18</f>
        <v>Daniel Tamko Fotso</v>
      </c>
      <c r="D184" s="35" cm="1">
        <f t="array" ref="D184">--(SUM(COUNTIF(B184,{"*nest*","*grad*","*trans*","*1B*","*1C*"}))&gt;0)</f>
        <v>1</v>
      </c>
      <c r="E184" s="40">
        <f>[19]Performance!Q19</f>
        <v>1</v>
      </c>
      <c r="F184" s="40">
        <f>[19]Performance!R19</f>
        <v>1</v>
      </c>
      <c r="G184" s="40">
        <f>[19]Performance!S19</f>
        <v>0.94</v>
      </c>
      <c r="H184" s="40">
        <f>[19]Performance!T19</f>
        <v>1</v>
      </c>
      <c r="I184" s="40">
        <f>[19]Performance!U19</f>
        <v>0.95</v>
      </c>
      <c r="J184" s="40">
        <f>[19]Performance!H19</f>
        <v>1</v>
      </c>
      <c r="K184" s="40">
        <f>[19]Performance!I19</f>
        <v>1</v>
      </c>
      <c r="L184" s="40">
        <f>[19]Performance!J19</f>
        <v>1</v>
      </c>
      <c r="M184" s="40">
        <f>[19]Performance!K19</f>
        <v>1</v>
      </c>
      <c r="N184" s="40">
        <f>[19]Performance!L19</f>
        <v>0.89</v>
      </c>
      <c r="O184" s="40">
        <f>[19]Performance!M19</f>
        <v>1</v>
      </c>
      <c r="P184" s="40">
        <f>[19]Performance!N19</f>
        <v>1</v>
      </c>
      <c r="Q184" s="40">
        <f>[19]Performance!O19</f>
        <v>0.91</v>
      </c>
      <c r="R184" s="40">
        <f>[19]Performance!P19</f>
        <v>1</v>
      </c>
    </row>
    <row r="185" spans="1:18" x14ac:dyDescent="0.3">
      <c r="A185" s="35">
        <f>'[19]Student Data'!M20</f>
        <v>40803</v>
      </c>
      <c r="B185" s="35" t="str">
        <f>[19]Reporting!C19</f>
        <v>Transition to Production</v>
      </c>
      <c r="C185" s="39" t="str">
        <f>[19]Reporting!F19</f>
        <v>Mbunyi Kevin Tapiba</v>
      </c>
      <c r="D185" s="35" cm="1">
        <f t="array" ref="D185">--(SUM(COUNTIF(B185,{"*nest*","*grad*","*trans*","*1B*","*1C*"}))&gt;0)</f>
        <v>1</v>
      </c>
      <c r="E185" s="40">
        <f>[19]Performance!Q20</f>
        <v>1</v>
      </c>
      <c r="F185" s="40">
        <f>[19]Performance!R20</f>
        <v>1</v>
      </c>
      <c r="G185" s="40">
        <f>[19]Performance!S20</f>
        <v>1</v>
      </c>
      <c r="H185" s="40">
        <f>[19]Performance!T20</f>
        <v>1</v>
      </c>
      <c r="I185" s="40">
        <f>[19]Performance!U20</f>
        <v>0.9</v>
      </c>
      <c r="J185" s="40">
        <f>[19]Performance!H20</f>
        <v>1</v>
      </c>
      <c r="K185" s="40">
        <f>[19]Performance!I20</f>
        <v>1</v>
      </c>
      <c r="L185" s="40">
        <f>[19]Performance!J20</f>
        <v>1</v>
      </c>
      <c r="M185" s="40">
        <f>[19]Performance!K20</f>
        <v>1</v>
      </c>
      <c r="N185" s="40">
        <f>[19]Performance!L20</f>
        <v>0.89</v>
      </c>
      <c r="O185" s="40">
        <f>[19]Performance!M20</f>
        <v>1</v>
      </c>
      <c r="P185" s="40">
        <f>[19]Performance!N20</f>
        <v>1</v>
      </c>
      <c r="Q185" s="40">
        <f>[19]Performance!O20</f>
        <v>1</v>
      </c>
      <c r="R185" s="40">
        <f>[19]Performance!P20</f>
        <v>1</v>
      </c>
    </row>
    <row r="186" spans="1:18" x14ac:dyDescent="0.3">
      <c r="A186" s="35">
        <f>'[19]Student Data'!M21</f>
        <v>32307</v>
      </c>
      <c r="B186" s="35" t="str">
        <f>[19]Reporting!C20</f>
        <v>Resigned Tier 1A</v>
      </c>
      <c r="C186" s="39" t="str">
        <f>[19]Reporting!F20</f>
        <v>Lakesha Smith</v>
      </c>
      <c r="D186" s="35" cm="1">
        <f t="array" ref="D186">--(SUM(COUNTIF(B186,{"*nest*","*grad*","*trans*","*1B*","*1C*"}))&gt;0)</f>
        <v>0</v>
      </c>
      <c r="E186" s="40">
        <f>[19]Performance!Q21</f>
        <v>1</v>
      </c>
      <c r="F186" s="40">
        <f>[19]Performance!R21</f>
        <v>1</v>
      </c>
      <c r="G186" s="40">
        <f>[19]Performance!S21</f>
        <v>0.94</v>
      </c>
      <c r="H186" s="40">
        <f>[19]Performance!T21</f>
        <v>0.8</v>
      </c>
      <c r="I186" s="40">
        <f>[19]Performance!U21</f>
        <v>0.86</v>
      </c>
      <c r="J186" s="40">
        <f>[19]Performance!H21</f>
        <v>1</v>
      </c>
      <c r="K186" s="40">
        <f>[19]Performance!I21</f>
        <v>1</v>
      </c>
      <c r="L186" s="40">
        <f>[19]Performance!J21</f>
        <v>1</v>
      </c>
      <c r="M186" s="40">
        <f>[19]Performance!K21</f>
        <v>1</v>
      </c>
      <c r="N186" s="40">
        <f>[19]Performance!L21</f>
        <v>1</v>
      </c>
      <c r="O186" s="40">
        <f>[19]Performance!M21</f>
        <v>1</v>
      </c>
      <c r="P186" s="40">
        <f>[19]Performance!N21</f>
        <v>1</v>
      </c>
      <c r="Q186" s="40">
        <f>[19]Performance!O21</f>
        <v>0.91</v>
      </c>
      <c r="R186" s="40">
        <f>[19]Performance!P21</f>
        <v>1</v>
      </c>
    </row>
    <row r="187" spans="1:18" x14ac:dyDescent="0.3">
      <c r="A187" s="8" t="s">
        <v>51</v>
      </c>
      <c r="B187" s="44" t="str">
        <f>'[20]Class Summary'!$B$11</f>
        <v>Nancy Price/ Vera Hibaya</v>
      </c>
      <c r="C187" s="44" t="str">
        <f>'[20]Class Summary'!$B$12</f>
        <v>Kaylum Jonkers</v>
      </c>
      <c r="D187" s="43">
        <f>SUM(D188:D202)</f>
        <v>14</v>
      </c>
      <c r="E187" s="43">
        <f>COUNTIF(E188:E202, "&gt;79%")</f>
        <v>15</v>
      </c>
      <c r="F187" s="43">
        <f>COUNTIF(F188:F202, "&gt;79%")</f>
        <v>15</v>
      </c>
      <c r="G187" s="43">
        <f>COUNTIF(G188:G202, "&gt;79%")</f>
        <v>15</v>
      </c>
      <c r="H187" s="43">
        <f>COUNTIF(H188:H202, "&gt;79%")</f>
        <v>15</v>
      </c>
      <c r="I187" s="43">
        <f>COUNTIF(I188:I202, "&gt;79%")</f>
        <v>15</v>
      </c>
      <c r="J187" s="43" t="s">
        <v>25</v>
      </c>
      <c r="K187" s="43">
        <f>COUNTIF(K188:K202, "&gt;79%")</f>
        <v>15</v>
      </c>
      <c r="L187" s="43">
        <f>COUNTIF(L188:L202, "&gt;79%")</f>
        <v>15</v>
      </c>
      <c r="M187" s="43" t="s">
        <v>25</v>
      </c>
      <c r="N187" s="43" t="s">
        <v>25</v>
      </c>
      <c r="O187" s="43" t="s">
        <v>25</v>
      </c>
      <c r="P187" s="43">
        <f>COUNTIF(P188:P202, "&gt;79%")</f>
        <v>15</v>
      </c>
      <c r="Q187" s="43" t="s">
        <v>25</v>
      </c>
      <c r="R187" s="43">
        <f>COUNTIF(R188:R202, "&gt;79%")</f>
        <v>15</v>
      </c>
    </row>
    <row r="188" spans="1:18" x14ac:dyDescent="0.3">
      <c r="A188" s="35">
        <f>'[20]Student Data'!M5</f>
        <v>508843</v>
      </c>
      <c r="B188" s="35" t="str">
        <f>[20]Reporting!C4</f>
        <v>Transition to Production with SMART plan</v>
      </c>
      <c r="C188" s="35" t="str">
        <f>[20]Reporting!F4</f>
        <v>Luyanda   Kgare</v>
      </c>
      <c r="D188" s="35" cm="1">
        <f t="array" ref="D188">--(SUM(COUNTIF(B188,{"*nest*","*grad*","*trans*","*1B*","*1C*"}))&gt;0)</f>
        <v>1</v>
      </c>
      <c r="E188" s="40">
        <f>[20]Performance!Q5</f>
        <v>1</v>
      </c>
      <c r="F188" s="40">
        <f>[20]Performance!R5</f>
        <v>1</v>
      </c>
      <c r="G188" s="40">
        <f>[20]Performance!S5</f>
        <v>0.92</v>
      </c>
      <c r="H188" s="40">
        <f>[20]Performance!T5</f>
        <v>1</v>
      </c>
      <c r="I188" s="40">
        <f>[20]Performance!U5</f>
        <v>0.95</v>
      </c>
      <c r="J188" s="40" t="str">
        <f>[20]Performance!H5</f>
        <v>Merchants</v>
      </c>
      <c r="K188" s="40">
        <f>[20]Performance!I5</f>
        <v>1</v>
      </c>
      <c r="L188" s="40">
        <f>[20]Performance!J5</f>
        <v>1</v>
      </c>
      <c r="M188" s="40" t="str">
        <f>[20]Performance!K5</f>
        <v>Merchants</v>
      </c>
      <c r="N188" s="40" t="str">
        <f>[20]Performance!L5</f>
        <v>Merchants</v>
      </c>
      <c r="O188" s="40" t="str">
        <f>[20]Performance!M5</f>
        <v>Merchants</v>
      </c>
      <c r="P188" s="40">
        <f>[20]Performance!N5</f>
        <v>1</v>
      </c>
      <c r="Q188" s="40" t="str">
        <f>[20]Performance!O5</f>
        <v>Merchants</v>
      </c>
      <c r="R188" s="40">
        <f>[20]Performance!P5</f>
        <v>0.94</v>
      </c>
    </row>
    <row r="189" spans="1:18" x14ac:dyDescent="0.3">
      <c r="A189" s="35">
        <f>'[20]Student Data'!M6</f>
        <v>508844</v>
      </c>
      <c r="B189" s="35" t="str">
        <f>[20]Reporting!C5</f>
        <v>Transition to Production with SMART plan</v>
      </c>
      <c r="C189" s="35" t="str">
        <f>[20]Reporting!F5</f>
        <v>Bonolo   Motau</v>
      </c>
      <c r="D189" s="35" cm="1">
        <f t="array" ref="D189">--(SUM(COUNTIF(B189,{"*nest*","*grad*","*trans*","*1B*","*1C*"}))&gt;0)</f>
        <v>1</v>
      </c>
      <c r="E189" s="40">
        <f>[20]Performance!Q6</f>
        <v>1</v>
      </c>
      <c r="F189" s="40">
        <f>[20]Performance!R6</f>
        <v>1</v>
      </c>
      <c r="G189" s="40">
        <f>[20]Performance!S6</f>
        <v>1</v>
      </c>
      <c r="H189" s="40">
        <f>[20]Performance!T6</f>
        <v>0.8</v>
      </c>
      <c r="I189" s="40">
        <f>[20]Performance!U6</f>
        <v>0.86</v>
      </c>
      <c r="J189" s="40" t="str">
        <f>[20]Performance!H6</f>
        <v>Merchants</v>
      </c>
      <c r="K189" s="40">
        <f>[20]Performance!I6</f>
        <v>1</v>
      </c>
      <c r="L189" s="40">
        <f>[20]Performance!J6</f>
        <v>1</v>
      </c>
      <c r="M189" s="40" t="str">
        <f>[20]Performance!K6</f>
        <v>Merchants</v>
      </c>
      <c r="N189" s="40" t="str">
        <f>[20]Performance!L6</f>
        <v>Merchants</v>
      </c>
      <c r="O189" s="40" t="str">
        <f>[20]Performance!M6</f>
        <v>Merchants</v>
      </c>
      <c r="P189" s="40">
        <f>[20]Performance!N6</f>
        <v>1</v>
      </c>
      <c r="Q189" s="40" t="str">
        <f>[20]Performance!O6</f>
        <v>Merchants</v>
      </c>
      <c r="R189" s="40">
        <f>[20]Performance!P6</f>
        <v>0.88</v>
      </c>
    </row>
    <row r="190" spans="1:18" x14ac:dyDescent="0.3">
      <c r="A190" s="35">
        <f>'[20]Student Data'!M7</f>
        <v>508846</v>
      </c>
      <c r="B190" s="35" t="str">
        <f>[20]Reporting!C6</f>
        <v>Transition to Production with SMART plan</v>
      </c>
      <c r="C190" s="35" t="str">
        <f>[20]Reporting!F6</f>
        <v>Colleen Yvette   Bowes</v>
      </c>
      <c r="D190" s="35" cm="1">
        <f t="array" ref="D190">--(SUM(COUNTIF(B190,{"*nest*","*grad*","*trans*","*1B*","*1C*"}))&gt;0)</f>
        <v>1</v>
      </c>
      <c r="E190" s="40">
        <f>[20]Performance!Q7</f>
        <v>1</v>
      </c>
      <c r="F190" s="40">
        <f>[20]Performance!R7</f>
        <v>1</v>
      </c>
      <c r="G190" s="40">
        <f>[20]Performance!S7</f>
        <v>1</v>
      </c>
      <c r="H190" s="40">
        <f>[20]Performance!T7</f>
        <v>0.8</v>
      </c>
      <c r="I190" s="40">
        <f>[20]Performance!U7</f>
        <v>0.87</v>
      </c>
      <c r="J190" s="40" t="str">
        <f>[20]Performance!H7</f>
        <v>Merchants</v>
      </c>
      <c r="K190" s="40">
        <f>[20]Performance!I7</f>
        <v>1</v>
      </c>
      <c r="L190" s="40">
        <f>[20]Performance!J7</f>
        <v>1</v>
      </c>
      <c r="M190" s="40" t="str">
        <f>[20]Performance!K7</f>
        <v>Merchants</v>
      </c>
      <c r="N190" s="40" t="str">
        <f>[20]Performance!L7</f>
        <v>Merchants</v>
      </c>
      <c r="O190" s="40" t="str">
        <f>[20]Performance!M7</f>
        <v>Merchants</v>
      </c>
      <c r="P190" s="40">
        <f>[20]Performance!N7</f>
        <v>1</v>
      </c>
      <c r="Q190" s="40" t="str">
        <f>[20]Performance!O7</f>
        <v>Merchants</v>
      </c>
      <c r="R190" s="40">
        <f>[20]Performance!P7</f>
        <v>1</v>
      </c>
    </row>
    <row r="191" spans="1:18" x14ac:dyDescent="0.3">
      <c r="A191" s="35">
        <f>'[20]Student Data'!M8</f>
        <v>508842</v>
      </c>
      <c r="B191" s="35" t="str">
        <f>[20]Reporting!C7</f>
        <v>Transition to Production</v>
      </c>
      <c r="C191" s="35" t="str">
        <f>[20]Reporting!F7</f>
        <v>Lerato   Sebata</v>
      </c>
      <c r="D191" s="35" cm="1">
        <f t="array" ref="D191">--(SUM(COUNTIF(B191,{"*nest*","*grad*","*trans*","*1B*","*1C*"}))&gt;0)</f>
        <v>1</v>
      </c>
      <c r="E191" s="40">
        <f>[20]Performance!Q8</f>
        <v>1</v>
      </c>
      <c r="F191" s="40">
        <f>[20]Performance!R8</f>
        <v>1</v>
      </c>
      <c r="G191" s="40">
        <f>[20]Performance!S8</f>
        <v>1</v>
      </c>
      <c r="H191" s="40">
        <f>[20]Performance!T8</f>
        <v>0.8</v>
      </c>
      <c r="I191" s="40">
        <f>[20]Performance!U8</f>
        <v>0.9</v>
      </c>
      <c r="J191" s="40" t="str">
        <f>[20]Performance!H8</f>
        <v>Merchants</v>
      </c>
      <c r="K191" s="40">
        <f>[20]Performance!I8</f>
        <v>0.88</v>
      </c>
      <c r="L191" s="40">
        <f>[20]Performance!J8</f>
        <v>1</v>
      </c>
      <c r="M191" s="40" t="str">
        <f>[20]Performance!K8</f>
        <v>Merchants</v>
      </c>
      <c r="N191" s="40" t="str">
        <f>[20]Performance!L8</f>
        <v>Merchants</v>
      </c>
      <c r="O191" s="40" t="str">
        <f>[20]Performance!M8</f>
        <v>Merchants</v>
      </c>
      <c r="P191" s="40">
        <f>[20]Performance!N8</f>
        <v>1</v>
      </c>
      <c r="Q191" s="40" t="str">
        <f>[20]Performance!O8</f>
        <v>Merchants</v>
      </c>
      <c r="R191" s="40">
        <f>[20]Performance!P8</f>
        <v>0.88</v>
      </c>
    </row>
    <row r="192" spans="1:18" x14ac:dyDescent="0.3">
      <c r="A192" s="35">
        <f>'[20]Student Data'!M9</f>
        <v>508845</v>
      </c>
      <c r="B192" s="35" t="str">
        <f>[20]Reporting!C8</f>
        <v>Transition to Production with SMART plan</v>
      </c>
      <c r="C192" s="35" t="str">
        <f>[20]Reporting!F8</f>
        <v>Boikanyo   Gabaraane</v>
      </c>
      <c r="D192" s="35" cm="1">
        <f t="array" ref="D192">--(SUM(COUNTIF(B192,{"*nest*","*grad*","*trans*","*1B*","*1C*"}))&gt;0)</f>
        <v>1</v>
      </c>
      <c r="E192" s="40">
        <f>[20]Performance!Q9</f>
        <v>1</v>
      </c>
      <c r="F192" s="40">
        <f>[20]Performance!R9</f>
        <v>1</v>
      </c>
      <c r="G192" s="40">
        <f>[20]Performance!S9</f>
        <v>0.82</v>
      </c>
      <c r="H192" s="40">
        <f>[20]Performance!T9</f>
        <v>1</v>
      </c>
      <c r="I192" s="40">
        <f>[20]Performance!U9</f>
        <v>0.9</v>
      </c>
      <c r="J192" s="40" t="str">
        <f>[20]Performance!H9</f>
        <v>Merchants</v>
      </c>
      <c r="K192" s="40">
        <f>[20]Performance!I9</f>
        <v>0.88</v>
      </c>
      <c r="L192" s="40">
        <f>[20]Performance!J9</f>
        <v>1</v>
      </c>
      <c r="M192" s="40" t="str">
        <f>[20]Performance!K9</f>
        <v>Merchants</v>
      </c>
      <c r="N192" s="40" t="str">
        <f>[20]Performance!L9</f>
        <v>Merchants</v>
      </c>
      <c r="O192" s="40" t="str">
        <f>[20]Performance!M9</f>
        <v>Merchants</v>
      </c>
      <c r="P192" s="40">
        <f>[20]Performance!N9</f>
        <v>1</v>
      </c>
      <c r="Q192" s="40" t="str">
        <f>[20]Performance!O9</f>
        <v>Merchants</v>
      </c>
      <c r="R192" s="40">
        <f>[20]Performance!P9</f>
        <v>0.88</v>
      </c>
    </row>
    <row r="193" spans="1:18" x14ac:dyDescent="0.3">
      <c r="A193" s="35">
        <f>'[20]Student Data'!M10</f>
        <v>508841</v>
      </c>
      <c r="B193" s="35" t="str">
        <f>[20]Reporting!C9</f>
        <v>Transition to Production with SMART plan</v>
      </c>
      <c r="C193" s="35" t="str">
        <f>[20]Reporting!F9</f>
        <v>Siphumelele Annette   Mbubu</v>
      </c>
      <c r="D193" s="35" cm="1">
        <f t="array" ref="D193">--(SUM(COUNTIF(B193,{"*nest*","*grad*","*trans*","*1B*","*1C*"}))&gt;0)</f>
        <v>1</v>
      </c>
      <c r="E193" s="40">
        <f>[20]Performance!Q10</f>
        <v>1</v>
      </c>
      <c r="F193" s="40">
        <f>[20]Performance!R10</f>
        <v>1</v>
      </c>
      <c r="G193" s="40">
        <f>[20]Performance!S10</f>
        <v>0.86</v>
      </c>
      <c r="H193" s="40">
        <f>[20]Performance!T10</f>
        <v>0.8</v>
      </c>
      <c r="I193" s="40">
        <f>[20]Performance!U10</f>
        <v>0.94</v>
      </c>
      <c r="J193" s="40" t="str">
        <f>[20]Performance!H10</f>
        <v>Merchants</v>
      </c>
      <c r="K193" s="40">
        <f>[20]Performance!I10</f>
        <v>0.88</v>
      </c>
      <c r="L193" s="40">
        <f>[20]Performance!J10</f>
        <v>0.8</v>
      </c>
      <c r="M193" s="40" t="str">
        <f>[20]Performance!K10</f>
        <v>Merchants</v>
      </c>
      <c r="N193" s="40" t="str">
        <f>[20]Performance!L10</f>
        <v>Merchants</v>
      </c>
      <c r="O193" s="40" t="str">
        <f>[20]Performance!M10</f>
        <v>Merchants</v>
      </c>
      <c r="P193" s="40">
        <f>[20]Performance!N10</f>
        <v>1</v>
      </c>
      <c r="Q193" s="40" t="str">
        <f>[20]Performance!O10</f>
        <v>Merchants</v>
      </c>
      <c r="R193" s="40">
        <f>[20]Performance!P10</f>
        <v>1</v>
      </c>
    </row>
    <row r="194" spans="1:18" x14ac:dyDescent="0.3">
      <c r="A194" s="35">
        <f>'[20]Student Data'!M11</f>
        <v>508840</v>
      </c>
      <c r="B194" s="35" t="str">
        <f>[20]Reporting!C10</f>
        <v>Transition to Production</v>
      </c>
      <c r="C194" s="35" t="str">
        <f>[20]Reporting!F10</f>
        <v>Thato    Mpete</v>
      </c>
      <c r="D194" s="35" cm="1">
        <f t="array" ref="D194">--(SUM(COUNTIF(B194,{"*nest*","*grad*","*trans*","*1B*","*1C*"}))&gt;0)</f>
        <v>1</v>
      </c>
      <c r="E194" s="40">
        <f>[20]Performance!Q11</f>
        <v>1</v>
      </c>
      <c r="F194" s="40">
        <f>[20]Performance!R11</f>
        <v>1</v>
      </c>
      <c r="G194" s="40">
        <f>[20]Performance!S11</f>
        <v>0.9</v>
      </c>
      <c r="H194" s="40">
        <f>[20]Performance!T11</f>
        <v>0.8</v>
      </c>
      <c r="I194" s="40">
        <f>[20]Performance!U11</f>
        <v>0.9</v>
      </c>
      <c r="J194" s="40" t="str">
        <f>[20]Performance!H11</f>
        <v>Merchants</v>
      </c>
      <c r="K194" s="40">
        <f>[20]Performance!I11</f>
        <v>1</v>
      </c>
      <c r="L194" s="40">
        <f>[20]Performance!J11</f>
        <v>1</v>
      </c>
      <c r="M194" s="40" t="str">
        <f>[20]Performance!K11</f>
        <v>Merchants</v>
      </c>
      <c r="N194" s="40" t="str">
        <f>[20]Performance!L11</f>
        <v>Merchants</v>
      </c>
      <c r="O194" s="40" t="str">
        <f>[20]Performance!M11</f>
        <v>Merchants</v>
      </c>
      <c r="P194" s="40">
        <f>[20]Performance!N11</f>
        <v>1</v>
      </c>
      <c r="Q194" s="40" t="str">
        <f>[20]Performance!O11</f>
        <v>Merchants</v>
      </c>
      <c r="R194" s="40">
        <f>[20]Performance!P11</f>
        <v>0.82</v>
      </c>
    </row>
    <row r="195" spans="1:18" x14ac:dyDescent="0.3">
      <c r="A195" s="35">
        <f>'[20]Student Data'!M12</f>
        <v>508876</v>
      </c>
      <c r="B195" s="35" t="str">
        <f>[20]Reporting!C11</f>
        <v>Transition to Production with SMART plan</v>
      </c>
      <c r="C195" s="35" t="str">
        <f>[20]Reporting!F11</f>
        <v>Kgomotso  Molefe</v>
      </c>
      <c r="D195" s="35" cm="1">
        <f t="array" ref="D195">--(SUM(COUNTIF(B195,{"*nest*","*grad*","*trans*","*1B*","*1C*"}))&gt;0)</f>
        <v>1</v>
      </c>
      <c r="E195" s="40">
        <f>[20]Performance!Q12</f>
        <v>1</v>
      </c>
      <c r="F195" s="40">
        <f>[20]Performance!R12</f>
        <v>1</v>
      </c>
      <c r="G195" s="40">
        <f>[20]Performance!S12</f>
        <v>0.95</v>
      </c>
      <c r="H195" s="40">
        <f>[20]Performance!T12</f>
        <v>0.8</v>
      </c>
      <c r="I195" s="40">
        <f>[20]Performance!U12</f>
        <v>0.9</v>
      </c>
      <c r="J195" s="40" t="str">
        <f>[20]Performance!H12</f>
        <v>Merchants</v>
      </c>
      <c r="K195" s="40">
        <f>[20]Performance!I12</f>
        <v>1</v>
      </c>
      <c r="L195" s="40">
        <f>[20]Performance!J12</f>
        <v>1</v>
      </c>
      <c r="M195" s="40" t="str">
        <f>[20]Performance!K12</f>
        <v>Merchants</v>
      </c>
      <c r="N195" s="40" t="str">
        <f>[20]Performance!L12</f>
        <v>Merchants</v>
      </c>
      <c r="O195" s="40" t="str">
        <f>[20]Performance!M12</f>
        <v>Merchants</v>
      </c>
      <c r="P195" s="40">
        <f>[20]Performance!N12</f>
        <v>1</v>
      </c>
      <c r="Q195" s="40" t="str">
        <f>[20]Performance!O12</f>
        <v>Merchants</v>
      </c>
      <c r="R195" s="40">
        <f>[20]Performance!P12</f>
        <v>0.94</v>
      </c>
    </row>
    <row r="196" spans="1:18" x14ac:dyDescent="0.3">
      <c r="A196" s="35">
        <f>'[20]Student Data'!M13</f>
        <v>508875</v>
      </c>
      <c r="B196" s="35" t="str">
        <f>[20]Reporting!C12</f>
        <v>Transition to Production with SMART plan</v>
      </c>
      <c r="C196" s="35" t="str">
        <f>[20]Reporting!F12</f>
        <v>Ntombenhle   Ndawonde</v>
      </c>
      <c r="D196" s="35" cm="1">
        <f t="array" ref="D196">--(SUM(COUNTIF(B196,{"*nest*","*grad*","*trans*","*1B*","*1C*"}))&gt;0)</f>
        <v>1</v>
      </c>
      <c r="E196" s="40">
        <f>[20]Performance!Q13</f>
        <v>1</v>
      </c>
      <c r="F196" s="40">
        <f>[20]Performance!R13</f>
        <v>1</v>
      </c>
      <c r="G196" s="40">
        <f>[20]Performance!S13</f>
        <v>0.82</v>
      </c>
      <c r="H196" s="40">
        <f>[20]Performance!T13</f>
        <v>1</v>
      </c>
      <c r="I196" s="40">
        <f>[20]Performance!U13</f>
        <v>1</v>
      </c>
      <c r="J196" s="40" t="str">
        <f>[20]Performance!H13</f>
        <v>Merchants</v>
      </c>
      <c r="K196" s="40">
        <f>[20]Performance!I13</f>
        <v>0.88</v>
      </c>
      <c r="L196" s="40">
        <f>[20]Performance!J13</f>
        <v>1</v>
      </c>
      <c r="M196" s="40" t="str">
        <f>[20]Performance!K13</f>
        <v>Merchants</v>
      </c>
      <c r="N196" s="40" t="str">
        <f>[20]Performance!L13</f>
        <v>Merchants</v>
      </c>
      <c r="O196" s="40" t="str">
        <f>[20]Performance!M13</f>
        <v>Merchants</v>
      </c>
      <c r="P196" s="40">
        <f>[20]Performance!N13</f>
        <v>1</v>
      </c>
      <c r="Q196" s="40" t="str">
        <f>[20]Performance!O13</f>
        <v>Merchants</v>
      </c>
      <c r="R196" s="40">
        <f>[20]Performance!P13</f>
        <v>0.82</v>
      </c>
    </row>
    <row r="197" spans="1:18" x14ac:dyDescent="0.3">
      <c r="A197" s="35">
        <f>'[20]Student Data'!M14</f>
        <v>508873</v>
      </c>
      <c r="B197" s="35" t="str">
        <f>[20]Reporting!C13</f>
        <v>Transition to Production with SMART plan</v>
      </c>
      <c r="C197" s="35" t="str">
        <f>[20]Reporting!F13</f>
        <v>Kholofelo   Maisane</v>
      </c>
      <c r="D197" s="35" cm="1">
        <f t="array" ref="D197">--(SUM(COUNTIF(B197,{"*nest*","*grad*","*trans*","*1B*","*1C*"}))&gt;0)</f>
        <v>1</v>
      </c>
      <c r="E197" s="40">
        <f>[20]Performance!Q14</f>
        <v>1</v>
      </c>
      <c r="F197" s="40">
        <f>[20]Performance!R14</f>
        <v>1</v>
      </c>
      <c r="G197" s="40">
        <f>[20]Performance!S14</f>
        <v>0.93</v>
      </c>
      <c r="H197" s="40">
        <f>[20]Performance!T14</f>
        <v>0.8</v>
      </c>
      <c r="I197" s="40">
        <f>[20]Performance!U14</f>
        <v>0.95</v>
      </c>
      <c r="J197" s="40" t="str">
        <f>[20]Performance!H14</f>
        <v>Merchants</v>
      </c>
      <c r="K197" s="40">
        <f>[20]Performance!I14</f>
        <v>0.88</v>
      </c>
      <c r="L197" s="40">
        <f>[20]Performance!J14</f>
        <v>0.8</v>
      </c>
      <c r="M197" s="40" t="str">
        <f>[20]Performance!K14</f>
        <v>Merchants</v>
      </c>
      <c r="N197" s="40" t="str">
        <f>[20]Performance!L14</f>
        <v>Merchants</v>
      </c>
      <c r="O197" s="40" t="str">
        <f>[20]Performance!M14</f>
        <v>Merchants</v>
      </c>
      <c r="P197" s="40">
        <f>[20]Performance!N14</f>
        <v>1</v>
      </c>
      <c r="Q197" s="40" t="str">
        <f>[20]Performance!O14</f>
        <v>Merchants</v>
      </c>
      <c r="R197" s="40">
        <f>[20]Performance!P14</f>
        <v>0.94</v>
      </c>
    </row>
    <row r="198" spans="1:18" x14ac:dyDescent="0.3">
      <c r="A198" s="35">
        <f>'[20]Student Data'!M15</f>
        <v>508872</v>
      </c>
      <c r="B198" s="35" t="str">
        <f>[20]Reporting!C14</f>
        <v>Transition to Production with SMART plan</v>
      </c>
      <c r="C198" s="35" t="str">
        <f>[20]Reporting!F14</f>
        <v>Themba Joseph   Maboya</v>
      </c>
      <c r="D198" s="35" cm="1">
        <f t="array" ref="D198">--(SUM(COUNTIF(B198,{"*nest*","*grad*","*trans*","*1B*","*1C*"}))&gt;0)</f>
        <v>1</v>
      </c>
      <c r="E198" s="40">
        <f>[20]Performance!Q15</f>
        <v>1</v>
      </c>
      <c r="F198" s="40">
        <f>[20]Performance!R15</f>
        <v>1</v>
      </c>
      <c r="G198" s="40">
        <f>[20]Performance!S15</f>
        <v>0.88</v>
      </c>
      <c r="H198" s="40">
        <f>[20]Performance!T15</f>
        <v>1</v>
      </c>
      <c r="I198" s="40">
        <f>[20]Performance!U15</f>
        <v>0.83</v>
      </c>
      <c r="J198" s="40" t="str">
        <f>[20]Performance!H15</f>
        <v>Merchants</v>
      </c>
      <c r="K198" s="40">
        <f>[20]Performance!I15</f>
        <v>0.88</v>
      </c>
      <c r="L198" s="40">
        <f>[20]Performance!J15</f>
        <v>1</v>
      </c>
      <c r="M198" s="40" t="str">
        <f>[20]Performance!K15</f>
        <v>Merchants</v>
      </c>
      <c r="N198" s="40" t="str">
        <f>[20]Performance!L15</f>
        <v>Merchants</v>
      </c>
      <c r="O198" s="40" t="str">
        <f>[20]Performance!M15</f>
        <v>Merchants</v>
      </c>
      <c r="P198" s="40">
        <f>[20]Performance!N15</f>
        <v>1</v>
      </c>
      <c r="Q198" s="40" t="str">
        <f>[20]Performance!O15</f>
        <v>Merchants</v>
      </c>
      <c r="R198" s="40">
        <f>[20]Performance!P15</f>
        <v>0.82</v>
      </c>
    </row>
    <row r="199" spans="1:18" x14ac:dyDescent="0.3">
      <c r="A199" s="35">
        <f>'[20]Student Data'!M16</f>
        <v>508877</v>
      </c>
      <c r="B199" s="35" t="str">
        <f>[20]Reporting!C15</f>
        <v>LOA</v>
      </c>
      <c r="C199" s="35" t="str">
        <f>[20]Reporting!F15</f>
        <v>Mbali Mihle Mketsu</v>
      </c>
      <c r="D199" s="35" cm="1">
        <f t="array" ref="D199">--(SUM(COUNTIF(B199,{"*nest*","*grad*","*trans*","*1B*","*1C*"}))&gt;0)</f>
        <v>0</v>
      </c>
      <c r="E199" s="40">
        <f>[20]Performance!Q16</f>
        <v>1</v>
      </c>
      <c r="F199" s="40">
        <f>[20]Performance!R16</f>
        <v>1</v>
      </c>
      <c r="G199" s="40">
        <f>[20]Performance!S16</f>
        <v>0.8</v>
      </c>
      <c r="H199" s="40">
        <f>[20]Performance!T16</f>
        <v>0.8</v>
      </c>
      <c r="I199" s="40">
        <f>[20]Performance!U16</f>
        <v>0.95</v>
      </c>
      <c r="J199" s="40" t="str">
        <f>[20]Performance!H16</f>
        <v>Merchants</v>
      </c>
      <c r="K199" s="40">
        <f>[20]Performance!I16</f>
        <v>1</v>
      </c>
      <c r="L199" s="40">
        <f>[20]Performance!J16</f>
        <v>1</v>
      </c>
      <c r="M199" s="40" t="str">
        <f>[20]Performance!K16</f>
        <v>Merchants</v>
      </c>
      <c r="N199" s="40" t="str">
        <f>[20]Performance!L16</f>
        <v>Merchants</v>
      </c>
      <c r="O199" s="40" t="str">
        <f>[20]Performance!M16</f>
        <v>Merchants</v>
      </c>
      <c r="P199" s="40">
        <f>[20]Performance!N16</f>
        <v>1</v>
      </c>
      <c r="Q199" s="40" t="str">
        <f>[20]Performance!O16</f>
        <v>Merchants</v>
      </c>
      <c r="R199" s="40">
        <f>[20]Performance!P16</f>
        <v>0.95</v>
      </c>
    </row>
    <row r="200" spans="1:18" x14ac:dyDescent="0.3">
      <c r="A200" s="35">
        <f>'[20]Student Data'!M17</f>
        <v>508874</v>
      </c>
      <c r="B200" s="35" t="str">
        <f>[20]Reporting!C16</f>
        <v>Resigned-Nesting</v>
      </c>
      <c r="C200" s="35" t="str">
        <f>[20]Reporting!F16</f>
        <v>Lwandle Adelaide Mzimela</v>
      </c>
      <c r="D200" s="35" cm="1">
        <f t="array" ref="D200">--(SUM(COUNTIF(B200,{"*nest*","*grad*","*trans*","*1B*","*1C*"}))&gt;0)</f>
        <v>1</v>
      </c>
      <c r="E200" s="40">
        <f>[20]Performance!Q17</f>
        <v>1</v>
      </c>
      <c r="F200" s="40">
        <f>[20]Performance!R17</f>
        <v>1</v>
      </c>
      <c r="G200" s="40">
        <f>[20]Performance!S17</f>
        <v>0.88</v>
      </c>
      <c r="H200" s="40">
        <f>[20]Performance!T17</f>
        <v>1</v>
      </c>
      <c r="I200" s="40">
        <f>[20]Performance!U17</f>
        <v>1</v>
      </c>
      <c r="J200" s="40" t="str">
        <f>[20]Performance!H17</f>
        <v>Merchants</v>
      </c>
      <c r="K200" s="40">
        <f>[20]Performance!I17</f>
        <v>0.88</v>
      </c>
      <c r="L200" s="40">
        <f>[20]Performance!J17</f>
        <v>1</v>
      </c>
      <c r="M200" s="40" t="str">
        <f>[20]Performance!K17</f>
        <v>Merchants</v>
      </c>
      <c r="N200" s="40" t="str">
        <f>[20]Performance!L17</f>
        <v>Merchants</v>
      </c>
      <c r="O200" s="40" t="str">
        <f>[20]Performance!M17</f>
        <v>Merchants</v>
      </c>
      <c r="P200" s="40">
        <f>[20]Performance!N17</f>
        <v>1</v>
      </c>
      <c r="Q200" s="40" t="str">
        <f>[20]Performance!O17</f>
        <v>Merchants</v>
      </c>
      <c r="R200" s="40">
        <f>[20]Performance!P17</f>
        <v>0.82</v>
      </c>
    </row>
    <row r="201" spans="1:18" x14ac:dyDescent="0.3">
      <c r="A201" s="35">
        <f>'[20]Student Data'!M18</f>
        <v>507828</v>
      </c>
      <c r="B201" s="35" t="str">
        <f>[20]Reporting!C17</f>
        <v>Transition to Production</v>
      </c>
      <c r="C201" s="35" t="str">
        <f>[20]Reporting!F17</f>
        <v>Phindi    Darkie</v>
      </c>
      <c r="D201" s="35" cm="1">
        <f t="array" ref="D201">--(SUM(COUNTIF(B201,{"*nest*","*grad*","*trans*","*1B*","*1C*"}))&gt;0)</f>
        <v>1</v>
      </c>
      <c r="E201" s="40">
        <f>[20]Performance!Q18</f>
        <v>1</v>
      </c>
      <c r="F201" s="40">
        <f>[20]Performance!R18</f>
        <v>1</v>
      </c>
      <c r="G201" s="40">
        <f>[20]Performance!S18</f>
        <v>0.9</v>
      </c>
      <c r="H201" s="40">
        <f>[20]Performance!T18</f>
        <v>1</v>
      </c>
      <c r="I201" s="40">
        <f>[20]Performance!U18</f>
        <v>0.8</v>
      </c>
      <c r="J201" s="40" t="str">
        <f>[20]Performance!H18</f>
        <v>Merchants</v>
      </c>
      <c r="K201" s="40">
        <f>[20]Performance!I18</f>
        <v>1</v>
      </c>
      <c r="L201" s="40">
        <f>[20]Performance!J18</f>
        <v>1</v>
      </c>
      <c r="M201" s="40" t="str">
        <f>[20]Performance!K18</f>
        <v>Merchants</v>
      </c>
      <c r="N201" s="40" t="str">
        <f>[20]Performance!L18</f>
        <v>Merchants</v>
      </c>
      <c r="O201" s="40" t="str">
        <f>[20]Performance!M18</f>
        <v>Merchants</v>
      </c>
      <c r="P201" s="40">
        <f>[20]Performance!N18</f>
        <v>1</v>
      </c>
      <c r="Q201" s="40" t="str">
        <f>[20]Performance!O18</f>
        <v>Merchants</v>
      </c>
      <c r="R201" s="40">
        <f>[20]Performance!P18</f>
        <v>1</v>
      </c>
    </row>
    <row r="202" spans="1:18" x14ac:dyDescent="0.3">
      <c r="A202" s="35">
        <f>'[20]Student Data'!M19</f>
        <v>507823</v>
      </c>
      <c r="B202" s="35" t="str">
        <f>[20]Reporting!C18</f>
        <v>Transition to Production</v>
      </c>
      <c r="C202" s="35" t="str">
        <f>[20]Reporting!F18</f>
        <v>Asakhe  Magawulana</v>
      </c>
      <c r="D202" s="35" cm="1">
        <f t="array" ref="D202">--(SUM(COUNTIF(B202,{"*nest*","*grad*","*trans*","*1B*","*1C*"}))&gt;0)</f>
        <v>1</v>
      </c>
      <c r="E202" s="40">
        <f>[20]Performance!Q19</f>
        <v>1</v>
      </c>
      <c r="F202" s="40">
        <f>[20]Performance!R19</f>
        <v>1</v>
      </c>
      <c r="G202" s="40">
        <f>[20]Performance!S19</f>
        <v>0.8</v>
      </c>
      <c r="H202" s="40">
        <f>[20]Performance!T19</f>
        <v>1</v>
      </c>
      <c r="I202" s="40">
        <f>[20]Performance!U19</f>
        <v>0.9</v>
      </c>
      <c r="J202" s="40" t="str">
        <f>[20]Performance!H19</f>
        <v>Merchants</v>
      </c>
      <c r="K202" s="40">
        <f>[20]Performance!I19</f>
        <v>1</v>
      </c>
      <c r="L202" s="40">
        <f>[20]Performance!J19</f>
        <v>1</v>
      </c>
      <c r="M202" s="40" t="str">
        <f>[20]Performance!K19</f>
        <v>Merchants</v>
      </c>
      <c r="N202" s="40" t="str">
        <f>[20]Performance!L19</f>
        <v>Merchants</v>
      </c>
      <c r="O202" s="40" t="str">
        <f>[20]Performance!M19</f>
        <v>Merchants</v>
      </c>
      <c r="P202" s="40">
        <f>[20]Performance!N19</f>
        <v>1</v>
      </c>
      <c r="Q202" s="40" t="str">
        <f>[20]Performance!O19</f>
        <v>Merchants</v>
      </c>
      <c r="R202" s="40">
        <f>[20]Performance!P19</f>
        <v>0.88</v>
      </c>
    </row>
    <row r="203" spans="1:18" x14ac:dyDescent="0.3">
      <c r="A203" s="8" t="s">
        <v>52</v>
      </c>
      <c r="B203" s="44" t="str">
        <f>'[21]Class Summary'!$B$11</f>
        <v>Jeffrey Janda / Chase Argamosa</v>
      </c>
      <c r="C203" s="44" t="str">
        <f>'[21]Class Summary'!$B$12</f>
        <v>Mary Anne Cruz</v>
      </c>
      <c r="D203" s="43">
        <f>SUM(D204:D216)</f>
        <v>7</v>
      </c>
      <c r="E203" s="43">
        <f>COUNTIF(E204:E216, "&gt;79%")</f>
        <v>10</v>
      </c>
      <c r="F203" s="43">
        <f>COUNTIF(F204:F216, "&gt;79%")</f>
        <v>10</v>
      </c>
      <c r="G203" s="43">
        <f>COUNTIF(G204:G216, "&gt;79%")</f>
        <v>10</v>
      </c>
      <c r="H203" s="43">
        <f>COUNTIF(H204:H216, "&gt;79%")</f>
        <v>10</v>
      </c>
      <c r="I203" s="43">
        <f>COUNTIF(I204:I216, "&gt;79%")</f>
        <v>10</v>
      </c>
      <c r="J203" s="43" t="s">
        <v>25</v>
      </c>
      <c r="K203" s="43">
        <f>COUNTIF(K204:K216, "&gt;79%")</f>
        <v>10</v>
      </c>
      <c r="L203" s="43">
        <f>COUNTIF(L204:L216, "&gt;79%")</f>
        <v>10</v>
      </c>
      <c r="M203" s="43" t="s">
        <v>25</v>
      </c>
      <c r="N203" s="43" t="s">
        <v>25</v>
      </c>
      <c r="O203" s="43" t="s">
        <v>25</v>
      </c>
      <c r="P203" s="43">
        <f>COUNTIF(P204:P216, "&gt;79%")</f>
        <v>10</v>
      </c>
      <c r="Q203" s="43" t="s">
        <v>25</v>
      </c>
      <c r="R203" s="43">
        <f>COUNTIF(R204:R216, "&gt;79%")</f>
        <v>10</v>
      </c>
    </row>
    <row r="204" spans="1:18" x14ac:dyDescent="0.3">
      <c r="A204" s="35">
        <f>'[21]Student Data'!P5</f>
        <v>0</v>
      </c>
      <c r="B204" s="35" t="str">
        <f>[21]Reporting!C4</f>
        <v>Did not Start</v>
      </c>
      <c r="C204" s="35" t="str">
        <f>[21]Reporting!F4</f>
        <v>Jhon Ronniel Abello</v>
      </c>
      <c r="D204" s="35" cm="1">
        <f t="array" ref="D204">--(SUM(COUNTIF(B204,{"*nest*","*grad*","*trans*","*1B*","*1C*"}))&gt;0)</f>
        <v>0</v>
      </c>
      <c r="E204" s="40" t="str">
        <f>[21]Performance!Q5</f>
        <v>NA</v>
      </c>
      <c r="F204" s="40" t="str">
        <f>[21]Performance!R5</f>
        <v>NA</v>
      </c>
      <c r="G204" s="40" t="str">
        <f>[21]Performance!S5</f>
        <v>NA</v>
      </c>
      <c r="H204" s="40" t="str">
        <f>[21]Performance!T5</f>
        <v>NA</v>
      </c>
      <c r="I204" s="40" t="str">
        <f>[21]Performance!U5</f>
        <v>NA</v>
      </c>
      <c r="J204" s="40" t="str">
        <f>[21]Performance!H5</f>
        <v>NA</v>
      </c>
      <c r="K204" s="40" t="str">
        <f>[21]Performance!I5</f>
        <v>NA</v>
      </c>
      <c r="L204" s="40" t="str">
        <f>[21]Performance!J5</f>
        <v>NA</v>
      </c>
      <c r="M204" s="40" t="str">
        <f>[21]Performance!K5</f>
        <v>NA</v>
      </c>
      <c r="N204" s="40" t="str">
        <f>[21]Performance!L5</f>
        <v>NA</v>
      </c>
      <c r="O204" s="40" t="str">
        <f>[21]Performance!M5</f>
        <v>NA</v>
      </c>
      <c r="P204" s="40" t="str">
        <f>[21]Performance!N5</f>
        <v>NA</v>
      </c>
      <c r="Q204" s="40" t="str">
        <f>[21]Performance!O5</f>
        <v>NA</v>
      </c>
      <c r="R204" s="40" t="str">
        <f>[21]Performance!P5</f>
        <v>NA</v>
      </c>
    </row>
    <row r="205" spans="1:18" x14ac:dyDescent="0.3">
      <c r="A205" s="35">
        <f>'[21]Student Data'!P6</f>
        <v>0</v>
      </c>
      <c r="B205" s="35" t="str">
        <f>[21]Reporting!C5</f>
        <v>Did not Start</v>
      </c>
      <c r="C205" s="35" t="str">
        <f>[21]Reporting!F5</f>
        <v>Lance Salamat</v>
      </c>
      <c r="D205" s="35" cm="1">
        <f t="array" ref="D205">--(SUM(COUNTIF(B205,{"*nest*","*grad*","*trans*","*1B*","*1C*"}))&gt;0)</f>
        <v>0</v>
      </c>
      <c r="E205" s="40">
        <f>[21]Performance!Q6</f>
        <v>1</v>
      </c>
      <c r="F205" s="40">
        <f>[21]Performance!R6</f>
        <v>1</v>
      </c>
      <c r="G205" s="40">
        <f>[21]Performance!S6</f>
        <v>1</v>
      </c>
      <c r="H205" s="40">
        <f>[21]Performance!T6</f>
        <v>1</v>
      </c>
      <c r="I205" s="40">
        <f>[21]Performance!U6</f>
        <v>1</v>
      </c>
      <c r="J205" s="40" t="str">
        <f>[21]Performance!H6</f>
        <v>NTT</v>
      </c>
      <c r="K205" s="40">
        <f>[21]Performance!I6</f>
        <v>1</v>
      </c>
      <c r="L205" s="40">
        <f>[21]Performance!J6</f>
        <v>1</v>
      </c>
      <c r="M205" s="40" t="str">
        <f>[21]Performance!K6</f>
        <v>NTT</v>
      </c>
      <c r="N205" s="40" t="str">
        <f>[21]Performance!L6</f>
        <v>NTT</v>
      </c>
      <c r="O205" s="40" t="str">
        <f>[21]Performance!M6</f>
        <v>NTT</v>
      </c>
      <c r="P205" s="40">
        <f>[21]Performance!N6</f>
        <v>1</v>
      </c>
      <c r="Q205" s="40" t="str">
        <f>[21]Performance!O6</f>
        <v>NTT</v>
      </c>
      <c r="R205" s="40">
        <f>[21]Performance!P6</f>
        <v>1</v>
      </c>
    </row>
    <row r="206" spans="1:18" x14ac:dyDescent="0.3">
      <c r="A206" s="35">
        <f>'[21]Student Data'!P7</f>
        <v>0</v>
      </c>
      <c r="B206" s="35" t="str">
        <f>[21]Reporting!C6</f>
        <v>Did not Start</v>
      </c>
      <c r="C206" s="35" t="str">
        <f>[21]Reporting!F6</f>
        <v>Charles Tulipas</v>
      </c>
      <c r="D206" s="35" cm="1">
        <f t="array" ref="D206">--(SUM(COUNTIF(B206,{"*nest*","*grad*","*trans*","*1B*","*1C*"}))&gt;0)</f>
        <v>0</v>
      </c>
      <c r="E206" s="40">
        <f>[21]Performance!Q7</f>
        <v>1</v>
      </c>
      <c r="F206" s="40">
        <f>[21]Performance!R7</f>
        <v>1</v>
      </c>
      <c r="G206" s="40">
        <f>[21]Performance!S7</f>
        <v>1</v>
      </c>
      <c r="H206" s="40">
        <f>[21]Performance!T7</f>
        <v>1</v>
      </c>
      <c r="I206" s="40">
        <f>[21]Performance!U7</f>
        <v>1</v>
      </c>
      <c r="J206" s="40" t="str">
        <f>[21]Performance!H7</f>
        <v>NA</v>
      </c>
      <c r="K206" s="40">
        <f>[21]Performance!I7</f>
        <v>0.88</v>
      </c>
      <c r="L206" s="40">
        <f>[21]Performance!J7</f>
        <v>1</v>
      </c>
      <c r="M206" s="40" t="str">
        <f>[21]Performance!K7</f>
        <v>NA</v>
      </c>
      <c r="N206" s="40" t="str">
        <f>[21]Performance!L7</f>
        <v>NA</v>
      </c>
      <c r="O206" s="40" t="str">
        <f>[21]Performance!M7</f>
        <v>NA</v>
      </c>
      <c r="P206" s="40">
        <f>[21]Performance!N7</f>
        <v>1</v>
      </c>
      <c r="Q206" s="40" t="str">
        <f>[21]Performance!O7</f>
        <v>NTT</v>
      </c>
      <c r="R206" s="40">
        <f>[21]Performance!P7</f>
        <v>0.82</v>
      </c>
    </row>
    <row r="207" spans="1:18" x14ac:dyDescent="0.3">
      <c r="A207" s="35">
        <f>'[21]Student Data'!P8</f>
        <v>348394</v>
      </c>
      <c r="B207" s="35" t="str">
        <f>[21]Reporting!C7</f>
        <v>Moved/Joining Alternate Class/Program</v>
      </c>
      <c r="C207" s="35" t="str">
        <f>[21]Reporting!F7</f>
        <v>Shinji Manalo</v>
      </c>
      <c r="D207" s="35" cm="1">
        <f t="array" ref="D207">--(SUM(COUNTIF(B207,{"*nest*","*grad*","*trans*","*1B*","*1C*"}))&gt;0)</f>
        <v>0</v>
      </c>
      <c r="E207" s="40">
        <f>[21]Performance!Q8</f>
        <v>1</v>
      </c>
      <c r="F207" s="40">
        <f>[21]Performance!R8</f>
        <v>1</v>
      </c>
      <c r="G207" s="40">
        <f>[21]Performance!S8</f>
        <v>1</v>
      </c>
      <c r="H207" s="40">
        <f>[21]Performance!T8</f>
        <v>1</v>
      </c>
      <c r="I207" s="40">
        <f>[21]Performance!U8</f>
        <v>1</v>
      </c>
      <c r="J207" s="40" t="str">
        <f>[21]Performance!H8</f>
        <v>NTT</v>
      </c>
      <c r="K207" s="40">
        <f>[21]Performance!I8</f>
        <v>0.88</v>
      </c>
      <c r="L207" s="40">
        <f>[21]Performance!J8</f>
        <v>1</v>
      </c>
      <c r="M207" s="40" t="str">
        <f>[21]Performance!K8</f>
        <v>NTT</v>
      </c>
      <c r="N207" s="40" t="str">
        <f>[21]Performance!L8</f>
        <v>NTT</v>
      </c>
      <c r="O207" s="40" t="str">
        <f>[21]Performance!M8</f>
        <v>NA</v>
      </c>
      <c r="P207" s="40">
        <f>[21]Performance!N8</f>
        <v>1</v>
      </c>
      <c r="Q207" s="40" t="str">
        <f>[21]Performance!O8</f>
        <v>NTT</v>
      </c>
      <c r="R207" s="40">
        <f>[21]Performance!P8</f>
        <v>0.82</v>
      </c>
    </row>
    <row r="208" spans="1:18" x14ac:dyDescent="0.3">
      <c r="A208" s="35">
        <f>'[21]Student Data'!P9</f>
        <v>348444</v>
      </c>
      <c r="B208" s="35" t="str">
        <f>[21]Reporting!C8</f>
        <v>Moved/Joining Alternate Class/Program</v>
      </c>
      <c r="C208" s="35" t="str">
        <f>[21]Reporting!F8</f>
        <v>Michael Andrei Moya</v>
      </c>
      <c r="D208" s="35" cm="1">
        <f t="array" ref="D208">--(SUM(COUNTIF(B208,{"*nest*","*grad*","*trans*","*1B*","*1C*"}))&gt;0)</f>
        <v>0</v>
      </c>
      <c r="E208" s="40">
        <f>[21]Performance!Q9</f>
        <v>1</v>
      </c>
      <c r="F208" s="40">
        <f>[21]Performance!R9</f>
        <v>1</v>
      </c>
      <c r="G208" s="40">
        <f>[21]Performance!S9</f>
        <v>1</v>
      </c>
      <c r="H208" s="40">
        <f>[21]Performance!T9</f>
        <v>1</v>
      </c>
      <c r="I208" s="40">
        <f>[21]Performance!U9</f>
        <v>1</v>
      </c>
      <c r="J208" s="40" t="str">
        <f>[21]Performance!H9</f>
        <v>NTT</v>
      </c>
      <c r="K208" s="40">
        <f>[21]Performance!I9</f>
        <v>1</v>
      </c>
      <c r="L208" s="40">
        <f>[21]Performance!J9</f>
        <v>1</v>
      </c>
      <c r="M208" s="40" t="str">
        <f>[21]Performance!K9</f>
        <v>NA</v>
      </c>
      <c r="N208" s="40" t="str">
        <f>[21]Performance!L9</f>
        <v>NTT</v>
      </c>
      <c r="O208" s="40" t="str">
        <f>[21]Performance!M9</f>
        <v>NTT</v>
      </c>
      <c r="P208" s="40">
        <f>[21]Performance!N9</f>
        <v>1</v>
      </c>
      <c r="Q208" s="40" t="str">
        <f>[21]Performance!O9</f>
        <v>NTT</v>
      </c>
      <c r="R208" s="40">
        <f>[21]Performance!P9</f>
        <v>0.94</v>
      </c>
    </row>
    <row r="209" spans="1:18" x14ac:dyDescent="0.3">
      <c r="A209" s="35">
        <f>'[21]Student Data'!P10</f>
        <v>348445</v>
      </c>
      <c r="B209" s="35" t="str">
        <f>[21]Reporting!C9</f>
        <v>Moved/Joining Alternate Class/Program</v>
      </c>
      <c r="C209" s="35" t="str">
        <f>[21]Reporting!F9</f>
        <v>Rajan Sanchez</v>
      </c>
      <c r="D209" s="35" cm="1">
        <f t="array" ref="D209">--(SUM(COUNTIF(B209,{"*nest*","*grad*","*trans*","*1B*","*1C*"}))&gt;0)</f>
        <v>0</v>
      </c>
      <c r="E209" s="40">
        <f>[21]Performance!Q10</f>
        <v>1</v>
      </c>
      <c r="F209" s="40">
        <f>[21]Performance!R10</f>
        <v>1</v>
      </c>
      <c r="G209" s="40">
        <f>[21]Performance!S10</f>
        <v>1</v>
      </c>
      <c r="H209" s="40">
        <f>[21]Performance!T10</f>
        <v>1</v>
      </c>
      <c r="I209" s="40">
        <f>[21]Performance!U10</f>
        <v>1</v>
      </c>
      <c r="J209" s="40" t="str">
        <f>[21]Performance!H10</f>
        <v>NTT</v>
      </c>
      <c r="K209" s="40">
        <f>[21]Performance!I10</f>
        <v>1</v>
      </c>
      <c r="L209" s="40">
        <f>[21]Performance!J10</f>
        <v>0.8</v>
      </c>
      <c r="M209" s="40" t="str">
        <f>[21]Performance!K10</f>
        <v>NTT</v>
      </c>
      <c r="N209" s="40" t="str">
        <f>[21]Performance!L10</f>
        <v>NTT</v>
      </c>
      <c r="O209" s="40" t="str">
        <f>[21]Performance!M10</f>
        <v>NTT</v>
      </c>
      <c r="P209" s="40">
        <f>[21]Performance!N10</f>
        <v>1</v>
      </c>
      <c r="Q209" s="40" t="str">
        <f>[21]Performance!O10</f>
        <v>NTT</v>
      </c>
      <c r="R209" s="40">
        <f>[21]Performance!P10</f>
        <v>0.88</v>
      </c>
    </row>
    <row r="210" spans="1:18" x14ac:dyDescent="0.3">
      <c r="A210" s="35">
        <f>'[21]Student Data'!P11</f>
        <v>348399</v>
      </c>
      <c r="B210" s="35" t="str">
        <f>[21]Reporting!C10</f>
        <v>Terminated-Nesting 3</v>
      </c>
      <c r="C210" s="35" t="str">
        <f>[21]Reporting!F10</f>
        <v>Ian Lateda</v>
      </c>
      <c r="D210" s="35" cm="1">
        <f t="array" ref="D210">--(SUM(COUNTIF(B210,{"*nest*","*grad*","*trans*","*1B*","*1C*"}))&gt;0)</f>
        <v>1</v>
      </c>
      <c r="E210" s="40">
        <f>[21]Performance!Q11</f>
        <v>1</v>
      </c>
      <c r="F210" s="40">
        <f>[21]Performance!R11</f>
        <v>1</v>
      </c>
      <c r="G210" s="40">
        <f>[21]Performance!S11</f>
        <v>1</v>
      </c>
      <c r="H210" s="40">
        <f>[21]Performance!T11</f>
        <v>1</v>
      </c>
      <c r="I210" s="40">
        <f>[21]Performance!U11</f>
        <v>1</v>
      </c>
      <c r="J210" s="40" t="str">
        <f>[21]Performance!H11</f>
        <v>NA</v>
      </c>
      <c r="K210" s="40">
        <f>[21]Performance!I11</f>
        <v>1</v>
      </c>
      <c r="L210" s="40">
        <f>[21]Performance!J11</f>
        <v>1</v>
      </c>
      <c r="M210" s="40" t="str">
        <f>[21]Performance!K11</f>
        <v>NA</v>
      </c>
      <c r="N210" s="40" t="str">
        <f>[21]Performance!L11</f>
        <v>NA</v>
      </c>
      <c r="O210" s="40" t="str">
        <f>[21]Performance!M11</f>
        <v>NA</v>
      </c>
      <c r="P210" s="40">
        <f>[21]Performance!N11</f>
        <v>1</v>
      </c>
      <c r="Q210" s="40" t="str">
        <f>[21]Performance!O11</f>
        <v>NTT</v>
      </c>
      <c r="R210" s="40">
        <f>[21]Performance!P11</f>
        <v>1</v>
      </c>
    </row>
    <row r="211" spans="1:18" x14ac:dyDescent="0.3">
      <c r="A211" s="35">
        <f>'[21]Student Data'!P12</f>
        <v>348396</v>
      </c>
      <c r="B211" s="35" t="str">
        <f>[21]Reporting!C11</f>
        <v>Terminated-Nesting 3</v>
      </c>
      <c r="C211" s="35" t="str">
        <f>[21]Reporting!F11</f>
        <v>Ronnie Nakar Jr.</v>
      </c>
      <c r="D211" s="35" cm="1">
        <f t="array" ref="D211">--(SUM(COUNTIF(B211,{"*nest*","*grad*","*trans*","*1B*","*1C*"}))&gt;0)</f>
        <v>1</v>
      </c>
      <c r="E211" s="40">
        <f>[21]Performance!Q12</f>
        <v>1</v>
      </c>
      <c r="F211" s="40">
        <f>[21]Performance!R12</f>
        <v>1</v>
      </c>
      <c r="G211" s="40">
        <f>[21]Performance!S12</f>
        <v>1</v>
      </c>
      <c r="H211" s="40">
        <f>[21]Performance!T12</f>
        <v>1</v>
      </c>
      <c r="I211" s="40">
        <f>[21]Performance!U12</f>
        <v>1</v>
      </c>
      <c r="J211" s="40" t="str">
        <f>[21]Performance!H12</f>
        <v>NTT</v>
      </c>
      <c r="K211" s="40">
        <f>[21]Performance!I12</f>
        <v>1</v>
      </c>
      <c r="L211" s="40">
        <f>[21]Performance!J12</f>
        <v>1</v>
      </c>
      <c r="M211" s="40" t="str">
        <f>[21]Performance!K12</f>
        <v>NTT</v>
      </c>
      <c r="N211" s="40" t="str">
        <f>[21]Performance!L12</f>
        <v>NTT</v>
      </c>
      <c r="O211" s="40" t="str">
        <f>[21]Performance!M12</f>
        <v>NTT</v>
      </c>
      <c r="P211" s="40">
        <f>[21]Performance!N12</f>
        <v>1</v>
      </c>
      <c r="Q211" s="40" t="str">
        <f>[21]Performance!O12</f>
        <v>NTT</v>
      </c>
      <c r="R211" s="40">
        <f>[21]Performance!P12</f>
        <v>1</v>
      </c>
    </row>
    <row r="212" spans="1:18" x14ac:dyDescent="0.3">
      <c r="A212" s="35">
        <f>'[21]Student Data'!P13</f>
        <v>348400</v>
      </c>
      <c r="B212" s="35" t="str">
        <f>[21]Reporting!C12</f>
        <v>Transition to Production with SMART plan</v>
      </c>
      <c r="C212" s="35" t="str">
        <f>[21]Reporting!F12</f>
        <v>Maribeth Perez</v>
      </c>
      <c r="D212" s="35" cm="1">
        <f t="array" ref="D212">--(SUM(COUNTIF(B212,{"*nest*","*grad*","*trans*","*1B*","*1C*"}))&gt;0)</f>
        <v>1</v>
      </c>
      <c r="E212" s="40">
        <f>[21]Performance!Q13</f>
        <v>1</v>
      </c>
      <c r="F212" s="40">
        <f>[21]Performance!R13</f>
        <v>1</v>
      </c>
      <c r="G212" s="40">
        <f>[21]Performance!S13</f>
        <v>1</v>
      </c>
      <c r="H212" s="40">
        <f>[21]Performance!T13</f>
        <v>1</v>
      </c>
      <c r="I212" s="40">
        <f>[21]Performance!U13</f>
        <v>1</v>
      </c>
      <c r="J212" s="40" t="str">
        <f>[21]Performance!H13</f>
        <v>NTT</v>
      </c>
      <c r="K212" s="40">
        <f>[21]Performance!I13</f>
        <v>1</v>
      </c>
      <c r="L212" s="40">
        <f>[21]Performance!J13</f>
        <v>1</v>
      </c>
      <c r="M212" s="40" t="str">
        <f>[21]Performance!K13</f>
        <v>NTT</v>
      </c>
      <c r="N212" s="40" t="str">
        <f>[21]Performance!L13</f>
        <v>NTT</v>
      </c>
      <c r="O212" s="40" t="str">
        <f>[21]Performance!M13</f>
        <v>NTT</v>
      </c>
      <c r="P212" s="40">
        <f>[21]Performance!N13</f>
        <v>1</v>
      </c>
      <c r="Q212" s="40" t="str">
        <f>[21]Performance!O13</f>
        <v>NTT</v>
      </c>
      <c r="R212" s="40">
        <f>[21]Performance!P13</f>
        <v>0.82</v>
      </c>
    </row>
    <row r="213" spans="1:18" x14ac:dyDescent="0.3">
      <c r="A213" s="35">
        <f>'[21]Student Data'!P14</f>
        <v>348397</v>
      </c>
      <c r="B213" s="35" t="str">
        <f>[21]Reporting!C13</f>
        <v>Resigned Tier 1B</v>
      </c>
      <c r="C213" s="35" t="str">
        <f>[21]Reporting!F13</f>
        <v>Kristoffer Magistrado</v>
      </c>
      <c r="D213" s="35" cm="1">
        <f t="array" ref="D213">--(SUM(COUNTIF(B213,{"*nest*","*grad*","*trans*","*1B*","*1C*"}))&gt;0)</f>
        <v>1</v>
      </c>
      <c r="E213" s="40" t="str">
        <f>[21]Performance!Q14</f>
        <v>NA</v>
      </c>
      <c r="F213" s="40" t="str">
        <f>[21]Performance!R14</f>
        <v>NA</v>
      </c>
      <c r="G213" s="40" t="str">
        <f>[21]Performance!S14</f>
        <v>NA</v>
      </c>
      <c r="H213" s="40" t="str">
        <f>[21]Performance!T14</f>
        <v>NA</v>
      </c>
      <c r="I213" s="40" t="str">
        <f>[21]Performance!U14</f>
        <v>NA</v>
      </c>
      <c r="J213" s="40" t="str">
        <f>[21]Performance!H14</f>
        <v>NA</v>
      </c>
      <c r="K213" s="40" t="str">
        <f>[21]Performance!I14</f>
        <v>NA</v>
      </c>
      <c r="L213" s="40" t="str">
        <f>[21]Performance!J14</f>
        <v>NA</v>
      </c>
      <c r="M213" s="40" t="str">
        <f>[21]Performance!K14</f>
        <v>NA</v>
      </c>
      <c r="N213" s="40" t="str">
        <f>[21]Performance!L14</f>
        <v>NA</v>
      </c>
      <c r="O213" s="40" t="str">
        <f>[21]Performance!M14</f>
        <v>NA</v>
      </c>
      <c r="P213" s="40" t="str">
        <f>[21]Performance!N14</f>
        <v>NA</v>
      </c>
      <c r="Q213" s="40" t="str">
        <f>[21]Performance!O14</f>
        <v>NTT</v>
      </c>
      <c r="R213" s="40" t="str">
        <f>[21]Performance!P14</f>
        <v>NA</v>
      </c>
    </row>
    <row r="214" spans="1:18" x14ac:dyDescent="0.3">
      <c r="A214" s="35">
        <f>'[21]Student Data'!P15</f>
        <v>348395</v>
      </c>
      <c r="B214" s="35" t="str">
        <f>[21]Reporting!C14</f>
        <v>Resigned Tier 1B</v>
      </c>
      <c r="C214" s="35" t="str">
        <f>[21]Reporting!F14</f>
        <v>Jarold James Santos</v>
      </c>
      <c r="D214" s="35" cm="1">
        <f t="array" ref="D214">--(SUM(COUNTIF(B214,{"*nest*","*grad*","*trans*","*1B*","*1C*"}))&gt;0)</f>
        <v>1</v>
      </c>
      <c r="E214" s="40">
        <f>[21]Performance!Q15</f>
        <v>1</v>
      </c>
      <c r="F214" s="40">
        <f>[21]Performance!R15</f>
        <v>1</v>
      </c>
      <c r="G214" s="40">
        <f>[21]Performance!S15</f>
        <v>1</v>
      </c>
      <c r="H214" s="40">
        <f>[21]Performance!T15</f>
        <v>1</v>
      </c>
      <c r="I214" s="40">
        <f>[21]Performance!U15</f>
        <v>1</v>
      </c>
      <c r="J214" s="40" t="str">
        <f>[21]Performance!H15</f>
        <v>NTT</v>
      </c>
      <c r="K214" s="40">
        <f>[21]Performance!I15</f>
        <v>1</v>
      </c>
      <c r="L214" s="40">
        <f>[21]Performance!J15</f>
        <v>1</v>
      </c>
      <c r="M214" s="40" t="str">
        <f>[21]Performance!K15</f>
        <v>NTT</v>
      </c>
      <c r="N214" s="40" t="str">
        <f>[21]Performance!L15</f>
        <v>NTT</v>
      </c>
      <c r="O214" s="40" t="str">
        <f>[21]Performance!M15</f>
        <v>NTT</v>
      </c>
      <c r="P214" s="40">
        <f>[21]Performance!N15</f>
        <v>1</v>
      </c>
      <c r="Q214" s="40" t="str">
        <f>[21]Performance!O15</f>
        <v>NA</v>
      </c>
      <c r="R214" s="40">
        <f>[21]Performance!P15</f>
        <v>1</v>
      </c>
    </row>
    <row r="215" spans="1:18" x14ac:dyDescent="0.3">
      <c r="A215" s="35">
        <f>'[21]Student Data'!P16</f>
        <v>348398</v>
      </c>
      <c r="B215" s="35" t="str">
        <f>[21]Reporting!C15</f>
        <v>Resigned Tier 1B</v>
      </c>
      <c r="C215" s="35" t="str">
        <f>[21]Reporting!F15</f>
        <v>Nicole Natavio</v>
      </c>
      <c r="D215" s="35" cm="1">
        <f t="array" ref="D215">--(SUM(COUNTIF(B215,{"*nest*","*grad*","*trans*","*1B*","*1C*"}))&gt;0)</f>
        <v>1</v>
      </c>
      <c r="E215" s="40">
        <f>[21]Performance!Q16</f>
        <v>1</v>
      </c>
      <c r="F215" s="40">
        <f>[21]Performance!R16</f>
        <v>1</v>
      </c>
      <c r="G215" s="40">
        <f>[21]Performance!S16</f>
        <v>1</v>
      </c>
      <c r="H215" s="40">
        <f>[21]Performance!T16</f>
        <v>1</v>
      </c>
      <c r="I215" s="40">
        <f>[21]Performance!U16</f>
        <v>1</v>
      </c>
      <c r="J215" s="40" t="str">
        <f>[21]Performance!H16</f>
        <v>NTT</v>
      </c>
      <c r="K215" s="40">
        <f>[21]Performance!I16</f>
        <v>1</v>
      </c>
      <c r="L215" s="40">
        <f>[21]Performance!J16</f>
        <v>1</v>
      </c>
      <c r="M215" s="40" t="str">
        <f>[21]Performance!K16</f>
        <v>NA</v>
      </c>
      <c r="N215" s="40" t="str">
        <f>[21]Performance!L16</f>
        <v>NA</v>
      </c>
      <c r="O215" s="40" t="str">
        <f>[21]Performance!M16</f>
        <v>NA</v>
      </c>
      <c r="P215" s="40">
        <f>[21]Performance!N16</f>
        <v>1</v>
      </c>
      <c r="Q215" s="40" t="str">
        <f>[21]Performance!O16</f>
        <v>NTT</v>
      </c>
      <c r="R215" s="40">
        <f>[21]Performance!P16</f>
        <v>0.88</v>
      </c>
    </row>
    <row r="216" spans="1:18" x14ac:dyDescent="0.3">
      <c r="A216" s="35">
        <f>'[21]Student Data'!P17</f>
        <v>348393</v>
      </c>
      <c r="B216" s="35" t="str">
        <f>[21]Reporting!C16</f>
        <v>Resigned-Nesting 3</v>
      </c>
      <c r="C216" s="35" t="str">
        <f>[21]Reporting!F16</f>
        <v>Benson Aldryn Reyes</v>
      </c>
      <c r="D216" s="35" cm="1">
        <f t="array" ref="D216">--(SUM(COUNTIF(B216,{"*nest*","*grad*","*trans*","*1B*","*1C*"}))&gt;0)</f>
        <v>1</v>
      </c>
      <c r="E216" s="40" t="str">
        <f>[21]Performance!Q17</f>
        <v>NA</v>
      </c>
      <c r="F216" s="40" t="str">
        <f>[21]Performance!R17</f>
        <v>NA</v>
      </c>
      <c r="G216" s="40" t="str">
        <f>[21]Performance!S17</f>
        <v>NA</v>
      </c>
      <c r="H216" s="40" t="str">
        <f>[21]Performance!T17</f>
        <v>NA</v>
      </c>
      <c r="I216" s="40" t="str">
        <f>[21]Performance!U17</f>
        <v>NA</v>
      </c>
      <c r="J216" s="40" t="str">
        <f>[21]Performance!H17</f>
        <v>NA</v>
      </c>
      <c r="K216" s="40" t="str">
        <f>[21]Performance!I17</f>
        <v>NA</v>
      </c>
      <c r="L216" s="40" t="str">
        <f>[21]Performance!J17</f>
        <v>NA</v>
      </c>
      <c r="M216" s="40" t="str">
        <f>[21]Performance!K17</f>
        <v>NA</v>
      </c>
      <c r="N216" s="40" t="str">
        <f>[21]Performance!L17</f>
        <v>NA</v>
      </c>
      <c r="O216" s="40" t="str">
        <f>[21]Performance!M17</f>
        <v>NA</v>
      </c>
      <c r="P216" s="40" t="str">
        <f>[21]Performance!N17</f>
        <v>NA</v>
      </c>
      <c r="Q216" s="40" t="str">
        <f>[21]Performance!O17</f>
        <v>NA</v>
      </c>
      <c r="R216" s="40" t="str">
        <f>[21]Performance!P17</f>
        <v>NA</v>
      </c>
    </row>
    <row r="217" spans="1:18" x14ac:dyDescent="0.3">
      <c r="A217" s="8" t="s">
        <v>53</v>
      </c>
      <c r="B217" s="44" t="str">
        <f>'[22]Class Summary'!$B$11</f>
        <v>Catherine Cachero</v>
      </c>
      <c r="C217" s="44" t="str">
        <f>'[22]Class Summary'!$B$12</f>
        <v>Patrick James Reosia</v>
      </c>
      <c r="D217" s="43">
        <f>SUM(D218:D236)</f>
        <v>19</v>
      </c>
      <c r="E217" s="43">
        <f>COUNTIF(E218:E236, "&gt;79%")</f>
        <v>19</v>
      </c>
      <c r="F217" s="43">
        <f t="shared" ref="F217:R217" si="6">COUNTIF(F218:F236, "&gt;79%")</f>
        <v>19</v>
      </c>
      <c r="G217" s="43">
        <f t="shared" si="6"/>
        <v>19</v>
      </c>
      <c r="H217" s="43">
        <f t="shared" si="6"/>
        <v>19</v>
      </c>
      <c r="I217" s="43">
        <f t="shared" si="6"/>
        <v>19</v>
      </c>
      <c r="J217" s="43" t="s">
        <v>25</v>
      </c>
      <c r="K217" s="43">
        <f t="shared" si="6"/>
        <v>19</v>
      </c>
      <c r="L217" s="43">
        <f t="shared" si="6"/>
        <v>19</v>
      </c>
      <c r="M217" s="43" t="s">
        <v>25</v>
      </c>
      <c r="N217" s="43" t="s">
        <v>25</v>
      </c>
      <c r="O217" s="43" t="s">
        <v>25</v>
      </c>
      <c r="P217" s="43">
        <f t="shared" si="6"/>
        <v>19</v>
      </c>
      <c r="Q217" s="43" t="s">
        <v>25</v>
      </c>
      <c r="R217" s="43">
        <f t="shared" si="6"/>
        <v>19</v>
      </c>
    </row>
    <row r="218" spans="1:18" x14ac:dyDescent="0.3">
      <c r="A218" s="35">
        <f>'[22]Student Data'!P5</f>
        <v>348694</v>
      </c>
      <c r="B218" s="35" t="str">
        <f>[22]Reporting!C4</f>
        <v>Terminated-Nesting 1A</v>
      </c>
      <c r="C218" s="35" t="str">
        <f>[22]Reporting!F4</f>
        <v>Christian Bajo</v>
      </c>
      <c r="D218" s="35" cm="1">
        <f t="array" ref="D218">--(SUM(COUNTIF(B218,{"*nest*","*grad*","*trans*","*1B*","*1C*"}))&gt;0)</f>
        <v>1</v>
      </c>
      <c r="E218" s="40">
        <f>[22]Performance!Q5</f>
        <v>1</v>
      </c>
      <c r="F218" s="40">
        <f>[22]Performance!R5</f>
        <v>1</v>
      </c>
      <c r="G218" s="40">
        <f>[22]Performance!S5</f>
        <v>0.94</v>
      </c>
      <c r="H218" s="40">
        <f>[22]Performance!T5</f>
        <v>1</v>
      </c>
      <c r="I218" s="40">
        <f>[22]Performance!U5</f>
        <v>0.85</v>
      </c>
      <c r="J218" s="40" t="str">
        <f>[22]Performance!H5</f>
        <v>N/A</v>
      </c>
      <c r="K218" s="40">
        <f>[22]Performance!I5</f>
        <v>1</v>
      </c>
      <c r="L218" s="40">
        <f>[22]Performance!J5</f>
        <v>1</v>
      </c>
      <c r="M218" s="40" t="str">
        <f>[22]Performance!K5</f>
        <v>N/A</v>
      </c>
      <c r="N218" s="40" t="str">
        <f>[22]Performance!L5</f>
        <v>N/A</v>
      </c>
      <c r="O218" s="40" t="str">
        <f>[22]Performance!M5</f>
        <v>N/A</v>
      </c>
      <c r="P218" s="40">
        <f>[22]Performance!N5</f>
        <v>1</v>
      </c>
      <c r="Q218" s="40" t="str">
        <f>[22]Performance!O5</f>
        <v>N/A</v>
      </c>
      <c r="R218" s="40">
        <f>[22]Performance!P5</f>
        <v>1</v>
      </c>
    </row>
    <row r="219" spans="1:18" x14ac:dyDescent="0.3">
      <c r="A219" s="35">
        <f>'[22]Student Data'!P6</f>
        <v>348684</v>
      </c>
      <c r="B219" s="35" t="str">
        <f>[22]Reporting!C5</f>
        <v>Resigned-Nesting 3</v>
      </c>
      <c r="C219" s="35" t="str">
        <f>[22]Reporting!F5</f>
        <v>Ma. Recarlyn Andres</v>
      </c>
      <c r="D219" s="35" cm="1">
        <f t="array" ref="D219">--(SUM(COUNTIF(B219,{"*nest*","*grad*","*trans*","*1B*","*1C*"}))&gt;0)</f>
        <v>1</v>
      </c>
      <c r="E219" s="40">
        <f>[22]Performance!Q6</f>
        <v>1</v>
      </c>
      <c r="F219" s="40">
        <f>[22]Performance!R6</f>
        <v>1</v>
      </c>
      <c r="G219" s="40">
        <f>[22]Performance!S6</f>
        <v>0.96</v>
      </c>
      <c r="H219" s="40">
        <f>[22]Performance!T6</f>
        <v>0.8</v>
      </c>
      <c r="I219" s="40">
        <f>[22]Performance!U6</f>
        <v>0.93</v>
      </c>
      <c r="J219" s="40" t="str">
        <f>[22]Performance!H6</f>
        <v>N/A</v>
      </c>
      <c r="K219" s="40">
        <f>[22]Performance!I6</f>
        <v>0.88</v>
      </c>
      <c r="L219" s="40">
        <f>[22]Performance!J6</f>
        <v>1</v>
      </c>
      <c r="M219" s="40" t="str">
        <f>[22]Performance!K6</f>
        <v>N/A</v>
      </c>
      <c r="N219" s="40" t="str">
        <f>[22]Performance!L6</f>
        <v>N/A</v>
      </c>
      <c r="O219" s="40" t="str">
        <f>[22]Performance!M6</f>
        <v>N/A</v>
      </c>
      <c r="P219" s="40">
        <f>[22]Performance!N6</f>
        <v>1</v>
      </c>
      <c r="Q219" s="40" t="str">
        <f>[22]Performance!O6</f>
        <v>N/A</v>
      </c>
      <c r="R219" s="40">
        <f>[22]Performance!P6</f>
        <v>0.92</v>
      </c>
    </row>
    <row r="220" spans="1:18" x14ac:dyDescent="0.3">
      <c r="A220" s="35">
        <f>'[22]Student Data'!P7</f>
        <v>348688</v>
      </c>
      <c r="B220" s="35" t="str">
        <f>[22]Reporting!C6</f>
        <v>Resigned-Nesting 1B</v>
      </c>
      <c r="C220" s="35" t="str">
        <f>[22]Reporting!F6</f>
        <v>Rojane Magbanua</v>
      </c>
      <c r="D220" s="35" cm="1">
        <f t="array" ref="D220">--(SUM(COUNTIF(B220,{"*nest*","*grad*","*trans*","*1B*","*1C*"}))&gt;0)</f>
        <v>1</v>
      </c>
      <c r="E220" s="40">
        <f>[22]Performance!Q7</f>
        <v>1</v>
      </c>
      <c r="F220" s="40">
        <f>[22]Performance!R7</f>
        <v>1</v>
      </c>
      <c r="G220" s="40">
        <f>[22]Performance!S7</f>
        <v>1</v>
      </c>
      <c r="H220" s="40">
        <f>[22]Performance!T7</f>
        <v>1</v>
      </c>
      <c r="I220" s="40">
        <f>[22]Performance!U7</f>
        <v>1</v>
      </c>
      <c r="J220" s="40" t="str">
        <f>[22]Performance!H7</f>
        <v>N/A</v>
      </c>
      <c r="K220" s="40">
        <f>[22]Performance!I7</f>
        <v>1</v>
      </c>
      <c r="L220" s="40">
        <f>[22]Performance!J7</f>
        <v>1</v>
      </c>
      <c r="M220" s="40" t="str">
        <f>[22]Performance!K7</f>
        <v>N/A</v>
      </c>
      <c r="N220" s="40" t="str">
        <f>[22]Performance!L7</f>
        <v>N/A</v>
      </c>
      <c r="O220" s="40" t="str">
        <f>[22]Performance!M7</f>
        <v>N/A</v>
      </c>
      <c r="P220" s="40">
        <f>[22]Performance!N7</f>
        <v>1</v>
      </c>
      <c r="Q220" s="40" t="str">
        <f>[22]Performance!O7</f>
        <v>N/A</v>
      </c>
      <c r="R220" s="40">
        <f>[22]Performance!P7</f>
        <v>0.88</v>
      </c>
    </row>
    <row r="221" spans="1:18" x14ac:dyDescent="0.3">
      <c r="A221" s="35">
        <f>'[22]Student Data'!P8</f>
        <v>348700</v>
      </c>
      <c r="B221" s="35" t="str">
        <f>[22]Reporting!C7</f>
        <v>Resigned-Nesting 1B</v>
      </c>
      <c r="C221" s="35" t="str">
        <f>[22]Reporting!F7</f>
        <v>Jenny Palmerie</v>
      </c>
      <c r="D221" s="35" cm="1">
        <f t="array" ref="D221">--(SUM(COUNTIF(B221,{"*nest*","*grad*","*trans*","*1B*","*1C*"}))&gt;0)</f>
        <v>1</v>
      </c>
      <c r="E221" s="40">
        <f>[22]Performance!Q8</f>
        <v>1</v>
      </c>
      <c r="F221" s="40">
        <f>[22]Performance!R8</f>
        <v>1</v>
      </c>
      <c r="G221" s="40">
        <f>[22]Performance!S8</f>
        <v>0.8</v>
      </c>
      <c r="H221" s="40">
        <f>[22]Performance!T8</f>
        <v>1</v>
      </c>
      <c r="I221" s="40">
        <f>[22]Performance!U8</f>
        <v>0.9</v>
      </c>
      <c r="J221" s="40" t="str">
        <f>[22]Performance!H8</f>
        <v>N/A</v>
      </c>
      <c r="K221" s="40">
        <f>[22]Performance!I8</f>
        <v>0.88</v>
      </c>
      <c r="L221" s="40">
        <f>[22]Performance!J8</f>
        <v>1</v>
      </c>
      <c r="M221" s="40" t="str">
        <f>[22]Performance!K8</f>
        <v>N/A</v>
      </c>
      <c r="N221" s="40" t="str">
        <f>[22]Performance!L8</f>
        <v>N/A</v>
      </c>
      <c r="O221" s="40" t="str">
        <f>[22]Performance!M8</f>
        <v>N/A</v>
      </c>
      <c r="P221" s="40">
        <f>[22]Performance!N8</f>
        <v>1</v>
      </c>
      <c r="Q221" s="40" t="str">
        <f>[22]Performance!O8</f>
        <v>N/A</v>
      </c>
      <c r="R221" s="40">
        <f>[22]Performance!P8</f>
        <v>1</v>
      </c>
    </row>
    <row r="222" spans="1:18" x14ac:dyDescent="0.3">
      <c r="A222" s="35">
        <f>'[22]Student Data'!P9</f>
        <v>348682</v>
      </c>
      <c r="B222" s="35" t="str">
        <f>[22]Reporting!C8</f>
        <v>Resigned-Nesting 1B</v>
      </c>
      <c r="C222" s="35" t="str">
        <f>[22]Reporting!F8</f>
        <v>Arianne Sundiang</v>
      </c>
      <c r="D222" s="35" cm="1">
        <f t="array" ref="D222">--(SUM(COUNTIF(B222,{"*nest*","*grad*","*trans*","*1B*","*1C*"}))&gt;0)</f>
        <v>1</v>
      </c>
      <c r="E222" s="40">
        <f>[22]Performance!Q9</f>
        <v>1</v>
      </c>
      <c r="F222" s="40">
        <f>[22]Performance!R9</f>
        <v>1</v>
      </c>
      <c r="G222" s="40">
        <f>[22]Performance!S9</f>
        <v>0.83</v>
      </c>
      <c r="H222" s="40">
        <f>[22]Performance!T9</f>
        <v>1</v>
      </c>
      <c r="I222" s="40">
        <f>[22]Performance!U9</f>
        <v>0.9</v>
      </c>
      <c r="J222" s="40" t="str">
        <f>[22]Performance!H9</f>
        <v>N/A</v>
      </c>
      <c r="K222" s="40">
        <f>[22]Performance!I9</f>
        <v>0.88</v>
      </c>
      <c r="L222" s="40">
        <f>[22]Performance!J9</f>
        <v>1</v>
      </c>
      <c r="M222" s="40" t="str">
        <f>[22]Performance!K9</f>
        <v>N/A</v>
      </c>
      <c r="N222" s="40" t="str">
        <f>[22]Performance!L9</f>
        <v>N/A</v>
      </c>
      <c r="O222" s="40" t="str">
        <f>[22]Performance!M9</f>
        <v>N/A</v>
      </c>
      <c r="P222" s="40">
        <f>[22]Performance!N9</f>
        <v>1</v>
      </c>
      <c r="Q222" s="40" t="str">
        <f>[22]Performance!O9</f>
        <v>N/A</v>
      </c>
      <c r="R222" s="40">
        <f>[22]Performance!P9</f>
        <v>0.82</v>
      </c>
    </row>
    <row r="223" spans="1:18" x14ac:dyDescent="0.3">
      <c r="A223" s="35">
        <f>'[22]Student Data'!P10</f>
        <v>348704</v>
      </c>
      <c r="B223" s="35" t="str">
        <f>[22]Reporting!C9</f>
        <v>Resigned-Nesting 1B</v>
      </c>
      <c r="C223" s="35" t="str">
        <f>[22]Reporting!F9</f>
        <v>Mae Anne  Villar</v>
      </c>
      <c r="D223" s="35" cm="1">
        <f t="array" ref="D223">--(SUM(COUNTIF(B223,{"*nest*","*grad*","*trans*","*1B*","*1C*"}))&gt;0)</f>
        <v>1</v>
      </c>
      <c r="E223" s="40">
        <f>[22]Performance!Q10</f>
        <v>1</v>
      </c>
      <c r="F223" s="40">
        <f>[22]Performance!R10</f>
        <v>1</v>
      </c>
      <c r="G223" s="40">
        <f>[22]Performance!S10</f>
        <v>0.92</v>
      </c>
      <c r="H223" s="40">
        <f>[22]Performance!T10</f>
        <v>0.8</v>
      </c>
      <c r="I223" s="40">
        <f>[22]Performance!U10</f>
        <v>0.8</v>
      </c>
      <c r="J223" s="40" t="str">
        <f>[22]Performance!H10</f>
        <v>N/A</v>
      </c>
      <c r="K223" s="40">
        <f>[22]Performance!I10</f>
        <v>0.88</v>
      </c>
      <c r="L223" s="40">
        <f>[22]Performance!J10</f>
        <v>1</v>
      </c>
      <c r="M223" s="40" t="str">
        <f>[22]Performance!K10</f>
        <v>N/A</v>
      </c>
      <c r="N223" s="40" t="str">
        <f>[22]Performance!L10</f>
        <v>N/A</v>
      </c>
      <c r="O223" s="40" t="str">
        <f>[22]Performance!M10</f>
        <v>N/A</v>
      </c>
      <c r="P223" s="40">
        <f>[22]Performance!N10</f>
        <v>1</v>
      </c>
      <c r="Q223" s="40" t="str">
        <f>[22]Performance!O10</f>
        <v>N/A</v>
      </c>
      <c r="R223" s="40">
        <f>[22]Performance!P10</f>
        <v>0.88</v>
      </c>
    </row>
    <row r="224" spans="1:18" x14ac:dyDescent="0.3">
      <c r="A224" s="35">
        <f>'[22]Student Data'!P11</f>
        <v>348695</v>
      </c>
      <c r="B224" s="35" t="str">
        <f>[22]Reporting!C10</f>
        <v>Resigned-Nesting 3</v>
      </c>
      <c r="C224" s="35" t="str">
        <f>[22]Reporting!F10</f>
        <v>Eloisa Azagra</v>
      </c>
      <c r="D224" s="35" cm="1">
        <f t="array" ref="D224">--(SUM(COUNTIF(B224,{"*nest*","*grad*","*trans*","*1B*","*1C*"}))&gt;0)</f>
        <v>1</v>
      </c>
      <c r="E224" s="40">
        <f>[22]Performance!Q11</f>
        <v>1</v>
      </c>
      <c r="F224" s="40">
        <f>[22]Performance!R11</f>
        <v>1</v>
      </c>
      <c r="G224" s="40">
        <f>[22]Performance!S11</f>
        <v>0.82</v>
      </c>
      <c r="H224" s="40">
        <f>[22]Performance!T11</f>
        <v>1</v>
      </c>
      <c r="I224" s="40">
        <f>[22]Performance!U11</f>
        <v>0.9</v>
      </c>
      <c r="J224" s="40" t="str">
        <f>[22]Performance!H11</f>
        <v>N/A</v>
      </c>
      <c r="K224" s="40">
        <f>[22]Performance!I11</f>
        <v>1</v>
      </c>
      <c r="L224" s="40">
        <f>[22]Performance!J11</f>
        <v>1</v>
      </c>
      <c r="M224" s="40" t="str">
        <f>[22]Performance!K11</f>
        <v>N/A</v>
      </c>
      <c r="N224" s="40" t="str">
        <f>[22]Performance!L11</f>
        <v>N/A</v>
      </c>
      <c r="O224" s="40" t="str">
        <f>[22]Performance!M11</f>
        <v>N/A</v>
      </c>
      <c r="P224" s="40">
        <f>[22]Performance!N11</f>
        <v>1</v>
      </c>
      <c r="Q224" s="40" t="str">
        <f>[22]Performance!O11</f>
        <v>N/A</v>
      </c>
      <c r="R224" s="40">
        <f>[22]Performance!P11</f>
        <v>0.94</v>
      </c>
    </row>
    <row r="225" spans="1:18" x14ac:dyDescent="0.3">
      <c r="A225" s="35">
        <f>'[22]Student Data'!P12</f>
        <v>348701</v>
      </c>
      <c r="B225" s="35" t="str">
        <f>[22]Reporting!C11</f>
        <v>Terminated-Nesting 3</v>
      </c>
      <c r="C225" s="35" t="str">
        <f>[22]Reporting!F11</f>
        <v>Reymar de Vera</v>
      </c>
      <c r="D225" s="35" cm="1">
        <f t="array" ref="D225">--(SUM(COUNTIF(B225,{"*nest*","*grad*","*trans*","*1B*","*1C*"}))&gt;0)</f>
        <v>1</v>
      </c>
      <c r="E225" s="40">
        <f>[22]Performance!Q12</f>
        <v>1</v>
      </c>
      <c r="F225" s="40">
        <f>[22]Performance!R12</f>
        <v>1</v>
      </c>
      <c r="G225" s="40">
        <f>[22]Performance!S12</f>
        <v>0.86</v>
      </c>
      <c r="H225" s="40">
        <f>[22]Performance!T12</f>
        <v>0.8</v>
      </c>
      <c r="I225" s="40">
        <f>[22]Performance!U12</f>
        <v>0.98</v>
      </c>
      <c r="J225" s="40" t="str">
        <f>[22]Performance!H12</f>
        <v>N/A</v>
      </c>
      <c r="K225" s="40">
        <f>[22]Performance!I12</f>
        <v>1</v>
      </c>
      <c r="L225" s="40">
        <f>[22]Performance!J12</f>
        <v>1</v>
      </c>
      <c r="M225" s="40" t="str">
        <f>[22]Performance!K12</f>
        <v>N/A</v>
      </c>
      <c r="N225" s="40" t="str">
        <f>[22]Performance!L12</f>
        <v>N/A</v>
      </c>
      <c r="O225" s="40" t="str">
        <f>[22]Performance!M12</f>
        <v>N/A</v>
      </c>
      <c r="P225" s="40">
        <f>[22]Performance!N12</f>
        <v>1</v>
      </c>
      <c r="Q225" s="40" t="str">
        <f>[22]Performance!O12</f>
        <v>N/A</v>
      </c>
      <c r="R225" s="40">
        <f>[22]Performance!P12</f>
        <v>1</v>
      </c>
    </row>
    <row r="226" spans="1:18" x14ac:dyDescent="0.3">
      <c r="A226" s="35">
        <f>'[22]Student Data'!P13</f>
        <v>348692</v>
      </c>
      <c r="B226" s="35" t="str">
        <f>[22]Reporting!C12</f>
        <v>Transition to Production</v>
      </c>
      <c r="C226" s="35" t="str">
        <f>[22]Reporting!F12</f>
        <v>Jonacelle Aldaba</v>
      </c>
      <c r="D226" s="35" cm="1">
        <f t="array" ref="D226">--(SUM(COUNTIF(B226,{"*nest*","*grad*","*trans*","*1B*","*1C*"}))&gt;0)</f>
        <v>1</v>
      </c>
      <c r="E226" s="40">
        <f>[22]Performance!Q13</f>
        <v>1</v>
      </c>
      <c r="F226" s="40">
        <f>[22]Performance!R13</f>
        <v>1</v>
      </c>
      <c r="G226" s="40">
        <f>[22]Performance!S13</f>
        <v>0.8</v>
      </c>
      <c r="H226" s="40">
        <f>[22]Performance!T13</f>
        <v>1</v>
      </c>
      <c r="I226" s="40">
        <f>[22]Performance!U13</f>
        <v>0.9</v>
      </c>
      <c r="J226" s="40" t="str">
        <f>[22]Performance!H13</f>
        <v>N/A</v>
      </c>
      <c r="K226" s="40">
        <f>[22]Performance!I13</f>
        <v>0.88</v>
      </c>
      <c r="L226" s="40">
        <f>[22]Performance!J13</f>
        <v>1</v>
      </c>
      <c r="M226" s="40" t="str">
        <f>[22]Performance!K13</f>
        <v>N/A</v>
      </c>
      <c r="N226" s="40" t="str">
        <f>[22]Performance!L13</f>
        <v>N/A</v>
      </c>
      <c r="O226" s="40" t="str">
        <f>[22]Performance!M13</f>
        <v>N/A</v>
      </c>
      <c r="P226" s="40">
        <f>[22]Performance!N13</f>
        <v>1</v>
      </c>
      <c r="Q226" s="40" t="str">
        <f>[22]Performance!O13</f>
        <v>N/A</v>
      </c>
      <c r="R226" s="40">
        <f>[22]Performance!P13</f>
        <v>1</v>
      </c>
    </row>
    <row r="227" spans="1:18" x14ac:dyDescent="0.3">
      <c r="A227" s="35">
        <f>'[22]Student Data'!P14</f>
        <v>348683</v>
      </c>
      <c r="B227" s="35" t="str">
        <f>[22]Reporting!C13</f>
        <v>Transition to Production</v>
      </c>
      <c r="C227" s="35" t="str">
        <f>[22]Reporting!F13</f>
        <v>Mienhel Avelino</v>
      </c>
      <c r="D227" s="35" cm="1">
        <f t="array" ref="D227">--(SUM(COUNTIF(B227,{"*nest*","*grad*","*trans*","*1B*","*1C*"}))&gt;0)</f>
        <v>1</v>
      </c>
      <c r="E227" s="40">
        <f>[22]Performance!Q14</f>
        <v>1</v>
      </c>
      <c r="F227" s="40">
        <f>[22]Performance!R14</f>
        <v>1</v>
      </c>
      <c r="G227" s="40">
        <f>[22]Performance!S14</f>
        <v>0.8</v>
      </c>
      <c r="H227" s="40">
        <f>[22]Performance!T14</f>
        <v>0.8</v>
      </c>
      <c r="I227" s="40">
        <f>[22]Performance!U14</f>
        <v>1</v>
      </c>
      <c r="J227" s="40" t="str">
        <f>[22]Performance!H14</f>
        <v>N/A</v>
      </c>
      <c r="K227" s="40">
        <f>[22]Performance!I14</f>
        <v>0.88</v>
      </c>
      <c r="L227" s="40">
        <f>[22]Performance!J14</f>
        <v>0.8</v>
      </c>
      <c r="M227" s="40" t="str">
        <f>[22]Performance!K14</f>
        <v>N/A</v>
      </c>
      <c r="N227" s="40" t="str">
        <f>[22]Performance!L14</f>
        <v>N/A</v>
      </c>
      <c r="O227" s="40" t="str">
        <f>[22]Performance!M14</f>
        <v>N/A</v>
      </c>
      <c r="P227" s="40">
        <f>[22]Performance!N14</f>
        <v>1</v>
      </c>
      <c r="Q227" s="40" t="str">
        <f>[22]Performance!O14</f>
        <v>N/A</v>
      </c>
      <c r="R227" s="40">
        <f>[22]Performance!P14</f>
        <v>1</v>
      </c>
    </row>
    <row r="228" spans="1:18" x14ac:dyDescent="0.3">
      <c r="A228" s="35">
        <f>'[22]Student Data'!P15</f>
        <v>348703</v>
      </c>
      <c r="B228" s="35" t="str">
        <f>[22]Reporting!C14</f>
        <v>Transition to Production</v>
      </c>
      <c r="C228" s="35" t="str">
        <f>[22]Reporting!F14</f>
        <v>Alta Daniela Borres</v>
      </c>
      <c r="D228" s="35" cm="1">
        <f t="array" ref="D228">--(SUM(COUNTIF(B228,{"*nest*","*grad*","*trans*","*1B*","*1C*"}))&gt;0)</f>
        <v>1</v>
      </c>
      <c r="E228" s="40">
        <f>[22]Performance!Q15</f>
        <v>1</v>
      </c>
      <c r="F228" s="40">
        <f>[22]Performance!R15</f>
        <v>1</v>
      </c>
      <c r="G228" s="40">
        <f>[22]Performance!S15</f>
        <v>0.86</v>
      </c>
      <c r="H228" s="40">
        <f>[22]Performance!T15</f>
        <v>0.8</v>
      </c>
      <c r="I228" s="40">
        <f>[22]Performance!U15</f>
        <v>0.85</v>
      </c>
      <c r="J228" s="40" t="str">
        <f>[22]Performance!H15</f>
        <v>N/A</v>
      </c>
      <c r="K228" s="40">
        <f>[22]Performance!I15</f>
        <v>1</v>
      </c>
      <c r="L228" s="40">
        <f>[22]Performance!J15</f>
        <v>1</v>
      </c>
      <c r="M228" s="40" t="str">
        <f>[22]Performance!K15</f>
        <v>N/A</v>
      </c>
      <c r="N228" s="40" t="str">
        <f>[22]Performance!L15</f>
        <v>N/A</v>
      </c>
      <c r="O228" s="40" t="str">
        <f>[22]Performance!M15</f>
        <v>N/A</v>
      </c>
      <c r="P228" s="40">
        <f>[22]Performance!N15</f>
        <v>1</v>
      </c>
      <c r="Q228" s="40" t="str">
        <f>[22]Performance!O15</f>
        <v>N/A</v>
      </c>
      <c r="R228" s="40">
        <f>[22]Performance!P15</f>
        <v>0.88</v>
      </c>
    </row>
    <row r="229" spans="1:18" x14ac:dyDescent="0.3">
      <c r="A229" s="35">
        <f>'[22]Student Data'!P16</f>
        <v>348686</v>
      </c>
      <c r="B229" s="35" t="str">
        <f>[22]Reporting!C15</f>
        <v>Transition to Production</v>
      </c>
      <c r="C229" s="35" t="str">
        <f>[22]Reporting!F15</f>
        <v>Guia Cabadin</v>
      </c>
      <c r="D229" s="35" cm="1">
        <f t="array" ref="D229">--(SUM(COUNTIF(B229,{"*nest*","*grad*","*trans*","*1B*","*1C*"}))&gt;0)</f>
        <v>1</v>
      </c>
      <c r="E229" s="40">
        <f>[22]Performance!Q16</f>
        <v>1</v>
      </c>
      <c r="F229" s="40">
        <f>[22]Performance!R16</f>
        <v>1</v>
      </c>
      <c r="G229" s="40">
        <f>[22]Performance!S16</f>
        <v>0.94</v>
      </c>
      <c r="H229" s="40">
        <f>[22]Performance!T16</f>
        <v>0.8</v>
      </c>
      <c r="I229" s="40">
        <f>[22]Performance!U16</f>
        <v>1</v>
      </c>
      <c r="J229" s="40" t="str">
        <f>[22]Performance!H16</f>
        <v>N/A</v>
      </c>
      <c r="K229" s="40">
        <f>[22]Performance!I16</f>
        <v>0.88</v>
      </c>
      <c r="L229" s="40">
        <f>[22]Performance!J16</f>
        <v>1</v>
      </c>
      <c r="M229" s="40" t="str">
        <f>[22]Performance!K16</f>
        <v>N/A</v>
      </c>
      <c r="N229" s="40" t="str">
        <f>[22]Performance!L16</f>
        <v>N/A</v>
      </c>
      <c r="O229" s="40" t="str">
        <f>[22]Performance!M16</f>
        <v>N/A</v>
      </c>
      <c r="P229" s="40">
        <f>[22]Performance!N16</f>
        <v>1</v>
      </c>
      <c r="Q229" s="40" t="str">
        <f>[22]Performance!O16</f>
        <v>N/A</v>
      </c>
      <c r="R229" s="40">
        <f>[22]Performance!P16</f>
        <v>0.94</v>
      </c>
    </row>
    <row r="230" spans="1:18" x14ac:dyDescent="0.3">
      <c r="A230" s="35">
        <f>'[22]Student Data'!P17</f>
        <v>348687</v>
      </c>
      <c r="B230" s="35" t="str">
        <f>[22]Reporting!C16</f>
        <v>Transition to Production</v>
      </c>
      <c r="C230" s="35" t="str">
        <f>[22]Reporting!F16</f>
        <v>Rhea Mae Evardone</v>
      </c>
      <c r="D230" s="35" cm="1">
        <f t="array" ref="D230">--(SUM(COUNTIF(B230,{"*nest*","*grad*","*trans*","*1B*","*1C*"}))&gt;0)</f>
        <v>1</v>
      </c>
      <c r="E230" s="40">
        <f>[22]Performance!Q17</f>
        <v>1</v>
      </c>
      <c r="F230" s="40">
        <f>[22]Performance!R17</f>
        <v>1</v>
      </c>
      <c r="G230" s="40">
        <f>[22]Performance!S17</f>
        <v>0.94</v>
      </c>
      <c r="H230" s="40">
        <f>[22]Performance!T17</f>
        <v>1</v>
      </c>
      <c r="I230" s="40">
        <f>[22]Performance!U17</f>
        <v>0.8</v>
      </c>
      <c r="J230" s="40" t="str">
        <f>[22]Performance!H17</f>
        <v>N/A</v>
      </c>
      <c r="K230" s="40">
        <f>[22]Performance!I17</f>
        <v>1</v>
      </c>
      <c r="L230" s="40">
        <f>[22]Performance!J17</f>
        <v>0.8</v>
      </c>
      <c r="M230" s="40" t="str">
        <f>[22]Performance!K17</f>
        <v>N/A</v>
      </c>
      <c r="N230" s="40" t="str">
        <f>[22]Performance!L17</f>
        <v>N/A</v>
      </c>
      <c r="O230" s="40" t="str">
        <f>[22]Performance!M17</f>
        <v>N/A</v>
      </c>
      <c r="P230" s="40">
        <f>[22]Performance!N17</f>
        <v>1</v>
      </c>
      <c r="Q230" s="40" t="str">
        <f>[22]Performance!O17</f>
        <v>N/A</v>
      </c>
      <c r="R230" s="40">
        <f>[22]Performance!P17</f>
        <v>0.94</v>
      </c>
    </row>
    <row r="231" spans="1:18" x14ac:dyDescent="0.3">
      <c r="A231" s="35">
        <f>'[22]Student Data'!P18</f>
        <v>348702</v>
      </c>
      <c r="B231" s="35" t="str">
        <f>[22]Reporting!C17</f>
        <v>Transition to Production</v>
      </c>
      <c r="C231" s="35" t="str">
        <f>[22]Reporting!F17</f>
        <v>Sarah Jane Mapile</v>
      </c>
      <c r="D231" s="35" cm="1">
        <f t="array" ref="D231">--(SUM(COUNTIF(B231,{"*nest*","*grad*","*trans*","*1B*","*1C*"}))&gt;0)</f>
        <v>1</v>
      </c>
      <c r="E231" s="40">
        <f>[22]Performance!Q18</f>
        <v>1</v>
      </c>
      <c r="F231" s="40">
        <f>[22]Performance!R18</f>
        <v>1</v>
      </c>
      <c r="G231" s="40">
        <f>[22]Performance!S18</f>
        <v>0.94</v>
      </c>
      <c r="H231" s="40">
        <f>[22]Performance!T18</f>
        <v>1</v>
      </c>
      <c r="I231" s="40">
        <f>[22]Performance!U18</f>
        <v>1</v>
      </c>
      <c r="J231" s="40" t="str">
        <f>[22]Performance!H18</f>
        <v>N/A</v>
      </c>
      <c r="K231" s="40">
        <f>[22]Performance!I18</f>
        <v>0.88</v>
      </c>
      <c r="L231" s="40">
        <f>[22]Performance!J18</f>
        <v>0.8</v>
      </c>
      <c r="M231" s="40" t="str">
        <f>[22]Performance!K18</f>
        <v>N/A</v>
      </c>
      <c r="N231" s="40" t="str">
        <f>[22]Performance!L18</f>
        <v>N/A</v>
      </c>
      <c r="O231" s="40" t="str">
        <f>[22]Performance!M18</f>
        <v>N/A</v>
      </c>
      <c r="P231" s="40">
        <f>[22]Performance!N18</f>
        <v>1</v>
      </c>
      <c r="Q231" s="40" t="str">
        <f>[22]Performance!O18</f>
        <v>N/A</v>
      </c>
      <c r="R231" s="40">
        <f>[22]Performance!P18</f>
        <v>1</v>
      </c>
    </row>
    <row r="232" spans="1:18" x14ac:dyDescent="0.3">
      <c r="A232" s="35">
        <f>'[22]Student Data'!P19</f>
        <v>348685</v>
      </c>
      <c r="B232" s="35" t="str">
        <f>[22]Reporting!C18</f>
        <v>Transition to Production</v>
      </c>
      <c r="C232" s="35" t="str">
        <f>[22]Reporting!F18</f>
        <v>Lester Oliquino</v>
      </c>
      <c r="D232" s="35" cm="1">
        <f t="array" ref="D232">--(SUM(COUNTIF(B232,{"*nest*","*grad*","*trans*","*1B*","*1C*"}))&gt;0)</f>
        <v>1</v>
      </c>
      <c r="E232" s="40">
        <f>[22]Performance!Q19</f>
        <v>1</v>
      </c>
      <c r="F232" s="40">
        <f>[22]Performance!R19</f>
        <v>1</v>
      </c>
      <c r="G232" s="40">
        <f>[22]Performance!S19</f>
        <v>0.94</v>
      </c>
      <c r="H232" s="40">
        <f>[22]Performance!T19</f>
        <v>0.8</v>
      </c>
      <c r="I232" s="40">
        <f>[22]Performance!U19</f>
        <v>0.98</v>
      </c>
      <c r="J232" s="40" t="str">
        <f>[22]Performance!H19</f>
        <v>N/A</v>
      </c>
      <c r="K232" s="40">
        <f>[22]Performance!I19</f>
        <v>1</v>
      </c>
      <c r="L232" s="40">
        <f>[22]Performance!J19</f>
        <v>1</v>
      </c>
      <c r="M232" s="40" t="str">
        <f>[22]Performance!K19</f>
        <v>N/A</v>
      </c>
      <c r="N232" s="40" t="str">
        <f>[22]Performance!L19</f>
        <v>N/A</v>
      </c>
      <c r="O232" s="40" t="str">
        <f>[22]Performance!M19</f>
        <v>N/A</v>
      </c>
      <c r="P232" s="40">
        <f>[22]Performance!N19</f>
        <v>1</v>
      </c>
      <c r="Q232" s="40" t="str">
        <f>[22]Performance!O19</f>
        <v>N/A</v>
      </c>
      <c r="R232" s="40">
        <f>[22]Performance!P19</f>
        <v>0.94</v>
      </c>
    </row>
    <row r="233" spans="1:18" x14ac:dyDescent="0.3">
      <c r="A233" s="35">
        <f>'[22]Student Data'!P20</f>
        <v>348697</v>
      </c>
      <c r="B233" s="35" t="str">
        <f>[22]Reporting!C19</f>
        <v>Transition to Production</v>
      </c>
      <c r="C233" s="35" t="str">
        <f>[22]Reporting!F19</f>
        <v>Aaron Maverick  Prado</v>
      </c>
      <c r="D233" s="35" cm="1">
        <f t="array" ref="D233">--(SUM(COUNTIF(B233,{"*nest*","*grad*","*trans*","*1B*","*1C*"}))&gt;0)</f>
        <v>1</v>
      </c>
      <c r="E233" s="40">
        <f>[22]Performance!Q20</f>
        <v>1</v>
      </c>
      <c r="F233" s="40">
        <f>[22]Performance!R20</f>
        <v>1</v>
      </c>
      <c r="G233" s="40">
        <f>[22]Performance!S20</f>
        <v>0.92</v>
      </c>
      <c r="H233" s="40">
        <f>[22]Performance!T20</f>
        <v>1</v>
      </c>
      <c r="I233" s="40">
        <f>[22]Performance!U20</f>
        <v>1</v>
      </c>
      <c r="J233" s="40" t="str">
        <f>[22]Performance!H20</f>
        <v>N/A</v>
      </c>
      <c r="K233" s="40">
        <f>[22]Performance!I20</f>
        <v>1</v>
      </c>
      <c r="L233" s="40">
        <f>[22]Performance!J20</f>
        <v>1</v>
      </c>
      <c r="M233" s="40" t="str">
        <f>[22]Performance!K20</f>
        <v>N/A</v>
      </c>
      <c r="N233" s="40" t="str">
        <f>[22]Performance!L20</f>
        <v>N/A</v>
      </c>
      <c r="O233" s="40" t="str">
        <f>[22]Performance!M20</f>
        <v>N/A</v>
      </c>
      <c r="P233" s="40">
        <f>[22]Performance!N20</f>
        <v>1</v>
      </c>
      <c r="Q233" s="40" t="str">
        <f>[22]Performance!O20</f>
        <v>N/A</v>
      </c>
      <c r="R233" s="40">
        <f>[22]Performance!P20</f>
        <v>0.94</v>
      </c>
    </row>
    <row r="234" spans="1:18" x14ac:dyDescent="0.3">
      <c r="A234" s="35">
        <f>'[22]Student Data'!P21</f>
        <v>348691</v>
      </c>
      <c r="B234" s="35" t="str">
        <f>[22]Reporting!C20</f>
        <v>Transition to Production</v>
      </c>
      <c r="C234" s="35" t="str">
        <f>[22]Reporting!F20</f>
        <v>Anrie Magdalein Prado</v>
      </c>
      <c r="D234" s="35" cm="1">
        <f t="array" ref="D234">--(SUM(COUNTIF(B234,{"*nest*","*grad*","*trans*","*1B*","*1C*"}))&gt;0)</f>
        <v>1</v>
      </c>
      <c r="E234" s="40">
        <f>[22]Performance!Q21</f>
        <v>1</v>
      </c>
      <c r="F234" s="40">
        <f>[22]Performance!R21</f>
        <v>1</v>
      </c>
      <c r="G234" s="40">
        <f>[22]Performance!S21</f>
        <v>1</v>
      </c>
      <c r="H234" s="40">
        <f>[22]Performance!T21</f>
        <v>1</v>
      </c>
      <c r="I234" s="40">
        <f>[22]Performance!U21</f>
        <v>0.85</v>
      </c>
      <c r="J234" s="40" t="str">
        <f>[22]Performance!H21</f>
        <v>N/A</v>
      </c>
      <c r="K234" s="40">
        <f>[22]Performance!I21</f>
        <v>1</v>
      </c>
      <c r="L234" s="40">
        <f>[22]Performance!J21</f>
        <v>0.8</v>
      </c>
      <c r="M234" s="40" t="str">
        <f>[22]Performance!K21</f>
        <v>N/A</v>
      </c>
      <c r="N234" s="40" t="str">
        <f>[22]Performance!L21</f>
        <v>N/A</v>
      </c>
      <c r="O234" s="40" t="str">
        <f>[22]Performance!M21</f>
        <v>N/A</v>
      </c>
      <c r="P234" s="40">
        <f>[22]Performance!N21</f>
        <v>1</v>
      </c>
      <c r="Q234" s="40" t="str">
        <f>[22]Performance!O21</f>
        <v>N/A</v>
      </c>
      <c r="R234" s="40">
        <f>[22]Performance!P21</f>
        <v>0.82</v>
      </c>
    </row>
    <row r="235" spans="1:18" x14ac:dyDescent="0.3">
      <c r="A235" s="35">
        <f>'[22]Student Data'!P22</f>
        <v>348689</v>
      </c>
      <c r="B235" s="35" t="str">
        <f>[22]Reporting!C21</f>
        <v>Transition to Production</v>
      </c>
      <c r="C235" s="35" t="str">
        <f>[22]Reporting!F21</f>
        <v>Ynigo Rayne Valderrama</v>
      </c>
      <c r="D235" s="35" cm="1">
        <f t="array" ref="D235">--(SUM(COUNTIF(B235,{"*nest*","*grad*","*trans*","*1B*","*1C*"}))&gt;0)</f>
        <v>1</v>
      </c>
      <c r="E235" s="40">
        <f>[22]Performance!Q22</f>
        <v>1</v>
      </c>
      <c r="F235" s="40">
        <f>[22]Performance!R22</f>
        <v>1</v>
      </c>
      <c r="G235" s="40">
        <f>[22]Performance!S22</f>
        <v>0.87</v>
      </c>
      <c r="H235" s="40">
        <f>[22]Performance!T22</f>
        <v>0.8</v>
      </c>
      <c r="I235" s="40">
        <f>[22]Performance!U22</f>
        <v>0.84</v>
      </c>
      <c r="J235" s="40" t="str">
        <f>[22]Performance!H22</f>
        <v>N/A</v>
      </c>
      <c r="K235" s="40">
        <f>[22]Performance!I22</f>
        <v>1</v>
      </c>
      <c r="L235" s="40">
        <f>[22]Performance!J22</f>
        <v>0.8</v>
      </c>
      <c r="M235" s="40" t="str">
        <f>[22]Performance!K22</f>
        <v>N/A</v>
      </c>
      <c r="N235" s="40" t="str">
        <f>[22]Performance!L22</f>
        <v>N/A</v>
      </c>
      <c r="O235" s="40" t="str">
        <f>[22]Performance!M22</f>
        <v>N/A</v>
      </c>
      <c r="P235" s="40">
        <f>[22]Performance!N22</f>
        <v>1</v>
      </c>
      <c r="Q235" s="40" t="str">
        <f>[22]Performance!O22</f>
        <v>N/A</v>
      </c>
      <c r="R235" s="40">
        <f>[22]Performance!P22</f>
        <v>1</v>
      </c>
    </row>
    <row r="236" spans="1:18" x14ac:dyDescent="0.3">
      <c r="A236" s="35">
        <f>'[22]Student Data'!P23</f>
        <v>347579</v>
      </c>
      <c r="B236" s="35" t="str">
        <f>[22]Reporting!C22</f>
        <v>Transition to Production</v>
      </c>
      <c r="C236" s="35" t="str">
        <f>[22]Reporting!F22</f>
        <v>Patrick Verdillo</v>
      </c>
      <c r="D236" s="35" cm="1">
        <f t="array" ref="D236">--(SUM(COUNTIF(B236,{"*nest*","*grad*","*trans*","*1B*","*1C*"}))&gt;0)</f>
        <v>1</v>
      </c>
      <c r="E236" s="40">
        <f>[22]Performance!Q23</f>
        <v>1</v>
      </c>
      <c r="F236" s="40">
        <f>[22]Performance!R23</f>
        <v>1</v>
      </c>
      <c r="G236" s="40">
        <f>[22]Performance!S23</f>
        <v>0.8</v>
      </c>
      <c r="H236" s="40">
        <f>[22]Performance!T23</f>
        <v>1</v>
      </c>
      <c r="I236" s="40">
        <f>[22]Performance!U23</f>
        <v>0.8</v>
      </c>
      <c r="J236" s="40" t="str">
        <f>[22]Performance!H23</f>
        <v>N/A</v>
      </c>
      <c r="K236" s="40">
        <f>[22]Performance!I23</f>
        <v>1</v>
      </c>
      <c r="L236" s="40">
        <f>[22]Performance!J23</f>
        <v>1</v>
      </c>
      <c r="M236" s="40" t="str">
        <f>[22]Performance!K23</f>
        <v>N/A</v>
      </c>
      <c r="N236" s="40" t="str">
        <f>[22]Performance!L23</f>
        <v>N/A</v>
      </c>
      <c r="O236" s="40" t="str">
        <f>[22]Performance!M23</f>
        <v>N/A</v>
      </c>
      <c r="P236" s="40">
        <f>[22]Performance!N23</f>
        <v>1</v>
      </c>
      <c r="Q236" s="40" t="str">
        <f>[22]Performance!O23</f>
        <v>N/A</v>
      </c>
      <c r="R236" s="40">
        <f>[22]Performance!P23</f>
        <v>0.88</v>
      </c>
    </row>
    <row r="237" spans="1:18" x14ac:dyDescent="0.3">
      <c r="A237" s="8" t="s">
        <v>54</v>
      </c>
      <c r="B237" s="44" t="str">
        <f>'[23]Class Summary'!$B$10</f>
        <v>Hazel Vhea de Fiesta</v>
      </c>
      <c r="C237" s="44" t="str">
        <f>'[23]Class Summary'!$B$11</f>
        <v>Jarry Calilung</v>
      </c>
      <c r="D237" s="43">
        <f>SUM(D238:D255)</f>
        <v>14</v>
      </c>
      <c r="E237" s="43">
        <f>COUNTIF(E238:E255, "&gt;79%")</f>
        <v>16</v>
      </c>
      <c r="F237" s="43">
        <f>COUNTIF(F238:F255, "&gt;79%")</f>
        <v>16</v>
      </c>
      <c r="G237" s="43">
        <f>COUNTIF(G238:G255, "&gt;79%")</f>
        <v>16</v>
      </c>
      <c r="H237" s="43">
        <f>COUNTIF(H238:H255, "&gt;79%")</f>
        <v>16</v>
      </c>
      <c r="I237" s="43">
        <f>COUNTIF(I238:I255, "&gt;79%")</f>
        <v>16</v>
      </c>
      <c r="J237" s="43" t="s">
        <v>25</v>
      </c>
      <c r="K237" s="43">
        <f>COUNTIF(K238:K255, "&gt;79%")</f>
        <v>16</v>
      </c>
      <c r="L237" s="43">
        <f>COUNTIF(L238:L255, "&gt;79%")</f>
        <v>16</v>
      </c>
      <c r="M237" s="43" t="s">
        <v>25</v>
      </c>
      <c r="N237" s="43" t="s">
        <v>25</v>
      </c>
      <c r="O237" s="43" t="s">
        <v>25</v>
      </c>
      <c r="P237" s="43">
        <f>COUNTIF(P238:P255, "&gt;79%")</f>
        <v>16</v>
      </c>
      <c r="Q237" s="43" t="s">
        <v>25</v>
      </c>
      <c r="R237" s="43">
        <f>COUNTIF(R238:R255, "&gt;79%")</f>
        <v>16</v>
      </c>
    </row>
    <row r="238" spans="1:18" x14ac:dyDescent="0.3">
      <c r="A238" s="35">
        <f>'[23]Student Data'!P5</f>
        <v>0</v>
      </c>
      <c r="B238" s="35" t="str">
        <f>[23]Reporting!C4</f>
        <v>Did not Start</v>
      </c>
      <c r="C238" s="35" t="str">
        <f>[23]Reporting!F4</f>
        <v>Elsa Ayson</v>
      </c>
      <c r="D238" s="35" cm="1">
        <f t="array" ref="D238">--(SUM(COUNTIF(B238,{"*nest*","*grad*","*trans*","*1B*","*1C*"}))&gt;0)</f>
        <v>0</v>
      </c>
      <c r="E238" s="40">
        <f>[23]Performance!X5</f>
        <v>1</v>
      </c>
      <c r="F238" s="40">
        <f>[23]Performance!Y5</f>
        <v>1</v>
      </c>
      <c r="G238" s="40">
        <f>[23]Performance!Z5</f>
        <v>1</v>
      </c>
      <c r="H238" s="40">
        <f>[23]Performance!AA5</f>
        <v>0.8</v>
      </c>
      <c r="I238" s="40">
        <f>[23]Performance!AB5</f>
        <v>0.98</v>
      </c>
      <c r="J238" s="40" t="str">
        <f>[23]Performance!O5</f>
        <v>N/A</v>
      </c>
      <c r="K238" s="40">
        <f>[23]Performance!P5</f>
        <v>0.88</v>
      </c>
      <c r="L238" s="40">
        <f>[23]Performance!Q5</f>
        <v>1</v>
      </c>
      <c r="M238" s="40" t="str">
        <f>[23]Performance!R5</f>
        <v>N/A</v>
      </c>
      <c r="N238" s="40" t="str">
        <f>[23]Performance!S5</f>
        <v>N/A</v>
      </c>
      <c r="O238" s="40" t="str">
        <f>[23]Performance!T5</f>
        <v>N/A</v>
      </c>
      <c r="P238" s="40">
        <f>[23]Performance!U5</f>
        <v>1</v>
      </c>
      <c r="Q238" s="40" t="str">
        <f>[23]Performance!V5</f>
        <v>N/A</v>
      </c>
      <c r="R238" s="40">
        <f>[23]Performance!W5</f>
        <v>0.86</v>
      </c>
    </row>
    <row r="239" spans="1:18" x14ac:dyDescent="0.3">
      <c r="A239" s="35">
        <f>'[23]Student Data'!P6</f>
        <v>349515</v>
      </c>
      <c r="B239" s="35" t="str">
        <f>[23]Reporting!C5</f>
        <v>Moved/Joining Alternate Class/Program</v>
      </c>
      <c r="C239" s="35" t="str">
        <f>[23]Reporting!F5</f>
        <v>Kim Montano</v>
      </c>
      <c r="D239" s="35" cm="1">
        <f t="array" ref="D239">--(SUM(COUNTIF(B239,{"*nest*","*grad*","*trans*","*1B*","*1C*"}))&gt;0)</f>
        <v>0</v>
      </c>
      <c r="E239" s="40">
        <f>[23]Performance!X6</f>
        <v>1</v>
      </c>
      <c r="F239" s="40">
        <f>[23]Performance!Y6</f>
        <v>1</v>
      </c>
      <c r="G239" s="46">
        <f>[23]Performance!Z6</f>
        <v>0.88</v>
      </c>
      <c r="H239" s="40">
        <f>[23]Performance!AA6</f>
        <v>1</v>
      </c>
      <c r="I239" s="40">
        <f>[23]Performance!AB6</f>
        <v>0.93</v>
      </c>
      <c r="J239" s="40" t="str">
        <f>[23]Performance!O6</f>
        <v>N/A</v>
      </c>
      <c r="K239" s="40">
        <f>[23]Performance!P6</f>
        <v>0.88</v>
      </c>
      <c r="L239" s="40">
        <f>[23]Performance!Q6</f>
        <v>1</v>
      </c>
      <c r="M239" s="40" t="str">
        <f>[23]Performance!R6</f>
        <v>N/A</v>
      </c>
      <c r="N239" s="40" t="str">
        <f>[23]Performance!S6</f>
        <v>N/A</v>
      </c>
      <c r="O239" s="40" t="str">
        <f>[23]Performance!T6</f>
        <v>N/A</v>
      </c>
      <c r="P239" s="40">
        <f>[23]Performance!U6</f>
        <v>1</v>
      </c>
      <c r="Q239" s="40" t="str">
        <f>[23]Performance!V6</f>
        <v>N/A</v>
      </c>
      <c r="R239" s="40">
        <f>[23]Performance!W6</f>
        <v>1</v>
      </c>
    </row>
    <row r="240" spans="1:18" x14ac:dyDescent="0.3">
      <c r="A240" s="35">
        <f>'[23]Student Data'!P7</f>
        <v>349518</v>
      </c>
      <c r="B240" s="35" t="str">
        <f>[23]Reporting!C6</f>
        <v>Moved/Joining Alternate Class/Program</v>
      </c>
      <c r="C240" s="35" t="str">
        <f>[23]Reporting!F6</f>
        <v>Noren Sicheco</v>
      </c>
      <c r="D240" s="35" cm="1">
        <f t="array" ref="D240">--(SUM(COUNTIF(B240,{"*nest*","*grad*","*trans*","*1B*","*1C*"}))&gt;0)</f>
        <v>0</v>
      </c>
      <c r="E240" s="40">
        <f>[23]Performance!X7</f>
        <v>1</v>
      </c>
      <c r="F240" s="40">
        <f>[23]Performance!Y7</f>
        <v>1</v>
      </c>
      <c r="G240" s="40">
        <f>[23]Performance!Z7</f>
        <v>1</v>
      </c>
      <c r="H240" s="40">
        <f>[23]Performance!AA7</f>
        <v>0.8</v>
      </c>
      <c r="I240" s="40">
        <f>[23]Performance!AB7</f>
        <v>0.92</v>
      </c>
      <c r="J240" s="40" t="str">
        <f>[23]Performance!O7</f>
        <v>N/A</v>
      </c>
      <c r="K240" s="40">
        <f>[23]Performance!P7</f>
        <v>1</v>
      </c>
      <c r="L240" s="40">
        <f>[23]Performance!Q7</f>
        <v>1</v>
      </c>
      <c r="M240" s="40" t="str">
        <f>[23]Performance!R7</f>
        <v>N/A</v>
      </c>
      <c r="N240" s="40" t="str">
        <f>[23]Performance!S7</f>
        <v>N/A</v>
      </c>
      <c r="O240" s="40" t="str">
        <f>[23]Performance!T7</f>
        <v>N/A</v>
      </c>
      <c r="P240" s="40">
        <f>[23]Performance!U7</f>
        <v>1</v>
      </c>
      <c r="Q240" s="40" t="str">
        <f>[23]Performance!V7</f>
        <v>N/A</v>
      </c>
      <c r="R240" s="40">
        <f>[23]Performance!W7</f>
        <v>0.83</v>
      </c>
    </row>
    <row r="241" spans="1:18" x14ac:dyDescent="0.3">
      <c r="A241" s="35">
        <f>'[23]Student Data'!P8</f>
        <v>349519</v>
      </c>
      <c r="B241" s="35" t="str">
        <f>[23]Reporting!C7</f>
        <v>Resigned Tier 1A</v>
      </c>
      <c r="C241" s="35" t="str">
        <f>[23]Reporting!F7</f>
        <v>Stiphen Ivan Sayo</v>
      </c>
      <c r="D241" s="35" cm="1">
        <f t="array" ref="D241">--(SUM(COUNTIF(B241,{"*nest*","*grad*","*trans*","*1B*","*1C*"}))&gt;0)</f>
        <v>0</v>
      </c>
      <c r="E241" s="40" t="str">
        <f>[23]Performance!X8</f>
        <v>N/A</v>
      </c>
      <c r="F241" s="40" t="str">
        <f>[23]Performance!Y8</f>
        <v>N/A</v>
      </c>
      <c r="G241" s="40" t="str">
        <f>[23]Performance!Z8</f>
        <v>N/A</v>
      </c>
      <c r="H241" s="40" t="str">
        <f>[23]Performance!AA8</f>
        <v>N/A</v>
      </c>
      <c r="I241" s="40" t="str">
        <f>[23]Performance!AB8</f>
        <v>N/A</v>
      </c>
      <c r="J241" s="40" t="str">
        <f>[23]Performance!O8</f>
        <v>N/A</v>
      </c>
      <c r="K241" s="40" t="str">
        <f>[23]Performance!P8</f>
        <v>N/A</v>
      </c>
      <c r="L241" s="40" t="str">
        <f>[23]Performance!Q8</f>
        <v>N/A</v>
      </c>
      <c r="M241" s="40" t="str">
        <f>[23]Performance!R8</f>
        <v>N/A</v>
      </c>
      <c r="N241" s="40" t="str">
        <f>[23]Performance!S8</f>
        <v>N/A</v>
      </c>
      <c r="O241" s="40" t="str">
        <f>[23]Performance!T8</f>
        <v>N/A</v>
      </c>
      <c r="P241" s="40" t="str">
        <f>[23]Performance!U8</f>
        <v>N/A</v>
      </c>
      <c r="Q241" s="40" t="str">
        <f>[23]Performance!V8</f>
        <v>N/A</v>
      </c>
      <c r="R241" s="40" t="str">
        <f>[23]Performance!W8</f>
        <v>N/A</v>
      </c>
    </row>
    <row r="242" spans="1:18" x14ac:dyDescent="0.3">
      <c r="A242" s="35">
        <f>'[23]Student Data'!P9</f>
        <v>348394</v>
      </c>
      <c r="B242" s="35" t="str">
        <f>[23]Reporting!C8</f>
        <v>Resigned Tier 1B</v>
      </c>
      <c r="C242" s="35" t="str">
        <f>[23]Reporting!F8</f>
        <v>Shinji Manalo</v>
      </c>
      <c r="D242" s="35" cm="1">
        <f t="array" ref="D242">--(SUM(COUNTIF(B242,{"*nest*","*grad*","*trans*","*1B*","*1C*"}))&gt;0)</f>
        <v>1</v>
      </c>
      <c r="E242" s="40">
        <f>[23]Performance!X9</f>
        <v>1</v>
      </c>
      <c r="F242" s="40">
        <f>[23]Performance!Y9</f>
        <v>1</v>
      </c>
      <c r="G242" s="40">
        <f>[23]Performance!Z9</f>
        <v>0.8</v>
      </c>
      <c r="H242" s="40">
        <f>[23]Performance!AA9</f>
        <v>0.8</v>
      </c>
      <c r="I242" s="40">
        <f>[23]Performance!AB9</f>
        <v>0.89</v>
      </c>
      <c r="J242" s="40" t="str">
        <f>[23]Performance!O9</f>
        <v>N/A</v>
      </c>
      <c r="K242" s="40">
        <f>[23]Performance!P9</f>
        <v>1</v>
      </c>
      <c r="L242" s="40">
        <f>[23]Performance!Q9</f>
        <v>0.8</v>
      </c>
      <c r="M242" s="40" t="str">
        <f>[23]Performance!R9</f>
        <v>N/A</v>
      </c>
      <c r="N242" s="40" t="str">
        <f>[23]Performance!S9</f>
        <v>N/A</v>
      </c>
      <c r="O242" s="40" t="str">
        <f>[23]Performance!T9</f>
        <v>N/A</v>
      </c>
      <c r="P242" s="40">
        <f>[23]Performance!U9</f>
        <v>1</v>
      </c>
      <c r="Q242" s="40" t="str">
        <f>[23]Performance!V9</f>
        <v>N/A</v>
      </c>
      <c r="R242" s="40">
        <f>[23]Performance!W9</f>
        <v>0.94</v>
      </c>
    </row>
    <row r="243" spans="1:18" x14ac:dyDescent="0.3">
      <c r="A243" s="35">
        <f>'[23]Student Data'!P10</f>
        <v>349516</v>
      </c>
      <c r="B243" s="35" t="str">
        <f>[23]Reporting!C9</f>
        <v>Resigned-Nesting 3</v>
      </c>
      <c r="C243" s="35" t="str">
        <f>[23]Reporting!F9</f>
        <v>Manolito Jr Sison</v>
      </c>
      <c r="D243" s="35" cm="1">
        <f t="array" ref="D243">--(SUM(COUNTIF(B243,{"*nest*","*grad*","*trans*","*1B*","*1C*"}))&gt;0)</f>
        <v>1</v>
      </c>
      <c r="E243" s="40">
        <f>[23]Performance!X10</f>
        <v>1</v>
      </c>
      <c r="F243" s="40">
        <f>[23]Performance!Y10</f>
        <v>1</v>
      </c>
      <c r="G243" s="40">
        <f>[23]Performance!Z10</f>
        <v>0.95</v>
      </c>
      <c r="H243" s="40">
        <f>[23]Performance!AA10</f>
        <v>1</v>
      </c>
      <c r="I243" s="40">
        <f>[23]Performance!AB10</f>
        <v>0.8</v>
      </c>
      <c r="J243" s="40" t="str">
        <f>[23]Performance!O10</f>
        <v>N/A</v>
      </c>
      <c r="K243" s="40">
        <f>[23]Performance!P10</f>
        <v>1</v>
      </c>
      <c r="L243" s="40">
        <f>[23]Performance!Q10</f>
        <v>1</v>
      </c>
      <c r="M243" s="40" t="str">
        <f>[23]Performance!R10</f>
        <v>N/A</v>
      </c>
      <c r="N243" s="40" t="str">
        <f>[23]Performance!S10</f>
        <v>N/A</v>
      </c>
      <c r="O243" s="40" t="str">
        <f>[23]Performance!T10</f>
        <v>N/A</v>
      </c>
      <c r="P243" s="40">
        <f>[23]Performance!U10</f>
        <v>1</v>
      </c>
      <c r="Q243" s="40" t="str">
        <f>[23]Performance!V10</f>
        <v>N/A</v>
      </c>
      <c r="R243" s="40">
        <f>[23]Performance!W10</f>
        <v>0.88</v>
      </c>
    </row>
    <row r="244" spans="1:18" x14ac:dyDescent="0.3">
      <c r="A244" s="35">
        <f>'[23]Student Data'!P11</f>
        <v>349521</v>
      </c>
      <c r="B244" s="35" t="str">
        <f>[23]Reporting!C10</f>
        <v>Terminated-Nesting 1A</v>
      </c>
      <c r="C244" s="35" t="str">
        <f>[23]Reporting!F10</f>
        <v>Mary Jane Del Fonso</v>
      </c>
      <c r="D244" s="35" cm="1">
        <f t="array" ref="D244">--(SUM(COUNTIF(B244,{"*nest*","*grad*","*trans*","*1B*","*1C*"}))&gt;0)</f>
        <v>1</v>
      </c>
      <c r="E244" s="40">
        <f>[23]Performance!X11</f>
        <v>1</v>
      </c>
      <c r="F244" s="40">
        <f>[23]Performance!Y11</f>
        <v>1</v>
      </c>
      <c r="G244" s="40">
        <f>[23]Performance!Z11</f>
        <v>1</v>
      </c>
      <c r="H244" s="40">
        <f>[23]Performance!AA11</f>
        <v>1</v>
      </c>
      <c r="I244" s="40">
        <f>[23]Performance!AB11</f>
        <v>0.8</v>
      </c>
      <c r="J244" s="40" t="str">
        <f>[23]Performance!O11</f>
        <v>N/A</v>
      </c>
      <c r="K244" s="40">
        <f>[23]Performance!P11</f>
        <v>1</v>
      </c>
      <c r="L244" s="40">
        <f>[23]Performance!Q11</f>
        <v>1</v>
      </c>
      <c r="M244" s="40" t="str">
        <f>[23]Performance!R11</f>
        <v>N/A</v>
      </c>
      <c r="N244" s="40" t="str">
        <f>[23]Performance!S11</f>
        <v>N/A</v>
      </c>
      <c r="O244" s="40" t="str">
        <f>[23]Performance!T11</f>
        <v>N/A</v>
      </c>
      <c r="P244" s="40">
        <f>[23]Performance!U11</f>
        <v>1</v>
      </c>
      <c r="Q244" s="40" t="str">
        <f>[23]Performance!V11</f>
        <v>N/A</v>
      </c>
      <c r="R244" s="40">
        <f>[23]Performance!W11</f>
        <v>0.82</v>
      </c>
    </row>
    <row r="245" spans="1:18" x14ac:dyDescent="0.3">
      <c r="A245" s="35">
        <f>'[23]Student Data'!P12</f>
        <v>349512</v>
      </c>
      <c r="B245" s="35" t="str">
        <f>[23]Reporting!C11</f>
        <v>Terminated-Nesting 3</v>
      </c>
      <c r="C245" s="35" t="str">
        <f>[23]Reporting!F11</f>
        <v>Jhon Ronniel Abello</v>
      </c>
      <c r="D245" s="35" cm="1">
        <f t="array" ref="D245">--(SUM(COUNTIF(B245,{"*nest*","*grad*","*trans*","*1B*","*1C*"}))&gt;0)</f>
        <v>1</v>
      </c>
      <c r="E245" s="40">
        <f>[23]Performance!X12</f>
        <v>1</v>
      </c>
      <c r="F245" s="40">
        <f>[23]Performance!Y12</f>
        <v>1</v>
      </c>
      <c r="G245" s="40">
        <f>[23]Performance!Z12</f>
        <v>0.94</v>
      </c>
      <c r="H245" s="40">
        <f>[23]Performance!AA12</f>
        <v>1</v>
      </c>
      <c r="I245" s="40">
        <f>[23]Performance!AB12</f>
        <v>0.93</v>
      </c>
      <c r="J245" s="40" t="str">
        <f>[23]Performance!O12</f>
        <v>N/A</v>
      </c>
      <c r="K245" s="40">
        <f>[23]Performance!P12</f>
        <v>1</v>
      </c>
      <c r="L245" s="40">
        <f>[23]Performance!Q12</f>
        <v>1</v>
      </c>
      <c r="M245" s="40" t="str">
        <f>[23]Performance!R12</f>
        <v>N/A</v>
      </c>
      <c r="N245" s="40" t="str">
        <f>[23]Performance!S12</f>
        <v>N/A</v>
      </c>
      <c r="O245" s="40" t="str">
        <f>[23]Performance!T12</f>
        <v>N/A</v>
      </c>
      <c r="P245" s="40">
        <f>[23]Performance!U12</f>
        <v>1</v>
      </c>
      <c r="Q245" s="40" t="str">
        <f>[23]Performance!V12</f>
        <v>N/A</v>
      </c>
      <c r="R245" s="40">
        <f>[23]Performance!W12</f>
        <v>0.89</v>
      </c>
    </row>
    <row r="246" spans="1:18" x14ac:dyDescent="0.3">
      <c r="A246" s="35">
        <f>'[23]Student Data'!P13</f>
        <v>349503</v>
      </c>
      <c r="B246" s="35" t="str">
        <f>[23]Reporting!C12</f>
        <v>Terminated-Nesting 3</v>
      </c>
      <c r="C246" s="35" t="str">
        <f>[23]Reporting!F12</f>
        <v>Angelyn Joyosa</v>
      </c>
      <c r="D246" s="35" cm="1">
        <f t="array" ref="D246">--(SUM(COUNTIF(B246,{"*nest*","*grad*","*trans*","*1B*","*1C*"}))&gt;0)</f>
        <v>1</v>
      </c>
      <c r="E246" s="40">
        <f>[23]Performance!X13</f>
        <v>1</v>
      </c>
      <c r="F246" s="40">
        <f>[23]Performance!Y13</f>
        <v>1</v>
      </c>
      <c r="G246" s="40">
        <f>[23]Performance!Z13</f>
        <v>0.94</v>
      </c>
      <c r="H246" s="40">
        <f>[23]Performance!AA13</f>
        <v>1</v>
      </c>
      <c r="I246" s="40">
        <f>[23]Performance!AB13</f>
        <v>0.9</v>
      </c>
      <c r="J246" s="40" t="str">
        <f>[23]Performance!O13</f>
        <v>N/A</v>
      </c>
      <c r="K246" s="40">
        <f>[23]Performance!P13</f>
        <v>1</v>
      </c>
      <c r="L246" s="40">
        <f>[23]Performance!Q13</f>
        <v>1</v>
      </c>
      <c r="M246" s="40" t="str">
        <f>[23]Performance!R13</f>
        <v>N/A</v>
      </c>
      <c r="N246" s="40" t="str">
        <f>[23]Performance!S13</f>
        <v>N/A</v>
      </c>
      <c r="O246" s="40" t="str">
        <f>[23]Performance!T13</f>
        <v>N/A</v>
      </c>
      <c r="P246" s="40">
        <f>[23]Performance!U13</f>
        <v>1</v>
      </c>
      <c r="Q246" s="40" t="str">
        <f>[23]Performance!V13</f>
        <v>N/A</v>
      </c>
      <c r="R246" s="40">
        <f>[23]Performance!W13</f>
        <v>0.94</v>
      </c>
    </row>
    <row r="247" spans="1:18" x14ac:dyDescent="0.3">
      <c r="A247" s="35">
        <f>'[23]Student Data'!P14</f>
        <v>349501</v>
      </c>
      <c r="B247" s="35" t="str">
        <f>[23]Reporting!C13</f>
        <v>Terminated-Nesting 3</v>
      </c>
      <c r="C247" s="35" t="str">
        <f>[23]Reporting!F13</f>
        <v>Aljon Pacheco</v>
      </c>
      <c r="D247" s="35" cm="1">
        <f t="array" ref="D247">--(SUM(COUNTIF(B247,{"*nest*","*grad*","*trans*","*1B*","*1C*"}))&gt;0)</f>
        <v>1</v>
      </c>
      <c r="E247" s="40">
        <f>[23]Performance!X14</f>
        <v>1</v>
      </c>
      <c r="F247" s="40">
        <f>[23]Performance!Y14</f>
        <v>1</v>
      </c>
      <c r="G247" s="40">
        <f>[23]Performance!Z14</f>
        <v>0.88</v>
      </c>
      <c r="H247" s="40">
        <f>[23]Performance!AA14</f>
        <v>0.8</v>
      </c>
      <c r="I247" s="40">
        <f>[23]Performance!AB14</f>
        <v>0.95</v>
      </c>
      <c r="J247" s="40" t="str">
        <f>[23]Performance!O14</f>
        <v>N/A</v>
      </c>
      <c r="K247" s="40">
        <f>[23]Performance!P14</f>
        <v>1</v>
      </c>
      <c r="L247" s="40">
        <f>[23]Performance!Q14</f>
        <v>0.8</v>
      </c>
      <c r="M247" s="40" t="str">
        <f>[23]Performance!R14</f>
        <v>N/A</v>
      </c>
      <c r="N247" s="40" t="str">
        <f>[23]Performance!S14</f>
        <v>N/A</v>
      </c>
      <c r="O247" s="40" t="str">
        <f>[23]Performance!T14</f>
        <v>N/A</v>
      </c>
      <c r="P247" s="40">
        <f>[23]Performance!U14</f>
        <v>1</v>
      </c>
      <c r="Q247" s="40" t="str">
        <f>[23]Performance!V14</f>
        <v>N/A</v>
      </c>
      <c r="R247" s="40">
        <f>[23]Performance!W14</f>
        <v>1</v>
      </c>
    </row>
    <row r="248" spans="1:18" x14ac:dyDescent="0.3">
      <c r="A248" s="35">
        <f>'[23]Student Data'!P15</f>
        <v>349508</v>
      </c>
      <c r="B248" s="35" t="str">
        <f>[23]Reporting!C14</f>
        <v>Terminated-Nesting 3</v>
      </c>
      <c r="C248" s="35" t="str">
        <f>[23]Reporting!F14</f>
        <v>John Rey</v>
      </c>
      <c r="D248" s="35" cm="1">
        <f t="array" ref="D248">--(SUM(COUNTIF(B248,{"*nest*","*grad*","*trans*","*1B*","*1C*"}))&gt;0)</f>
        <v>1</v>
      </c>
      <c r="E248" s="40">
        <f>[23]Performance!X15</f>
        <v>1</v>
      </c>
      <c r="F248" s="40">
        <f>[23]Performance!Y15</f>
        <v>1</v>
      </c>
      <c r="G248" s="40">
        <f>[23]Performance!Z15</f>
        <v>0.94</v>
      </c>
      <c r="H248" s="40">
        <f>[23]Performance!AA15</f>
        <v>1</v>
      </c>
      <c r="I248" s="40">
        <f>[23]Performance!AB15</f>
        <v>0.83</v>
      </c>
      <c r="J248" s="40" t="str">
        <f>[23]Performance!O15</f>
        <v>N/A</v>
      </c>
      <c r="K248" s="40">
        <f>[23]Performance!P15</f>
        <v>0.88</v>
      </c>
      <c r="L248" s="40">
        <f>[23]Performance!Q15</f>
        <v>0.8</v>
      </c>
      <c r="M248" s="40" t="str">
        <f>[23]Performance!R15</f>
        <v>N/A</v>
      </c>
      <c r="N248" s="40" t="str">
        <f>[23]Performance!S15</f>
        <v>N/A</v>
      </c>
      <c r="O248" s="40" t="str">
        <f>[23]Performance!T15</f>
        <v>N/A</v>
      </c>
      <c r="P248" s="40">
        <f>[23]Performance!U15</f>
        <v>1</v>
      </c>
      <c r="Q248" s="40" t="str">
        <f>[23]Performance!V15</f>
        <v>N/A</v>
      </c>
      <c r="R248" s="40">
        <f>[23]Performance!W15</f>
        <v>1</v>
      </c>
    </row>
    <row r="249" spans="1:18" x14ac:dyDescent="0.3">
      <c r="A249" s="35">
        <f>'[23]Student Data'!P16</f>
        <v>349504</v>
      </c>
      <c r="B249" s="35" t="str">
        <f>[23]Reporting!C15</f>
        <v>Terminated-Nesting 3</v>
      </c>
      <c r="C249" s="35" t="str">
        <f>[23]Reporting!F15</f>
        <v>Cris Soriano</v>
      </c>
      <c r="D249" s="35" cm="1">
        <f t="array" ref="D249">--(SUM(COUNTIF(B249,{"*nest*","*grad*","*trans*","*1B*","*1C*"}))&gt;0)</f>
        <v>1</v>
      </c>
      <c r="E249" s="40">
        <f>[23]Performance!X16</f>
        <v>1</v>
      </c>
      <c r="F249" s="40">
        <f>[23]Performance!Y16</f>
        <v>1</v>
      </c>
      <c r="G249" s="40">
        <f>[23]Performance!Z16</f>
        <v>0.8</v>
      </c>
      <c r="H249" s="40">
        <f>[23]Performance!AA16</f>
        <v>0.8</v>
      </c>
      <c r="I249" s="40">
        <f>[23]Performance!AB16</f>
        <v>0.81</v>
      </c>
      <c r="J249" s="40" t="str">
        <f>[23]Performance!O16</f>
        <v>N/A</v>
      </c>
      <c r="K249" s="40">
        <f>[23]Performance!P16</f>
        <v>1</v>
      </c>
      <c r="L249" s="40">
        <f>[23]Performance!Q16</f>
        <v>1</v>
      </c>
      <c r="M249" s="40" t="str">
        <f>[23]Performance!R16</f>
        <v>N/A</v>
      </c>
      <c r="N249" s="40" t="str">
        <f>[23]Performance!S16</f>
        <v>N/A</v>
      </c>
      <c r="O249" s="40" t="str">
        <f>[23]Performance!T16</f>
        <v>N/A</v>
      </c>
      <c r="P249" s="40">
        <f>[23]Performance!U16</f>
        <v>1</v>
      </c>
      <c r="Q249" s="40" t="str">
        <f>[23]Performance!V16</f>
        <v>N/A</v>
      </c>
      <c r="R249" s="40">
        <f>[23]Performance!W16</f>
        <v>0.88</v>
      </c>
    </row>
    <row r="250" spans="1:18" x14ac:dyDescent="0.3">
      <c r="A250" s="35">
        <f>'[23]Student Data'!P17</f>
        <v>349514</v>
      </c>
      <c r="B250" s="35" t="str">
        <f>[23]Reporting!C16</f>
        <v>Terminated-Nesting 3</v>
      </c>
      <c r="C250" s="35" t="str">
        <f>[23]Reporting!F16</f>
        <v>Jonah Ross Valdez</v>
      </c>
      <c r="D250" s="35" cm="1">
        <f t="array" ref="D250">--(SUM(COUNTIF(B250,{"*nest*","*grad*","*trans*","*1B*","*1C*"}))&gt;0)</f>
        <v>1</v>
      </c>
      <c r="E250" s="40" t="str">
        <f>[23]Performance!X17</f>
        <v>N/A</v>
      </c>
      <c r="F250" s="40" t="str">
        <f>[23]Performance!Y17</f>
        <v>N/A</v>
      </c>
      <c r="G250" s="40" t="str">
        <f>[23]Performance!Z17</f>
        <v>N/A</v>
      </c>
      <c r="H250" s="40" t="str">
        <f>[23]Performance!AA17</f>
        <v>N/A</v>
      </c>
      <c r="I250" s="40" t="str">
        <f>[23]Performance!AB17</f>
        <v>N/A</v>
      </c>
      <c r="J250" s="40" t="str">
        <f>[23]Performance!O17</f>
        <v>N/A</v>
      </c>
      <c r="K250" s="40" t="str">
        <f>[23]Performance!P17</f>
        <v>Absent</v>
      </c>
      <c r="L250" s="40" t="str">
        <f>[23]Performance!Q17</f>
        <v>Absent</v>
      </c>
      <c r="M250" s="40" t="str">
        <f>[23]Performance!R17</f>
        <v>N/A</v>
      </c>
      <c r="N250" s="40" t="str">
        <f>[23]Performance!S17</f>
        <v>N/A</v>
      </c>
      <c r="O250" s="40" t="str">
        <f>[23]Performance!T17</f>
        <v>N/A</v>
      </c>
      <c r="P250" s="40" t="str">
        <f>[23]Performance!U17</f>
        <v>N/A</v>
      </c>
      <c r="Q250" s="40" t="str">
        <f>[23]Performance!V17</f>
        <v>N/A</v>
      </c>
      <c r="R250" s="40" t="str">
        <f>[23]Performance!W17</f>
        <v>N/A</v>
      </c>
    </row>
    <row r="251" spans="1:18" x14ac:dyDescent="0.3">
      <c r="A251" s="35">
        <f>'[23]Student Data'!P18</f>
        <v>349505</v>
      </c>
      <c r="B251" s="35" t="str">
        <f>[23]Reporting!C17</f>
        <v>Transition to Production</v>
      </c>
      <c r="C251" s="35" t="str">
        <f>[23]Reporting!F17</f>
        <v>Gesirey Abalona</v>
      </c>
      <c r="D251" s="35" cm="1">
        <f t="array" ref="D251">--(SUM(COUNTIF(B251,{"*nest*","*grad*","*trans*","*1B*","*1C*"}))&gt;0)</f>
        <v>1</v>
      </c>
      <c r="E251" s="40">
        <f>[23]Performance!X18</f>
        <v>1</v>
      </c>
      <c r="F251" s="40">
        <f>[23]Performance!Y18</f>
        <v>1</v>
      </c>
      <c r="G251" s="40">
        <f>[23]Performance!Z18</f>
        <v>0.88</v>
      </c>
      <c r="H251" s="40">
        <f>[23]Performance!AA18</f>
        <v>1</v>
      </c>
      <c r="I251" s="40">
        <f>[23]Performance!AB18</f>
        <v>0.91</v>
      </c>
      <c r="J251" s="40" t="str">
        <f>[23]Performance!O18</f>
        <v>N/A</v>
      </c>
      <c r="K251" s="40">
        <f>[23]Performance!P18</f>
        <v>0.88</v>
      </c>
      <c r="L251" s="40">
        <f>[23]Performance!Q18</f>
        <v>1</v>
      </c>
      <c r="M251" s="40" t="str">
        <f>[23]Performance!R18</f>
        <v>N/A</v>
      </c>
      <c r="N251" s="40" t="str">
        <f>[23]Performance!S18</f>
        <v>N/A</v>
      </c>
      <c r="O251" s="40" t="str">
        <f>[23]Performance!T18</f>
        <v>N/A</v>
      </c>
      <c r="P251" s="40">
        <f>[23]Performance!U18</f>
        <v>1</v>
      </c>
      <c r="Q251" s="40" t="str">
        <f>[23]Performance!V18</f>
        <v>N/A</v>
      </c>
      <c r="R251" s="40">
        <f>[23]Performance!W18</f>
        <v>1</v>
      </c>
    </row>
    <row r="252" spans="1:18" x14ac:dyDescent="0.3">
      <c r="A252" s="35">
        <f>'[23]Student Data'!P19</f>
        <v>349511</v>
      </c>
      <c r="B252" s="35" t="str">
        <f>[23]Reporting!C18</f>
        <v>Transition to Production</v>
      </c>
      <c r="C252" s="35" t="str">
        <f>[23]Reporting!F18</f>
        <v>Jean Reane Aresco</v>
      </c>
      <c r="D252" s="35" cm="1">
        <f t="array" ref="D252">--(SUM(COUNTIF(B252,{"*nest*","*grad*","*trans*","*1B*","*1C*"}))&gt;0)</f>
        <v>1</v>
      </c>
      <c r="E252" s="40">
        <f>[23]Performance!X19</f>
        <v>1</v>
      </c>
      <c r="F252" s="40">
        <f>[23]Performance!Y19</f>
        <v>1</v>
      </c>
      <c r="G252" s="46">
        <f>[23]Performance!Z19</f>
        <v>0.87</v>
      </c>
      <c r="H252" s="40">
        <f>[23]Performance!AA19</f>
        <v>1</v>
      </c>
      <c r="I252" s="40">
        <f>[23]Performance!AB19</f>
        <v>0.85</v>
      </c>
      <c r="J252" s="40" t="str">
        <f>[23]Performance!O19</f>
        <v>N/A</v>
      </c>
      <c r="K252" s="40">
        <f>[23]Performance!P19</f>
        <v>1</v>
      </c>
      <c r="L252" s="40">
        <f>[23]Performance!Q19</f>
        <v>1</v>
      </c>
      <c r="M252" s="40" t="str">
        <f>[23]Performance!R19</f>
        <v>N/A</v>
      </c>
      <c r="N252" s="40" t="str">
        <f>[23]Performance!S19</f>
        <v>N/A</v>
      </c>
      <c r="O252" s="40" t="str">
        <f>[23]Performance!T19</f>
        <v>N/A</v>
      </c>
      <c r="P252" s="40">
        <f>[23]Performance!U19</f>
        <v>1</v>
      </c>
      <c r="Q252" s="40" t="str">
        <f>[23]Performance!V19</f>
        <v>N/A</v>
      </c>
      <c r="R252" s="40">
        <f>[23]Performance!W19</f>
        <v>0.82</v>
      </c>
    </row>
    <row r="253" spans="1:18" x14ac:dyDescent="0.3">
      <c r="A253" s="35">
        <f>'[23]Student Data'!P20</f>
        <v>349506</v>
      </c>
      <c r="B253" s="35" t="str">
        <f>[23]Reporting!C19</f>
        <v>Transition to Production</v>
      </c>
      <c r="C253" s="35" t="str">
        <f>[23]Reporting!F19</f>
        <v>Mhark Cundiman</v>
      </c>
      <c r="D253" s="35" cm="1">
        <f t="array" ref="D253">--(SUM(COUNTIF(B253,{"*nest*","*grad*","*trans*","*1B*","*1C*"}))&gt;0)</f>
        <v>1</v>
      </c>
      <c r="E253" s="40">
        <f>[23]Performance!X20</f>
        <v>1</v>
      </c>
      <c r="F253" s="40">
        <f>[23]Performance!Y20</f>
        <v>1</v>
      </c>
      <c r="G253" s="46">
        <f>[23]Performance!Z20</f>
        <v>0.94</v>
      </c>
      <c r="H253" s="40">
        <f>[23]Performance!AA20</f>
        <v>0.8</v>
      </c>
      <c r="I253" s="40">
        <f>[23]Performance!AB20</f>
        <v>0.82</v>
      </c>
      <c r="J253" s="40" t="str">
        <f>[23]Performance!O20</f>
        <v>N/A</v>
      </c>
      <c r="K253" s="40">
        <f>[23]Performance!P20</f>
        <v>1</v>
      </c>
      <c r="L253" s="40">
        <f>[23]Performance!Q20</f>
        <v>1</v>
      </c>
      <c r="M253" s="40" t="str">
        <f>[23]Performance!R20</f>
        <v>N/A</v>
      </c>
      <c r="N253" s="40" t="str">
        <f>[23]Performance!S20</f>
        <v>N/A</v>
      </c>
      <c r="O253" s="40" t="str">
        <f>[23]Performance!T20</f>
        <v>N/A</v>
      </c>
      <c r="P253" s="40">
        <f>[23]Performance!U20</f>
        <v>1</v>
      </c>
      <c r="Q253" s="40" t="str">
        <f>[23]Performance!V20</f>
        <v>N/A</v>
      </c>
      <c r="R253" s="40">
        <f>[23]Performance!W20</f>
        <v>1</v>
      </c>
    </row>
    <row r="254" spans="1:18" x14ac:dyDescent="0.3">
      <c r="A254" s="35">
        <f>'[23]Student Data'!P21</f>
        <v>349502</v>
      </c>
      <c r="B254" s="35" t="str">
        <f>[23]Reporting!C20</f>
        <v>Transition to Production</v>
      </c>
      <c r="C254" s="35" t="str">
        <f>[23]Reporting!F20</f>
        <v>Allyzza Joaquin</v>
      </c>
      <c r="D254" s="35" cm="1">
        <f t="array" ref="D254">--(SUM(COUNTIF(B254,{"*nest*","*grad*","*trans*","*1B*","*1C*"}))&gt;0)</f>
        <v>1</v>
      </c>
      <c r="E254" s="40">
        <f>[23]Performance!X21</f>
        <v>1</v>
      </c>
      <c r="F254" s="40">
        <f>[23]Performance!Y21</f>
        <v>1</v>
      </c>
      <c r="G254" s="40">
        <f>[23]Performance!Z21</f>
        <v>0.84</v>
      </c>
      <c r="H254" s="40">
        <f>[23]Performance!AA21</f>
        <v>1</v>
      </c>
      <c r="I254" s="40">
        <f>[23]Performance!AB21</f>
        <v>0.95</v>
      </c>
      <c r="J254" s="40" t="str">
        <f>[23]Performance!O21</f>
        <v>N/A</v>
      </c>
      <c r="K254" s="40">
        <f>[23]Performance!P21</f>
        <v>1</v>
      </c>
      <c r="L254" s="40">
        <f>[23]Performance!Q21</f>
        <v>0.8</v>
      </c>
      <c r="M254" s="40" t="str">
        <f>[23]Performance!R21</f>
        <v>N/A</v>
      </c>
      <c r="N254" s="40" t="str">
        <f>[23]Performance!S21</f>
        <v>N/A</v>
      </c>
      <c r="O254" s="40" t="str">
        <f>[23]Performance!T21</f>
        <v>N/A</v>
      </c>
      <c r="P254" s="40">
        <f>[23]Performance!U21</f>
        <v>1</v>
      </c>
      <c r="Q254" s="40" t="str">
        <f>[23]Performance!V21</f>
        <v>N/A</v>
      </c>
      <c r="R254" s="40">
        <f>[23]Performance!W21</f>
        <v>0.88</v>
      </c>
    </row>
    <row r="255" spans="1:18" x14ac:dyDescent="0.3">
      <c r="A255" s="35">
        <f>'[23]Student Data'!P22</f>
        <v>349517</v>
      </c>
      <c r="B255" s="35" t="str">
        <f>[23]Reporting!C21</f>
        <v>Transition to Production</v>
      </c>
      <c r="C255" s="35" t="str">
        <f>[23]Reporting!F21</f>
        <v>Manolito Jr Manliclic</v>
      </c>
      <c r="D255" s="35" cm="1">
        <f t="array" ref="D255">--(SUM(COUNTIF(B255,{"*nest*","*grad*","*trans*","*1B*","*1C*"}))&gt;0)</f>
        <v>1</v>
      </c>
      <c r="E255" s="40">
        <f>[23]Performance!X22</f>
        <v>1</v>
      </c>
      <c r="F255" s="46">
        <f>[23]Performance!Y22</f>
        <v>1</v>
      </c>
      <c r="G255" s="40">
        <f>[23]Performance!Z22</f>
        <v>1</v>
      </c>
      <c r="H255" s="46">
        <f>[23]Performance!AA22</f>
        <v>1</v>
      </c>
      <c r="I255" s="40">
        <f>[23]Performance!AB22</f>
        <v>1</v>
      </c>
      <c r="J255" s="40" t="str">
        <f>[23]Performance!O22</f>
        <v>N/A</v>
      </c>
      <c r="K255" s="40">
        <f>[23]Performance!P22</f>
        <v>0.88</v>
      </c>
      <c r="L255" s="40">
        <f>[23]Performance!Q22</f>
        <v>1</v>
      </c>
      <c r="M255" s="40" t="str">
        <f>[23]Performance!R22</f>
        <v>N/A</v>
      </c>
      <c r="N255" s="40" t="str">
        <f>[23]Performance!S22</f>
        <v>N/A</v>
      </c>
      <c r="O255" s="40" t="str">
        <f>[23]Performance!T22</f>
        <v>N/A</v>
      </c>
      <c r="P255" s="40">
        <f>[23]Performance!U22</f>
        <v>1</v>
      </c>
      <c r="Q255" s="40" t="str">
        <f>[23]Performance!V22</f>
        <v>N/A</v>
      </c>
      <c r="R255" s="40">
        <f>[23]Performance!W22</f>
        <v>0.82</v>
      </c>
    </row>
    <row r="256" spans="1:18" x14ac:dyDescent="0.3">
      <c r="A256" s="8" t="s">
        <v>55</v>
      </c>
      <c r="B256" s="44" t="str">
        <f>'[24]Class Summary'!$B$10</f>
        <v>Irish Ferreras</v>
      </c>
      <c r="C256" s="44" t="str">
        <f>'[24]Class Summary'!$B$11</f>
        <v xml:space="preserve">Maynard Soriano </v>
      </c>
      <c r="D256" s="43">
        <f>SUM(D257:D271)</f>
        <v>10</v>
      </c>
      <c r="E256" s="43">
        <f t="shared" ref="E256:L256" si="7">COUNTIF(E257:E272, "&gt;79%")</f>
        <v>15</v>
      </c>
      <c r="F256" s="43">
        <f t="shared" si="7"/>
        <v>14</v>
      </c>
      <c r="G256" s="43">
        <f t="shared" si="7"/>
        <v>15</v>
      </c>
      <c r="H256" s="43">
        <f t="shared" si="7"/>
        <v>14</v>
      </c>
      <c r="I256" s="43">
        <f t="shared" si="7"/>
        <v>14</v>
      </c>
      <c r="J256" s="43">
        <f t="shared" si="7"/>
        <v>13</v>
      </c>
      <c r="K256" s="43">
        <f t="shared" si="7"/>
        <v>14</v>
      </c>
      <c r="L256" s="43">
        <f t="shared" si="7"/>
        <v>14</v>
      </c>
      <c r="M256" s="43" t="s">
        <v>25</v>
      </c>
      <c r="N256" s="43" t="s">
        <v>25</v>
      </c>
      <c r="O256" s="43" t="s">
        <v>25</v>
      </c>
      <c r="P256" s="43">
        <f>COUNTIF(P257:P272, "&gt;79%")</f>
        <v>14</v>
      </c>
      <c r="Q256" s="43" t="s">
        <v>25</v>
      </c>
      <c r="R256" s="43">
        <f>COUNTIF(R257:R272, "&gt;79%")</f>
        <v>15</v>
      </c>
    </row>
    <row r="257" spans="1:18" x14ac:dyDescent="0.3">
      <c r="A257" s="35">
        <f>'[24]Student Data'!O5</f>
        <v>350076</v>
      </c>
      <c r="B257" s="35" t="str">
        <f>[24]Reporting!C4</f>
        <v>Resigned-Nesting 3</v>
      </c>
      <c r="C257" s="35" t="str">
        <f>[24]Reporting!F4</f>
        <v>Al-nair Zambrano</v>
      </c>
      <c r="D257" s="35" cm="1">
        <f t="array" ref="D257">--(SUM(COUNTIF(B257,{"*nest*","*grad*","*trans*","*1B*","*1C*"}))&gt;0)</f>
        <v>1</v>
      </c>
      <c r="E257" s="40">
        <f>[24]Performance!R5</f>
        <v>1</v>
      </c>
      <c r="F257" s="40">
        <f>[24]Performance!S5</f>
        <v>1</v>
      </c>
      <c r="G257" s="40">
        <f>[24]Performance!T5</f>
        <v>0.94</v>
      </c>
      <c r="H257" s="40">
        <f>[24]Performance!U5</f>
        <v>1</v>
      </c>
      <c r="I257" s="40">
        <f>[24]Performance!V5</f>
        <v>0.87</v>
      </c>
      <c r="J257" s="40">
        <f>[24]Performance!I5</f>
        <v>1</v>
      </c>
      <c r="K257" s="40">
        <f>[24]Performance!J5</f>
        <v>0.88</v>
      </c>
      <c r="L257" s="40">
        <f>[24]Performance!K5</f>
        <v>1</v>
      </c>
      <c r="M257" s="40" t="str">
        <f>[24]Performance!L5</f>
        <v>N/A</v>
      </c>
      <c r="N257" s="40" t="str">
        <f>[24]Performance!M5</f>
        <v>N/A</v>
      </c>
      <c r="O257" s="40" t="str">
        <f>[24]Performance!N5</f>
        <v>N/A</v>
      </c>
      <c r="P257" s="40">
        <f>[24]Performance!O5</f>
        <v>1</v>
      </c>
      <c r="Q257" s="40" t="str">
        <f>[24]Performance!P5</f>
        <v>N/A</v>
      </c>
      <c r="R257" s="40">
        <f>[24]Performance!Q5</f>
        <v>0.82</v>
      </c>
    </row>
    <row r="258" spans="1:18" x14ac:dyDescent="0.3">
      <c r="A258" s="35">
        <f>'[24]Student Data'!O6</f>
        <v>350069</v>
      </c>
      <c r="B258" s="35" t="str">
        <f>[24]Reporting!C5</f>
        <v>Moved/Joining Alternate Class/Program</v>
      </c>
      <c r="C258" s="35" t="str">
        <f>[24]Reporting!F5</f>
        <v>Elsa Ayson</v>
      </c>
      <c r="D258" s="35" cm="1">
        <f t="array" ref="D258">--(SUM(COUNTIF(B258,{"*nest*","*grad*","*trans*","*1B*","*1C*"}))&gt;0)</f>
        <v>0</v>
      </c>
      <c r="E258" s="40">
        <f>[24]Performance!R6</f>
        <v>1</v>
      </c>
      <c r="F258" s="40">
        <f>[24]Performance!S6</f>
        <v>1</v>
      </c>
      <c r="G258" s="40">
        <f>[24]Performance!T6</f>
        <v>0.92</v>
      </c>
      <c r="H258" s="40">
        <f>[24]Performance!U6</f>
        <v>1</v>
      </c>
      <c r="I258" s="40">
        <f>[24]Performance!V6</f>
        <v>0.93</v>
      </c>
      <c r="J258" s="40">
        <f>[24]Performance!I6</f>
        <v>1</v>
      </c>
      <c r="K258" s="40">
        <f>[24]Performance!J6</f>
        <v>1</v>
      </c>
      <c r="L258" s="40">
        <f>[24]Performance!K6</f>
        <v>0.8</v>
      </c>
      <c r="M258" s="40" t="str">
        <f>[24]Performance!L6</f>
        <v>N/A</v>
      </c>
      <c r="N258" s="40" t="str">
        <f>[24]Performance!M6</f>
        <v>N/A</v>
      </c>
      <c r="O258" s="40" t="str">
        <f>[24]Performance!N6</f>
        <v>N/A</v>
      </c>
      <c r="P258" s="40">
        <f>[24]Performance!O6</f>
        <v>1</v>
      </c>
      <c r="Q258" s="40" t="str">
        <f>[24]Performance!P6</f>
        <v>N/A</v>
      </c>
      <c r="R258" s="40">
        <f>[24]Performance!Q6</f>
        <v>0.82</v>
      </c>
    </row>
    <row r="259" spans="1:18" x14ac:dyDescent="0.3">
      <c r="A259" s="35">
        <f>'[24]Student Data'!O7</f>
        <v>350067</v>
      </c>
      <c r="B259" s="35" t="str">
        <f>[24]Reporting!C6</f>
        <v>Nesting 3</v>
      </c>
      <c r="C259" s="35" t="str">
        <f>[24]Reporting!F6</f>
        <v>Anna Luisa Badong</v>
      </c>
      <c r="D259" s="35" cm="1">
        <f t="array" ref="D259">--(SUM(COUNTIF(B259,{"*nest*","*grad*","*trans*","*1B*","*1C*"}))&gt;0)</f>
        <v>1</v>
      </c>
      <c r="E259" s="40">
        <f>[24]Performance!R7</f>
        <v>1</v>
      </c>
      <c r="F259" s="40">
        <f>[24]Performance!S7</f>
        <v>1</v>
      </c>
      <c r="G259" s="40">
        <f>[24]Performance!T7</f>
        <v>0.88</v>
      </c>
      <c r="H259" s="40">
        <f>[24]Performance!U7</f>
        <v>1</v>
      </c>
      <c r="I259" s="40">
        <f>[24]Performance!V7</f>
        <v>0.85</v>
      </c>
      <c r="J259" s="40">
        <f>[24]Performance!I7</f>
        <v>1</v>
      </c>
      <c r="K259" s="40">
        <f>[24]Performance!J7</f>
        <v>0.88</v>
      </c>
      <c r="L259" s="40">
        <f>[24]Performance!K7</f>
        <v>0.8</v>
      </c>
      <c r="M259" s="40" t="str">
        <f>[24]Performance!L7</f>
        <v>N/A</v>
      </c>
      <c r="N259" s="40" t="str">
        <f>[24]Performance!M7</f>
        <v>N/A</v>
      </c>
      <c r="O259" s="40" t="str">
        <f>[24]Performance!N7</f>
        <v>N/A</v>
      </c>
      <c r="P259" s="40">
        <f>[24]Performance!O7</f>
        <v>1</v>
      </c>
      <c r="Q259" s="40" t="str">
        <f>[24]Performance!P7</f>
        <v>N/A</v>
      </c>
      <c r="R259" s="40">
        <f>[24]Performance!Q7</f>
        <v>0.88</v>
      </c>
    </row>
    <row r="260" spans="1:18" x14ac:dyDescent="0.3">
      <c r="A260" s="35">
        <f>'[24]Student Data'!O8</f>
        <v>350074</v>
      </c>
      <c r="B260" s="35" t="str">
        <f>[24]Reporting!C7</f>
        <v>Nesting 3</v>
      </c>
      <c r="C260" s="35" t="str">
        <f>[24]Reporting!F7</f>
        <v>Joan Dangalan</v>
      </c>
      <c r="D260" s="35" cm="1">
        <f t="array" ref="D260">--(SUM(COUNTIF(B260,{"*nest*","*grad*","*trans*","*1B*","*1C*"}))&gt;0)</f>
        <v>1</v>
      </c>
      <c r="E260" s="40">
        <f>[24]Performance!R8</f>
        <v>1</v>
      </c>
      <c r="F260" s="40">
        <f>[24]Performance!S8</f>
        <v>1</v>
      </c>
      <c r="G260" s="40">
        <f>[24]Performance!T8</f>
        <v>1</v>
      </c>
      <c r="H260" s="40">
        <f>[24]Performance!U8</f>
        <v>0.8</v>
      </c>
      <c r="I260" s="40">
        <f>[24]Performance!V8</f>
        <v>0.87</v>
      </c>
      <c r="J260" s="40">
        <f>[24]Performance!I8</f>
        <v>1</v>
      </c>
      <c r="K260" s="40">
        <f>[24]Performance!J8</f>
        <v>0.88</v>
      </c>
      <c r="L260" s="40">
        <f>[24]Performance!K8</f>
        <v>1</v>
      </c>
      <c r="M260" s="40" t="str">
        <f>[24]Performance!L8</f>
        <v>N/A</v>
      </c>
      <c r="N260" s="40" t="str">
        <f>[24]Performance!M8</f>
        <v>N/A</v>
      </c>
      <c r="O260" s="40" t="str">
        <f>[24]Performance!N8</f>
        <v>N/A</v>
      </c>
      <c r="P260" s="40">
        <f>[24]Performance!O8</f>
        <v>1</v>
      </c>
      <c r="Q260" s="40" t="str">
        <f>[24]Performance!P8</f>
        <v>N/A</v>
      </c>
      <c r="R260" s="40">
        <f>[24]Performance!Q8</f>
        <v>0.88</v>
      </c>
    </row>
    <row r="261" spans="1:18" x14ac:dyDescent="0.3">
      <c r="A261" s="35">
        <f>'[24]Student Data'!O9</f>
        <v>350077</v>
      </c>
      <c r="B261" s="35" t="str">
        <f>[24]Reporting!C8</f>
        <v>Nesting 3</v>
      </c>
      <c r="C261" s="35" t="str">
        <f>[24]Reporting!F8</f>
        <v>Joana Marie Endegado</v>
      </c>
      <c r="D261" s="35" cm="1">
        <f t="array" ref="D261">--(SUM(COUNTIF(B261,{"*nest*","*grad*","*trans*","*1B*","*1C*"}))&gt;0)</f>
        <v>1</v>
      </c>
      <c r="E261" s="40">
        <f>[24]Performance!R9</f>
        <v>1</v>
      </c>
      <c r="F261" s="40">
        <f>[24]Performance!S9</f>
        <v>1</v>
      </c>
      <c r="G261" s="40">
        <f>[24]Performance!T9</f>
        <v>1</v>
      </c>
      <c r="H261" s="40">
        <f>[24]Performance!U9</f>
        <v>0.8</v>
      </c>
      <c r="I261" s="40">
        <f>[24]Performance!V9</f>
        <v>1</v>
      </c>
      <c r="J261" s="40">
        <f>[24]Performance!I9</f>
        <v>1</v>
      </c>
      <c r="K261" s="40">
        <f>[24]Performance!J9</f>
        <v>0.88</v>
      </c>
      <c r="L261" s="40">
        <f>[24]Performance!K9</f>
        <v>1</v>
      </c>
      <c r="M261" s="40" t="str">
        <f>[24]Performance!L9</f>
        <v>N/A</v>
      </c>
      <c r="N261" s="40" t="str">
        <f>[24]Performance!M9</f>
        <v>N/A</v>
      </c>
      <c r="O261" s="40" t="str">
        <f>[24]Performance!N9</f>
        <v>N/A</v>
      </c>
      <c r="P261" s="40">
        <f>[24]Performance!O9</f>
        <v>1</v>
      </c>
      <c r="Q261" s="40" t="str">
        <f>[24]Performance!P9</f>
        <v>N/A</v>
      </c>
      <c r="R261" s="40">
        <f>[24]Performance!Q9</f>
        <v>0.82</v>
      </c>
    </row>
    <row r="262" spans="1:18" x14ac:dyDescent="0.3">
      <c r="A262" s="35">
        <f>'[24]Student Data'!O10</f>
        <v>350066</v>
      </c>
      <c r="B262" s="35" t="str">
        <f>[24]Reporting!C9</f>
        <v>Nesting 3</v>
      </c>
      <c r="C262" s="35" t="str">
        <f>[24]Reporting!F9</f>
        <v>Anne Margarette Endrina</v>
      </c>
      <c r="D262" s="35" cm="1">
        <f t="array" ref="D262">--(SUM(COUNTIF(B262,{"*nest*","*grad*","*trans*","*1B*","*1C*"}))&gt;0)</f>
        <v>1</v>
      </c>
      <c r="E262" s="40">
        <f>[24]Performance!R10</f>
        <v>1</v>
      </c>
      <c r="F262" s="40">
        <f>[24]Performance!S10</f>
        <v>1</v>
      </c>
      <c r="G262" s="40">
        <f>[24]Performance!T10</f>
        <v>1</v>
      </c>
      <c r="H262" s="40">
        <f>[24]Performance!U10</f>
        <v>0.8</v>
      </c>
      <c r="I262" s="40">
        <f>[24]Performance!V10</f>
        <v>0.95</v>
      </c>
      <c r="J262" s="40">
        <f>[24]Performance!I10</f>
        <v>1</v>
      </c>
      <c r="K262" s="40">
        <f>[24]Performance!J10</f>
        <v>1</v>
      </c>
      <c r="L262" s="40">
        <f>[24]Performance!K10</f>
        <v>1</v>
      </c>
      <c r="M262" s="40" t="str">
        <f>[24]Performance!L10</f>
        <v>N/A</v>
      </c>
      <c r="N262" s="40" t="str">
        <f>[24]Performance!M10</f>
        <v>N/A</v>
      </c>
      <c r="O262" s="40" t="str">
        <f>[24]Performance!N10</f>
        <v>N/A</v>
      </c>
      <c r="P262" s="40">
        <f>[24]Performance!O10</f>
        <v>1</v>
      </c>
      <c r="Q262" s="40" t="str">
        <f>[24]Performance!P10</f>
        <v>N/A</v>
      </c>
      <c r="R262" s="40">
        <f>[24]Performance!Q10</f>
        <v>0.82</v>
      </c>
    </row>
    <row r="263" spans="1:18" x14ac:dyDescent="0.3">
      <c r="A263" s="35">
        <f>'[24]Student Data'!O11</f>
        <v>0</v>
      </c>
      <c r="B263" s="35" t="str">
        <f>[24]Reporting!C10</f>
        <v>Did not Start</v>
      </c>
      <c r="C263" s="35" t="str">
        <f>[24]Reporting!F10</f>
        <v>Dave Adrian Gutierrez</v>
      </c>
      <c r="D263" s="35" cm="1">
        <f t="array" ref="D263">--(SUM(COUNTIF(B263,{"*nest*","*grad*","*trans*","*1B*","*1C*"}))&gt;0)</f>
        <v>0</v>
      </c>
      <c r="E263" s="40" t="str">
        <f>[24]Performance!R11</f>
        <v>Did Not Start</v>
      </c>
      <c r="F263" s="40" t="str">
        <f>[24]Performance!S11</f>
        <v>Did Not Start</v>
      </c>
      <c r="G263" s="40" t="str">
        <f>[24]Performance!T11</f>
        <v>Did Not Start</v>
      </c>
      <c r="H263" s="40" t="str">
        <f>[24]Performance!U11</f>
        <v>Did Not Start</v>
      </c>
      <c r="I263" s="40" t="str">
        <f>[24]Performance!V11</f>
        <v>Did Not Start</v>
      </c>
      <c r="J263" s="40" t="str">
        <f>[24]Performance!I11</f>
        <v>Did Not Start</v>
      </c>
      <c r="K263" s="40" t="str">
        <f>[24]Performance!J11</f>
        <v>Did Not Start</v>
      </c>
      <c r="L263" s="40" t="str">
        <f>[24]Performance!K11</f>
        <v>Did Not Start</v>
      </c>
      <c r="M263" s="40" t="str">
        <f>[24]Performance!L11</f>
        <v>N/A</v>
      </c>
      <c r="N263" s="40" t="str">
        <f>[24]Performance!M11</f>
        <v>N/A</v>
      </c>
      <c r="O263" s="40" t="str">
        <f>[24]Performance!N11</f>
        <v>N/A</v>
      </c>
      <c r="P263" s="40" t="str">
        <f>[24]Performance!O11</f>
        <v>Did Not Start</v>
      </c>
      <c r="Q263" s="40" t="str">
        <f>[24]Performance!P11</f>
        <v>N/A</v>
      </c>
      <c r="R263" s="40" t="str">
        <f>[24]Performance!Q11</f>
        <v>Did Not Start</v>
      </c>
    </row>
    <row r="264" spans="1:18" x14ac:dyDescent="0.3">
      <c r="A264" s="35">
        <f>'[24]Student Data'!O12</f>
        <v>350075</v>
      </c>
      <c r="B264" s="35" t="str">
        <f>[24]Reporting!C11</f>
        <v>Resigned Tier 1A</v>
      </c>
      <c r="C264" s="35" t="str">
        <f>[24]Reporting!F11</f>
        <v>Lady Grace Latoja</v>
      </c>
      <c r="D264" s="35" cm="1">
        <f t="array" ref="D264">--(SUM(COUNTIF(B264,{"*nest*","*grad*","*trans*","*1B*","*1C*"}))&gt;0)</f>
        <v>0</v>
      </c>
      <c r="E264" s="40">
        <f>[24]Performance!R12</f>
        <v>1</v>
      </c>
      <c r="F264" s="40">
        <f>[24]Performance!S12</f>
        <v>1</v>
      </c>
      <c r="G264" s="40">
        <f>[24]Performance!T12</f>
        <v>1</v>
      </c>
      <c r="H264" s="40">
        <f>[24]Performance!U12</f>
        <v>0.8</v>
      </c>
      <c r="I264" s="40" t="str">
        <f>[24]Performance!V12</f>
        <v>Resigned</v>
      </c>
      <c r="J264" s="40">
        <f>[24]Performance!I12</f>
        <v>1</v>
      </c>
      <c r="K264" s="40">
        <f>[24]Performance!J12</f>
        <v>0.88</v>
      </c>
      <c r="L264" s="40">
        <f>[24]Performance!K12</f>
        <v>1</v>
      </c>
      <c r="M264" s="40" t="str">
        <f>[24]Performance!L12</f>
        <v>N/A</v>
      </c>
      <c r="N264" s="40" t="str">
        <f>[24]Performance!M12</f>
        <v>N/A</v>
      </c>
      <c r="O264" s="40" t="str">
        <f>[24]Performance!N12</f>
        <v>N/A</v>
      </c>
      <c r="P264" s="40">
        <f>[24]Performance!O12</f>
        <v>1</v>
      </c>
      <c r="Q264" s="40" t="str">
        <f>[24]Performance!P12</f>
        <v>N/A</v>
      </c>
      <c r="R264" s="40">
        <f>[24]Performance!Q12</f>
        <v>0.88</v>
      </c>
    </row>
    <row r="265" spans="1:18" x14ac:dyDescent="0.3">
      <c r="A265" s="35">
        <f>'[24]Student Data'!O13</f>
        <v>350073</v>
      </c>
      <c r="B265" s="35" t="str">
        <f>[24]Reporting!C12</f>
        <v>Moved/Joining Alternate Class/Program</v>
      </c>
      <c r="C265" s="35" t="str">
        <f>[24]Reporting!F12</f>
        <v>Shiane Magyaya</v>
      </c>
      <c r="D265" s="35" cm="1">
        <f t="array" ref="D265">--(SUM(COUNTIF(B265,{"*nest*","*grad*","*trans*","*1B*","*1C*"}))&gt;0)</f>
        <v>0</v>
      </c>
      <c r="E265" s="40">
        <f>[24]Performance!R13</f>
        <v>1</v>
      </c>
      <c r="F265" s="40">
        <f>[24]Performance!S13</f>
        <v>1</v>
      </c>
      <c r="G265" s="40">
        <f>[24]Performance!T13</f>
        <v>0.88</v>
      </c>
      <c r="H265" s="40">
        <f>[24]Performance!U13</f>
        <v>1</v>
      </c>
      <c r="I265" s="40">
        <f>[24]Performance!V13</f>
        <v>0.85</v>
      </c>
      <c r="J265" s="40">
        <f>[24]Performance!I13</f>
        <v>1</v>
      </c>
      <c r="K265" s="40">
        <f>[24]Performance!J13</f>
        <v>0.88</v>
      </c>
      <c r="L265" s="40">
        <f>[24]Performance!K13</f>
        <v>1</v>
      </c>
      <c r="M265" s="40" t="str">
        <f>[24]Performance!L13</f>
        <v>N/A</v>
      </c>
      <c r="N265" s="40" t="str">
        <f>[24]Performance!M13</f>
        <v>N/A</v>
      </c>
      <c r="O265" s="40" t="str">
        <f>[24]Performance!N13</f>
        <v>N/A</v>
      </c>
      <c r="P265" s="40">
        <f>[24]Performance!O13</f>
        <v>1</v>
      </c>
      <c r="Q265" s="40" t="str">
        <f>[24]Performance!P13</f>
        <v>N/A</v>
      </c>
      <c r="R265" s="40">
        <f>[24]Performance!Q13</f>
        <v>0.83</v>
      </c>
    </row>
    <row r="266" spans="1:18" x14ac:dyDescent="0.3">
      <c r="A266" s="35">
        <f>'[24]Student Data'!O14</f>
        <v>350065</v>
      </c>
      <c r="B266" s="35" t="str">
        <f>[24]Reporting!C13</f>
        <v>Resigned-Nesting 3</v>
      </c>
      <c r="C266" s="35" t="str">
        <f>[24]Reporting!F13</f>
        <v>Alyssa Mariz Reglos</v>
      </c>
      <c r="D266" s="35" cm="1">
        <f t="array" ref="D266">--(SUM(COUNTIF(B266,{"*nest*","*grad*","*trans*","*1B*","*1C*"}))&gt;0)</f>
        <v>1</v>
      </c>
      <c r="E266" s="40">
        <f>[24]Performance!R14</f>
        <v>1</v>
      </c>
      <c r="F266" s="40">
        <f>[24]Performance!S14</f>
        <v>1</v>
      </c>
      <c r="G266" s="40">
        <f>[24]Performance!T14</f>
        <v>0.9</v>
      </c>
      <c r="H266" s="40">
        <f>[24]Performance!U14</f>
        <v>0.8</v>
      </c>
      <c r="I266" s="40">
        <f>[24]Performance!V14</f>
        <v>0.9</v>
      </c>
      <c r="J266" s="40">
        <f>[24]Performance!I14</f>
        <v>1</v>
      </c>
      <c r="K266" s="40">
        <f>[24]Performance!J14</f>
        <v>1</v>
      </c>
      <c r="L266" s="40">
        <f>[24]Performance!K14</f>
        <v>1</v>
      </c>
      <c r="M266" s="40" t="str">
        <f>[24]Performance!L14</f>
        <v>N/A</v>
      </c>
      <c r="N266" s="40" t="str">
        <f>[24]Performance!M14</f>
        <v>N/A</v>
      </c>
      <c r="O266" s="40" t="str">
        <f>[24]Performance!N14</f>
        <v>N/A</v>
      </c>
      <c r="P266" s="40">
        <f>[24]Performance!O14</f>
        <v>1</v>
      </c>
      <c r="Q266" s="40" t="str">
        <f>[24]Performance!P14</f>
        <v>N/A</v>
      </c>
      <c r="R266" s="40">
        <f>[24]Performance!Q14</f>
        <v>0.94</v>
      </c>
    </row>
    <row r="267" spans="1:18" x14ac:dyDescent="0.3">
      <c r="A267" s="35">
        <f>'[24]Student Data'!O15</f>
        <v>350071</v>
      </c>
      <c r="B267" s="35" t="str">
        <f>[24]Reporting!C14</f>
        <v>Terminated-Nesting 1B</v>
      </c>
      <c r="C267" s="35" t="str">
        <f>[24]Reporting!F14</f>
        <v>Emarie Mae Ricafranca</v>
      </c>
      <c r="D267" s="35" cm="1">
        <f t="array" ref="D267">--(SUM(COUNTIF(B267,{"*nest*","*grad*","*trans*","*1B*","*1C*"}))&gt;0)</f>
        <v>1</v>
      </c>
      <c r="E267" s="40">
        <f>[24]Performance!R15</f>
        <v>1</v>
      </c>
      <c r="F267" s="40">
        <f>[24]Performance!S15</f>
        <v>1</v>
      </c>
      <c r="G267" s="40">
        <f>[24]Performance!T15</f>
        <v>0.8</v>
      </c>
      <c r="H267" s="40">
        <f>[24]Performance!U15</f>
        <v>1</v>
      </c>
      <c r="I267" s="40">
        <f>[24]Performance!V15</f>
        <v>0.93</v>
      </c>
      <c r="J267" s="40">
        <f>[24]Performance!I15</f>
        <v>1</v>
      </c>
      <c r="K267" s="40">
        <f>[24]Performance!J15</f>
        <v>0.88</v>
      </c>
      <c r="L267" s="40">
        <f>[24]Performance!K15</f>
        <v>1</v>
      </c>
      <c r="M267" s="40" t="str">
        <f>[24]Performance!L15</f>
        <v>N/A</v>
      </c>
      <c r="N267" s="40" t="str">
        <f>[24]Performance!M15</f>
        <v>N/A</v>
      </c>
      <c r="O267" s="40" t="str">
        <f>[24]Performance!N15</f>
        <v>N/A</v>
      </c>
      <c r="P267" s="40">
        <f>[24]Performance!O15</f>
        <v>1</v>
      </c>
      <c r="Q267" s="40" t="str">
        <f>[24]Performance!P15</f>
        <v>N/A</v>
      </c>
      <c r="R267" s="40">
        <f>[24]Performance!Q15</f>
        <v>0.8</v>
      </c>
    </row>
    <row r="268" spans="1:18" x14ac:dyDescent="0.3">
      <c r="A268" s="35">
        <f>'[24]Student Data'!O16</f>
        <v>350068</v>
      </c>
      <c r="B268" s="35" t="str">
        <f>[24]Reporting!C15</f>
        <v>Nesting 3</v>
      </c>
      <c r="C268" s="35" t="str">
        <f>[24]Reporting!F15</f>
        <v>Cassandra Vito</v>
      </c>
      <c r="D268" s="35" cm="1">
        <f t="array" ref="D268">--(SUM(COUNTIF(B268,{"*nest*","*grad*","*trans*","*1B*","*1C*"}))&gt;0)</f>
        <v>1</v>
      </c>
      <c r="E268" s="40">
        <f>[24]Performance!R16</f>
        <v>1</v>
      </c>
      <c r="F268" s="40">
        <f>[24]Performance!S16</f>
        <v>1</v>
      </c>
      <c r="G268" s="40">
        <f>[24]Performance!T16</f>
        <v>0.94</v>
      </c>
      <c r="H268" s="40">
        <f>[24]Performance!U16</f>
        <v>1</v>
      </c>
      <c r="I268" s="40">
        <f>[24]Performance!V16</f>
        <v>0.98</v>
      </c>
      <c r="J268" s="40">
        <f>[24]Performance!I16</f>
        <v>1</v>
      </c>
      <c r="K268" s="40">
        <f>[24]Performance!J16</f>
        <v>0.88</v>
      </c>
      <c r="L268" s="40">
        <f>[24]Performance!K16</f>
        <v>1</v>
      </c>
      <c r="M268" s="40" t="str">
        <f>[24]Performance!L16</f>
        <v>N/A</v>
      </c>
      <c r="N268" s="40" t="str">
        <f>[24]Performance!M16</f>
        <v>N/A</v>
      </c>
      <c r="O268" s="40" t="str">
        <f>[24]Performance!N16</f>
        <v>N/A</v>
      </c>
      <c r="P268" s="40">
        <f>[24]Performance!O16</f>
        <v>1</v>
      </c>
      <c r="Q268" s="40" t="str">
        <f>[24]Performance!P16</f>
        <v>N/A</v>
      </c>
      <c r="R268" s="40">
        <f>[24]Performance!Q16</f>
        <v>1</v>
      </c>
    </row>
    <row r="269" spans="1:18" x14ac:dyDescent="0.3">
      <c r="A269" s="35">
        <f>'[24]Student Data'!O17</f>
        <v>350072</v>
      </c>
      <c r="B269" s="35" t="str">
        <f>[24]Reporting!C16</f>
        <v>Nesting 3</v>
      </c>
      <c r="C269" s="35" t="str">
        <f>[24]Reporting!F16</f>
        <v>Glemuel Ganiron</v>
      </c>
      <c r="D269" s="35" cm="1">
        <f t="array" ref="D269">--(SUM(COUNTIF(B269,{"*nest*","*grad*","*trans*","*1B*","*1C*"}))&gt;0)</f>
        <v>1</v>
      </c>
      <c r="E269" s="40">
        <f>[24]Performance!R17</f>
        <v>1</v>
      </c>
      <c r="F269" s="40">
        <f>[24]Performance!S17</f>
        <v>1</v>
      </c>
      <c r="G269" s="40">
        <f>[24]Performance!T17</f>
        <v>0.88</v>
      </c>
      <c r="H269" s="40">
        <f>[24]Performance!U17</f>
        <v>1</v>
      </c>
      <c r="I269" s="40">
        <f>[24]Performance!V17</f>
        <v>1</v>
      </c>
      <c r="J269" s="40">
        <f>[24]Performance!I17</f>
        <v>1</v>
      </c>
      <c r="K269" s="40">
        <f>[24]Performance!J17</f>
        <v>1</v>
      </c>
      <c r="L269" s="40">
        <f>[24]Performance!K17</f>
        <v>1</v>
      </c>
      <c r="M269" s="40" t="str">
        <f>[24]Performance!L17</f>
        <v>N/A</v>
      </c>
      <c r="N269" s="40" t="str">
        <f>[24]Performance!M17</f>
        <v>N/A</v>
      </c>
      <c r="O269" s="40" t="str">
        <f>[24]Performance!N17</f>
        <v>N/A</v>
      </c>
      <c r="P269" s="40">
        <f>[24]Performance!O17</f>
        <v>1</v>
      </c>
      <c r="Q269" s="40" t="str">
        <f>[24]Performance!P17</f>
        <v>N/A</v>
      </c>
      <c r="R269" s="40">
        <f>[24]Performance!Q17</f>
        <v>1</v>
      </c>
    </row>
    <row r="270" spans="1:18" x14ac:dyDescent="0.3">
      <c r="A270" s="35">
        <f>'[24]Student Data'!O18</f>
        <v>350457</v>
      </c>
      <c r="B270" s="35" t="str">
        <f>[24]Reporting!C17</f>
        <v>Moved/Joining Alternate Class/Program</v>
      </c>
      <c r="C270" s="35" t="str">
        <f>[24]Reporting!F17</f>
        <v>Ronaldo Solis</v>
      </c>
      <c r="D270" s="35" cm="1">
        <f t="array" ref="D270">--(SUM(COUNTIF(B270,{"*nest*","*grad*","*trans*","*1B*","*1C*"}))&gt;0)</f>
        <v>0</v>
      </c>
      <c r="E270" s="40">
        <f>[24]Performance!R18</f>
        <v>1</v>
      </c>
      <c r="F270" s="40">
        <f>[24]Performance!S18</f>
        <v>1</v>
      </c>
      <c r="G270" s="40">
        <f>[24]Performance!T18</f>
        <v>0.94</v>
      </c>
      <c r="H270" s="40">
        <f>[24]Performance!U18</f>
        <v>1</v>
      </c>
      <c r="I270" s="40">
        <f>[24]Performance!V18</f>
        <v>0.89</v>
      </c>
      <c r="J270" s="40">
        <f>[24]Performance!I18</f>
        <v>1</v>
      </c>
      <c r="K270" s="40">
        <f>[24]Performance!J18</f>
        <v>1</v>
      </c>
      <c r="L270" s="40">
        <f>[24]Performance!K18</f>
        <v>1</v>
      </c>
      <c r="M270" s="40" t="str">
        <f>[24]Performance!L18</f>
        <v>N/A</v>
      </c>
      <c r="N270" s="40" t="str">
        <f>[24]Performance!M18</f>
        <v>N/A</v>
      </c>
      <c r="O270" s="40" t="str">
        <f>[24]Performance!N18</f>
        <v>N/A</v>
      </c>
      <c r="P270" s="40">
        <f>[24]Performance!O18</f>
        <v>1</v>
      </c>
      <c r="Q270" s="40" t="str">
        <f>[24]Performance!P18</f>
        <v>N/A</v>
      </c>
      <c r="R270" s="40">
        <f>[24]Performance!Q18</f>
        <v>0.88</v>
      </c>
    </row>
    <row r="271" spans="1:18" x14ac:dyDescent="0.3">
      <c r="A271" s="35">
        <f>'[24]Student Data'!O19</f>
        <v>348444</v>
      </c>
      <c r="B271" s="35" t="str">
        <f>[24]Reporting!C18</f>
        <v>Resigned-Nesting 1A</v>
      </c>
      <c r="C271" s="35" t="str">
        <f>[24]Reporting!F18</f>
        <v>Michael Andrei  Moya</v>
      </c>
      <c r="D271" s="35" cm="1">
        <f t="array" ref="D271">--(SUM(COUNTIF(B271,{"*nest*","*grad*","*trans*","*1B*","*1C*"}))&gt;0)</f>
        <v>1</v>
      </c>
      <c r="E271" s="40">
        <f>[24]Performance!R19</f>
        <v>1</v>
      </c>
      <c r="F271" s="46">
        <f>[24]Performance!S19</f>
        <v>0</v>
      </c>
      <c r="G271" s="40">
        <f>[24]Performance!T19</f>
        <v>1</v>
      </c>
      <c r="H271" s="46">
        <f>[24]Performance!U19</f>
        <v>0</v>
      </c>
      <c r="I271" s="40">
        <f>[24]Performance!V19</f>
        <v>1</v>
      </c>
      <c r="J271" s="40" t="str">
        <f>[24]Performance!I19</f>
        <v>NTT</v>
      </c>
      <c r="K271" s="40">
        <f>[24]Performance!J19</f>
        <v>1</v>
      </c>
      <c r="L271" s="40">
        <f>[24]Performance!K19</f>
        <v>1</v>
      </c>
      <c r="M271" s="40" t="str">
        <f>[24]Performance!L19</f>
        <v>N/A</v>
      </c>
      <c r="N271" s="40" t="str">
        <f>[24]Performance!M19</f>
        <v>N/A</v>
      </c>
      <c r="O271" s="40" t="str">
        <f>[24]Performance!N19</f>
        <v>N/A</v>
      </c>
      <c r="P271" s="40">
        <f>[24]Performance!O19</f>
        <v>1</v>
      </c>
      <c r="Q271" s="40" t="str">
        <f>[24]Performance!P19</f>
        <v>N/A</v>
      </c>
      <c r="R271" s="40">
        <f>[24]Performance!Q19</f>
        <v>0.94</v>
      </c>
    </row>
    <row r="272" spans="1:18" x14ac:dyDescent="0.3">
      <c r="A272" s="8" t="s">
        <v>56</v>
      </c>
      <c r="B272" s="44" t="s">
        <v>70</v>
      </c>
      <c r="C272" s="44" t="s">
        <v>71</v>
      </c>
      <c r="D272" s="43">
        <f>SUM(D273:D288)</f>
        <v>16</v>
      </c>
      <c r="E272" s="43">
        <f t="shared" ref="E272" si="8">COUNTIF(E273:E288, "&gt;79%")</f>
        <v>16</v>
      </c>
      <c r="F272" s="43">
        <f t="shared" ref="F272" si="9">COUNTIF(F273:F288, "&gt;79%")</f>
        <v>16</v>
      </c>
      <c r="G272" s="43">
        <f t="shared" ref="G272" si="10">COUNTIF(G273:G288, "&gt;79%")</f>
        <v>16</v>
      </c>
      <c r="H272" s="43">
        <f t="shared" ref="H272" si="11">COUNTIF(H273:H288, "&gt;79%")</f>
        <v>16</v>
      </c>
      <c r="I272" s="43">
        <f t="shared" ref="I272" si="12">COUNTIF(I273:I288, "&gt;79%")</f>
        <v>16</v>
      </c>
      <c r="J272" s="43">
        <f t="shared" ref="J272" si="13">COUNTIF(J273:J288, "&gt;79%")</f>
        <v>0</v>
      </c>
      <c r="K272" s="43">
        <f t="shared" ref="K272" si="14">COUNTIF(K273:K288, "&gt;79%")</f>
        <v>0</v>
      </c>
      <c r="L272" s="43">
        <f t="shared" ref="L272" si="15">COUNTIF(L273:L288, "&gt;79%")</f>
        <v>0</v>
      </c>
      <c r="M272" s="43" t="s">
        <v>25</v>
      </c>
      <c r="N272" s="43" t="s">
        <v>25</v>
      </c>
      <c r="O272" s="43" t="s">
        <v>25</v>
      </c>
      <c r="P272" s="43">
        <f>COUNTIF(P273:P288, "&gt;79%")</f>
        <v>0</v>
      </c>
      <c r="Q272" s="43" t="s">
        <v>25</v>
      </c>
      <c r="R272" s="43">
        <f>COUNTIF(R273:R288, "&gt;79%")</f>
        <v>16</v>
      </c>
    </row>
    <row r="273" spans="1:18" x14ac:dyDescent="0.3">
      <c r="A273">
        <f>'[25]Student Data'!O5</f>
        <v>509514</v>
      </c>
      <c r="B273" t="str">
        <f>'[25]Student Data'!G5</f>
        <v>Nesting 3</v>
      </c>
      <c r="C273" s="10" t="str">
        <f>[25]Reporting!F4</f>
        <v>Deogratias Biembe Bikopo</v>
      </c>
      <c r="D273" s="35" cm="1">
        <f t="array" ref="D273">--(SUM(COUNTIF(B273,{"*nest*","*grad*","*trans*","*1B*","*1C*"}))&gt;0)</f>
        <v>1</v>
      </c>
      <c r="E273" s="18">
        <f>[25]Performance!X5</f>
        <v>1</v>
      </c>
      <c r="F273" s="18">
        <f>[25]Performance!Y5</f>
        <v>1</v>
      </c>
      <c r="G273" s="18">
        <f>[25]Performance!Z5</f>
        <v>0.92</v>
      </c>
      <c r="H273" s="18">
        <f>[25]Performance!AA5</f>
        <v>1</v>
      </c>
      <c r="I273" s="18">
        <f>[25]Performance!AB5</f>
        <v>0.8</v>
      </c>
      <c r="J273" s="18" t="str">
        <f>[25]Performance!I5</f>
        <v>NA</v>
      </c>
      <c r="K273" s="18" t="str">
        <f>[25]Performance!J5</f>
        <v>NA</v>
      </c>
      <c r="L273" s="18" t="str">
        <f>[25]Performance!K5</f>
        <v>NA</v>
      </c>
      <c r="M273" s="18" t="str">
        <f>[25]Performance!L5</f>
        <v>NA</v>
      </c>
      <c r="N273" s="18" t="str">
        <f>[25]Performance!M5</f>
        <v>NA</v>
      </c>
      <c r="O273" s="18" t="str">
        <f>[25]Performance!N5</f>
        <v>NA</v>
      </c>
      <c r="P273" s="18">
        <f>[25]Performance!O5</f>
        <v>0</v>
      </c>
      <c r="Q273" s="18">
        <f>[25]Performance!P5</f>
        <v>1</v>
      </c>
      <c r="R273" s="18">
        <f>[25]Performance!Q5</f>
        <v>1</v>
      </c>
    </row>
    <row r="274" spans="1:18" x14ac:dyDescent="0.3">
      <c r="A274">
        <f>'[25]Student Data'!O6</f>
        <v>509492</v>
      </c>
      <c r="B274" t="str">
        <f>'[25]Student Data'!G6</f>
        <v>Nesting 3</v>
      </c>
      <c r="C274" s="10" t="str">
        <f>[25]Reporting!F5</f>
        <v>Thiabu Gemima Buloba</v>
      </c>
      <c r="D274" s="35" cm="1">
        <f t="array" ref="D274">--(SUM(COUNTIF(B274,{"*nest*","*grad*","*trans*","*1B*","*1C*"}))&gt;0)</f>
        <v>1</v>
      </c>
      <c r="E274" s="18">
        <f>[25]Performance!X6</f>
        <v>1</v>
      </c>
      <c r="F274" s="18">
        <f>[25]Performance!Y6</f>
        <v>1</v>
      </c>
      <c r="G274" s="18">
        <f>[25]Performance!Z6</f>
        <v>1</v>
      </c>
      <c r="H274" s="18">
        <f>[25]Performance!AA6</f>
        <v>1</v>
      </c>
      <c r="I274" s="18">
        <f>[25]Performance!AB6</f>
        <v>0.9</v>
      </c>
      <c r="J274" s="18" t="str">
        <f>[25]Performance!I6</f>
        <v>NA</v>
      </c>
      <c r="K274" s="18" t="str">
        <f>[25]Performance!J6</f>
        <v>NA</v>
      </c>
      <c r="L274" s="18" t="str">
        <f>[25]Performance!K6</f>
        <v>NA</v>
      </c>
      <c r="M274" s="18" t="str">
        <f>[25]Performance!L6</f>
        <v>NA</v>
      </c>
      <c r="N274" s="18" t="str">
        <f>[25]Performance!M6</f>
        <v>NA</v>
      </c>
      <c r="O274" s="18" t="str">
        <f>[25]Performance!N6</f>
        <v>NA</v>
      </c>
      <c r="P274" s="18">
        <f>[25]Performance!O6</f>
        <v>0</v>
      </c>
      <c r="Q274" s="18">
        <f>[25]Performance!P6</f>
        <v>1</v>
      </c>
      <c r="R274" s="18">
        <f>[25]Performance!Q6</f>
        <v>1</v>
      </c>
    </row>
    <row r="275" spans="1:18" x14ac:dyDescent="0.3">
      <c r="A275">
        <f>'[25]Student Data'!O7</f>
        <v>509722</v>
      </c>
      <c r="B275" t="str">
        <f>'[25]Student Data'!G7</f>
        <v>Nesting 3</v>
      </c>
      <c r="C275" s="10" t="str">
        <f>[25]Reporting!F6</f>
        <v>Nadine Empompo Mbaya</v>
      </c>
      <c r="D275" s="35" cm="1">
        <f t="array" ref="D275">--(SUM(COUNTIF(B275,{"*nest*","*grad*","*trans*","*1B*","*1C*"}))&gt;0)</f>
        <v>1</v>
      </c>
      <c r="E275" s="18">
        <f>[25]Performance!X7</f>
        <v>1</v>
      </c>
      <c r="F275" s="18">
        <f>[25]Performance!Y7</f>
        <v>1</v>
      </c>
      <c r="G275" s="18">
        <f>[25]Performance!Z7</f>
        <v>0.84</v>
      </c>
      <c r="H275" s="18">
        <f>[25]Performance!AA7</f>
        <v>1</v>
      </c>
      <c r="I275" s="18">
        <f>[25]Performance!AB7</f>
        <v>0.9</v>
      </c>
      <c r="J275" s="18" t="str">
        <f>[25]Performance!I7</f>
        <v>NA</v>
      </c>
      <c r="K275" s="18" t="str">
        <f>[25]Performance!J7</f>
        <v>NA</v>
      </c>
      <c r="L275" s="18" t="str">
        <f>[25]Performance!K7</f>
        <v>NA</v>
      </c>
      <c r="M275" s="18" t="str">
        <f>[25]Performance!L7</f>
        <v>NA</v>
      </c>
      <c r="N275" s="18" t="str">
        <f>[25]Performance!M7</f>
        <v>NA</v>
      </c>
      <c r="O275" s="18" t="str">
        <f>[25]Performance!N7</f>
        <v>NA</v>
      </c>
      <c r="P275" s="18">
        <f>[25]Performance!O7</f>
        <v>0</v>
      </c>
      <c r="Q275" s="18">
        <f>[25]Performance!P7</f>
        <v>1</v>
      </c>
      <c r="R275" s="18">
        <f>[25]Performance!Q7</f>
        <v>1</v>
      </c>
    </row>
    <row r="276" spans="1:18" x14ac:dyDescent="0.3">
      <c r="A276">
        <f>'[25]Student Data'!O8</f>
        <v>509512</v>
      </c>
      <c r="B276" t="str">
        <f>'[25]Student Data'!G8</f>
        <v>Nesting 3</v>
      </c>
      <c r="C276" s="10" t="str">
        <f>[25]Reporting!F7</f>
        <v>Kevin Kadima</v>
      </c>
      <c r="D276" s="35" cm="1">
        <f t="array" ref="D276">--(SUM(COUNTIF(B276,{"*nest*","*grad*","*trans*","*1B*","*1C*"}))&gt;0)</f>
        <v>1</v>
      </c>
      <c r="E276" s="18">
        <f>[25]Performance!X8</f>
        <v>1</v>
      </c>
      <c r="F276" s="18">
        <f>[25]Performance!Y8</f>
        <v>1</v>
      </c>
      <c r="G276" s="18">
        <f>[25]Performance!Z8</f>
        <v>1</v>
      </c>
      <c r="H276" s="18">
        <f>[25]Performance!AA8</f>
        <v>0.8</v>
      </c>
      <c r="I276" s="18">
        <f>[25]Performance!AB8</f>
        <v>1</v>
      </c>
      <c r="J276" s="18" t="str">
        <f>[25]Performance!I8</f>
        <v>NA</v>
      </c>
      <c r="K276" s="18" t="str">
        <f>[25]Performance!J8</f>
        <v>NA</v>
      </c>
      <c r="L276" s="18" t="str">
        <f>[25]Performance!K8</f>
        <v>NA</v>
      </c>
      <c r="M276" s="18" t="str">
        <f>[25]Performance!L8</f>
        <v>NA</v>
      </c>
      <c r="N276" s="18" t="str">
        <f>[25]Performance!M8</f>
        <v>NA</v>
      </c>
      <c r="O276" s="18" t="str">
        <f>[25]Performance!N8</f>
        <v>NA</v>
      </c>
      <c r="P276" s="18">
        <f>[25]Performance!O8</f>
        <v>0</v>
      </c>
      <c r="Q276" s="18">
        <f>[25]Performance!P8</f>
        <v>0.88</v>
      </c>
      <c r="R276" s="18">
        <f>[25]Performance!Q8</f>
        <v>1</v>
      </c>
    </row>
    <row r="277" spans="1:18" x14ac:dyDescent="0.3">
      <c r="A277">
        <f>'[25]Student Data'!O9</f>
        <v>509487</v>
      </c>
      <c r="B277" t="str">
        <f>'[25]Student Data'!G9</f>
        <v>Nesting 3</v>
      </c>
      <c r="C277" s="10" t="str">
        <f>[25]Reporting!F8</f>
        <v>Benjamin Kalenga Kazembe</v>
      </c>
      <c r="D277" s="35" cm="1">
        <f t="array" ref="D277">--(SUM(COUNTIF(B277,{"*nest*","*grad*","*trans*","*1B*","*1C*"}))&gt;0)</f>
        <v>1</v>
      </c>
      <c r="E277" s="18">
        <f>[25]Performance!X9</f>
        <v>1</v>
      </c>
      <c r="F277" s="18">
        <f>[25]Performance!Y9</f>
        <v>1</v>
      </c>
      <c r="G277" s="18">
        <f>[25]Performance!Z9</f>
        <v>0.86</v>
      </c>
      <c r="H277" s="18">
        <f>[25]Performance!AA9</f>
        <v>0.8</v>
      </c>
      <c r="I277" s="18">
        <f>[25]Performance!AB9</f>
        <v>0.88</v>
      </c>
      <c r="J277" s="18" t="str">
        <f>[25]Performance!I9</f>
        <v>NA</v>
      </c>
      <c r="K277" s="18" t="str">
        <f>[25]Performance!J9</f>
        <v>NA</v>
      </c>
      <c r="L277" s="18" t="str">
        <f>[25]Performance!K9</f>
        <v>NA</v>
      </c>
      <c r="M277" s="18" t="str">
        <f>[25]Performance!L9</f>
        <v>NA</v>
      </c>
      <c r="N277" s="18" t="str">
        <f>[25]Performance!M9</f>
        <v>NA</v>
      </c>
      <c r="O277" s="18" t="str">
        <f>[25]Performance!N9</f>
        <v>NA</v>
      </c>
      <c r="P277" s="18">
        <f>[25]Performance!O9</f>
        <v>0</v>
      </c>
      <c r="Q277" s="18">
        <f>[25]Performance!P9</f>
        <v>0.88</v>
      </c>
      <c r="R277" s="18">
        <f>[25]Performance!Q9</f>
        <v>1</v>
      </c>
    </row>
    <row r="278" spans="1:18" x14ac:dyDescent="0.3">
      <c r="A278">
        <f>'[25]Student Data'!O10</f>
        <v>509516</v>
      </c>
      <c r="B278" t="str">
        <f>'[25]Student Data'!G10</f>
        <v>Nesting 3</v>
      </c>
      <c r="C278" s="10" t="str">
        <f>[25]Reporting!F9</f>
        <v>Mboma Thierry Kusaka</v>
      </c>
      <c r="D278" s="35" cm="1">
        <f t="array" ref="D278">--(SUM(COUNTIF(B278,{"*nest*","*grad*","*trans*","*1B*","*1C*"}))&gt;0)</f>
        <v>1</v>
      </c>
      <c r="E278" s="18">
        <f>[25]Performance!X10</f>
        <v>1</v>
      </c>
      <c r="F278" s="18">
        <f>[25]Performance!Y10</f>
        <v>1</v>
      </c>
      <c r="G278" s="18">
        <f>[25]Performance!Z10</f>
        <v>0.9</v>
      </c>
      <c r="H278" s="18">
        <f>[25]Performance!AA10</f>
        <v>0.8</v>
      </c>
      <c r="I278" s="18">
        <f>[25]Performance!AB10</f>
        <v>0.88</v>
      </c>
      <c r="J278" s="18" t="str">
        <f>[25]Performance!I10</f>
        <v>NA</v>
      </c>
      <c r="K278" s="18" t="str">
        <f>[25]Performance!J10</f>
        <v>NA</v>
      </c>
      <c r="L278" s="18" t="str">
        <f>[25]Performance!K10</f>
        <v>NA</v>
      </c>
      <c r="M278" s="18" t="str">
        <f>[25]Performance!L10</f>
        <v>NA</v>
      </c>
      <c r="N278" s="18" t="str">
        <f>[25]Performance!M10</f>
        <v>NA</v>
      </c>
      <c r="O278" s="18" t="str">
        <f>[25]Performance!N10</f>
        <v>NA</v>
      </c>
      <c r="P278" s="18">
        <f>[25]Performance!O10</f>
        <v>0</v>
      </c>
      <c r="Q278" s="18">
        <f>[25]Performance!P10</f>
        <v>0.88</v>
      </c>
      <c r="R278" s="18">
        <f>[25]Performance!Q10</f>
        <v>1</v>
      </c>
    </row>
    <row r="279" spans="1:18" x14ac:dyDescent="0.3">
      <c r="A279">
        <f>'[25]Student Data'!O11</f>
        <v>509520</v>
      </c>
      <c r="B279" t="str">
        <f>'[25]Student Data'!G11</f>
        <v>Nesting 3</v>
      </c>
      <c r="C279" s="10" t="str">
        <f>[25]Reporting!F10</f>
        <v>Bansimba Michael Lumbu</v>
      </c>
      <c r="D279" s="35" cm="1">
        <f t="array" ref="D279">--(SUM(COUNTIF(B279,{"*nest*","*grad*","*trans*","*1B*","*1C*"}))&gt;0)</f>
        <v>1</v>
      </c>
      <c r="E279" s="18">
        <f>[25]Performance!X11</f>
        <v>1</v>
      </c>
      <c r="F279" s="18">
        <f>[25]Performance!Y11</f>
        <v>1</v>
      </c>
      <c r="G279" s="18">
        <f>[25]Performance!Z11</f>
        <v>1</v>
      </c>
      <c r="H279" s="18">
        <f>[25]Performance!AA11</f>
        <v>1</v>
      </c>
      <c r="I279" s="18">
        <f>[25]Performance!AB11</f>
        <v>0.9</v>
      </c>
      <c r="J279" s="18" t="str">
        <f>[25]Performance!I11</f>
        <v>NA</v>
      </c>
      <c r="K279" s="18" t="str">
        <f>[25]Performance!J11</f>
        <v>NA</v>
      </c>
      <c r="L279" s="18" t="str">
        <f>[25]Performance!K11</f>
        <v>NA</v>
      </c>
      <c r="M279" s="18" t="str">
        <f>[25]Performance!L11</f>
        <v>NA</v>
      </c>
      <c r="N279" s="18" t="str">
        <f>[25]Performance!M11</f>
        <v>NA</v>
      </c>
      <c r="O279" s="18" t="str">
        <f>[25]Performance!N11</f>
        <v>NA</v>
      </c>
      <c r="P279" s="18">
        <f>[25]Performance!O11</f>
        <v>0</v>
      </c>
      <c r="Q279" s="18">
        <f>[25]Performance!P11</f>
        <v>0.88</v>
      </c>
      <c r="R279" s="18">
        <f>[25]Performance!Q11</f>
        <v>1</v>
      </c>
    </row>
    <row r="280" spans="1:18" x14ac:dyDescent="0.3">
      <c r="A280">
        <f>'[25]Student Data'!O12</f>
        <v>509519</v>
      </c>
      <c r="B280" t="str">
        <f>'[25]Student Data'!G12</f>
        <v>Nesting 3</v>
      </c>
      <c r="C280" s="10" t="str">
        <f>[25]Reporting!F11</f>
        <v>Hardiesse Longo Luyeye</v>
      </c>
      <c r="D280" s="35" cm="1">
        <f t="array" ref="D280">--(SUM(COUNTIF(B280,{"*nest*","*grad*","*trans*","*1B*","*1C*"}))&gt;0)</f>
        <v>1</v>
      </c>
      <c r="E280" s="18">
        <f>[25]Performance!X12</f>
        <v>1</v>
      </c>
      <c r="F280" s="18">
        <f>[25]Performance!Y12</f>
        <v>1</v>
      </c>
      <c r="G280" s="18">
        <f>[25]Performance!Z12</f>
        <v>1</v>
      </c>
      <c r="H280" s="18">
        <f>[25]Performance!AA12</f>
        <v>1</v>
      </c>
      <c r="I280" s="18">
        <f>[25]Performance!AB12</f>
        <v>0.9</v>
      </c>
      <c r="J280" s="18" t="str">
        <f>[25]Performance!I12</f>
        <v>NA</v>
      </c>
      <c r="K280" s="18" t="str">
        <f>[25]Performance!J12</f>
        <v>NA</v>
      </c>
      <c r="L280" s="18" t="str">
        <f>[25]Performance!K12</f>
        <v>NA</v>
      </c>
      <c r="M280" s="18" t="str">
        <f>[25]Performance!L12</f>
        <v>NA</v>
      </c>
      <c r="N280" s="18" t="str">
        <f>[25]Performance!M12</f>
        <v>NA</v>
      </c>
      <c r="O280" s="18" t="str">
        <f>[25]Performance!N12</f>
        <v>NA</v>
      </c>
      <c r="P280" s="18">
        <f>[25]Performance!O12</f>
        <v>0</v>
      </c>
      <c r="Q280" s="18">
        <f>[25]Performance!P12</f>
        <v>1</v>
      </c>
      <c r="R280" s="18">
        <f>[25]Performance!Q12</f>
        <v>1</v>
      </c>
    </row>
    <row r="281" spans="1:18" x14ac:dyDescent="0.3">
      <c r="A281">
        <f>'[25]Student Data'!O13</f>
        <v>509517</v>
      </c>
      <c r="B281" t="str">
        <f>'[25]Student Data'!G13</f>
        <v>Nesting 3</v>
      </c>
      <c r="C281" s="10" t="str">
        <f>[25]Reporting!F12</f>
        <v>Bonard Koyo Mayama</v>
      </c>
      <c r="D281" s="35" cm="1">
        <f t="array" ref="D281">--(SUM(COUNTIF(B281,{"*nest*","*grad*","*trans*","*1B*","*1C*"}))&gt;0)</f>
        <v>1</v>
      </c>
      <c r="E281" s="18">
        <f>[25]Performance!X13</f>
        <v>1</v>
      </c>
      <c r="F281" s="18">
        <f>[25]Performance!Y13</f>
        <v>1</v>
      </c>
      <c r="G281" s="18">
        <f>[25]Performance!Z13</f>
        <v>0.92</v>
      </c>
      <c r="H281" s="18">
        <f>[25]Performance!AA13</f>
        <v>0.8</v>
      </c>
      <c r="I281" s="18">
        <f>[25]Performance!AB13</f>
        <v>0.95</v>
      </c>
      <c r="J281" s="18" t="str">
        <f>[25]Performance!I13</f>
        <v>NA</v>
      </c>
      <c r="K281" s="18" t="str">
        <f>[25]Performance!J13</f>
        <v>NA</v>
      </c>
      <c r="L281" s="18" t="str">
        <f>[25]Performance!K13</f>
        <v>NA</v>
      </c>
      <c r="M281" s="18" t="str">
        <f>[25]Performance!L13</f>
        <v>NA</v>
      </c>
      <c r="N281" s="18" t="str">
        <f>[25]Performance!M13</f>
        <v>NA</v>
      </c>
      <c r="O281" s="18" t="str">
        <f>[25]Performance!N13</f>
        <v>NA</v>
      </c>
      <c r="P281" s="18">
        <f>[25]Performance!O13</f>
        <v>0</v>
      </c>
      <c r="Q281" s="18">
        <f>[25]Performance!P13</f>
        <v>1</v>
      </c>
      <c r="R281" s="18">
        <f>[25]Performance!Q13</f>
        <v>0.8</v>
      </c>
    </row>
    <row r="282" spans="1:18" x14ac:dyDescent="0.3">
      <c r="A282">
        <f>'[25]Student Data'!O14</f>
        <v>509489</v>
      </c>
      <c r="B282" t="str">
        <f>'[25]Student Data'!G14</f>
        <v>Nesting 3</v>
      </c>
      <c r="C282" s="10" t="str">
        <f>[25]Reporting!F13</f>
        <v>Mbikayi Mbombo</v>
      </c>
      <c r="D282" s="35" cm="1">
        <f t="array" ref="D282">--(SUM(COUNTIF(B282,{"*nest*","*grad*","*trans*","*1B*","*1C*"}))&gt;0)</f>
        <v>1</v>
      </c>
      <c r="E282" s="18">
        <f>[25]Performance!X14</f>
        <v>1</v>
      </c>
      <c r="F282" s="18">
        <f>[25]Performance!Y14</f>
        <v>1</v>
      </c>
      <c r="G282" s="18">
        <f>[25]Performance!Z14</f>
        <v>0.92</v>
      </c>
      <c r="H282" s="18">
        <f>[25]Performance!AA14</f>
        <v>0.8</v>
      </c>
      <c r="I282" s="18">
        <f>[25]Performance!AB14</f>
        <v>0.95</v>
      </c>
      <c r="J282" s="18" t="str">
        <f>[25]Performance!I14</f>
        <v>NA</v>
      </c>
      <c r="K282" s="18" t="str">
        <f>[25]Performance!J14</f>
        <v>NA</v>
      </c>
      <c r="L282" s="18" t="str">
        <f>[25]Performance!K14</f>
        <v>NA</v>
      </c>
      <c r="M282" s="18" t="str">
        <f>[25]Performance!L14</f>
        <v>NA</v>
      </c>
      <c r="N282" s="18" t="str">
        <f>[25]Performance!M14</f>
        <v>NA</v>
      </c>
      <c r="O282" s="18" t="str">
        <f>[25]Performance!N14</f>
        <v>NA</v>
      </c>
      <c r="P282" s="18">
        <f>[25]Performance!O14</f>
        <v>0</v>
      </c>
      <c r="Q282" s="18">
        <f>[25]Performance!P14</f>
        <v>1</v>
      </c>
      <c r="R282" s="18">
        <f>[25]Performance!Q14</f>
        <v>1</v>
      </c>
    </row>
    <row r="283" spans="1:18" x14ac:dyDescent="0.3">
      <c r="A283">
        <f>'[25]Student Data'!O15</f>
        <v>509511</v>
      </c>
      <c r="B283" t="str">
        <f>'[25]Student Data'!G15</f>
        <v>Nesting 3</v>
      </c>
      <c r="C283" s="10" t="str">
        <f>[25]Reporting!F14</f>
        <v>Rachel Mimboro</v>
      </c>
      <c r="D283" s="35" cm="1">
        <f t="array" ref="D283">--(SUM(COUNTIF(B283,{"*nest*","*grad*","*trans*","*1B*","*1C*"}))&gt;0)</f>
        <v>1</v>
      </c>
      <c r="E283" s="18">
        <f>[25]Performance!X15</f>
        <v>1</v>
      </c>
      <c r="F283" s="18">
        <f>[25]Performance!Y15</f>
        <v>1</v>
      </c>
      <c r="G283" s="18">
        <f>[25]Performance!Z15</f>
        <v>0.88</v>
      </c>
      <c r="H283" s="18">
        <f>[25]Performance!AA15</f>
        <v>1</v>
      </c>
      <c r="I283" s="18">
        <f>[25]Performance!AB15</f>
        <v>0.95</v>
      </c>
      <c r="J283" s="18" t="str">
        <f>[25]Performance!I15</f>
        <v>NA</v>
      </c>
      <c r="K283" s="18" t="str">
        <f>[25]Performance!J15</f>
        <v>NA</v>
      </c>
      <c r="L283" s="18" t="str">
        <f>[25]Performance!K15</f>
        <v>NA</v>
      </c>
      <c r="M283" s="18" t="str">
        <f>[25]Performance!L15</f>
        <v>NA</v>
      </c>
      <c r="N283" s="18" t="str">
        <f>[25]Performance!M15</f>
        <v>NA</v>
      </c>
      <c r="O283" s="18" t="str">
        <f>[25]Performance!N15</f>
        <v>NA</v>
      </c>
      <c r="P283" s="18">
        <f>[25]Performance!O15</f>
        <v>0</v>
      </c>
      <c r="Q283" s="18">
        <f>[25]Performance!P15</f>
        <v>1</v>
      </c>
      <c r="R283" s="18">
        <f>[25]Performance!Q15</f>
        <v>1</v>
      </c>
    </row>
    <row r="284" spans="1:18" x14ac:dyDescent="0.3">
      <c r="A284">
        <f>'[25]Student Data'!O16</f>
        <v>509513</v>
      </c>
      <c r="B284" t="str">
        <f>'[25]Student Data'!G16</f>
        <v>Nesting 3</v>
      </c>
      <c r="C284" s="10" t="str">
        <f>[25]Reporting!F15</f>
        <v>Ukundji Keny Mubanga</v>
      </c>
      <c r="D284" s="35" cm="1">
        <f t="array" ref="D284">--(SUM(COUNTIF(B284,{"*nest*","*grad*","*trans*","*1B*","*1C*"}))&gt;0)</f>
        <v>1</v>
      </c>
      <c r="E284" s="18">
        <f>[25]Performance!X16</f>
        <v>1</v>
      </c>
      <c r="F284" s="18">
        <f>[25]Performance!Y16</f>
        <v>1</v>
      </c>
      <c r="G284" s="18">
        <f>[25]Performance!Z16</f>
        <v>0.94</v>
      </c>
      <c r="H284" s="18">
        <f>[25]Performance!AA16</f>
        <v>1</v>
      </c>
      <c r="I284" s="18">
        <f>[25]Performance!AB16</f>
        <v>0.9</v>
      </c>
      <c r="J284" s="18" t="str">
        <f>[25]Performance!I16</f>
        <v>NA</v>
      </c>
      <c r="K284" s="18" t="str">
        <f>[25]Performance!J16</f>
        <v>NA</v>
      </c>
      <c r="L284" s="18" t="str">
        <f>[25]Performance!K16</f>
        <v>NA</v>
      </c>
      <c r="M284" s="18" t="str">
        <f>[25]Performance!L16</f>
        <v>NA</v>
      </c>
      <c r="N284" s="18" t="str">
        <f>[25]Performance!M16</f>
        <v>NA</v>
      </c>
      <c r="O284" s="18" t="str">
        <f>[25]Performance!N16</f>
        <v>NA</v>
      </c>
      <c r="P284" s="18">
        <f>[25]Performance!O16</f>
        <v>0</v>
      </c>
      <c r="Q284" s="18">
        <f>[25]Performance!P16</f>
        <v>1</v>
      </c>
      <c r="R284" s="18">
        <f>[25]Performance!Q16</f>
        <v>1</v>
      </c>
    </row>
    <row r="285" spans="1:18" x14ac:dyDescent="0.3">
      <c r="A285">
        <f>'[25]Student Data'!O17</f>
        <v>509491</v>
      </c>
      <c r="B285" t="str">
        <f>'[25]Student Data'!G17</f>
        <v>Nesting 3</v>
      </c>
      <c r="C285" s="10" t="str">
        <f>[25]Reporting!F16</f>
        <v>Zoka Sylvanny Nzumba</v>
      </c>
      <c r="D285" s="35" cm="1">
        <f t="array" ref="D285">--(SUM(COUNTIF(B285,{"*nest*","*grad*","*trans*","*1B*","*1C*"}))&gt;0)</f>
        <v>1</v>
      </c>
      <c r="E285" s="18">
        <f>[25]Performance!X17</f>
        <v>1</v>
      </c>
      <c r="F285" s="18">
        <f>[25]Performance!Y17</f>
        <v>1</v>
      </c>
      <c r="G285" s="18">
        <f>[25]Performance!Z17</f>
        <v>0.81</v>
      </c>
      <c r="H285" s="18">
        <f>[25]Performance!AA17</f>
        <v>1</v>
      </c>
      <c r="I285" s="18">
        <f>[25]Performance!AB17</f>
        <v>0.9</v>
      </c>
      <c r="J285" s="18" t="str">
        <f>[25]Performance!I17</f>
        <v>NA</v>
      </c>
      <c r="K285" s="18" t="str">
        <f>[25]Performance!J17</f>
        <v>NA</v>
      </c>
      <c r="L285" s="18" t="str">
        <f>[25]Performance!K17</f>
        <v>NA</v>
      </c>
      <c r="M285" s="18" t="str">
        <f>[25]Performance!L17</f>
        <v>NA</v>
      </c>
      <c r="N285" s="18" t="str">
        <f>[25]Performance!M17</f>
        <v>NA</v>
      </c>
      <c r="O285" s="18" t="str">
        <f>[25]Performance!N17</f>
        <v>NA</v>
      </c>
      <c r="P285" s="18">
        <f>[25]Performance!O17</f>
        <v>0</v>
      </c>
      <c r="Q285" s="18">
        <f>[25]Performance!P17</f>
        <v>0.88</v>
      </c>
      <c r="R285" s="18">
        <f>[25]Performance!Q17</f>
        <v>1</v>
      </c>
    </row>
    <row r="286" spans="1:18" x14ac:dyDescent="0.3">
      <c r="A286">
        <f>'[25]Student Data'!O18</f>
        <v>509515</v>
      </c>
      <c r="B286" t="str">
        <f>'[25]Student Data'!G18</f>
        <v>Nesting 3</v>
      </c>
      <c r="C286" s="10" t="str">
        <f>[25]Reporting!F17</f>
        <v>Junny Mutanda Tshamala</v>
      </c>
      <c r="D286" s="35" cm="1">
        <f t="array" ref="D286">--(SUM(COUNTIF(B286,{"*nest*","*grad*","*trans*","*1B*","*1C*"}))&gt;0)</f>
        <v>1</v>
      </c>
      <c r="E286" s="18">
        <f>[25]Performance!X18</f>
        <v>1</v>
      </c>
      <c r="F286" s="18">
        <f>[25]Performance!Y18</f>
        <v>1</v>
      </c>
      <c r="G286" s="18">
        <f>[25]Performance!Z18</f>
        <v>1</v>
      </c>
      <c r="H286" s="18">
        <f>[25]Performance!AA18</f>
        <v>1</v>
      </c>
      <c r="I286" s="18">
        <f>[25]Performance!AB18</f>
        <v>0.9</v>
      </c>
      <c r="J286" s="18" t="str">
        <f>[25]Performance!I18</f>
        <v>NA</v>
      </c>
      <c r="K286" s="18" t="str">
        <f>[25]Performance!J18</f>
        <v>NA</v>
      </c>
      <c r="L286" s="18" t="str">
        <f>[25]Performance!K18</f>
        <v>NA</v>
      </c>
      <c r="M286" s="18" t="str">
        <f>[25]Performance!L18</f>
        <v>NA</v>
      </c>
      <c r="N286" s="18" t="str">
        <f>[25]Performance!M18</f>
        <v>NA</v>
      </c>
      <c r="O286" s="18" t="str">
        <f>[25]Performance!N18</f>
        <v>NA</v>
      </c>
      <c r="P286" s="18">
        <f>[25]Performance!O18</f>
        <v>0</v>
      </c>
      <c r="Q286" s="18">
        <f>[25]Performance!P18</f>
        <v>1</v>
      </c>
      <c r="R286" s="18">
        <f>[25]Performance!Q18</f>
        <v>0.8</v>
      </c>
    </row>
    <row r="287" spans="1:18" x14ac:dyDescent="0.3">
      <c r="A287">
        <f>'[25]Student Data'!O19</f>
        <v>509521</v>
      </c>
      <c r="B287" t="str">
        <f>'[25]Student Data'!G19</f>
        <v>Nesting 3</v>
      </c>
      <c r="C287" s="10" t="str">
        <f>[25]Reporting!F18</f>
        <v>Jean Didier Tshibende</v>
      </c>
      <c r="D287" s="35" cm="1">
        <f t="array" ref="D287">--(SUM(COUNTIF(B287,{"*nest*","*grad*","*trans*","*1B*","*1C*"}))&gt;0)</f>
        <v>1</v>
      </c>
      <c r="E287" s="18">
        <f>[25]Performance!X19</f>
        <v>1</v>
      </c>
      <c r="F287" s="18">
        <f>[25]Performance!Y19</f>
        <v>1</v>
      </c>
      <c r="G287" s="18">
        <f>[25]Performance!Z19</f>
        <v>1</v>
      </c>
      <c r="H287" s="18">
        <f>[25]Performance!AA19</f>
        <v>1</v>
      </c>
      <c r="I287" s="18">
        <f>[25]Performance!AB19</f>
        <v>1</v>
      </c>
      <c r="J287" s="18" t="str">
        <f>[25]Performance!I19</f>
        <v>NA</v>
      </c>
      <c r="K287" s="18" t="str">
        <f>[25]Performance!J19</f>
        <v>NA</v>
      </c>
      <c r="L287" s="18" t="str">
        <f>[25]Performance!K19</f>
        <v>NA</v>
      </c>
      <c r="M287" s="18" t="str">
        <f>[25]Performance!L19</f>
        <v>NA</v>
      </c>
      <c r="N287" s="18" t="str">
        <f>[25]Performance!M19</f>
        <v>NA</v>
      </c>
      <c r="O287" s="18" t="str">
        <f>[25]Performance!N19</f>
        <v>NA</v>
      </c>
      <c r="P287" s="18">
        <f>[25]Performance!O19</f>
        <v>0</v>
      </c>
      <c r="Q287" s="18">
        <f>[25]Performance!P19</f>
        <v>1</v>
      </c>
      <c r="R287" s="18">
        <f>[25]Performance!Q19</f>
        <v>1</v>
      </c>
    </row>
    <row r="288" spans="1:18" x14ac:dyDescent="0.3">
      <c r="A288">
        <f>'[25]Student Data'!O20</f>
        <v>509523</v>
      </c>
      <c r="B288" t="str">
        <f>'[25]Student Data'!G20</f>
        <v>Nesting 3</v>
      </c>
      <c r="C288" s="10" t="str">
        <f>[25]Reporting!F19</f>
        <v xml:space="preserve">Donciela Itele Loola </v>
      </c>
      <c r="D288" s="35" cm="1">
        <f t="array" ref="D288">--(SUM(COUNTIF(B288,{"*nest*","*grad*","*trans*","*1B*","*1C*"}))&gt;0)</f>
        <v>1</v>
      </c>
      <c r="E288" s="18">
        <f>[25]Performance!X20</f>
        <v>1</v>
      </c>
      <c r="F288" s="18">
        <f>[25]Performance!Y20</f>
        <v>1</v>
      </c>
      <c r="G288" s="18">
        <f>[25]Performance!Z20</f>
        <v>0.9</v>
      </c>
      <c r="H288" s="18">
        <f>[25]Performance!AA20</f>
        <v>1</v>
      </c>
      <c r="I288" s="18">
        <f>[25]Performance!AB20</f>
        <v>0.9</v>
      </c>
      <c r="J288" s="18">
        <f>[25]Performance!I20</f>
        <v>0</v>
      </c>
      <c r="K288" s="18">
        <f>[25]Performance!J20</f>
        <v>0</v>
      </c>
      <c r="L288" s="18">
        <f>[25]Performance!K20</f>
        <v>0</v>
      </c>
      <c r="M288" s="18">
        <f>[25]Performance!L20</f>
        <v>0</v>
      </c>
      <c r="N288" s="18">
        <f>[25]Performance!M20</f>
        <v>0</v>
      </c>
      <c r="O288" s="18">
        <f>[25]Performance!N20</f>
        <v>0</v>
      </c>
      <c r="P288" s="18">
        <f>[25]Performance!O20</f>
        <v>0</v>
      </c>
      <c r="Q288" s="18">
        <f>[25]Performance!P20</f>
        <v>1</v>
      </c>
      <c r="R288" s="18">
        <f>[25]Performance!Q20</f>
        <v>1</v>
      </c>
    </row>
    <row r="289" spans="1:18" ht="13.95" customHeight="1" x14ac:dyDescent="0.3">
      <c r="A289" s="8" t="s">
        <v>56</v>
      </c>
      <c r="B289" s="44" t="s">
        <v>57</v>
      </c>
      <c r="C289" s="44" t="s">
        <v>58</v>
      </c>
      <c r="D289" s="43">
        <f>SUM(D290:D304)</f>
        <v>12</v>
      </c>
      <c r="E289" s="43">
        <f>COUNTIF(E290:E304, "&gt;79%")</f>
        <v>15</v>
      </c>
      <c r="F289" s="43">
        <f t="shared" ref="F289:L289" si="16">COUNTIF(F290:F304, "&gt;79%")</f>
        <v>15</v>
      </c>
      <c r="G289" s="43">
        <f t="shared" si="16"/>
        <v>15</v>
      </c>
      <c r="H289" s="43">
        <f t="shared" si="16"/>
        <v>15</v>
      </c>
      <c r="I289" s="43">
        <f t="shared" si="16"/>
        <v>15</v>
      </c>
      <c r="J289" s="43">
        <f t="shared" si="16"/>
        <v>0</v>
      </c>
      <c r="K289" s="43">
        <f t="shared" si="16"/>
        <v>0</v>
      </c>
      <c r="L289" s="43">
        <f t="shared" si="16"/>
        <v>0</v>
      </c>
      <c r="M289" s="43">
        <f t="shared" ref="M289" si="17">COUNTIF(M290:M304, "&gt;79%")</f>
        <v>0</v>
      </c>
      <c r="N289" s="43">
        <f t="shared" ref="N289" si="18">COUNTIF(N290:N304, "&gt;79%")</f>
        <v>0</v>
      </c>
      <c r="O289" s="43">
        <f t="shared" ref="O289" si="19">COUNTIF(O290:O304, "&gt;79%")</f>
        <v>0</v>
      </c>
      <c r="P289" s="43">
        <f t="shared" ref="P289" si="20">COUNTIF(P290:P304, "&gt;79%")</f>
        <v>0</v>
      </c>
      <c r="Q289" s="43">
        <f t="shared" ref="Q289" si="21">COUNTIF(Q290:Q304, "&gt;79%")</f>
        <v>15</v>
      </c>
      <c r="R289" s="43">
        <f t="shared" ref="R289" si="22">COUNTIF(R290:R304, "&gt;79%")</f>
        <v>15</v>
      </c>
    </row>
    <row r="290" spans="1:18" x14ac:dyDescent="0.3">
      <c r="A290">
        <f>[26]Attendance!C21</f>
        <v>509493</v>
      </c>
      <c r="B290" t="str">
        <f>'[26]Student Data'!G5</f>
        <v>Nesting 3</v>
      </c>
      <c r="C290" s="10" t="str">
        <f>[26]Reporting!F4</f>
        <v>Ebondo Claudia Mulimbi</v>
      </c>
      <c r="D290" s="35" cm="1">
        <f t="array" ref="D290">--(SUM(COUNTIF(B290,{"*nest*","*grad*","*trans*","*1B*","*1C*"}))&gt;0)</f>
        <v>1</v>
      </c>
      <c r="E290" s="18">
        <f>[26]Performance!X5</f>
        <v>1</v>
      </c>
      <c r="F290" s="18">
        <f>[26]Performance!Y5</f>
        <v>1</v>
      </c>
      <c r="G290" s="18">
        <f>[26]Performance!Z5</f>
        <v>0.94</v>
      </c>
      <c r="H290" s="18">
        <f>[26]Performance!AA5</f>
        <v>1</v>
      </c>
      <c r="I290" s="18">
        <f>[26]Performance!AB5</f>
        <v>1</v>
      </c>
      <c r="J290" s="18" t="str">
        <f>[26]Performance!I5</f>
        <v>Merchants</v>
      </c>
      <c r="K290" s="18" t="str">
        <f>[26]Performance!J5</f>
        <v>NA</v>
      </c>
      <c r="L290" s="18" t="str">
        <f>[26]Performance!K5</f>
        <v>NA</v>
      </c>
      <c r="M290" s="18" t="str">
        <f>[26]Performance!L5</f>
        <v>NA</v>
      </c>
      <c r="N290" s="18" t="str">
        <f>[26]Performance!M5</f>
        <v>NA</v>
      </c>
      <c r="O290" s="18" t="str">
        <f>[26]Performance!N5</f>
        <v>NA</v>
      </c>
      <c r="P290" s="18" t="str">
        <f>[26]Performance!O5</f>
        <v>Merchants</v>
      </c>
      <c r="Q290" s="18">
        <f>[26]Performance!P5</f>
        <v>1</v>
      </c>
      <c r="R290" s="18">
        <f>[26]Performance!Q5</f>
        <v>1</v>
      </c>
    </row>
    <row r="291" spans="1:18" x14ac:dyDescent="0.3">
      <c r="A291">
        <f>[26]Attendance!C22</f>
        <v>509395</v>
      </c>
      <c r="B291" t="str">
        <f>'[26]Student Data'!G6</f>
        <v>LOA</v>
      </c>
      <c r="C291" s="10" t="str">
        <f>[26]Reporting!F5</f>
        <v>Bandile Banda</v>
      </c>
      <c r="D291" s="35" cm="1">
        <f t="array" ref="D291">--(SUM(COUNTIF(B291,{"*nest*","*grad*","*trans*","*1B*","*1C*"}))&gt;0)</f>
        <v>0</v>
      </c>
      <c r="E291" s="18">
        <f>[26]Performance!X6</f>
        <v>1</v>
      </c>
      <c r="F291" s="18">
        <f>[26]Performance!Y6</f>
        <v>1</v>
      </c>
      <c r="G291" s="18">
        <f>[26]Performance!Z6</f>
        <v>0.97</v>
      </c>
      <c r="H291" s="18">
        <f>[26]Performance!AA6</f>
        <v>0.8</v>
      </c>
      <c r="I291" s="18">
        <f>[26]Performance!AB6</f>
        <v>1</v>
      </c>
      <c r="J291" s="18" t="str">
        <f>[26]Performance!I6</f>
        <v>Merchants</v>
      </c>
      <c r="K291" s="18" t="str">
        <f>[26]Performance!J6</f>
        <v>NA</v>
      </c>
      <c r="L291" s="18" t="str">
        <f>[26]Performance!K6</f>
        <v>NA</v>
      </c>
      <c r="M291" s="18" t="str">
        <f>[26]Performance!L6</f>
        <v>NA</v>
      </c>
      <c r="N291" s="18" t="str">
        <f>[26]Performance!M6</f>
        <v>NA</v>
      </c>
      <c r="O291" s="18" t="str">
        <f>[26]Performance!N6</f>
        <v>NA</v>
      </c>
      <c r="P291" s="18" t="str">
        <f>[26]Performance!O6</f>
        <v>Merchants</v>
      </c>
      <c r="Q291" s="18">
        <f>[26]Performance!P6</f>
        <v>0.88</v>
      </c>
      <c r="R291" s="18">
        <f>[26]Performance!Q6</f>
        <v>0.8</v>
      </c>
    </row>
    <row r="292" spans="1:18" x14ac:dyDescent="0.3">
      <c r="A292">
        <f>[26]Attendance!C23</f>
        <v>509396</v>
      </c>
      <c r="B292" t="str">
        <f>'[26]Student Data'!G7</f>
        <v>Nesting 3</v>
      </c>
      <c r="C292" s="10" t="str">
        <f>[26]Reporting!F6</f>
        <v>Dimpho Nosipho Khumalo</v>
      </c>
      <c r="D292" s="35" cm="1">
        <f t="array" ref="D292">--(SUM(COUNTIF(B292,{"*nest*","*grad*","*trans*","*1B*","*1C*"}))&gt;0)</f>
        <v>1</v>
      </c>
      <c r="E292" s="18">
        <f>[26]Performance!X7</f>
        <v>1</v>
      </c>
      <c r="F292" s="18">
        <f>[26]Performance!Y7</f>
        <v>1</v>
      </c>
      <c r="G292" s="18">
        <f>[26]Performance!Z7</f>
        <v>0.94</v>
      </c>
      <c r="H292" s="18">
        <f>[26]Performance!AA7</f>
        <v>1</v>
      </c>
      <c r="I292" s="18">
        <f>[26]Performance!AB7</f>
        <v>0.98</v>
      </c>
      <c r="J292" s="18" t="str">
        <f>[26]Performance!I7</f>
        <v>Merchants</v>
      </c>
      <c r="K292" s="18" t="str">
        <f>[26]Performance!J7</f>
        <v>NA</v>
      </c>
      <c r="L292" s="18" t="str">
        <f>[26]Performance!K7</f>
        <v>NA</v>
      </c>
      <c r="M292" s="18" t="str">
        <f>[26]Performance!L7</f>
        <v>NA</v>
      </c>
      <c r="N292" s="18" t="str">
        <f>[26]Performance!M7</f>
        <v>NA</v>
      </c>
      <c r="O292" s="18" t="str">
        <f>[26]Performance!N7</f>
        <v>NA</v>
      </c>
      <c r="P292" s="18" t="str">
        <f>[26]Performance!O7</f>
        <v>Merchants</v>
      </c>
      <c r="Q292" s="18">
        <f>[26]Performance!P7</f>
        <v>1</v>
      </c>
      <c r="R292" s="18">
        <f>[26]Performance!Q7</f>
        <v>0.8</v>
      </c>
    </row>
    <row r="293" spans="1:18" x14ac:dyDescent="0.3">
      <c r="A293">
        <f>[26]Attendance!C24</f>
        <v>507831</v>
      </c>
      <c r="B293" t="str">
        <f>'[26]Student Data'!G8</f>
        <v>Nesting 3</v>
      </c>
      <c r="C293" s="10" t="str">
        <f>[26]Reporting!F7</f>
        <v>Pretty Palesa Mahlangu</v>
      </c>
      <c r="D293" s="35" cm="1">
        <f t="array" ref="D293">--(SUM(COUNTIF(B293,{"*nest*","*grad*","*trans*","*1B*","*1C*"}))&gt;0)</f>
        <v>1</v>
      </c>
      <c r="E293" s="18">
        <f>[26]Performance!X8</f>
        <v>1</v>
      </c>
      <c r="F293" s="18">
        <f>[26]Performance!Y8</f>
        <v>1</v>
      </c>
      <c r="G293" s="18">
        <f>[26]Performance!Z8</f>
        <v>0.88</v>
      </c>
      <c r="H293" s="18">
        <f>[26]Performance!AA8</f>
        <v>0.8</v>
      </c>
      <c r="I293" s="18">
        <f>[26]Performance!AB8</f>
        <v>0.96</v>
      </c>
      <c r="J293" s="18" t="str">
        <f>[26]Performance!I8</f>
        <v>Merchants</v>
      </c>
      <c r="K293" s="18" t="str">
        <f>[26]Performance!J8</f>
        <v>NA</v>
      </c>
      <c r="L293" s="18" t="str">
        <f>[26]Performance!K8</f>
        <v>NA</v>
      </c>
      <c r="M293" s="18" t="str">
        <f>[26]Performance!L8</f>
        <v>NA</v>
      </c>
      <c r="N293" s="18" t="str">
        <f>[26]Performance!M8</f>
        <v>NA</v>
      </c>
      <c r="O293" s="18" t="str">
        <f>[26]Performance!N8</f>
        <v>NA</v>
      </c>
      <c r="P293" s="18" t="str">
        <f>[26]Performance!O8</f>
        <v>Merchants</v>
      </c>
      <c r="Q293" s="18">
        <f>[26]Performance!P8</f>
        <v>1</v>
      </c>
      <c r="R293" s="18">
        <f>[26]Performance!Q8</f>
        <v>1</v>
      </c>
    </row>
    <row r="294" spans="1:18" x14ac:dyDescent="0.3">
      <c r="A294">
        <f>[26]Attendance!C25</f>
        <v>119445</v>
      </c>
      <c r="B294" t="str">
        <f>'[26]Student Data'!G9</f>
        <v>Moved/Joining Alternate Class/Program</v>
      </c>
      <c r="C294" s="10" t="str">
        <f>[26]Reporting!F8</f>
        <v>Nozithelo Clase Mabaso</v>
      </c>
      <c r="D294" s="35" cm="1">
        <f t="array" ref="D294">--(SUM(COUNTIF(B294,{"*nest*","*grad*","*trans*","*1B*","*1C*"}))&gt;0)</f>
        <v>0</v>
      </c>
      <c r="E294" s="18">
        <f>[26]Performance!X9</f>
        <v>1</v>
      </c>
      <c r="F294" s="18">
        <f>[26]Performance!Y9</f>
        <v>1</v>
      </c>
      <c r="G294" s="18">
        <f>[26]Performance!Z9</f>
        <v>0.88</v>
      </c>
      <c r="H294" s="18">
        <f>[26]Performance!AA9</f>
        <v>1</v>
      </c>
      <c r="I294" s="18">
        <f>[26]Performance!AB9</f>
        <v>0.88</v>
      </c>
      <c r="J294" s="18" t="str">
        <f>[26]Performance!I9</f>
        <v>Merchants</v>
      </c>
      <c r="K294" s="18" t="str">
        <f>[26]Performance!J9</f>
        <v>NA</v>
      </c>
      <c r="L294" s="18" t="str">
        <f>[26]Performance!K9</f>
        <v>NA</v>
      </c>
      <c r="M294" s="18" t="str">
        <f>[26]Performance!L9</f>
        <v>NA</v>
      </c>
      <c r="N294" s="18" t="str">
        <f>[26]Performance!M9</f>
        <v>NA</v>
      </c>
      <c r="O294" s="18" t="str">
        <f>[26]Performance!N9</f>
        <v>NA</v>
      </c>
      <c r="P294" s="18" t="str">
        <f>[26]Performance!O9</f>
        <v>Merchants</v>
      </c>
      <c r="Q294" s="18">
        <f>[26]Performance!P9</f>
        <v>1</v>
      </c>
      <c r="R294" s="18">
        <f>[26]Performance!Q9</f>
        <v>0.8</v>
      </c>
    </row>
    <row r="295" spans="1:18" x14ac:dyDescent="0.3">
      <c r="A295">
        <f>[26]Attendance!C26</f>
        <v>509637</v>
      </c>
      <c r="B295" t="str">
        <f>'[26]Student Data'!G10</f>
        <v>Nesting 3</v>
      </c>
      <c r="C295" s="10" t="str">
        <f>[26]Reporting!F9</f>
        <v>Clara Kadjidja</v>
      </c>
      <c r="D295" s="35" cm="1">
        <f t="array" ref="D295">--(SUM(COUNTIF(B295,{"*nest*","*grad*","*trans*","*1B*","*1C*"}))&gt;0)</f>
        <v>1</v>
      </c>
      <c r="E295" s="18">
        <f>[26]Performance!X10</f>
        <v>1</v>
      </c>
      <c r="F295" s="18">
        <f>[26]Performance!Y10</f>
        <v>1</v>
      </c>
      <c r="G295" s="18">
        <f>[26]Performance!Z10</f>
        <v>0.88</v>
      </c>
      <c r="H295" s="18">
        <f>[26]Performance!AA10</f>
        <v>0.8</v>
      </c>
      <c r="I295" s="18">
        <f>[26]Performance!AB10</f>
        <v>0.88</v>
      </c>
      <c r="J295" s="18" t="str">
        <f>[26]Performance!I10</f>
        <v>Merchants</v>
      </c>
      <c r="K295" s="18" t="str">
        <f>[26]Performance!J10</f>
        <v>NA</v>
      </c>
      <c r="L295" s="18" t="str">
        <f>[26]Performance!K10</f>
        <v>NA</v>
      </c>
      <c r="M295" s="18" t="str">
        <f>[26]Performance!L10</f>
        <v>NA</v>
      </c>
      <c r="N295" s="18" t="str">
        <f>[26]Performance!M10</f>
        <v>NA</v>
      </c>
      <c r="O295" s="18" t="str">
        <f>[26]Performance!N10</f>
        <v>NA</v>
      </c>
      <c r="P295" s="18" t="str">
        <f>[26]Performance!O10</f>
        <v>Merchants</v>
      </c>
      <c r="Q295" s="18">
        <f>[26]Performance!P10</f>
        <v>0.88</v>
      </c>
      <c r="R295" s="18">
        <f>[26]Performance!Q10</f>
        <v>1</v>
      </c>
    </row>
    <row r="296" spans="1:18" x14ac:dyDescent="0.3">
      <c r="A296">
        <f>[26]Attendance!C27</f>
        <v>509635</v>
      </c>
      <c r="B296" t="str">
        <f>'[26]Student Data'!G11</f>
        <v>Nesting 3</v>
      </c>
      <c r="C296" s="10" t="str">
        <f>[26]Reporting!F10</f>
        <v>Alain Menenga Bakama</v>
      </c>
      <c r="D296" s="35" cm="1">
        <f t="array" ref="D296">--(SUM(COUNTIF(B296,{"*nest*","*grad*","*trans*","*1B*","*1C*"}))&gt;0)</f>
        <v>1</v>
      </c>
      <c r="E296" s="18">
        <f>[26]Performance!X11</f>
        <v>1</v>
      </c>
      <c r="F296" s="18">
        <f>[26]Performance!Y11</f>
        <v>1</v>
      </c>
      <c r="G296" s="18">
        <f>[26]Performance!Z11</f>
        <v>0.94</v>
      </c>
      <c r="H296" s="18">
        <f>[26]Performance!AA11</f>
        <v>1</v>
      </c>
      <c r="I296" s="18">
        <f>[26]Performance!AB11</f>
        <v>0.83</v>
      </c>
      <c r="J296" s="18" t="str">
        <f>[26]Performance!I11</f>
        <v>Merchants</v>
      </c>
      <c r="K296" s="18" t="str">
        <f>[26]Performance!J11</f>
        <v>NA</v>
      </c>
      <c r="L296" s="18" t="str">
        <f>[26]Performance!K11</f>
        <v>NA</v>
      </c>
      <c r="M296" s="18" t="str">
        <f>[26]Performance!L11</f>
        <v>NA</v>
      </c>
      <c r="N296" s="18" t="str">
        <f>[26]Performance!M11</f>
        <v>NA</v>
      </c>
      <c r="O296" s="18" t="str">
        <f>[26]Performance!N11</f>
        <v>NA</v>
      </c>
      <c r="P296" s="18" t="str">
        <f>[26]Performance!O11</f>
        <v>Merchants</v>
      </c>
      <c r="Q296" s="18">
        <f>[26]Performance!P11</f>
        <v>0.88</v>
      </c>
      <c r="R296" s="18">
        <f>[26]Performance!Q11</f>
        <v>1</v>
      </c>
    </row>
    <row r="297" spans="1:18" x14ac:dyDescent="0.3">
      <c r="A297">
        <f>[26]Attendance!C28</f>
        <v>509488</v>
      </c>
      <c r="B297" t="str">
        <f>'[26]Student Data'!G12</f>
        <v>Nesting 3</v>
      </c>
      <c r="C297" s="10" t="str">
        <f>[26]Reporting!F11</f>
        <v>Kikadi Johnny Kiwewa</v>
      </c>
      <c r="D297" s="35" cm="1">
        <f t="array" ref="D297">--(SUM(COUNTIF(B297,{"*nest*","*grad*","*trans*","*1B*","*1C*"}))&gt;0)</f>
        <v>1</v>
      </c>
      <c r="E297" s="18">
        <f>[26]Performance!X12</f>
        <v>1</v>
      </c>
      <c r="F297" s="18">
        <f>[26]Performance!Y12</f>
        <v>1</v>
      </c>
      <c r="G297" s="18">
        <f>[26]Performance!Z12</f>
        <v>0.82</v>
      </c>
      <c r="H297" s="18">
        <f>[26]Performance!AA12</f>
        <v>1</v>
      </c>
      <c r="I297" s="18">
        <f>[26]Performance!AB12</f>
        <v>0.88</v>
      </c>
      <c r="J297" s="18" t="str">
        <f>[26]Performance!I12</f>
        <v>Merchants</v>
      </c>
      <c r="K297" s="18" t="str">
        <f>[26]Performance!J12</f>
        <v>NA</v>
      </c>
      <c r="L297" s="18" t="str">
        <f>[26]Performance!K12</f>
        <v>NA</v>
      </c>
      <c r="M297" s="18" t="str">
        <f>[26]Performance!L12</f>
        <v>NA</v>
      </c>
      <c r="N297" s="18" t="str">
        <f>[26]Performance!M12</f>
        <v>NA</v>
      </c>
      <c r="O297" s="18" t="str">
        <f>[26]Performance!N12</f>
        <v>NA</v>
      </c>
      <c r="P297" s="18" t="str">
        <f>[26]Performance!O12</f>
        <v>Merchants</v>
      </c>
      <c r="Q297" s="18">
        <f>[26]Performance!P12</f>
        <v>1</v>
      </c>
      <c r="R297" s="18">
        <f>[26]Performance!Q12</f>
        <v>0.8</v>
      </c>
    </row>
    <row r="298" spans="1:18" x14ac:dyDescent="0.3">
      <c r="A298">
        <f>[26]Attendance!C29</f>
        <v>509494</v>
      </c>
      <c r="B298" t="str">
        <f>'[26]Student Data'!G13</f>
        <v>Nesting 3</v>
      </c>
      <c r="C298" s="10" t="str">
        <f>[26]Reporting!F12</f>
        <v>Mbayo  Muleli</v>
      </c>
      <c r="D298" s="35" cm="1">
        <f t="array" ref="D298">--(SUM(COUNTIF(B298,{"*nest*","*grad*","*trans*","*1B*","*1C*"}))&gt;0)</f>
        <v>1</v>
      </c>
      <c r="E298" s="18">
        <f>[26]Performance!X13</f>
        <v>1</v>
      </c>
      <c r="F298" s="18">
        <f>[26]Performance!Y13</f>
        <v>1</v>
      </c>
      <c r="G298" s="18">
        <f>[26]Performance!Z13</f>
        <v>0.94</v>
      </c>
      <c r="H298" s="18">
        <f>[26]Performance!AA13</f>
        <v>0.8</v>
      </c>
      <c r="I298" s="18">
        <f>[26]Performance!AB13</f>
        <v>0.9</v>
      </c>
      <c r="J298" s="18" t="str">
        <f>[26]Performance!I13</f>
        <v>Merchants</v>
      </c>
      <c r="K298" s="18" t="str">
        <f>[26]Performance!J13</f>
        <v>NA</v>
      </c>
      <c r="L298" s="18" t="str">
        <f>[26]Performance!K13</f>
        <v>NA</v>
      </c>
      <c r="M298" s="18" t="str">
        <f>[26]Performance!L13</f>
        <v>NA</v>
      </c>
      <c r="N298" s="18" t="str">
        <f>[26]Performance!M13</f>
        <v>NA</v>
      </c>
      <c r="O298" s="18" t="str">
        <f>[26]Performance!N13</f>
        <v>NA</v>
      </c>
      <c r="P298" s="18" t="str">
        <f>[26]Performance!O13</f>
        <v>Merchants</v>
      </c>
      <c r="Q298" s="18">
        <f>[26]Performance!P13</f>
        <v>0.88</v>
      </c>
      <c r="R298" s="18">
        <f>[26]Performance!Q13</f>
        <v>1</v>
      </c>
    </row>
    <row r="299" spans="1:18" x14ac:dyDescent="0.3">
      <c r="A299">
        <f>[26]Attendance!C30</f>
        <v>509639</v>
      </c>
      <c r="B299" t="str">
        <f>'[26]Student Data'!G14</f>
        <v>Nesting 3</v>
      </c>
      <c r="C299" s="10" t="str">
        <f>[26]Reporting!F13</f>
        <v>Annette Tshizanga</v>
      </c>
      <c r="D299" s="35" cm="1">
        <f t="array" ref="D299">--(SUM(COUNTIF(B299,{"*nest*","*grad*","*trans*","*1B*","*1C*"}))&gt;0)</f>
        <v>1</v>
      </c>
      <c r="E299" s="18">
        <f>[26]Performance!X14</f>
        <v>1</v>
      </c>
      <c r="F299" s="18">
        <f>[26]Performance!Y14</f>
        <v>1</v>
      </c>
      <c r="G299" s="18">
        <f>[26]Performance!Z14</f>
        <v>0.94</v>
      </c>
      <c r="H299" s="18">
        <f>[26]Performance!AA14</f>
        <v>0.8</v>
      </c>
      <c r="I299" s="18">
        <f>[26]Performance!AB14</f>
        <v>0.9</v>
      </c>
      <c r="J299" s="18" t="str">
        <f>[26]Performance!I14</f>
        <v>Merchants</v>
      </c>
      <c r="K299" s="18" t="str">
        <f>[26]Performance!J14</f>
        <v>NA</v>
      </c>
      <c r="L299" s="18" t="str">
        <f>[26]Performance!K14</f>
        <v>NA</v>
      </c>
      <c r="M299" s="18" t="str">
        <f>[26]Performance!L14</f>
        <v>NA</v>
      </c>
      <c r="N299" s="18" t="str">
        <f>[26]Performance!M14</f>
        <v>NA</v>
      </c>
      <c r="O299" s="18" t="str">
        <f>[26]Performance!N14</f>
        <v>NA</v>
      </c>
      <c r="P299" s="18" t="str">
        <f>[26]Performance!O14</f>
        <v>Merchants</v>
      </c>
      <c r="Q299" s="18">
        <f>[26]Performance!P14</f>
        <v>1</v>
      </c>
      <c r="R299" s="18">
        <f>[26]Performance!Q14</f>
        <v>1</v>
      </c>
    </row>
    <row r="300" spans="1:18" x14ac:dyDescent="0.3">
      <c r="A300">
        <f>[26]Attendance!C31</f>
        <v>509636</v>
      </c>
      <c r="B300" t="str">
        <f>'[26]Student Data'!G15</f>
        <v>Nesting 3</v>
      </c>
      <c r="C300" s="10" t="str">
        <f>[26]Reporting!F14</f>
        <v>Atou Bosend-Ju</v>
      </c>
      <c r="D300" s="35" cm="1">
        <f t="array" ref="D300">--(SUM(COUNTIF(B300,{"*nest*","*grad*","*trans*","*1B*","*1C*"}))&gt;0)</f>
        <v>1</v>
      </c>
      <c r="E300" s="18">
        <f>[26]Performance!X15</f>
        <v>1</v>
      </c>
      <c r="F300" s="18">
        <f>[26]Performance!Y15</f>
        <v>1</v>
      </c>
      <c r="G300" s="18">
        <f>[26]Performance!Z15</f>
        <v>0.82</v>
      </c>
      <c r="H300" s="18">
        <f>[26]Performance!AA15</f>
        <v>0.8</v>
      </c>
      <c r="I300" s="18">
        <f>[26]Performance!AB15</f>
        <v>0.82</v>
      </c>
      <c r="J300" s="18" t="str">
        <f>[26]Performance!I15</f>
        <v>Merchants</v>
      </c>
      <c r="K300" s="18" t="str">
        <f>[26]Performance!J15</f>
        <v>NA</v>
      </c>
      <c r="L300" s="18" t="str">
        <f>[26]Performance!K15</f>
        <v>NA</v>
      </c>
      <c r="M300" s="18" t="str">
        <f>[26]Performance!L15</f>
        <v>NA</v>
      </c>
      <c r="N300" s="18" t="str">
        <f>[26]Performance!M15</f>
        <v>NA</v>
      </c>
      <c r="O300" s="18" t="str">
        <f>[26]Performance!N15</f>
        <v>NA</v>
      </c>
      <c r="P300" s="18" t="str">
        <f>[26]Performance!O15</f>
        <v>Merchants</v>
      </c>
      <c r="Q300" s="18">
        <f>[26]Performance!P15</f>
        <v>1</v>
      </c>
      <c r="R300" s="18">
        <f>[26]Performance!Q15</f>
        <v>0.8</v>
      </c>
    </row>
    <row r="301" spans="1:18" x14ac:dyDescent="0.3">
      <c r="A301">
        <f>[26]Attendance!C32</f>
        <v>509638</v>
      </c>
      <c r="B301" t="str">
        <f>'[26]Student Data'!G16</f>
        <v>Nesting 3</v>
      </c>
      <c r="C301" s="10" t="str">
        <f>[26]Reporting!F15</f>
        <v>Alexis Diata  Kalala</v>
      </c>
      <c r="D301" s="35" cm="1">
        <f t="array" ref="D301">--(SUM(COUNTIF(B301,{"*nest*","*grad*","*trans*","*1B*","*1C*"}))&gt;0)</f>
        <v>1</v>
      </c>
      <c r="E301" s="18">
        <f>[26]Performance!X16</f>
        <v>1</v>
      </c>
      <c r="F301" s="18">
        <f>[26]Performance!Y16</f>
        <v>1</v>
      </c>
      <c r="G301" s="18">
        <f>[26]Performance!Z16</f>
        <v>0.86</v>
      </c>
      <c r="H301" s="18">
        <f>[26]Performance!AA16</f>
        <v>1</v>
      </c>
      <c r="I301" s="18">
        <f>[26]Performance!AB16</f>
        <v>0.93</v>
      </c>
      <c r="J301" s="18" t="str">
        <f>[26]Performance!I16</f>
        <v>Merchants</v>
      </c>
      <c r="K301" s="18" t="str">
        <f>[26]Performance!J16</f>
        <v>NA</v>
      </c>
      <c r="L301" s="18" t="str">
        <f>[26]Performance!K16</f>
        <v>NA</v>
      </c>
      <c r="M301" s="18" t="str">
        <f>[26]Performance!L16</f>
        <v>NA</v>
      </c>
      <c r="N301" s="18" t="str">
        <f>[26]Performance!M16</f>
        <v>NA</v>
      </c>
      <c r="O301" s="18" t="str">
        <f>[26]Performance!N16</f>
        <v>NA</v>
      </c>
      <c r="P301" s="18" t="str">
        <f>[26]Performance!O16</f>
        <v>Merchants</v>
      </c>
      <c r="Q301" s="18">
        <f>[26]Performance!P16</f>
        <v>0.88</v>
      </c>
      <c r="R301" s="18">
        <f>[26]Performance!Q16</f>
        <v>1</v>
      </c>
    </row>
    <row r="302" spans="1:18" x14ac:dyDescent="0.3">
      <c r="A302">
        <f>[26]Attendance!C33</f>
        <v>509522</v>
      </c>
      <c r="B302" t="str">
        <f>'[26]Student Data'!G17</f>
        <v>Nesting 3</v>
      </c>
      <c r="C302" s="10" t="str">
        <f>[26]Reporting!F16</f>
        <v>Bahati Samuel Kandolo</v>
      </c>
      <c r="D302" s="35" cm="1">
        <f t="array" ref="D302">--(SUM(COUNTIF(B302,{"*nest*","*grad*","*trans*","*1B*","*1C*"}))&gt;0)</f>
        <v>1</v>
      </c>
      <c r="E302" s="18">
        <f>[26]Performance!X17</f>
        <v>1</v>
      </c>
      <c r="F302" s="18">
        <f>[26]Performance!Y17</f>
        <v>1</v>
      </c>
      <c r="G302" s="18">
        <f>[26]Performance!Z17</f>
        <v>0.92</v>
      </c>
      <c r="H302" s="18">
        <f>[26]Performance!AA17</f>
        <v>1</v>
      </c>
      <c r="I302" s="18">
        <f>[26]Performance!AB17</f>
        <v>0.9</v>
      </c>
      <c r="J302" s="18" t="str">
        <f>[26]Performance!I17</f>
        <v>Merchants</v>
      </c>
      <c r="K302" s="18" t="str">
        <f>[26]Performance!J17</f>
        <v>NA</v>
      </c>
      <c r="L302" s="18" t="str">
        <f>[26]Performance!K17</f>
        <v>NA</v>
      </c>
      <c r="M302" s="18" t="str">
        <f>[26]Performance!L17</f>
        <v>NA</v>
      </c>
      <c r="N302" s="18" t="str">
        <f>[26]Performance!M17</f>
        <v>NA</v>
      </c>
      <c r="O302" s="18" t="str">
        <f>[26]Performance!N17</f>
        <v>NA</v>
      </c>
      <c r="P302" s="18" t="str">
        <f>[26]Performance!O17</f>
        <v>Merchants</v>
      </c>
      <c r="Q302" s="18">
        <f>[26]Performance!P17</f>
        <v>1</v>
      </c>
      <c r="R302" s="18">
        <f>[26]Performance!Q17</f>
        <v>0.8</v>
      </c>
    </row>
    <row r="303" spans="1:18" x14ac:dyDescent="0.3">
      <c r="A303">
        <f>[26]Attendance!C34</f>
        <v>509486</v>
      </c>
      <c r="B303" t="str">
        <f>'[26]Student Data'!G18</f>
        <v>LOA</v>
      </c>
      <c r="C303" s="10" t="str">
        <f>[26]Reporting!F17</f>
        <v>Mvita Hortense Kabanyishi</v>
      </c>
      <c r="D303" s="35" cm="1">
        <f t="array" ref="D303">--(SUM(COUNTIF(B303,{"*nest*","*grad*","*trans*","*1B*","*1C*"}))&gt;0)</f>
        <v>0</v>
      </c>
      <c r="E303" s="18">
        <f>[26]Performance!X18</f>
        <v>1</v>
      </c>
      <c r="F303" s="18">
        <f>[26]Performance!Y18</f>
        <v>1</v>
      </c>
      <c r="G303" s="18">
        <f>[26]Performance!Z18</f>
        <v>0.89</v>
      </c>
      <c r="H303" s="18">
        <f>[26]Performance!AA18</f>
        <v>0.8</v>
      </c>
      <c r="I303" s="18">
        <f>[26]Performance!AB18</f>
        <v>1</v>
      </c>
      <c r="J303" s="18" t="str">
        <f>[26]Performance!I18</f>
        <v>Merchants</v>
      </c>
      <c r="K303" s="18" t="str">
        <f>[26]Performance!J18</f>
        <v>NA</v>
      </c>
      <c r="L303" s="18" t="str">
        <f>[26]Performance!K18</f>
        <v>NA</v>
      </c>
      <c r="M303" s="18" t="str">
        <f>[26]Performance!L18</f>
        <v>NA</v>
      </c>
      <c r="N303" s="18" t="str">
        <f>[26]Performance!M18</f>
        <v>NA</v>
      </c>
      <c r="O303" s="18" t="str">
        <f>[26]Performance!N18</f>
        <v>NA</v>
      </c>
      <c r="P303" s="18" t="str">
        <f>[26]Performance!O18</f>
        <v>Merchants</v>
      </c>
      <c r="Q303" s="18">
        <f>[26]Performance!P18</f>
        <v>0.88</v>
      </c>
      <c r="R303" s="18">
        <f>[26]Performance!Q18</f>
        <v>1</v>
      </c>
    </row>
    <row r="304" spans="1:18" x14ac:dyDescent="0.3">
      <c r="A304">
        <f>[26]Attendance!C35</f>
        <v>509490</v>
      </c>
      <c r="B304" t="str">
        <f>'[26]Student Data'!G19</f>
        <v>Nesting 3</v>
      </c>
      <c r="C304" s="10" t="str">
        <f>[26]Reporting!F18</f>
        <v>Kateba Virginie Lumanya</v>
      </c>
      <c r="D304" s="35" cm="1">
        <f t="array" ref="D304">--(SUM(COUNTIF(B304,{"*nest*","*grad*","*trans*","*1B*","*1C*"}))&gt;0)</f>
        <v>1</v>
      </c>
      <c r="E304" s="18">
        <f>[26]Performance!X19</f>
        <v>1</v>
      </c>
      <c r="F304" s="18">
        <f>[26]Performance!Y19</f>
        <v>1</v>
      </c>
      <c r="G304" s="18">
        <f>[26]Performance!Z19</f>
        <v>0.84</v>
      </c>
      <c r="H304" s="18">
        <f>[26]Performance!AA19</f>
        <v>0.8</v>
      </c>
      <c r="I304" s="18">
        <f>[26]Performance!AB19</f>
        <v>0.8</v>
      </c>
      <c r="J304" s="18" t="str">
        <f>[26]Performance!I19</f>
        <v>Merchants</v>
      </c>
      <c r="K304" s="18" t="str">
        <f>[26]Performance!J19</f>
        <v>NA</v>
      </c>
      <c r="L304" s="18" t="str">
        <f>[26]Performance!K19</f>
        <v>NA</v>
      </c>
      <c r="M304" s="18" t="str">
        <f>[26]Performance!L19</f>
        <v>NA</v>
      </c>
      <c r="N304" s="18" t="str">
        <f>[26]Performance!M19</f>
        <v>NA</v>
      </c>
      <c r="O304" s="18" t="str">
        <f>[26]Performance!N19</f>
        <v>NA</v>
      </c>
      <c r="P304" s="18" t="str">
        <f>[26]Performance!O19</f>
        <v>Merchants</v>
      </c>
      <c r="Q304" s="18">
        <f>[26]Performance!P19</f>
        <v>1</v>
      </c>
      <c r="R304" s="18">
        <f>[26]Performance!Q19</f>
        <v>1</v>
      </c>
    </row>
    <row r="305" spans="1:18" ht="13.95" customHeight="1" x14ac:dyDescent="0.3">
      <c r="A305" s="8" t="s">
        <v>59</v>
      </c>
      <c r="B305" s="44" t="s">
        <v>40</v>
      </c>
      <c r="C305" s="44" t="s">
        <v>60</v>
      </c>
      <c r="D305" s="43">
        <f>SUM(D306:D320)</f>
        <v>14</v>
      </c>
      <c r="E305" s="43">
        <f>COUNTIF(E306:E323, "&gt;79%")</f>
        <v>16</v>
      </c>
      <c r="F305" s="43">
        <f t="shared" ref="F305:R305" si="23">COUNTIF(F306:F323, "&gt;79%")</f>
        <v>16</v>
      </c>
      <c r="G305" s="43">
        <f t="shared" si="23"/>
        <v>15</v>
      </c>
      <c r="H305" s="43">
        <f t="shared" si="23"/>
        <v>16</v>
      </c>
      <c r="I305" s="43">
        <f t="shared" si="23"/>
        <v>15</v>
      </c>
      <c r="J305" s="43">
        <f t="shared" si="23"/>
        <v>0</v>
      </c>
      <c r="K305" s="43">
        <f t="shared" si="23"/>
        <v>0</v>
      </c>
      <c r="L305" s="43">
        <f t="shared" si="23"/>
        <v>0</v>
      </c>
      <c r="M305" s="43">
        <f t="shared" si="23"/>
        <v>0</v>
      </c>
      <c r="N305" s="43">
        <f t="shared" si="23"/>
        <v>0</v>
      </c>
      <c r="O305" s="43">
        <f t="shared" si="23"/>
        <v>0</v>
      </c>
      <c r="P305" s="43">
        <f t="shared" si="23"/>
        <v>0</v>
      </c>
      <c r="Q305" s="43">
        <f t="shared" si="23"/>
        <v>16</v>
      </c>
      <c r="R305" s="43">
        <f t="shared" si="23"/>
        <v>16</v>
      </c>
    </row>
    <row r="306" spans="1:18" x14ac:dyDescent="0.3">
      <c r="A306">
        <f>'[27]Student Data'!O5</f>
        <v>509719</v>
      </c>
      <c r="B306" t="str">
        <f>[27]Reporting!C4</f>
        <v>Nesting 3</v>
      </c>
      <c r="C306" s="10" t="str">
        <f>[27]Reporting!F4</f>
        <v xml:space="preserve">Mpania  Kasongo </v>
      </c>
      <c r="D306" s="35" cm="1">
        <f t="array" ref="D306">--(SUM(COUNTIF(B306,{"*nest*","*grad*","*trans*","*1B*","*1C*"}))&gt;0)</f>
        <v>1</v>
      </c>
      <c r="E306" s="18">
        <f>[27]Performance!X5</f>
        <v>1</v>
      </c>
      <c r="F306" s="18">
        <f>[27]Performance!Y5</f>
        <v>1</v>
      </c>
      <c r="G306" s="18">
        <f>[27]Performance!Z5</f>
        <v>0.9</v>
      </c>
      <c r="H306" s="18">
        <f>[27]Performance!AA5</f>
        <v>0.8</v>
      </c>
      <c r="I306" s="18">
        <f>[27]Performance!AB5</f>
        <v>0.9</v>
      </c>
      <c r="J306" s="18" t="str">
        <f>[27]Performance!I5</f>
        <v>Merchants</v>
      </c>
      <c r="K306" s="18" t="str">
        <f>[27]Performance!J5</f>
        <v>Merchants</v>
      </c>
      <c r="L306" s="18" t="str">
        <f>[27]Performance!K5</f>
        <v>Merchants</v>
      </c>
      <c r="M306" s="18" t="str">
        <f>[27]Performance!L5</f>
        <v>Merchants</v>
      </c>
      <c r="N306" s="18" t="str">
        <f>[27]Performance!M5</f>
        <v>Merchants</v>
      </c>
      <c r="O306" s="18" t="str">
        <f>[27]Performance!N5</f>
        <v>Merchants</v>
      </c>
      <c r="P306" s="18" t="str">
        <f>[27]Performance!O5</f>
        <v>Merchants</v>
      </c>
      <c r="Q306" s="18">
        <f>[27]Performance!P5</f>
        <v>1</v>
      </c>
      <c r="R306" s="18">
        <f>[27]Performance!Q5</f>
        <v>0.8</v>
      </c>
    </row>
    <row r="307" spans="1:18" x14ac:dyDescent="0.3">
      <c r="A307">
        <f>'[27]Student Data'!O6</f>
        <v>509726</v>
      </c>
      <c r="B307" t="str">
        <f>[27]Reporting!C5</f>
        <v>Nesting 3</v>
      </c>
      <c r="C307" s="10" t="str">
        <f>[27]Reporting!F5</f>
        <v>Joel Kunda  Mukuna</v>
      </c>
      <c r="D307" s="35" cm="1">
        <f t="array" ref="D307">--(SUM(COUNTIF(B307,{"*nest*","*grad*","*trans*","*1B*","*1C*"}))&gt;0)</f>
        <v>1</v>
      </c>
      <c r="E307" s="18">
        <f>[27]Performance!X6</f>
        <v>1</v>
      </c>
      <c r="F307" s="18">
        <f>[27]Performance!Y6</f>
        <v>1</v>
      </c>
      <c r="G307" s="18">
        <f>[27]Performance!Z6</f>
        <v>0.95</v>
      </c>
      <c r="H307" s="18">
        <f>[27]Performance!AA6</f>
        <v>0.8</v>
      </c>
      <c r="I307" s="18">
        <f>[27]Performance!AB6</f>
        <v>0.95</v>
      </c>
      <c r="J307" s="18" t="str">
        <f>[27]Performance!I6</f>
        <v>Merchants</v>
      </c>
      <c r="K307" s="18" t="str">
        <f>[27]Performance!J6</f>
        <v>Merchants</v>
      </c>
      <c r="L307" s="18" t="str">
        <f>[27]Performance!K6</f>
        <v>Merchants</v>
      </c>
      <c r="M307" s="18" t="str">
        <f>[27]Performance!L6</f>
        <v>Merchants</v>
      </c>
      <c r="N307" s="18" t="str">
        <f>[27]Performance!M6</f>
        <v>Merchants</v>
      </c>
      <c r="O307" s="18" t="str">
        <f>[27]Performance!N6</f>
        <v>Merchants</v>
      </c>
      <c r="P307" s="18" t="str">
        <f>[27]Performance!O6</f>
        <v>Merchants</v>
      </c>
      <c r="Q307" s="18">
        <f>[27]Performance!P6</f>
        <v>1</v>
      </c>
      <c r="R307" s="18">
        <f>[27]Performance!Q6</f>
        <v>1</v>
      </c>
    </row>
    <row r="308" spans="1:18" x14ac:dyDescent="0.3">
      <c r="A308">
        <f>'[27]Student Data'!O7</f>
        <v>509717</v>
      </c>
      <c r="B308" t="str">
        <f>[27]Reporting!C6</f>
        <v>Nesting 3</v>
      </c>
      <c r="C308" s="10" t="str">
        <f>[27]Reporting!F6</f>
        <v>Cledia Kamanda</v>
      </c>
      <c r="D308" s="35" cm="1">
        <f t="array" ref="D308">--(SUM(COUNTIF(B308,{"*nest*","*grad*","*trans*","*1B*","*1C*"}))&gt;0)</f>
        <v>1</v>
      </c>
      <c r="E308" s="18">
        <f>[27]Performance!X7</f>
        <v>1</v>
      </c>
      <c r="F308" s="18">
        <f>[27]Performance!Y7</f>
        <v>1</v>
      </c>
      <c r="G308" s="18">
        <f>[27]Performance!Z7</f>
        <v>0.86</v>
      </c>
      <c r="H308" s="18">
        <f>[27]Performance!AA7</f>
        <v>0.8</v>
      </c>
      <c r="I308" s="18">
        <f>[27]Performance!AB7</f>
        <v>1</v>
      </c>
      <c r="J308" s="18" t="str">
        <f>[27]Performance!I7</f>
        <v>Merchants</v>
      </c>
      <c r="K308" s="18" t="str">
        <f>[27]Performance!J7</f>
        <v>Merchants</v>
      </c>
      <c r="L308" s="18" t="str">
        <f>[27]Performance!K7</f>
        <v>Merchants</v>
      </c>
      <c r="M308" s="18" t="str">
        <f>[27]Performance!L7</f>
        <v>Merchants</v>
      </c>
      <c r="N308" s="18" t="str">
        <f>[27]Performance!M7</f>
        <v>Merchants</v>
      </c>
      <c r="O308" s="18" t="str">
        <f>[27]Performance!N7</f>
        <v>Merchants</v>
      </c>
      <c r="P308" s="18" t="str">
        <f>[27]Performance!O7</f>
        <v>Merchants</v>
      </c>
      <c r="Q308" s="18">
        <f>[27]Performance!P7</f>
        <v>1</v>
      </c>
      <c r="R308" s="18">
        <f>[27]Performance!Q7</f>
        <v>1</v>
      </c>
    </row>
    <row r="309" spans="1:18" x14ac:dyDescent="0.3">
      <c r="A309">
        <f>'[27]Student Data'!O8</f>
        <v>509727</v>
      </c>
      <c r="B309" t="str">
        <f>[27]Reporting!C7</f>
        <v>Nesting 3</v>
      </c>
      <c r="C309" s="10" t="str">
        <f>[27]Reporting!F7</f>
        <v>Gad Kizing Musema</v>
      </c>
      <c r="D309" s="35" cm="1">
        <f t="array" ref="D309">--(SUM(COUNTIF(B309,{"*nest*","*grad*","*trans*","*1B*","*1C*"}))&gt;0)</f>
        <v>1</v>
      </c>
      <c r="E309" s="18">
        <f>[27]Performance!X8</f>
        <v>1</v>
      </c>
      <c r="F309" s="18">
        <f>[27]Performance!Y8</f>
        <v>1</v>
      </c>
      <c r="G309" s="18">
        <f>[27]Performance!Z8</f>
        <v>1</v>
      </c>
      <c r="H309" s="18">
        <f>[27]Performance!AA8</f>
        <v>1</v>
      </c>
      <c r="I309" s="18">
        <f>[27]Performance!AB8</f>
        <v>0.8</v>
      </c>
      <c r="J309" s="18" t="str">
        <f>[27]Performance!I8</f>
        <v>Merchants</v>
      </c>
      <c r="K309" s="18" t="str">
        <f>[27]Performance!J8</f>
        <v>Merchants</v>
      </c>
      <c r="L309" s="18" t="str">
        <f>[27]Performance!K8</f>
        <v>Merchants</v>
      </c>
      <c r="M309" s="18" t="str">
        <f>[27]Performance!L8</f>
        <v>Merchants</v>
      </c>
      <c r="N309" s="18" t="str">
        <f>[27]Performance!M8</f>
        <v>Merchants</v>
      </c>
      <c r="O309" s="18" t="str">
        <f>[27]Performance!N8</f>
        <v>Merchants</v>
      </c>
      <c r="P309" s="18" t="str">
        <f>[27]Performance!O8</f>
        <v>Merchants</v>
      </c>
      <c r="Q309" s="18">
        <f>[27]Performance!P8</f>
        <v>0.88</v>
      </c>
      <c r="R309" s="18">
        <f>[27]Performance!Q8</f>
        <v>1</v>
      </c>
    </row>
    <row r="310" spans="1:18" x14ac:dyDescent="0.3">
      <c r="A310">
        <f>'[27]Student Data'!O9</f>
        <v>509718</v>
      </c>
      <c r="B310" t="str">
        <f>[27]Reporting!C8</f>
        <v>Nesting 3</v>
      </c>
      <c r="C310" s="10" t="str">
        <f>[27]Reporting!F8</f>
        <v>Roland Kamanga  Mayombo</v>
      </c>
      <c r="D310" s="35" cm="1">
        <f t="array" ref="D310">--(SUM(COUNTIF(B310,{"*nest*","*grad*","*trans*","*1B*","*1C*"}))&gt;0)</f>
        <v>1</v>
      </c>
      <c r="E310" s="18">
        <f>[27]Performance!X9</f>
        <v>1</v>
      </c>
      <c r="F310" s="18">
        <f>[27]Performance!Y9</f>
        <v>1</v>
      </c>
      <c r="G310" s="18">
        <f>[27]Performance!Z9</f>
        <v>0.96</v>
      </c>
      <c r="H310" s="18">
        <f>[27]Performance!AA9</f>
        <v>0.8</v>
      </c>
      <c r="I310" s="18">
        <f>[27]Performance!AB9</f>
        <v>0.9</v>
      </c>
      <c r="J310" s="18" t="str">
        <f>[27]Performance!I9</f>
        <v>Merchants</v>
      </c>
      <c r="K310" s="18" t="str">
        <f>[27]Performance!J9</f>
        <v>Merchants</v>
      </c>
      <c r="L310" s="18" t="str">
        <f>[27]Performance!K9</f>
        <v>Merchants</v>
      </c>
      <c r="M310" s="18" t="str">
        <f>[27]Performance!L9</f>
        <v>Merchants</v>
      </c>
      <c r="N310" s="18" t="str">
        <f>[27]Performance!M9</f>
        <v>Merchants</v>
      </c>
      <c r="O310" s="18" t="str">
        <f>[27]Performance!N9</f>
        <v>Merchants</v>
      </c>
      <c r="P310" s="18" t="str">
        <f>[27]Performance!O9</f>
        <v>Merchants</v>
      </c>
      <c r="Q310" s="18">
        <f>[27]Performance!P9</f>
        <v>0.88</v>
      </c>
      <c r="R310" s="18">
        <f>[27]Performance!Q9</f>
        <v>0.8</v>
      </c>
    </row>
    <row r="311" spans="1:18" x14ac:dyDescent="0.3">
      <c r="A311">
        <f>'[27]Student Data'!O10</f>
        <v>509720</v>
      </c>
      <c r="B311" t="str">
        <f>[27]Reporting!C9</f>
        <v>Resigned Tier 1A</v>
      </c>
      <c r="C311" s="10" t="str">
        <f>[27]Reporting!F9</f>
        <v xml:space="preserve">Matthieu Kanagila  Matumba </v>
      </c>
      <c r="D311" s="35" cm="1">
        <f t="array" ref="D311">--(SUM(COUNTIF(B311,{"*nest*","*grad*","*trans*","*1B*","*1C*"}))&gt;0)</f>
        <v>0</v>
      </c>
      <c r="E311" s="18">
        <f>[27]Performance!X10</f>
        <v>1</v>
      </c>
      <c r="F311" s="18">
        <f>[27]Performance!Y10</f>
        <v>1</v>
      </c>
      <c r="G311" s="18" t="str">
        <f>[27]Performance!Z10</f>
        <v>NLE</v>
      </c>
      <c r="H311" s="18">
        <f>[27]Performance!AA10</f>
        <v>0.8</v>
      </c>
      <c r="I311" s="18" t="str">
        <f>[27]Performance!AB10</f>
        <v>NLE</v>
      </c>
      <c r="J311" s="18" t="str">
        <f>[27]Performance!I10</f>
        <v>Merchants</v>
      </c>
      <c r="K311" s="18" t="str">
        <f>[27]Performance!J10</f>
        <v>Merchants</v>
      </c>
      <c r="L311" s="18" t="str">
        <f>[27]Performance!K10</f>
        <v>Merchants</v>
      </c>
      <c r="M311" s="18" t="str">
        <f>[27]Performance!L10</f>
        <v>Merchants</v>
      </c>
      <c r="N311" s="18" t="str">
        <f>[27]Performance!M10</f>
        <v>Merchants</v>
      </c>
      <c r="O311" s="18" t="str">
        <f>[27]Performance!N10</f>
        <v>Merchants</v>
      </c>
      <c r="P311" s="18" t="str">
        <f>[27]Performance!O10</f>
        <v>Merchants</v>
      </c>
      <c r="Q311" s="18">
        <f>[27]Performance!P10</f>
        <v>1</v>
      </c>
      <c r="R311" s="18">
        <f>[27]Performance!Q10</f>
        <v>1</v>
      </c>
    </row>
    <row r="312" spans="1:18" x14ac:dyDescent="0.3">
      <c r="A312">
        <f>'[27]Student Data'!O11</f>
        <v>509728</v>
      </c>
      <c r="B312" t="str">
        <f>[27]Reporting!C10</f>
        <v>Nesting 3</v>
      </c>
      <c r="C312" s="10" t="str">
        <f>[27]Reporting!F10</f>
        <v>Georgiana  Mwambay</v>
      </c>
      <c r="D312" s="35" cm="1">
        <f t="array" ref="D312">--(SUM(COUNTIF(B312,{"*nest*","*grad*","*trans*","*1B*","*1C*"}))&gt;0)</f>
        <v>1</v>
      </c>
      <c r="E312" s="18">
        <f>[27]Performance!X11</f>
        <v>0</v>
      </c>
      <c r="F312" s="18">
        <f>[27]Performance!Y11</f>
        <v>0</v>
      </c>
      <c r="G312" s="18">
        <f>[27]Performance!Z11</f>
        <v>0</v>
      </c>
      <c r="H312" s="18">
        <f>[27]Performance!AA11</f>
        <v>0</v>
      </c>
      <c r="I312" s="18">
        <f>[27]Performance!AB11</f>
        <v>0</v>
      </c>
      <c r="J312" s="18" t="str">
        <f>[27]Performance!I11</f>
        <v>Merchants</v>
      </c>
      <c r="K312" s="18" t="str">
        <f>[27]Performance!J11</f>
        <v>Merchants</v>
      </c>
      <c r="L312" s="18" t="str">
        <f>[27]Performance!K11</f>
        <v>Merchants</v>
      </c>
      <c r="M312" s="18" t="str">
        <f>[27]Performance!L11</f>
        <v>Merchants</v>
      </c>
      <c r="N312" s="18" t="str">
        <f>[27]Performance!M11</f>
        <v>Merchants</v>
      </c>
      <c r="O312" s="18" t="str">
        <f>[27]Performance!N11</f>
        <v>Merchants</v>
      </c>
      <c r="P312" s="18" t="str">
        <f>[27]Performance!O11</f>
        <v>Merchants</v>
      </c>
      <c r="Q312" s="18">
        <f>[27]Performance!P11</f>
        <v>0</v>
      </c>
      <c r="R312" s="18">
        <f>[27]Performance!Q11</f>
        <v>0</v>
      </c>
    </row>
    <row r="313" spans="1:18" x14ac:dyDescent="0.3">
      <c r="A313">
        <f>'[27]Student Data'!O12</f>
        <v>509735</v>
      </c>
      <c r="B313" t="str">
        <f>[27]Reporting!C11</f>
        <v>Nesting 3</v>
      </c>
      <c r="C313" s="10" t="str">
        <f>[27]Reporting!F11</f>
        <v>Robert  Van Heerden</v>
      </c>
      <c r="D313" s="35" cm="1">
        <f t="array" ref="D313">--(SUM(COUNTIF(B313,{"*nest*","*grad*","*trans*","*1B*","*1C*"}))&gt;0)</f>
        <v>1</v>
      </c>
      <c r="E313" s="18">
        <f>[27]Performance!X12</f>
        <v>1</v>
      </c>
      <c r="F313" s="18">
        <f>[27]Performance!Y12</f>
        <v>1</v>
      </c>
      <c r="G313" s="18">
        <f>[27]Performance!Z12</f>
        <v>0.94</v>
      </c>
      <c r="H313" s="18">
        <f>[27]Performance!AA12</f>
        <v>0.8</v>
      </c>
      <c r="I313" s="18">
        <f>[27]Performance!AB12</f>
        <v>0.95</v>
      </c>
      <c r="J313" s="18" t="str">
        <f>[27]Performance!I12</f>
        <v>Merchants</v>
      </c>
      <c r="K313" s="18" t="str">
        <f>[27]Performance!J12</f>
        <v>Merchants</v>
      </c>
      <c r="L313" s="18" t="str">
        <f>[27]Performance!K12</f>
        <v>Merchants</v>
      </c>
      <c r="M313" s="18" t="str">
        <f>[27]Performance!L12</f>
        <v>Merchants</v>
      </c>
      <c r="N313" s="18" t="str">
        <f>[27]Performance!M12</f>
        <v>Merchants</v>
      </c>
      <c r="O313" s="18" t="str">
        <f>[27]Performance!N12</f>
        <v>Merchants</v>
      </c>
      <c r="P313" s="18" t="str">
        <f>[27]Performance!O12</f>
        <v>Merchants</v>
      </c>
      <c r="Q313" s="18">
        <f>[27]Performance!P12</f>
        <v>0.88</v>
      </c>
      <c r="R313" s="18">
        <f>[27]Performance!Q12</f>
        <v>0.8</v>
      </c>
    </row>
    <row r="314" spans="1:18" x14ac:dyDescent="0.3">
      <c r="A314">
        <f>'[27]Student Data'!O13</f>
        <v>509734</v>
      </c>
      <c r="B314" t="str">
        <f>[27]Reporting!C12</f>
        <v>Nesting 3</v>
      </c>
      <c r="C314" s="10" t="str">
        <f>[27]Reporting!F12</f>
        <v>Thembelihle  Madonsela</v>
      </c>
      <c r="D314" s="35" cm="1">
        <f t="array" ref="D314">--(SUM(COUNTIF(B314,{"*nest*","*grad*","*trans*","*1B*","*1C*"}))&gt;0)</f>
        <v>1</v>
      </c>
      <c r="E314" s="18">
        <f>[27]Performance!X13</f>
        <v>1</v>
      </c>
      <c r="F314" s="18">
        <f>[27]Performance!Y13</f>
        <v>1</v>
      </c>
      <c r="G314" s="18">
        <f>[27]Performance!Z13</f>
        <v>1</v>
      </c>
      <c r="H314" s="18">
        <f>[27]Performance!AA13</f>
        <v>1</v>
      </c>
      <c r="I314" s="18">
        <f>[27]Performance!AB13</f>
        <v>0.99</v>
      </c>
      <c r="J314" s="18" t="str">
        <f>[27]Performance!I13</f>
        <v>Merchants</v>
      </c>
      <c r="K314" s="18" t="str">
        <f>[27]Performance!J13</f>
        <v>Merchants</v>
      </c>
      <c r="L314" s="18" t="str">
        <f>[27]Performance!K13</f>
        <v>Merchants</v>
      </c>
      <c r="M314" s="18" t="str">
        <f>[27]Performance!L13</f>
        <v>Merchants</v>
      </c>
      <c r="N314" s="18" t="str">
        <f>[27]Performance!M13</f>
        <v>Merchants</v>
      </c>
      <c r="O314" s="18" t="str">
        <f>[27]Performance!N13</f>
        <v>Merchants</v>
      </c>
      <c r="P314" s="18" t="str">
        <f>[27]Performance!O13</f>
        <v>Merchants</v>
      </c>
      <c r="Q314" s="18">
        <f>[27]Performance!P13</f>
        <v>1</v>
      </c>
      <c r="R314" s="18">
        <f>[27]Performance!Q13</f>
        <v>0.8</v>
      </c>
    </row>
    <row r="315" spans="1:18" x14ac:dyDescent="0.3">
      <c r="A315">
        <f>'[27]Student Data'!O14</f>
        <v>509737</v>
      </c>
      <c r="B315" t="str">
        <f>[27]Reporting!C13</f>
        <v>Nesting 3</v>
      </c>
      <c r="C315" s="10" t="str">
        <f>[27]Reporting!F13</f>
        <v>Mbalenhle  Ngcobo</v>
      </c>
      <c r="D315" s="35" cm="1">
        <f t="array" ref="D315">--(SUM(COUNTIF(B315,{"*nest*","*grad*","*trans*","*1B*","*1C*"}))&gt;0)</f>
        <v>1</v>
      </c>
      <c r="E315" s="18">
        <f>[27]Performance!X14</f>
        <v>0</v>
      </c>
      <c r="F315" s="18">
        <f>[27]Performance!Y14</f>
        <v>0</v>
      </c>
      <c r="G315" s="18">
        <f>[27]Performance!Z14</f>
        <v>0</v>
      </c>
      <c r="H315" s="18">
        <f>[27]Performance!AA14</f>
        <v>0</v>
      </c>
      <c r="I315" s="18">
        <f>[27]Performance!AB14</f>
        <v>0</v>
      </c>
      <c r="J315" s="18" t="str">
        <f>[27]Performance!I14</f>
        <v>Merchants</v>
      </c>
      <c r="K315" s="18" t="str">
        <f>[27]Performance!J14</f>
        <v>Merchants</v>
      </c>
      <c r="L315" s="18" t="str">
        <f>[27]Performance!K14</f>
        <v>Merchants</v>
      </c>
      <c r="M315" s="18" t="str">
        <f>[27]Performance!L14</f>
        <v>Merchants</v>
      </c>
      <c r="N315" s="18" t="str">
        <f>[27]Performance!M14</f>
        <v>Merchants</v>
      </c>
      <c r="O315" s="18" t="str">
        <f>[27]Performance!N14</f>
        <v>Merchants</v>
      </c>
      <c r="P315" s="18" t="str">
        <f>[27]Performance!O14</f>
        <v>Merchants</v>
      </c>
      <c r="Q315" s="18">
        <f>[27]Performance!P14</f>
        <v>0</v>
      </c>
      <c r="R315" s="18">
        <f>[27]Performance!Q14</f>
        <v>0</v>
      </c>
    </row>
    <row r="316" spans="1:18" x14ac:dyDescent="0.3">
      <c r="A316">
        <f>'[27]Student Data'!O15</f>
        <v>509738</v>
      </c>
      <c r="B316" t="str">
        <f>[27]Reporting!C14</f>
        <v>Nesting 3</v>
      </c>
      <c r="C316" s="10" t="str">
        <f>[27]Reporting!F14</f>
        <v>Adora Emmanuel Ogbeide</v>
      </c>
      <c r="D316" s="35" cm="1">
        <f t="array" ref="D316">--(SUM(COUNTIF(B316,{"*nest*","*grad*","*trans*","*1B*","*1C*"}))&gt;0)</f>
        <v>1</v>
      </c>
      <c r="E316" s="18">
        <f>[27]Performance!X15</f>
        <v>1</v>
      </c>
      <c r="F316" s="18">
        <f>[27]Performance!Y15</f>
        <v>1</v>
      </c>
      <c r="G316" s="18">
        <f>[27]Performance!Z15</f>
        <v>1</v>
      </c>
      <c r="H316" s="18">
        <f>[27]Performance!AA15</f>
        <v>0.8</v>
      </c>
      <c r="I316" s="18">
        <f>[27]Performance!AB15</f>
        <v>0.83</v>
      </c>
      <c r="J316" s="18" t="str">
        <f>[27]Performance!I15</f>
        <v>Merchants</v>
      </c>
      <c r="K316" s="18" t="str">
        <f>[27]Performance!J15</f>
        <v>Merchants</v>
      </c>
      <c r="L316" s="18" t="str">
        <f>[27]Performance!K15</f>
        <v>Merchants</v>
      </c>
      <c r="M316" s="18" t="str">
        <f>[27]Performance!L15</f>
        <v>Merchants</v>
      </c>
      <c r="N316" s="18" t="str">
        <f>[27]Performance!M15</f>
        <v>Merchants</v>
      </c>
      <c r="O316" s="18" t="str">
        <f>[27]Performance!N15</f>
        <v>Merchants</v>
      </c>
      <c r="P316" s="18" t="str">
        <f>[27]Performance!O15</f>
        <v>Merchants</v>
      </c>
      <c r="Q316" s="18">
        <f>[27]Performance!P15</f>
        <v>1</v>
      </c>
      <c r="R316" s="18">
        <f>[27]Performance!Q15</f>
        <v>1</v>
      </c>
    </row>
    <row r="317" spans="1:18" x14ac:dyDescent="0.3">
      <c r="A317">
        <f>'[27]Student Data'!O16</f>
        <v>509751</v>
      </c>
      <c r="B317" t="str">
        <f>[27]Reporting!C15</f>
        <v>Nesting 3</v>
      </c>
      <c r="C317" s="10" t="str">
        <f>[27]Reporting!F15</f>
        <v>Siyasanga  Seya</v>
      </c>
      <c r="D317" s="35" cm="1">
        <f t="array" ref="D317">--(SUM(COUNTIF(B317,{"*nest*","*grad*","*trans*","*1B*","*1C*"}))&gt;0)</f>
        <v>1</v>
      </c>
      <c r="E317" s="18">
        <f>[27]Performance!X16</f>
        <v>1</v>
      </c>
      <c r="F317" s="18">
        <f>[27]Performance!Y16</f>
        <v>1</v>
      </c>
      <c r="G317" s="18">
        <f>[27]Performance!Z16</f>
        <v>0.89</v>
      </c>
      <c r="H317" s="18">
        <f>[27]Performance!AA16</f>
        <v>0.8</v>
      </c>
      <c r="I317" s="18">
        <f>[27]Performance!AB16</f>
        <v>0.95</v>
      </c>
      <c r="J317" s="18" t="str">
        <f>[27]Performance!I16</f>
        <v>Merchants</v>
      </c>
      <c r="K317" s="18" t="str">
        <f>[27]Performance!J16</f>
        <v>Merchants</v>
      </c>
      <c r="L317" s="18" t="str">
        <f>[27]Performance!K16</f>
        <v>Merchants</v>
      </c>
      <c r="M317" s="18" t="str">
        <f>[27]Performance!L16</f>
        <v>Merchants</v>
      </c>
      <c r="N317" s="18" t="str">
        <f>[27]Performance!M16</f>
        <v>Merchants</v>
      </c>
      <c r="O317" s="18" t="str">
        <f>[27]Performance!N16</f>
        <v>Merchants</v>
      </c>
      <c r="P317" s="18" t="str">
        <f>[27]Performance!O16</f>
        <v>Merchants</v>
      </c>
      <c r="Q317" s="18">
        <f>[27]Performance!P16</f>
        <v>1</v>
      </c>
      <c r="R317" s="18">
        <f>[27]Performance!Q16</f>
        <v>1</v>
      </c>
    </row>
    <row r="318" spans="1:18" x14ac:dyDescent="0.3">
      <c r="A318">
        <f>'[27]Student Data'!O17</f>
        <v>509752</v>
      </c>
      <c r="B318" t="str">
        <f>[27]Reporting!C16</f>
        <v>Nesting 3</v>
      </c>
      <c r="C318" s="10" t="str">
        <f>[27]Reporting!F16</f>
        <v>Kobe Grenny Moja</v>
      </c>
      <c r="D318" s="35" cm="1">
        <f t="array" ref="D318">--(SUM(COUNTIF(B318,{"*nest*","*grad*","*trans*","*1B*","*1C*"}))&gt;0)</f>
        <v>1</v>
      </c>
      <c r="E318" s="18">
        <f>[27]Performance!X17</f>
        <v>1</v>
      </c>
      <c r="F318" s="18">
        <f>[27]Performance!Y17</f>
        <v>1</v>
      </c>
      <c r="G318" s="18">
        <f>[27]Performance!Z17</f>
        <v>0.94</v>
      </c>
      <c r="H318" s="18">
        <f>[27]Performance!AA17</f>
        <v>0.8</v>
      </c>
      <c r="I318" s="18">
        <f>[27]Performance!AB17</f>
        <v>0.83</v>
      </c>
      <c r="J318" s="18" t="str">
        <f>[27]Performance!I17</f>
        <v>Merchants</v>
      </c>
      <c r="K318" s="18" t="str">
        <f>[27]Performance!J17</f>
        <v>Merchants</v>
      </c>
      <c r="L318" s="18" t="str">
        <f>[27]Performance!K17</f>
        <v>Merchants</v>
      </c>
      <c r="M318" s="18" t="str">
        <f>[27]Performance!L17</f>
        <v>Merchants</v>
      </c>
      <c r="N318" s="18" t="str">
        <f>[27]Performance!M17</f>
        <v>Merchants</v>
      </c>
      <c r="O318" s="18" t="str">
        <f>[27]Performance!N17</f>
        <v>Merchants</v>
      </c>
      <c r="P318" s="18" t="str">
        <f>[27]Performance!O17</f>
        <v>Merchants</v>
      </c>
      <c r="Q318" s="18">
        <f>[27]Performance!P17</f>
        <v>1</v>
      </c>
      <c r="R318" s="18">
        <f>[27]Performance!Q17</f>
        <v>1</v>
      </c>
    </row>
    <row r="319" spans="1:18" x14ac:dyDescent="0.3">
      <c r="A319">
        <f>'[27]Student Data'!O18</f>
        <v>509777</v>
      </c>
      <c r="B319" t="str">
        <f>[27]Reporting!C17</f>
        <v>Nesting 3</v>
      </c>
      <c r="C319" s="10" t="str">
        <f>[27]Reporting!F17</f>
        <v>Emeldah Molefe</v>
      </c>
      <c r="D319" s="35" cm="1">
        <f t="array" ref="D319">--(SUM(COUNTIF(B319,{"*nest*","*grad*","*trans*","*1B*","*1C*"}))&gt;0)</f>
        <v>1</v>
      </c>
      <c r="E319" s="18">
        <f>[27]Performance!X18</f>
        <v>1</v>
      </c>
      <c r="F319" s="18">
        <f>[27]Performance!Y18</f>
        <v>1</v>
      </c>
      <c r="G319" s="18">
        <f>[27]Performance!Z18</f>
        <v>0.83</v>
      </c>
      <c r="H319" s="18">
        <f>[27]Performance!AA18</f>
        <v>0.8</v>
      </c>
      <c r="I319" s="18">
        <f>[27]Performance!AB18</f>
        <v>0.85</v>
      </c>
      <c r="J319" s="18" t="str">
        <f>[27]Performance!I18</f>
        <v>Merchants</v>
      </c>
      <c r="K319" s="18" t="str">
        <f>[27]Performance!J18</f>
        <v>Merchants</v>
      </c>
      <c r="L319" s="18" t="str">
        <f>[27]Performance!K18</f>
        <v>Merchants</v>
      </c>
      <c r="M319" s="18" t="str">
        <f>[27]Performance!L18</f>
        <v>Merchants</v>
      </c>
      <c r="N319" s="18" t="str">
        <f>[27]Performance!M18</f>
        <v>Merchants</v>
      </c>
      <c r="O319" s="18" t="str">
        <f>[27]Performance!N18</f>
        <v>Merchants</v>
      </c>
      <c r="P319" s="18" t="str">
        <f>[27]Performance!O18</f>
        <v>Merchants</v>
      </c>
      <c r="Q319" s="18">
        <f>[27]Performance!P18</f>
        <v>1</v>
      </c>
      <c r="R319" s="18">
        <f>[27]Performance!Q18</f>
        <v>1</v>
      </c>
    </row>
    <row r="320" spans="1:18" x14ac:dyDescent="0.3">
      <c r="A320">
        <f>'[27]Student Data'!O19</f>
        <v>509659</v>
      </c>
      <c r="B320" t="str">
        <f>[27]Reporting!C18</f>
        <v>Nesting 3</v>
      </c>
      <c r="C320" s="10" t="str">
        <f>[27]Reporting!F18</f>
        <v>Alain Mpata</v>
      </c>
      <c r="D320" s="35" cm="1">
        <f t="array" ref="D320">--(SUM(COUNTIF(B320,{"*nest*","*grad*","*trans*","*1B*","*1C*"}))&gt;0)</f>
        <v>1</v>
      </c>
      <c r="E320" s="18">
        <f>[27]Performance!X19</f>
        <v>1</v>
      </c>
      <c r="F320" s="18">
        <f>[27]Performance!Y19</f>
        <v>1</v>
      </c>
      <c r="G320" s="18">
        <f>[27]Performance!Z19</f>
        <v>1</v>
      </c>
      <c r="H320" s="18">
        <f>[27]Performance!AA19</f>
        <v>0.8</v>
      </c>
      <c r="I320" s="18">
        <f>[27]Performance!AB19</f>
        <v>0.9</v>
      </c>
      <c r="J320" s="18" t="str">
        <f>[27]Performance!I19</f>
        <v>Merchants</v>
      </c>
      <c r="K320" s="18" t="str">
        <f>[27]Performance!J19</f>
        <v>Merchants</v>
      </c>
      <c r="L320" s="18" t="str">
        <f>[27]Performance!K19</f>
        <v>Merchants</v>
      </c>
      <c r="M320" s="18" t="str">
        <f>[27]Performance!L19</f>
        <v>Merchants</v>
      </c>
      <c r="N320" s="18" t="str">
        <f>[27]Performance!M19</f>
        <v>Merchants</v>
      </c>
      <c r="O320" s="18" t="str">
        <f>[27]Performance!N19</f>
        <v>Merchants</v>
      </c>
      <c r="P320" s="18" t="str">
        <f>[27]Performance!O19</f>
        <v>Merchants</v>
      </c>
      <c r="Q320" s="18">
        <f>[27]Performance!P19</f>
        <v>1</v>
      </c>
      <c r="R320" s="18">
        <f>[27]Performance!Q19</f>
        <v>1</v>
      </c>
    </row>
    <row r="321" spans="1:18" x14ac:dyDescent="0.3">
      <c r="A321">
        <f>'[27]Student Data'!O20</f>
        <v>509716</v>
      </c>
      <c r="B321" t="str">
        <f>[27]Reporting!C19</f>
        <v>Nesting 3</v>
      </c>
      <c r="C321" s="10" t="str">
        <f>[27]Reporting!F19</f>
        <v>Dorcas Niati</v>
      </c>
      <c r="D321" s="35" cm="1">
        <f t="array" ref="D321">--(SUM(COUNTIF(B321,{"*nest*","*grad*","*trans*","*1B*","*1C*"}))&gt;0)</f>
        <v>1</v>
      </c>
      <c r="E321" s="18">
        <f>[27]Performance!X20</f>
        <v>1</v>
      </c>
      <c r="F321" s="18">
        <f>[27]Performance!Y20</f>
        <v>1</v>
      </c>
      <c r="G321" s="18">
        <f>[27]Performance!Z20</f>
        <v>0.88</v>
      </c>
      <c r="H321" s="18">
        <f>[27]Performance!AA20</f>
        <v>1</v>
      </c>
      <c r="I321" s="18">
        <f>[27]Performance!AB20</f>
        <v>1</v>
      </c>
      <c r="J321" s="18" t="str">
        <f>[27]Performance!I20</f>
        <v>Merchants</v>
      </c>
      <c r="K321" s="18" t="str">
        <f>[27]Performance!J20</f>
        <v>Merchants</v>
      </c>
      <c r="L321" s="18" t="str">
        <f>[27]Performance!K20</f>
        <v>Merchants</v>
      </c>
      <c r="M321" s="18" t="str">
        <f>[27]Performance!L20</f>
        <v>Merchants</v>
      </c>
      <c r="N321" s="18" t="str">
        <f>[27]Performance!M20</f>
        <v>Merchants</v>
      </c>
      <c r="O321" s="18" t="str">
        <f>[27]Performance!N20</f>
        <v>Merchants</v>
      </c>
      <c r="P321" s="18" t="str">
        <f>[27]Performance!O20</f>
        <v>Merchants</v>
      </c>
      <c r="Q321" s="18">
        <f>[27]Performance!P20</f>
        <v>1</v>
      </c>
      <c r="R321" s="18">
        <f>[27]Performance!Q20</f>
        <v>1</v>
      </c>
    </row>
    <row r="322" spans="1:18" x14ac:dyDescent="0.3">
      <c r="A322">
        <f>'[27]Student Data'!O21</f>
        <v>508877</v>
      </c>
      <c r="B322" t="str">
        <f>[27]Reporting!C20</f>
        <v>Did not Start</v>
      </c>
      <c r="C322" s="10" t="str">
        <f>[27]Reporting!F20</f>
        <v>Mbali Kumane</v>
      </c>
      <c r="D322" s="35" cm="1">
        <f t="array" ref="D322">--(SUM(COUNTIF(B322,{"*nest*","*grad*","*trans*","*1B*","*1C*"}))&gt;0)</f>
        <v>0</v>
      </c>
      <c r="E322" s="18">
        <f>[27]Performance!X21</f>
        <v>1</v>
      </c>
      <c r="F322" s="18">
        <f>[27]Performance!Y21</f>
        <v>1</v>
      </c>
      <c r="G322" s="18">
        <f>[27]Performance!Z21</f>
        <v>0.9</v>
      </c>
      <c r="H322" s="18">
        <f>[27]Performance!AA21</f>
        <v>1</v>
      </c>
      <c r="I322" s="18">
        <f>[27]Performance!AB21</f>
        <v>0.95</v>
      </c>
      <c r="J322" s="18" t="str">
        <f>[27]Performance!I21</f>
        <v>Merchants</v>
      </c>
      <c r="K322" s="18" t="str">
        <f>[27]Performance!J21</f>
        <v>Merchants</v>
      </c>
      <c r="L322" s="18" t="str">
        <f>[27]Performance!K21</f>
        <v>Merchants</v>
      </c>
      <c r="M322" s="18" t="str">
        <f>[27]Performance!L21</f>
        <v>Merchants</v>
      </c>
      <c r="N322" s="18" t="str">
        <f>[27]Performance!M21</f>
        <v>Merchants</v>
      </c>
      <c r="O322" s="18" t="str">
        <f>[27]Performance!N21</f>
        <v>Merchants</v>
      </c>
      <c r="P322" s="18" t="str">
        <f>[27]Performance!O21</f>
        <v>Merchants</v>
      </c>
      <c r="Q322" s="18">
        <f>[27]Performance!P21</f>
        <v>1</v>
      </c>
      <c r="R322" s="18">
        <f>[27]Performance!Q21</f>
        <v>1</v>
      </c>
    </row>
    <row r="323" spans="1:18" x14ac:dyDescent="0.3">
      <c r="A323">
        <f>'[27]Student Data'!O22</f>
        <v>509733</v>
      </c>
      <c r="B323" t="str">
        <f>[27]Reporting!C21</f>
        <v>Did not Start</v>
      </c>
      <c r="C323" s="10" t="str">
        <f>[27]Reporting!F21</f>
        <v xml:space="preserve">Henoc Kazadi Mukendi </v>
      </c>
      <c r="D323" s="35" cm="1">
        <f t="array" ref="D323">--(SUM(COUNTIF(B323,{"*nest*","*grad*","*trans*","*1B*","*1C*"}))&gt;0)</f>
        <v>0</v>
      </c>
      <c r="E323" s="18">
        <f>[27]Performance!X22</f>
        <v>1</v>
      </c>
      <c r="F323" s="18">
        <f>[27]Performance!Y22</f>
        <v>1</v>
      </c>
      <c r="G323" s="18">
        <f>[27]Performance!Z22</f>
        <v>0.89</v>
      </c>
      <c r="H323" s="18">
        <f>[27]Performance!AA22</f>
        <v>0.8</v>
      </c>
      <c r="I323" s="18">
        <f>[27]Performance!AB22</f>
        <v>0.83</v>
      </c>
      <c r="J323" s="18" t="str">
        <f>[27]Performance!I22</f>
        <v>Merchants</v>
      </c>
      <c r="K323" s="18" t="str">
        <f>[27]Performance!J22</f>
        <v>Merchants</v>
      </c>
      <c r="L323" s="18" t="str">
        <f>[27]Performance!K22</f>
        <v>Merchants</v>
      </c>
      <c r="M323" s="18" t="str">
        <f>[27]Performance!L22</f>
        <v>Merchants</v>
      </c>
      <c r="N323" s="18" t="str">
        <f>[27]Performance!M22</f>
        <v>Merchants</v>
      </c>
      <c r="O323" s="18" t="str">
        <f>[27]Performance!N22</f>
        <v>Merchants</v>
      </c>
      <c r="P323" s="18" t="str">
        <f>[27]Performance!O22</f>
        <v>Merchants</v>
      </c>
      <c r="Q323" s="18">
        <f>[27]Performance!P22</f>
        <v>1</v>
      </c>
      <c r="R323" s="18">
        <f>[27]Performance!Q22</f>
        <v>1</v>
      </c>
    </row>
    <row r="324" spans="1:18" ht="13.95" customHeight="1" x14ac:dyDescent="0.3">
      <c r="A324" s="8" t="s">
        <v>59</v>
      </c>
      <c r="B324" s="44" t="s">
        <v>72</v>
      </c>
      <c r="C324" s="44" t="s">
        <v>41</v>
      </c>
      <c r="D324" s="43">
        <f>SUM(D325:D343)</f>
        <v>19</v>
      </c>
      <c r="E324" s="43">
        <f>COUNTIF(E325:E343, "&gt;79%")</f>
        <v>13</v>
      </c>
      <c r="F324" s="43">
        <f t="shared" ref="F324:R324" si="24">COUNTIF(F325:F343, "&gt;79%")</f>
        <v>13</v>
      </c>
      <c r="G324" s="43">
        <f t="shared" si="24"/>
        <v>13</v>
      </c>
      <c r="H324" s="43">
        <f t="shared" si="24"/>
        <v>13</v>
      </c>
      <c r="I324" s="43">
        <f t="shared" si="24"/>
        <v>13</v>
      </c>
      <c r="J324" s="43">
        <f t="shared" si="24"/>
        <v>0</v>
      </c>
      <c r="K324" s="43">
        <f t="shared" si="24"/>
        <v>0</v>
      </c>
      <c r="L324" s="43">
        <f t="shared" si="24"/>
        <v>0</v>
      </c>
      <c r="M324" s="43">
        <f t="shared" si="24"/>
        <v>0</v>
      </c>
      <c r="N324" s="43">
        <f t="shared" si="24"/>
        <v>0</v>
      </c>
      <c r="O324" s="43">
        <f t="shared" si="24"/>
        <v>0</v>
      </c>
      <c r="P324" s="43">
        <f t="shared" si="24"/>
        <v>0</v>
      </c>
      <c r="Q324" s="43">
        <f t="shared" si="24"/>
        <v>13</v>
      </c>
      <c r="R324" s="43">
        <f t="shared" si="24"/>
        <v>13</v>
      </c>
    </row>
    <row r="325" spans="1:18" x14ac:dyDescent="0.3">
      <c r="A325">
        <f>'[28]Student Data'!O5</f>
        <v>350578</v>
      </c>
      <c r="B325" t="str">
        <f>'[28]Student Data'!G5</f>
        <v>Tier 1B Nesting</v>
      </c>
      <c r="C325" s="10" t="str">
        <f>[28]Reporting!F4</f>
        <v>Norsana Andi</v>
      </c>
      <c r="D325" s="35" cm="1">
        <f t="array" ref="D325">--(SUM(COUNTIF(B325,{"*nest*","*grad*","*trans*","*1B*","*1C*"}))&gt;0)</f>
        <v>1</v>
      </c>
      <c r="E325" s="18">
        <f>[28]Performance!X5</f>
        <v>1</v>
      </c>
      <c r="F325" s="18">
        <f>[28]Performance!Y5</f>
        <v>1</v>
      </c>
      <c r="G325" s="18">
        <f>[28]Performance!Z5</f>
        <v>0.88</v>
      </c>
      <c r="H325" s="18">
        <f>[28]Performance!AA5</f>
        <v>0.8</v>
      </c>
      <c r="I325" s="18">
        <f>[28]Performance!AB5</f>
        <v>0.9</v>
      </c>
      <c r="J325" s="49" t="str">
        <f>[28]Performance!I5</f>
        <v>N/A</v>
      </c>
      <c r="K325" s="49" t="str">
        <f>[28]Performance!J5</f>
        <v>N/A</v>
      </c>
      <c r="L325" s="49" t="str">
        <f>[28]Performance!K5</f>
        <v>N/A</v>
      </c>
      <c r="M325" s="49" t="str">
        <f>[28]Performance!L5</f>
        <v>N/A</v>
      </c>
      <c r="N325" s="49" t="str">
        <f>[28]Performance!M5</f>
        <v>N/A</v>
      </c>
      <c r="O325" s="49" t="str">
        <f>[28]Performance!N5</f>
        <v>N/A</v>
      </c>
      <c r="P325" s="49" t="str">
        <f>[28]Performance!O5</f>
        <v>N/A</v>
      </c>
      <c r="Q325" s="49">
        <f>[28]Performance!P5</f>
        <v>0.88</v>
      </c>
      <c r="R325" s="49">
        <f>[28]Performance!Q5</f>
        <v>1</v>
      </c>
    </row>
    <row r="326" spans="1:18" x14ac:dyDescent="0.3">
      <c r="A326">
        <f>'[28]Student Data'!O6</f>
        <v>0</v>
      </c>
      <c r="B326" t="str">
        <f>'[28]Student Data'!G6</f>
        <v>Tier 1B Nesting</v>
      </c>
      <c r="C326" s="10" t="str">
        <f>[28]Reporting!F5</f>
        <v>John Carlo Atienza</v>
      </c>
      <c r="D326" s="35" cm="1">
        <f t="array" ref="D326">--(SUM(COUNTIF(B326,{"*nest*","*grad*","*trans*","*1B*","*1C*"}))&gt;0)</f>
        <v>1</v>
      </c>
      <c r="E326" s="18">
        <f>[28]Performance!X6</f>
        <v>0</v>
      </c>
      <c r="F326" s="18">
        <f>[28]Performance!Y6</f>
        <v>0</v>
      </c>
      <c r="G326" s="18">
        <f>[28]Performance!Z6</f>
        <v>0</v>
      </c>
      <c r="H326" s="18">
        <f>[28]Performance!AA6</f>
        <v>0</v>
      </c>
      <c r="I326" s="18">
        <f>[28]Performance!AB6</f>
        <v>0</v>
      </c>
      <c r="J326" s="49">
        <f>[28]Performance!I6</f>
        <v>0</v>
      </c>
      <c r="K326" s="49">
        <f>[28]Performance!J6</f>
        <v>0</v>
      </c>
      <c r="L326" s="49">
        <f>[28]Performance!K6</f>
        <v>0</v>
      </c>
      <c r="M326" s="49">
        <f>[28]Performance!L6</f>
        <v>0</v>
      </c>
      <c r="N326" s="49">
        <f>[28]Performance!M6</f>
        <v>0</v>
      </c>
      <c r="O326" s="49">
        <f>[28]Performance!N6</f>
        <v>0</v>
      </c>
      <c r="P326" s="49">
        <f>[28]Performance!O6</f>
        <v>0</v>
      </c>
      <c r="Q326" s="49">
        <f>[28]Performance!P6</f>
        <v>0</v>
      </c>
      <c r="R326" s="49">
        <f>[28]Performance!Q6</f>
        <v>0</v>
      </c>
    </row>
    <row r="327" spans="1:18" x14ac:dyDescent="0.3">
      <c r="A327">
        <f>'[28]Student Data'!O7</f>
        <v>350580</v>
      </c>
      <c r="B327" t="str">
        <f>'[28]Student Data'!G7</f>
        <v>Tier 1B Nesting</v>
      </c>
      <c r="C327" s="10" t="str">
        <f>[28]Reporting!F6</f>
        <v>Justin Bebita</v>
      </c>
      <c r="D327" s="35" cm="1">
        <f t="array" ref="D327">--(SUM(COUNTIF(B327,{"*nest*","*grad*","*trans*","*1B*","*1C*"}))&gt;0)</f>
        <v>1</v>
      </c>
      <c r="E327" s="18">
        <f>[28]Performance!X7</f>
        <v>1</v>
      </c>
      <c r="F327" s="18">
        <f>[28]Performance!Y7</f>
        <v>1</v>
      </c>
      <c r="G327" s="18">
        <f>[28]Performance!Z7</f>
        <v>1</v>
      </c>
      <c r="H327" s="18">
        <f>[28]Performance!AA7</f>
        <v>0.8</v>
      </c>
      <c r="I327" s="18">
        <f>[28]Performance!AB7</f>
        <v>0.8</v>
      </c>
      <c r="J327" s="49" t="str">
        <f>[28]Performance!I7</f>
        <v>N/A</v>
      </c>
      <c r="K327" s="49" t="str">
        <f>[28]Performance!J7</f>
        <v>N/A</v>
      </c>
      <c r="L327" s="49" t="str">
        <f>[28]Performance!K7</f>
        <v>N/A</v>
      </c>
      <c r="M327" s="49" t="str">
        <f>[28]Performance!L7</f>
        <v>N/A</v>
      </c>
      <c r="N327" s="49" t="str">
        <f>[28]Performance!M7</f>
        <v>N/A</v>
      </c>
      <c r="O327" s="49" t="str">
        <f>[28]Performance!N7</f>
        <v>N/A</v>
      </c>
      <c r="P327" s="49" t="str">
        <f>[28]Performance!O7</f>
        <v>N/A</v>
      </c>
      <c r="Q327" s="49">
        <f>[28]Performance!P7</f>
        <v>0.88</v>
      </c>
      <c r="R327" s="49">
        <f>[28]Performance!Q7</f>
        <v>1</v>
      </c>
    </row>
    <row r="328" spans="1:18" x14ac:dyDescent="0.3">
      <c r="A328">
        <f>'[28]Student Data'!O8</f>
        <v>0</v>
      </c>
      <c r="B328" t="str">
        <f>'[28]Student Data'!G8</f>
        <v>Tier 1B Nesting</v>
      </c>
      <c r="C328" s="10" t="str">
        <f>[28]Reporting!F7</f>
        <v>April Jane Enoy</v>
      </c>
      <c r="D328" s="35" cm="1">
        <f t="array" ref="D328">--(SUM(COUNTIF(B328,{"*nest*","*grad*","*trans*","*1B*","*1C*"}))&gt;0)</f>
        <v>1</v>
      </c>
      <c r="E328" s="18">
        <f>[28]Performance!X8</f>
        <v>0</v>
      </c>
      <c r="F328" s="18">
        <f>[28]Performance!Y8</f>
        <v>0</v>
      </c>
      <c r="G328" s="18">
        <f>[28]Performance!Z8</f>
        <v>0</v>
      </c>
      <c r="H328" s="18">
        <f>[28]Performance!AA8</f>
        <v>0</v>
      </c>
      <c r="I328" s="18">
        <f>[28]Performance!AB8</f>
        <v>0</v>
      </c>
      <c r="J328" s="49">
        <f>[28]Performance!I8</f>
        <v>0</v>
      </c>
      <c r="K328" s="49">
        <f>[28]Performance!J8</f>
        <v>0</v>
      </c>
      <c r="L328" s="49">
        <f>[28]Performance!K8</f>
        <v>0</v>
      </c>
      <c r="M328" s="49">
        <f>[28]Performance!L8</f>
        <v>0</v>
      </c>
      <c r="N328" s="49">
        <f>[28]Performance!M8</f>
        <v>0</v>
      </c>
      <c r="O328" s="49">
        <f>[28]Performance!N8</f>
        <v>0</v>
      </c>
      <c r="P328" s="49">
        <f>[28]Performance!O8</f>
        <v>0</v>
      </c>
      <c r="Q328" s="49">
        <f>[28]Performance!P8</f>
        <v>0</v>
      </c>
      <c r="R328" s="49">
        <f>[28]Performance!Q8</f>
        <v>0</v>
      </c>
    </row>
    <row r="329" spans="1:18" x14ac:dyDescent="0.3">
      <c r="A329">
        <f>'[28]Student Data'!O9</f>
        <v>350579</v>
      </c>
      <c r="B329" t="str">
        <f>'[28]Student Data'!G9</f>
        <v>Tier 1B Nesting</v>
      </c>
      <c r="C329" s="10" t="str">
        <f>[28]Reporting!F8</f>
        <v>Dara Lorraine Espinas</v>
      </c>
      <c r="D329" s="35" cm="1">
        <f t="array" ref="D329">--(SUM(COUNTIF(B329,{"*nest*","*grad*","*trans*","*1B*","*1C*"}))&gt;0)</f>
        <v>1</v>
      </c>
      <c r="E329" s="18">
        <f>[28]Performance!X9</f>
        <v>1</v>
      </c>
      <c r="F329" s="18">
        <f>[28]Performance!Y9</f>
        <v>1</v>
      </c>
      <c r="G329" s="18">
        <f>[28]Performance!Z9</f>
        <v>0.9</v>
      </c>
      <c r="H329" s="18">
        <f>[28]Performance!AA9</f>
        <v>0.8</v>
      </c>
      <c r="I329" s="18">
        <f>[28]Performance!AB9</f>
        <v>0.99</v>
      </c>
      <c r="J329" s="49" t="str">
        <f>[28]Performance!I9</f>
        <v>N/A</v>
      </c>
      <c r="K329" s="49" t="str">
        <f>[28]Performance!J9</f>
        <v>N/A</v>
      </c>
      <c r="L329" s="49" t="str">
        <f>[28]Performance!K9</f>
        <v>N/A</v>
      </c>
      <c r="M329" s="49" t="str">
        <f>[28]Performance!L9</f>
        <v>N/A</v>
      </c>
      <c r="N329" s="49" t="str">
        <f>[28]Performance!M9</f>
        <v>N/A</v>
      </c>
      <c r="O329" s="49" t="str">
        <f>[28]Performance!N9</f>
        <v>N/A</v>
      </c>
      <c r="P329" s="49" t="str">
        <f>[28]Performance!O9</f>
        <v>N/A</v>
      </c>
      <c r="Q329" s="49">
        <f>[28]Performance!P9</f>
        <v>1</v>
      </c>
      <c r="R329" s="49">
        <f>[28]Performance!Q9</f>
        <v>0.8</v>
      </c>
    </row>
    <row r="330" spans="1:18" x14ac:dyDescent="0.3">
      <c r="A330">
        <f>'[28]Student Data'!O10</f>
        <v>350574</v>
      </c>
      <c r="B330" t="str">
        <f>'[28]Student Data'!G10</f>
        <v>Tier 1B Nesting</v>
      </c>
      <c r="C330" s="10" t="str">
        <f>[28]Reporting!F9</f>
        <v>John Loyd  Guasis</v>
      </c>
      <c r="D330" s="35" cm="1">
        <f t="array" ref="D330">--(SUM(COUNTIF(B330,{"*nest*","*grad*","*trans*","*1B*","*1C*"}))&gt;0)</f>
        <v>1</v>
      </c>
      <c r="E330" s="18">
        <f>[28]Performance!X10</f>
        <v>1</v>
      </c>
      <c r="F330" s="18">
        <f>[28]Performance!Y10</f>
        <v>1</v>
      </c>
      <c r="G330" s="18">
        <f>[28]Performance!Z10</f>
        <v>0.94</v>
      </c>
      <c r="H330" s="18">
        <f>[28]Performance!AA10</f>
        <v>0.8</v>
      </c>
      <c r="I330" s="18">
        <f>[28]Performance!AB10</f>
        <v>0.9</v>
      </c>
      <c r="J330" s="49" t="str">
        <f>[28]Performance!I10</f>
        <v>N/A</v>
      </c>
      <c r="K330" s="49" t="str">
        <f>[28]Performance!J10</f>
        <v>N/A</v>
      </c>
      <c r="L330" s="49" t="str">
        <f>[28]Performance!K10</f>
        <v>N/A</v>
      </c>
      <c r="M330" s="49" t="str">
        <f>[28]Performance!L10</f>
        <v>N/A</v>
      </c>
      <c r="N330" s="49" t="str">
        <f>[28]Performance!M10</f>
        <v>N/A</v>
      </c>
      <c r="O330" s="49" t="str">
        <f>[28]Performance!N10</f>
        <v>N/A</v>
      </c>
      <c r="P330" s="49" t="str">
        <f>[28]Performance!O10</f>
        <v>N/A</v>
      </c>
      <c r="Q330" s="49">
        <f>[28]Performance!P10</f>
        <v>1</v>
      </c>
      <c r="R330" s="49">
        <f>[28]Performance!Q10</f>
        <v>1</v>
      </c>
    </row>
    <row r="331" spans="1:18" x14ac:dyDescent="0.3">
      <c r="A331">
        <f>'[28]Student Data'!O11</f>
        <v>0</v>
      </c>
      <c r="B331" t="str">
        <f>'[28]Student Data'!G11</f>
        <v>Tier 1B Nesting</v>
      </c>
      <c r="C331" s="10" t="str">
        <f>[28]Reporting!F10</f>
        <v>Dave AdrIan Gutierez</v>
      </c>
      <c r="D331" s="35" cm="1">
        <f t="array" ref="D331">--(SUM(COUNTIF(B331,{"*nest*","*grad*","*trans*","*1B*","*1C*"}))&gt;0)</f>
        <v>1</v>
      </c>
      <c r="E331" s="18">
        <f>[28]Performance!X11</f>
        <v>0</v>
      </c>
      <c r="F331" s="18">
        <f>[28]Performance!Y11</f>
        <v>0</v>
      </c>
      <c r="G331" s="18">
        <f>[28]Performance!Z11</f>
        <v>0</v>
      </c>
      <c r="H331" s="18">
        <f>[28]Performance!AA11</f>
        <v>0</v>
      </c>
      <c r="I331" s="18">
        <f>[28]Performance!AB11</f>
        <v>0</v>
      </c>
      <c r="J331" s="49">
        <f>[28]Performance!I11</f>
        <v>0</v>
      </c>
      <c r="K331" s="49">
        <f>[28]Performance!J11</f>
        <v>0</v>
      </c>
      <c r="L331" s="49">
        <f>[28]Performance!K11</f>
        <v>0</v>
      </c>
      <c r="M331" s="49">
        <f>[28]Performance!L11</f>
        <v>0</v>
      </c>
      <c r="N331" s="49">
        <f>[28]Performance!M11</f>
        <v>0</v>
      </c>
      <c r="O331" s="49">
        <f>[28]Performance!N11</f>
        <v>0</v>
      </c>
      <c r="P331" s="49">
        <f>[28]Performance!O11</f>
        <v>0</v>
      </c>
      <c r="Q331" s="49">
        <f>[28]Performance!P11</f>
        <v>0</v>
      </c>
      <c r="R331" s="49">
        <f>[28]Performance!Q11</f>
        <v>0</v>
      </c>
    </row>
    <row r="332" spans="1:18" x14ac:dyDescent="0.3">
      <c r="A332">
        <f>'[28]Student Data'!O12</f>
        <v>350581</v>
      </c>
      <c r="B332" t="str">
        <f>'[28]Student Data'!G12</f>
        <v>Tier 1B Nesting</v>
      </c>
      <c r="C332" s="10" t="str">
        <f>[28]Reporting!F11</f>
        <v>Caitlyn Ibanez</v>
      </c>
      <c r="D332" s="35" cm="1">
        <f t="array" ref="D332">--(SUM(COUNTIF(B332,{"*nest*","*grad*","*trans*","*1B*","*1C*"}))&gt;0)</f>
        <v>1</v>
      </c>
      <c r="E332" s="18">
        <f>[28]Performance!X12</f>
        <v>1</v>
      </c>
      <c r="F332" s="18">
        <f>[28]Performance!Y12</f>
        <v>1</v>
      </c>
      <c r="G332" s="18">
        <f>[28]Performance!Z12</f>
        <v>0.88</v>
      </c>
      <c r="H332" s="18">
        <f>[28]Performance!AA12</f>
        <v>1</v>
      </c>
      <c r="I332" s="18">
        <f>[28]Performance!AB12</f>
        <v>0.9</v>
      </c>
      <c r="J332" s="49" t="str">
        <f>[28]Performance!I12</f>
        <v>N/A</v>
      </c>
      <c r="K332" s="49" t="str">
        <f>[28]Performance!J12</f>
        <v>N/A</v>
      </c>
      <c r="L332" s="49" t="str">
        <f>[28]Performance!K12</f>
        <v>N/A</v>
      </c>
      <c r="M332" s="49" t="str">
        <f>[28]Performance!L12</f>
        <v>N/A</v>
      </c>
      <c r="N332" s="49" t="str">
        <f>[28]Performance!M12</f>
        <v>N/A</v>
      </c>
      <c r="O332" s="49" t="str">
        <f>[28]Performance!N12</f>
        <v>N/A</v>
      </c>
      <c r="P332" s="49" t="str">
        <f>[28]Performance!O12</f>
        <v>N/A</v>
      </c>
      <c r="Q332" s="49">
        <f>[28]Performance!P12</f>
        <v>0.88</v>
      </c>
      <c r="R332" s="49">
        <f>[28]Performance!Q12</f>
        <v>1</v>
      </c>
    </row>
    <row r="333" spans="1:18" x14ac:dyDescent="0.3">
      <c r="A333">
        <f>'[28]Student Data'!O13</f>
        <v>0</v>
      </c>
      <c r="B333" t="str">
        <f>'[28]Student Data'!G13</f>
        <v>Tier 1B Nesting</v>
      </c>
      <c r="C333" s="10" t="str">
        <f>[28]Reporting!F12</f>
        <v>Sheena Lopez</v>
      </c>
      <c r="D333" s="35" cm="1">
        <f t="array" ref="D333">--(SUM(COUNTIF(B333,{"*nest*","*grad*","*trans*","*1B*","*1C*"}))&gt;0)</f>
        <v>1</v>
      </c>
      <c r="E333" s="18">
        <f>[28]Performance!X13</f>
        <v>0</v>
      </c>
      <c r="F333" s="18">
        <f>[28]Performance!Y13</f>
        <v>0</v>
      </c>
      <c r="G333" s="18">
        <f>[28]Performance!Z13</f>
        <v>0</v>
      </c>
      <c r="H333" s="18">
        <f>[28]Performance!AA13</f>
        <v>0</v>
      </c>
      <c r="I333" s="18">
        <f>[28]Performance!AB13</f>
        <v>0</v>
      </c>
      <c r="J333" s="49">
        <f>[28]Performance!I13</f>
        <v>0</v>
      </c>
      <c r="K333" s="49">
        <f>[28]Performance!J13</f>
        <v>0</v>
      </c>
      <c r="L333" s="49">
        <f>[28]Performance!K13</f>
        <v>0</v>
      </c>
      <c r="M333" s="49">
        <f>[28]Performance!L13</f>
        <v>0</v>
      </c>
      <c r="N333" s="49">
        <f>[28]Performance!M13</f>
        <v>0</v>
      </c>
      <c r="O333" s="49">
        <f>[28]Performance!N13</f>
        <v>0</v>
      </c>
      <c r="P333" s="49">
        <f>[28]Performance!O13</f>
        <v>0</v>
      </c>
      <c r="Q333" s="49">
        <f>[28]Performance!P13</f>
        <v>0</v>
      </c>
      <c r="R333" s="49">
        <f>[28]Performance!Q13</f>
        <v>0</v>
      </c>
    </row>
    <row r="334" spans="1:18" x14ac:dyDescent="0.3">
      <c r="A334">
        <f>'[28]Student Data'!O14</f>
        <v>350571</v>
      </c>
      <c r="B334" t="str">
        <f>'[28]Student Data'!G14</f>
        <v>Tier 1B Nesting</v>
      </c>
      <c r="C334" s="10" t="str">
        <f>[28]Reporting!F13</f>
        <v>Sheryl Manuel</v>
      </c>
      <c r="D334" s="35" cm="1">
        <f t="array" ref="D334">--(SUM(COUNTIF(B334,{"*nest*","*grad*","*trans*","*1B*","*1C*"}))&gt;0)</f>
        <v>1</v>
      </c>
      <c r="E334" s="18">
        <f>[28]Performance!X14</f>
        <v>1</v>
      </c>
      <c r="F334" s="18">
        <f>[28]Performance!Y14</f>
        <v>1</v>
      </c>
      <c r="G334" s="18">
        <f>[28]Performance!Z14</f>
        <v>0.94</v>
      </c>
      <c r="H334" s="18">
        <f>[28]Performance!AA14</f>
        <v>1</v>
      </c>
      <c r="I334" s="18">
        <f>[28]Performance!AB14</f>
        <v>1</v>
      </c>
      <c r="J334" s="49" t="str">
        <f>[28]Performance!I14</f>
        <v>N/A</v>
      </c>
      <c r="K334" s="49" t="str">
        <f>[28]Performance!J14</f>
        <v>N/A</v>
      </c>
      <c r="L334" s="49" t="str">
        <f>[28]Performance!K14</f>
        <v>N/A</v>
      </c>
      <c r="M334" s="49" t="str">
        <f>[28]Performance!L14</f>
        <v>N/A</v>
      </c>
      <c r="N334" s="49" t="str">
        <f>[28]Performance!M14</f>
        <v>N/A</v>
      </c>
      <c r="O334" s="49" t="str">
        <f>[28]Performance!N14</f>
        <v>N/A</v>
      </c>
      <c r="P334" s="49" t="str">
        <f>[28]Performance!O14</f>
        <v>N/A</v>
      </c>
      <c r="Q334" s="49">
        <f>[28]Performance!P14</f>
        <v>1</v>
      </c>
      <c r="R334" s="49">
        <f>[28]Performance!Q14</f>
        <v>1</v>
      </c>
    </row>
    <row r="335" spans="1:18" x14ac:dyDescent="0.3">
      <c r="A335">
        <f>'[28]Student Data'!O15</f>
        <v>350582</v>
      </c>
      <c r="B335" t="str">
        <f>'[28]Student Data'!G15</f>
        <v>Tier 1B Nesting</v>
      </c>
      <c r="C335" s="10" t="str">
        <f>[28]Reporting!F14</f>
        <v>Remegeh Marquez</v>
      </c>
      <c r="D335" s="35" cm="1">
        <f t="array" ref="D335">--(SUM(COUNTIF(B335,{"*nest*","*grad*","*trans*","*1B*","*1C*"}))&gt;0)</f>
        <v>1</v>
      </c>
      <c r="E335" s="18" t="str">
        <f>[28]Performance!X15</f>
        <v>ABSENT</v>
      </c>
      <c r="F335" s="18" t="str">
        <f>[28]Performance!Y15</f>
        <v>ABSENT</v>
      </c>
      <c r="G335" s="18" t="str">
        <f>[28]Performance!Z15</f>
        <v>ABSENT</v>
      </c>
      <c r="H335" s="18" t="str">
        <f>[28]Performance!AA15</f>
        <v>ABSENT</v>
      </c>
      <c r="I335" s="18" t="str">
        <f>[28]Performance!AB15</f>
        <v>ABSENT</v>
      </c>
      <c r="J335" s="49" t="str">
        <f>[28]Performance!I15</f>
        <v>N/A</v>
      </c>
      <c r="K335" s="49" t="str">
        <f>[28]Performance!J15</f>
        <v>N/A</v>
      </c>
      <c r="L335" s="49" t="str">
        <f>[28]Performance!K15</f>
        <v>N/A</v>
      </c>
      <c r="M335" s="49" t="str">
        <f>[28]Performance!L15</f>
        <v>N/A</v>
      </c>
      <c r="N335" s="49" t="str">
        <f>[28]Performance!M15</f>
        <v>N/A</v>
      </c>
      <c r="O335" s="49" t="str">
        <f>[28]Performance!N15</f>
        <v>N/A</v>
      </c>
      <c r="P335" s="49" t="str">
        <f>[28]Performance!O15</f>
        <v>N/A</v>
      </c>
      <c r="Q335" s="49" t="str">
        <f>[28]Performance!P15</f>
        <v>ABSENT</v>
      </c>
      <c r="R335" s="49" t="str">
        <f>[28]Performance!Q15</f>
        <v>ABSENT</v>
      </c>
    </row>
    <row r="336" spans="1:18" x14ac:dyDescent="0.3">
      <c r="A336">
        <f>'[28]Student Data'!O16</f>
        <v>0</v>
      </c>
      <c r="B336" t="str">
        <f>'[28]Student Data'!G16</f>
        <v>Tier 1B Nesting</v>
      </c>
      <c r="C336" s="10" t="str">
        <f>[28]Reporting!F15</f>
        <v>Iralynd Marquez</v>
      </c>
      <c r="D336" s="35" cm="1">
        <f t="array" ref="D336">--(SUM(COUNTIF(B336,{"*nest*","*grad*","*trans*","*1B*","*1C*"}))&gt;0)</f>
        <v>1</v>
      </c>
      <c r="E336" s="18">
        <f>[28]Performance!X16</f>
        <v>0</v>
      </c>
      <c r="F336" s="18">
        <f>[28]Performance!Y16</f>
        <v>0</v>
      </c>
      <c r="G336" s="18">
        <f>[28]Performance!Z16</f>
        <v>0</v>
      </c>
      <c r="H336" s="18">
        <f>[28]Performance!AA16</f>
        <v>0</v>
      </c>
      <c r="I336" s="18">
        <f>[28]Performance!AB16</f>
        <v>0</v>
      </c>
      <c r="J336" s="49">
        <f>[28]Performance!I16</f>
        <v>0</v>
      </c>
      <c r="K336" s="49">
        <f>[28]Performance!J16</f>
        <v>0</v>
      </c>
      <c r="L336" s="49">
        <f>[28]Performance!K16</f>
        <v>0</v>
      </c>
      <c r="M336" s="49">
        <f>[28]Performance!L16</f>
        <v>0</v>
      </c>
      <c r="N336" s="49">
        <f>[28]Performance!M16</f>
        <v>0</v>
      </c>
      <c r="O336" s="49">
        <f>[28]Performance!N16</f>
        <v>0</v>
      </c>
      <c r="P336" s="49">
        <f>[28]Performance!O16</f>
        <v>0</v>
      </c>
      <c r="Q336" s="49">
        <f>[28]Performance!P16</f>
        <v>0</v>
      </c>
      <c r="R336" s="49">
        <f>[28]Performance!Q16</f>
        <v>0</v>
      </c>
    </row>
    <row r="337" spans="1:18" x14ac:dyDescent="0.3">
      <c r="A337">
        <f>'[28]Student Data'!O17</f>
        <v>350572</v>
      </c>
      <c r="B337" t="str">
        <f>'[28]Student Data'!G17</f>
        <v>Tier 1B Nesting</v>
      </c>
      <c r="C337" s="10" t="str">
        <f>[28]Reporting!F16</f>
        <v>Leslie Ann Menorca</v>
      </c>
      <c r="D337" s="35" cm="1">
        <f t="array" ref="D337">--(SUM(COUNTIF(B337,{"*nest*","*grad*","*trans*","*1B*","*1C*"}))&gt;0)</f>
        <v>1</v>
      </c>
      <c r="E337" s="18">
        <f>[28]Performance!X17</f>
        <v>1</v>
      </c>
      <c r="F337" s="18">
        <f>[28]Performance!Y17</f>
        <v>1</v>
      </c>
      <c r="G337" s="18">
        <f>[28]Performance!Z17</f>
        <v>0.88</v>
      </c>
      <c r="H337" s="18">
        <f>[28]Performance!AA17</f>
        <v>1</v>
      </c>
      <c r="I337" s="18">
        <f>[28]Performance!AB17</f>
        <v>0.85</v>
      </c>
      <c r="J337" s="49" t="str">
        <f>[28]Performance!I17</f>
        <v>N/A</v>
      </c>
      <c r="K337" s="49" t="str">
        <f>[28]Performance!J17</f>
        <v>N/A</v>
      </c>
      <c r="L337" s="49" t="str">
        <f>[28]Performance!K17</f>
        <v>N/A</v>
      </c>
      <c r="M337" s="49" t="str">
        <f>[28]Performance!L17</f>
        <v>N/A</v>
      </c>
      <c r="N337" s="49" t="str">
        <f>[28]Performance!M17</f>
        <v>N/A</v>
      </c>
      <c r="O337" s="49" t="str">
        <f>[28]Performance!N17</f>
        <v>N/A</v>
      </c>
      <c r="P337" s="49" t="str">
        <f>[28]Performance!O17</f>
        <v>N/A</v>
      </c>
      <c r="Q337" s="49">
        <f>[28]Performance!P17</f>
        <v>1</v>
      </c>
      <c r="R337" s="49">
        <f>[28]Performance!Q17</f>
        <v>1</v>
      </c>
    </row>
    <row r="338" spans="1:18" x14ac:dyDescent="0.3">
      <c r="A338">
        <f>'[28]Student Data'!O18</f>
        <v>350584</v>
      </c>
      <c r="B338" t="str">
        <f>'[28]Student Data'!G18</f>
        <v>Tier 1B Nesting</v>
      </c>
      <c r="C338" s="10" t="str">
        <f>[28]Reporting!F17</f>
        <v>Lian Mesina</v>
      </c>
      <c r="D338" s="35" cm="1">
        <f t="array" ref="D338">--(SUM(COUNTIF(B338,{"*nest*","*grad*","*trans*","*1B*","*1C*"}))&gt;0)</f>
        <v>1</v>
      </c>
      <c r="E338" s="18">
        <f>[28]Performance!X18</f>
        <v>1</v>
      </c>
      <c r="F338" s="18">
        <f>[28]Performance!Y18</f>
        <v>1</v>
      </c>
      <c r="G338" s="18">
        <f>[28]Performance!Z18</f>
        <v>0.9</v>
      </c>
      <c r="H338" s="18">
        <f>[28]Performance!AA18</f>
        <v>0.8</v>
      </c>
      <c r="I338" s="18">
        <f>[28]Performance!AB18</f>
        <v>0.9</v>
      </c>
      <c r="J338" s="49" t="str">
        <f>[28]Performance!I18</f>
        <v>N/A</v>
      </c>
      <c r="K338" s="49" t="str">
        <f>[28]Performance!J18</f>
        <v>N/A</v>
      </c>
      <c r="L338" s="49" t="str">
        <f>[28]Performance!K18</f>
        <v>N/A</v>
      </c>
      <c r="M338" s="49" t="str">
        <f>[28]Performance!L18</f>
        <v>N/A</v>
      </c>
      <c r="N338" s="49" t="str">
        <f>[28]Performance!M18</f>
        <v>N/A</v>
      </c>
      <c r="O338" s="49" t="str">
        <f>[28]Performance!N18</f>
        <v>N/A</v>
      </c>
      <c r="P338" s="49" t="str">
        <f>[28]Performance!O18</f>
        <v>N/A</v>
      </c>
      <c r="Q338" s="49">
        <f>[28]Performance!P18</f>
        <v>0.88</v>
      </c>
      <c r="R338" s="49">
        <f>[28]Performance!Q18</f>
        <v>0.8</v>
      </c>
    </row>
    <row r="339" spans="1:18" x14ac:dyDescent="0.3">
      <c r="A339">
        <f>'[28]Student Data'!O19</f>
        <v>350575</v>
      </c>
      <c r="B339" t="str">
        <f>'[28]Student Data'!G19</f>
        <v>Tier 1B Nesting</v>
      </c>
      <c r="C339" s="10" t="str">
        <f>[28]Reporting!F18</f>
        <v>Francis Raven Narboneta</v>
      </c>
      <c r="D339" s="35" cm="1">
        <f t="array" ref="D339">--(SUM(COUNTIF(B339,{"*nest*","*grad*","*trans*","*1B*","*1C*"}))&gt;0)</f>
        <v>1</v>
      </c>
      <c r="E339" s="18">
        <f>[28]Performance!X19</f>
        <v>1</v>
      </c>
      <c r="F339" s="18">
        <f>[28]Performance!Y19</f>
        <v>1</v>
      </c>
      <c r="G339" s="18">
        <f>[28]Performance!Z19</f>
        <v>0.88</v>
      </c>
      <c r="H339" s="18">
        <f>[28]Performance!AA19</f>
        <v>0.8</v>
      </c>
      <c r="I339" s="18">
        <f>[28]Performance!AB19</f>
        <v>1</v>
      </c>
      <c r="J339" s="49" t="str">
        <f>[28]Performance!I19</f>
        <v>N/A</v>
      </c>
      <c r="K339" s="49" t="str">
        <f>[28]Performance!J19</f>
        <v>N/A</v>
      </c>
      <c r="L339" s="49" t="str">
        <f>[28]Performance!K19</f>
        <v>N/A</v>
      </c>
      <c r="M339" s="49" t="str">
        <f>[28]Performance!L19</f>
        <v>N/A</v>
      </c>
      <c r="N339" s="49" t="str">
        <f>[28]Performance!M19</f>
        <v>N/A</v>
      </c>
      <c r="O339" s="49" t="str">
        <f>[28]Performance!N19</f>
        <v>N/A</v>
      </c>
      <c r="P339" s="49" t="str">
        <f>[28]Performance!O19</f>
        <v>N/A</v>
      </c>
      <c r="Q339" s="49">
        <f>[28]Performance!P19</f>
        <v>0.88</v>
      </c>
      <c r="R339" s="49">
        <f>[28]Performance!Q19</f>
        <v>1</v>
      </c>
    </row>
    <row r="340" spans="1:18" x14ac:dyDescent="0.3">
      <c r="A340">
        <f>'[28]Student Data'!O20</f>
        <v>350573</v>
      </c>
      <c r="B340" t="str">
        <f>'[28]Student Data'!G20</f>
        <v>Tier 1B Nesting</v>
      </c>
      <c r="C340" s="10" t="str">
        <f>[28]Reporting!F19</f>
        <v>Elealene Sahagun</v>
      </c>
      <c r="D340" s="35" cm="1">
        <f t="array" ref="D340">--(SUM(COUNTIF(B340,{"*nest*","*grad*","*trans*","*1B*","*1C*"}))&gt;0)</f>
        <v>1</v>
      </c>
      <c r="E340" s="18">
        <f>[28]Performance!X20</f>
        <v>1</v>
      </c>
      <c r="F340" s="18">
        <f>[28]Performance!Y20</f>
        <v>1</v>
      </c>
      <c r="G340" s="18">
        <f>[28]Performance!Z20</f>
        <v>1</v>
      </c>
      <c r="H340" s="18">
        <f>[28]Performance!AA20</f>
        <v>1</v>
      </c>
      <c r="I340" s="18">
        <f>[28]Performance!AB20</f>
        <v>0.93</v>
      </c>
      <c r="J340" s="49" t="str">
        <f>[28]Performance!I20</f>
        <v>N/A</v>
      </c>
      <c r="K340" s="49" t="str">
        <f>[28]Performance!J20</f>
        <v>N/A</v>
      </c>
      <c r="L340" s="49" t="str">
        <f>[28]Performance!K20</f>
        <v>N/A</v>
      </c>
      <c r="M340" s="49" t="str">
        <f>[28]Performance!L20</f>
        <v>N/A</v>
      </c>
      <c r="N340" s="49" t="str">
        <f>[28]Performance!M20</f>
        <v>N/A</v>
      </c>
      <c r="O340" s="49" t="str">
        <f>[28]Performance!N20</f>
        <v>N/A</v>
      </c>
      <c r="P340" s="49" t="str">
        <f>[28]Performance!O20</f>
        <v>N/A</v>
      </c>
      <c r="Q340" s="49">
        <f>[28]Performance!P20</f>
        <v>1</v>
      </c>
      <c r="R340" s="49">
        <f>[28]Performance!Q20</f>
        <v>1</v>
      </c>
    </row>
    <row r="341" spans="1:18" x14ac:dyDescent="0.3">
      <c r="A341">
        <f>'[28]Student Data'!O21</f>
        <v>350577</v>
      </c>
      <c r="B341" t="str">
        <f>'[28]Student Data'!G21</f>
        <v>Tier 1B Nesting</v>
      </c>
      <c r="C341" s="10" t="str">
        <f>[28]Reporting!F20</f>
        <v>Gayle Mhelline Sandoval</v>
      </c>
      <c r="D341" s="35" cm="1">
        <f t="array" ref="D341">--(SUM(COUNTIF(B341,{"*nest*","*grad*","*trans*","*1B*","*1C*"}))&gt;0)</f>
        <v>1</v>
      </c>
      <c r="E341" s="18">
        <f>[28]Performance!X21</f>
        <v>1</v>
      </c>
      <c r="F341" s="18">
        <f>[28]Performance!Y21</f>
        <v>1</v>
      </c>
      <c r="G341" s="18">
        <f>[28]Performance!Z21</f>
        <v>0.86</v>
      </c>
      <c r="H341" s="18">
        <f>[28]Performance!AA21</f>
        <v>1</v>
      </c>
      <c r="I341" s="18">
        <f>[28]Performance!AB21</f>
        <v>0.81</v>
      </c>
      <c r="J341" s="49" t="str">
        <f>[28]Performance!I21</f>
        <v>N/A</v>
      </c>
      <c r="K341" s="49" t="str">
        <f>[28]Performance!J21</f>
        <v>N/A</v>
      </c>
      <c r="L341" s="49" t="str">
        <f>[28]Performance!K21</f>
        <v>N/A</v>
      </c>
      <c r="M341" s="49" t="str">
        <f>[28]Performance!L21</f>
        <v>N/A</v>
      </c>
      <c r="N341" s="49" t="str">
        <f>[28]Performance!M21</f>
        <v>N/A</v>
      </c>
      <c r="O341" s="49" t="str">
        <f>[28]Performance!N21</f>
        <v>N/A</v>
      </c>
      <c r="P341" s="49" t="str">
        <f>[28]Performance!O21</f>
        <v>N/A</v>
      </c>
      <c r="Q341" s="49">
        <f>[28]Performance!P21</f>
        <v>1</v>
      </c>
      <c r="R341" s="49">
        <f>[28]Performance!Q21</f>
        <v>1</v>
      </c>
    </row>
    <row r="342" spans="1:18" x14ac:dyDescent="0.3">
      <c r="A342">
        <f>'[28]Student Data'!O22</f>
        <v>350576</v>
      </c>
      <c r="B342" t="str">
        <f>'[28]Student Data'!G22</f>
        <v>Tier 1B Nesting</v>
      </c>
      <c r="C342" s="10" t="str">
        <f>[28]Reporting!F21</f>
        <v>Rhesty Victa</v>
      </c>
      <c r="D342" s="35" cm="1">
        <f t="array" ref="D342">--(SUM(COUNTIF(B342,{"*nest*","*grad*","*trans*","*1B*","*1C*"}))&gt;0)</f>
        <v>1</v>
      </c>
      <c r="E342" s="18">
        <f>[28]Performance!X22</f>
        <v>1</v>
      </c>
      <c r="F342" s="18">
        <f>[28]Performance!Y22</f>
        <v>1</v>
      </c>
      <c r="G342" s="18">
        <f>[28]Performance!Z22</f>
        <v>0.8</v>
      </c>
      <c r="H342" s="18">
        <f>[28]Performance!AA22</f>
        <v>1</v>
      </c>
      <c r="I342" s="18">
        <f>[28]Performance!AB22</f>
        <v>1</v>
      </c>
      <c r="J342" s="49" t="str">
        <f>[28]Performance!I22</f>
        <v>N/A</v>
      </c>
      <c r="K342" s="49" t="str">
        <f>[28]Performance!J22</f>
        <v>N/A</v>
      </c>
      <c r="L342" s="49" t="str">
        <f>[28]Performance!K22</f>
        <v>N/A</v>
      </c>
      <c r="M342" s="49" t="str">
        <f>[28]Performance!L22</f>
        <v>N/A</v>
      </c>
      <c r="N342" s="49" t="str">
        <f>[28]Performance!M22</f>
        <v>N/A</v>
      </c>
      <c r="O342" s="49" t="str">
        <f>[28]Performance!N22</f>
        <v>N/A</v>
      </c>
      <c r="P342" s="49" t="str">
        <f>[28]Performance!O22</f>
        <v>N/A</v>
      </c>
      <c r="Q342" s="49">
        <f>[28]Performance!P22</f>
        <v>1</v>
      </c>
      <c r="R342" s="49">
        <f>[28]Performance!Q22</f>
        <v>0.8</v>
      </c>
    </row>
    <row r="343" spans="1:18" x14ac:dyDescent="0.3">
      <c r="A343">
        <f>'[28]Student Data'!O23</f>
        <v>350583</v>
      </c>
      <c r="B343" t="str">
        <f>'[28]Student Data'!G23</f>
        <v>Tier 1B Nesting</v>
      </c>
      <c r="C343" s="10" t="str">
        <f>[28]Reporting!F22</f>
        <v>Bryan Ceazar Capulong</v>
      </c>
      <c r="D343" s="35" cm="1">
        <f t="array" ref="D343">--(SUM(COUNTIF(B343,{"*nest*","*grad*","*trans*","*1B*","*1C*"}))&gt;0)</f>
        <v>1</v>
      </c>
      <c r="E343" s="18">
        <f>[28]Performance!X23</f>
        <v>1</v>
      </c>
      <c r="F343" s="18">
        <f>[28]Performance!Y23</f>
        <v>1</v>
      </c>
      <c r="G343" s="18">
        <f>[28]Performance!Z23</f>
        <v>0.94</v>
      </c>
      <c r="H343" s="18">
        <f>[28]Performance!AA23</f>
        <v>1</v>
      </c>
      <c r="I343" s="18">
        <f>[28]Performance!AB23</f>
        <v>1</v>
      </c>
      <c r="J343" s="49" t="str">
        <f>[28]Performance!I23</f>
        <v>N/A</v>
      </c>
      <c r="K343" s="49" t="str">
        <f>[28]Performance!J23</f>
        <v>N/A</v>
      </c>
      <c r="L343" s="49" t="str">
        <f>[28]Performance!K23</f>
        <v>N/A</v>
      </c>
      <c r="M343" s="49" t="str">
        <f>[28]Performance!L23</f>
        <v>N/A</v>
      </c>
      <c r="N343" s="49" t="str">
        <f>[28]Performance!M23</f>
        <v>N/A</v>
      </c>
      <c r="O343" s="49" t="str">
        <f>[28]Performance!N23</f>
        <v>N/A</v>
      </c>
      <c r="P343" s="49" t="str">
        <f>[28]Performance!O23</f>
        <v>N/A</v>
      </c>
      <c r="Q343" s="49">
        <f>[28]Performance!P23</f>
        <v>1</v>
      </c>
      <c r="R343" s="49">
        <f>[28]Performance!Q23</f>
        <v>1</v>
      </c>
    </row>
    <row r="344" spans="1:18" x14ac:dyDescent="0.3">
      <c r="A344" s="8" t="s">
        <v>73</v>
      </c>
      <c r="B344" s="44" t="s">
        <v>44</v>
      </c>
      <c r="C344" s="44" t="s">
        <v>42</v>
      </c>
      <c r="D344" s="43">
        <f>SUM(D345:D360)</f>
        <v>12</v>
      </c>
      <c r="E344" s="43">
        <f>COUNTIF(E345:E360, "&gt;79%")</f>
        <v>10</v>
      </c>
      <c r="F344" s="43">
        <f t="shared" ref="F344:R344" si="25">COUNTIF(F345:F360, "&gt;79%")</f>
        <v>10</v>
      </c>
      <c r="G344" s="43">
        <f t="shared" si="25"/>
        <v>10</v>
      </c>
      <c r="H344" s="43">
        <f t="shared" si="25"/>
        <v>10</v>
      </c>
      <c r="I344" s="43">
        <f t="shared" si="25"/>
        <v>10</v>
      </c>
      <c r="J344" s="43">
        <f t="shared" si="25"/>
        <v>0</v>
      </c>
      <c r="K344" s="43">
        <f t="shared" si="25"/>
        <v>0</v>
      </c>
      <c r="L344" s="43">
        <f t="shared" si="25"/>
        <v>0</v>
      </c>
      <c r="M344" s="43">
        <f t="shared" si="25"/>
        <v>0</v>
      </c>
      <c r="N344" s="43">
        <f t="shared" si="25"/>
        <v>0</v>
      </c>
      <c r="O344" s="43">
        <f t="shared" si="25"/>
        <v>0</v>
      </c>
      <c r="P344" s="43">
        <f t="shared" si="25"/>
        <v>0</v>
      </c>
      <c r="Q344" s="43">
        <f t="shared" si="25"/>
        <v>0</v>
      </c>
      <c r="R344" s="43">
        <f t="shared" si="25"/>
        <v>0</v>
      </c>
    </row>
    <row r="345" spans="1:18" x14ac:dyDescent="0.3">
      <c r="A345">
        <f>'[29]Student Data'!O5</f>
        <v>351149</v>
      </c>
      <c r="B345" t="str">
        <f>'[29]Student Data'!G5</f>
        <v>Tier 1B</v>
      </c>
      <c r="C345" s="10" t="str">
        <f>[29]Reporting!F4</f>
        <v>Nixon Ador</v>
      </c>
      <c r="D345" s="35" cm="1">
        <f t="array" ref="D345">--(SUM(COUNTIF(B345,{"*nest*","*grad*","*trans*","*1B*","*1C*"}))&gt;0)</f>
        <v>1</v>
      </c>
      <c r="E345" s="18">
        <f>[29]Performance!X5</f>
        <v>1</v>
      </c>
      <c r="F345" s="18">
        <f>[29]Performance!Y5</f>
        <v>1</v>
      </c>
      <c r="G345" s="18">
        <f>[29]Performance!Z5</f>
        <v>0.94</v>
      </c>
      <c r="H345" s="18">
        <f>[29]Performance!AA5</f>
        <v>1</v>
      </c>
      <c r="I345" s="18">
        <f>[29]Performance!AB5</f>
        <v>0.93</v>
      </c>
      <c r="J345" s="49" t="str">
        <f>[29]Performance!O5</f>
        <v>N/A</v>
      </c>
      <c r="K345" s="49">
        <f>[29]Performance!P5</f>
        <v>0</v>
      </c>
      <c r="L345" s="49">
        <f>[29]Performance!Q5</f>
        <v>0</v>
      </c>
      <c r="M345" s="49" t="str">
        <f>[29]Performance!R5</f>
        <v>N/A</v>
      </c>
      <c r="N345" s="49" t="str">
        <f>[29]Performance!S5</f>
        <v>N/A</v>
      </c>
      <c r="O345" s="49" t="str">
        <f>[29]Performance!T5</f>
        <v>N/A</v>
      </c>
      <c r="P345" s="49">
        <f>[29]Performance!U5</f>
        <v>0</v>
      </c>
      <c r="Q345" s="49" t="str">
        <f>[29]Performance!V5</f>
        <v>N/A</v>
      </c>
      <c r="R345" s="49">
        <f>[29]Performance!W5</f>
        <v>0</v>
      </c>
    </row>
    <row r="346" spans="1:18" x14ac:dyDescent="0.3">
      <c r="A346">
        <f>'[29]Student Data'!O6</f>
        <v>0</v>
      </c>
      <c r="B346" t="str">
        <f>'[29]Student Data'!G6</f>
        <v>Moved/Joining Alternate Class</v>
      </c>
      <c r="C346" s="10" t="str">
        <f>[29]Reporting!F5</f>
        <v>Karissa Adriano</v>
      </c>
      <c r="D346" s="35" cm="1">
        <f t="array" ref="D346">--(SUM(COUNTIF(B346,{"*nest*","*grad*","*trans*","*1B*","*1C*"}))&gt;0)</f>
        <v>0</v>
      </c>
      <c r="E346" s="18">
        <f>[29]Performance!X6</f>
        <v>0</v>
      </c>
      <c r="F346" s="18">
        <f>[29]Performance!Y6</f>
        <v>0</v>
      </c>
      <c r="G346" s="18">
        <f>[29]Performance!Z6</f>
        <v>0</v>
      </c>
      <c r="H346" s="18">
        <f>[29]Performance!AA6</f>
        <v>0</v>
      </c>
      <c r="I346" s="18">
        <f>[29]Performance!AB6</f>
        <v>0</v>
      </c>
      <c r="J346" s="49" t="str">
        <f>[29]Performance!O6</f>
        <v>N/A</v>
      </c>
      <c r="K346" s="49">
        <f>[29]Performance!P6</f>
        <v>0</v>
      </c>
      <c r="L346" s="49">
        <f>[29]Performance!Q6</f>
        <v>0</v>
      </c>
      <c r="M346" s="49" t="str">
        <f>[29]Performance!R6</f>
        <v>N/A</v>
      </c>
      <c r="N346" s="49" t="str">
        <f>[29]Performance!S6</f>
        <v>N/A</v>
      </c>
      <c r="O346" s="49" t="str">
        <f>[29]Performance!T6</f>
        <v>N/A</v>
      </c>
      <c r="P346" s="49">
        <f>[29]Performance!U6</f>
        <v>0</v>
      </c>
      <c r="Q346" s="49" t="str">
        <f>[29]Performance!V6</f>
        <v>N/A</v>
      </c>
      <c r="R346" s="49">
        <f>[29]Performance!W6</f>
        <v>0</v>
      </c>
    </row>
    <row r="347" spans="1:18" x14ac:dyDescent="0.3">
      <c r="A347">
        <f>'[29]Student Data'!O7</f>
        <v>351164</v>
      </c>
      <c r="B347" t="str">
        <f>'[29]Student Data'!G7</f>
        <v>Tier 1B</v>
      </c>
      <c r="C347" s="10" t="str">
        <f>[29]Reporting!F6</f>
        <v>Tifany Azarcon</v>
      </c>
      <c r="D347" s="35" cm="1">
        <f t="array" ref="D347">--(SUM(COUNTIF(B347,{"*nest*","*grad*","*trans*","*1B*","*1C*"}))&gt;0)</f>
        <v>1</v>
      </c>
      <c r="E347" s="18">
        <f>[29]Performance!X7</f>
        <v>1</v>
      </c>
      <c r="F347" s="18">
        <f>[29]Performance!Y7</f>
        <v>1</v>
      </c>
      <c r="G347" s="18">
        <f>[29]Performance!Z7</f>
        <v>0.89</v>
      </c>
      <c r="H347" s="18">
        <f>[29]Performance!AA7</f>
        <v>1</v>
      </c>
      <c r="I347" s="18">
        <f>[29]Performance!AB7</f>
        <v>0.85</v>
      </c>
      <c r="J347" s="49" t="str">
        <f>[29]Performance!O7</f>
        <v>N/A</v>
      </c>
      <c r="K347" s="49">
        <f>[29]Performance!P7</f>
        <v>0</v>
      </c>
      <c r="L347" s="49">
        <f>[29]Performance!Q7</f>
        <v>0</v>
      </c>
      <c r="M347" s="49" t="str">
        <f>[29]Performance!R7</f>
        <v>N/A</v>
      </c>
      <c r="N347" s="49" t="str">
        <f>[29]Performance!S7</f>
        <v>N/A</v>
      </c>
      <c r="O347" s="49" t="str">
        <f>[29]Performance!T7</f>
        <v>N/A</v>
      </c>
      <c r="P347" s="49">
        <f>[29]Performance!U7</f>
        <v>0</v>
      </c>
      <c r="Q347" s="49" t="str">
        <f>[29]Performance!V7</f>
        <v>N/A</v>
      </c>
      <c r="R347" s="49">
        <f>[29]Performance!W7</f>
        <v>0</v>
      </c>
    </row>
    <row r="348" spans="1:18" x14ac:dyDescent="0.3">
      <c r="A348">
        <f>'[29]Student Data'!O8</f>
        <v>0</v>
      </c>
      <c r="B348" t="str">
        <f>'[29]Student Data'!G8</f>
        <v>Did not Start</v>
      </c>
      <c r="C348" s="10" t="str">
        <f>[29]Reporting!F7</f>
        <v>Mark Anthony  Cuevas</v>
      </c>
      <c r="D348" s="35" cm="1">
        <f t="array" ref="D348">--(SUM(COUNTIF(B348,{"*nest*","*grad*","*trans*","*1B*","*1C*"}))&gt;0)</f>
        <v>0</v>
      </c>
      <c r="E348" s="18">
        <f>[29]Performance!X8</f>
        <v>0</v>
      </c>
      <c r="F348" s="18">
        <f>[29]Performance!Y8</f>
        <v>0</v>
      </c>
      <c r="G348" s="18">
        <f>[29]Performance!Z8</f>
        <v>0</v>
      </c>
      <c r="H348" s="18">
        <f>[29]Performance!AA8</f>
        <v>0</v>
      </c>
      <c r="I348" s="18">
        <f>[29]Performance!AB8</f>
        <v>0</v>
      </c>
      <c r="J348" s="49" t="str">
        <f>[29]Performance!O8</f>
        <v>N/A</v>
      </c>
      <c r="K348" s="49">
        <f>[29]Performance!P8</f>
        <v>0</v>
      </c>
      <c r="L348" s="49">
        <f>[29]Performance!Q8</f>
        <v>0</v>
      </c>
      <c r="M348" s="49" t="str">
        <f>[29]Performance!R8</f>
        <v>N/A</v>
      </c>
      <c r="N348" s="49" t="str">
        <f>[29]Performance!S8</f>
        <v>N/A</v>
      </c>
      <c r="O348" s="49" t="str">
        <f>[29]Performance!T8</f>
        <v>N/A</v>
      </c>
      <c r="P348" s="49">
        <f>[29]Performance!U8</f>
        <v>0</v>
      </c>
      <c r="Q348" s="49" t="str">
        <f>[29]Performance!V8</f>
        <v>N/A</v>
      </c>
      <c r="R348" s="49">
        <f>[29]Performance!W8</f>
        <v>0</v>
      </c>
    </row>
    <row r="349" spans="1:18" x14ac:dyDescent="0.3">
      <c r="A349">
        <f>'[29]Student Data'!O9</f>
        <v>351157</v>
      </c>
      <c r="B349" t="str">
        <f>'[29]Student Data'!G9</f>
        <v>Tier 1B</v>
      </c>
      <c r="C349" s="10" t="str">
        <f>[29]Reporting!F8</f>
        <v>April Jane  Enoy</v>
      </c>
      <c r="D349" s="35" cm="1">
        <f t="array" ref="D349">--(SUM(COUNTIF(B349,{"*nest*","*grad*","*trans*","*1B*","*1C*"}))&gt;0)</f>
        <v>1</v>
      </c>
      <c r="E349" s="18">
        <f>[29]Performance!X9</f>
        <v>1</v>
      </c>
      <c r="F349" s="18">
        <f>[29]Performance!Y9</f>
        <v>1</v>
      </c>
      <c r="G349" s="18">
        <f>[29]Performance!Z9</f>
        <v>0.94</v>
      </c>
      <c r="H349" s="18">
        <f>[29]Performance!AA9</f>
        <v>0.8</v>
      </c>
      <c r="I349" s="18">
        <f>[29]Performance!AB9</f>
        <v>0.93</v>
      </c>
      <c r="J349" s="49" t="str">
        <f>[29]Performance!O9</f>
        <v>N/A</v>
      </c>
      <c r="K349" s="49">
        <f>[29]Performance!P9</f>
        <v>0</v>
      </c>
      <c r="L349" s="49">
        <f>[29]Performance!Q9</f>
        <v>0</v>
      </c>
      <c r="M349" s="49" t="str">
        <f>[29]Performance!R9</f>
        <v>N/A</v>
      </c>
      <c r="N349" s="49" t="str">
        <f>[29]Performance!S9</f>
        <v>N/A</v>
      </c>
      <c r="O349" s="49" t="str">
        <f>[29]Performance!T9</f>
        <v>N/A</v>
      </c>
      <c r="P349" s="49">
        <f>[29]Performance!U9</f>
        <v>0</v>
      </c>
      <c r="Q349" s="49" t="str">
        <f>[29]Performance!V9</f>
        <v>N/A</v>
      </c>
      <c r="R349" s="49">
        <f>[29]Performance!W9</f>
        <v>0</v>
      </c>
    </row>
    <row r="350" spans="1:18" x14ac:dyDescent="0.3">
      <c r="A350">
        <f>'[29]Student Data'!O10</f>
        <v>351163</v>
      </c>
      <c r="B350" t="str">
        <f>'[29]Student Data'!G10</f>
        <v>Tier 1B</v>
      </c>
      <c r="C350" s="10" t="str">
        <f>[29]Reporting!F9</f>
        <v>Melanie Hamor</v>
      </c>
      <c r="D350" s="35" cm="1">
        <f t="array" ref="D350">--(SUM(COUNTIF(B350,{"*nest*","*grad*","*trans*","*1B*","*1C*"}))&gt;0)</f>
        <v>1</v>
      </c>
      <c r="E350" s="18">
        <f>[29]Performance!X10</f>
        <v>1</v>
      </c>
      <c r="F350" s="18">
        <f>[29]Performance!Y10</f>
        <v>1</v>
      </c>
      <c r="G350" s="18">
        <f>[29]Performance!Z10</f>
        <v>0.97</v>
      </c>
      <c r="H350" s="18">
        <f>[29]Performance!AA10</f>
        <v>1</v>
      </c>
      <c r="I350" s="18">
        <f>[29]Performance!AB10</f>
        <v>0.95</v>
      </c>
      <c r="J350" s="49" t="str">
        <f>[29]Performance!O10</f>
        <v>N/A</v>
      </c>
      <c r="K350" s="49">
        <f>[29]Performance!P10</f>
        <v>0</v>
      </c>
      <c r="L350" s="49">
        <f>[29]Performance!Q10</f>
        <v>0</v>
      </c>
      <c r="M350" s="49" t="str">
        <f>[29]Performance!R10</f>
        <v>N/A</v>
      </c>
      <c r="N350" s="49" t="str">
        <f>[29]Performance!S10</f>
        <v>N/A</v>
      </c>
      <c r="O350" s="49" t="str">
        <f>[29]Performance!T10</f>
        <v>N/A</v>
      </c>
      <c r="P350" s="49">
        <f>[29]Performance!U10</f>
        <v>0</v>
      </c>
      <c r="Q350" s="49" t="str">
        <f>[29]Performance!V10</f>
        <v>N/A</v>
      </c>
      <c r="R350" s="49">
        <f>[29]Performance!W10</f>
        <v>0</v>
      </c>
    </row>
    <row r="351" spans="1:18" x14ac:dyDescent="0.3">
      <c r="A351">
        <f>'[29]Student Data'!O11</f>
        <v>351150</v>
      </c>
      <c r="B351" t="str">
        <f>'[29]Student Data'!G11</f>
        <v>Tier 1B</v>
      </c>
      <c r="C351" s="10" t="str">
        <f>[29]Reporting!F10</f>
        <v>Loida Ignacio</v>
      </c>
      <c r="D351" s="35" cm="1">
        <f t="array" ref="D351">--(SUM(COUNTIF(B351,{"*nest*","*grad*","*trans*","*1B*","*1C*"}))&gt;0)</f>
        <v>1</v>
      </c>
      <c r="E351" s="18">
        <f>[29]Performance!X11</f>
        <v>1</v>
      </c>
      <c r="F351" s="18">
        <f>[29]Performance!Y11</f>
        <v>1</v>
      </c>
      <c r="G351" s="18">
        <f>[29]Performance!Z11</f>
        <v>0.88</v>
      </c>
      <c r="H351" s="18">
        <f>[29]Performance!AA11</f>
        <v>0.8</v>
      </c>
      <c r="I351" s="18">
        <f>[29]Performance!AB11</f>
        <v>0.8</v>
      </c>
      <c r="J351" s="49" t="str">
        <f>[29]Performance!O11</f>
        <v>N/A</v>
      </c>
      <c r="K351" s="49">
        <f>[29]Performance!P11</f>
        <v>0</v>
      </c>
      <c r="L351" s="49">
        <f>[29]Performance!Q11</f>
        <v>0</v>
      </c>
      <c r="M351" s="49" t="str">
        <f>[29]Performance!R11</f>
        <v>N/A</v>
      </c>
      <c r="N351" s="49" t="str">
        <f>[29]Performance!S11</f>
        <v>N/A</v>
      </c>
      <c r="O351" s="49" t="str">
        <f>[29]Performance!T11</f>
        <v>N/A</v>
      </c>
      <c r="P351" s="49">
        <f>[29]Performance!U11</f>
        <v>0</v>
      </c>
      <c r="Q351" s="49" t="str">
        <f>[29]Performance!V11</f>
        <v>N/A</v>
      </c>
      <c r="R351" s="49">
        <f>[29]Performance!W11</f>
        <v>0</v>
      </c>
    </row>
    <row r="352" spans="1:18" x14ac:dyDescent="0.3">
      <c r="A352">
        <f>'[29]Student Data'!O12</f>
        <v>0</v>
      </c>
      <c r="B352" t="str">
        <f>'[29]Student Data'!G12</f>
        <v>Did not Start</v>
      </c>
      <c r="C352" s="10" t="str">
        <f>[29]Reporting!F11</f>
        <v>Francis Mamangun</v>
      </c>
      <c r="D352" s="35" cm="1">
        <f t="array" ref="D352">--(SUM(COUNTIF(B352,{"*nest*","*grad*","*trans*","*1B*","*1C*"}))&gt;0)</f>
        <v>0</v>
      </c>
      <c r="E352" s="18">
        <f>[29]Performance!X12</f>
        <v>0</v>
      </c>
      <c r="F352" s="18">
        <f>[29]Performance!Y12</f>
        <v>0</v>
      </c>
      <c r="G352" s="18">
        <f>[29]Performance!Z12</f>
        <v>0</v>
      </c>
      <c r="H352" s="18">
        <f>[29]Performance!AA12</f>
        <v>0</v>
      </c>
      <c r="I352" s="18">
        <f>[29]Performance!AB12</f>
        <v>0</v>
      </c>
      <c r="J352" s="49" t="str">
        <f>[29]Performance!O12</f>
        <v>N/A</v>
      </c>
      <c r="K352" s="49">
        <f>[29]Performance!P12</f>
        <v>0</v>
      </c>
      <c r="L352" s="49">
        <f>[29]Performance!Q12</f>
        <v>0</v>
      </c>
      <c r="M352" s="49" t="str">
        <f>[29]Performance!R12</f>
        <v>N/A</v>
      </c>
      <c r="N352" s="49" t="str">
        <f>[29]Performance!S12</f>
        <v>N/A</v>
      </c>
      <c r="O352" s="49" t="str">
        <f>[29]Performance!T12</f>
        <v>N/A</v>
      </c>
      <c r="P352" s="49">
        <f>[29]Performance!U12</f>
        <v>0</v>
      </c>
      <c r="Q352" s="49" t="str">
        <f>[29]Performance!V12</f>
        <v>N/A</v>
      </c>
      <c r="R352" s="49">
        <f>[29]Performance!W12</f>
        <v>0</v>
      </c>
    </row>
    <row r="353" spans="1:18" x14ac:dyDescent="0.3">
      <c r="A353">
        <f>'[29]Student Data'!O13</f>
        <v>0</v>
      </c>
      <c r="B353" t="str">
        <f>'[29]Student Data'!G13</f>
        <v>Did not Start</v>
      </c>
      <c r="C353" s="10" t="str">
        <f>[29]Reporting!F12</f>
        <v>Queen Marzan</v>
      </c>
      <c r="D353" s="35" cm="1">
        <f t="array" ref="D353">--(SUM(COUNTIF(B353,{"*nest*","*grad*","*trans*","*1B*","*1C*"}))&gt;0)</f>
        <v>0</v>
      </c>
      <c r="E353" s="18">
        <f>[29]Performance!X13</f>
        <v>0</v>
      </c>
      <c r="F353" s="18">
        <f>[29]Performance!Y13</f>
        <v>0</v>
      </c>
      <c r="G353" s="18">
        <f>[29]Performance!Z13</f>
        <v>0</v>
      </c>
      <c r="H353" s="18">
        <f>[29]Performance!AA13</f>
        <v>0</v>
      </c>
      <c r="I353" s="18">
        <f>[29]Performance!AB13</f>
        <v>0</v>
      </c>
      <c r="J353" s="49" t="str">
        <f>[29]Performance!O13</f>
        <v>N/A</v>
      </c>
      <c r="K353" s="49">
        <f>[29]Performance!P13</f>
        <v>0</v>
      </c>
      <c r="L353" s="49">
        <f>[29]Performance!Q13</f>
        <v>0</v>
      </c>
      <c r="M353" s="49" t="str">
        <f>[29]Performance!R13</f>
        <v>N/A</v>
      </c>
      <c r="N353" s="49" t="str">
        <f>[29]Performance!S13</f>
        <v>N/A</v>
      </c>
      <c r="O353" s="49" t="str">
        <f>[29]Performance!T13</f>
        <v>N/A</v>
      </c>
      <c r="P353" s="49">
        <f>[29]Performance!U13</f>
        <v>0</v>
      </c>
      <c r="Q353" s="49" t="str">
        <f>[29]Performance!V13</f>
        <v>N/A</v>
      </c>
      <c r="R353" s="49">
        <f>[29]Performance!W13</f>
        <v>0</v>
      </c>
    </row>
    <row r="354" spans="1:18" x14ac:dyDescent="0.3">
      <c r="A354">
        <f>'[29]Student Data'!O14</f>
        <v>351165</v>
      </c>
      <c r="B354" t="str">
        <f>'[29]Student Data'!G14</f>
        <v>Tier 1B</v>
      </c>
      <c r="C354" s="10" t="str">
        <f>[29]Reporting!F13</f>
        <v>Ivy Christine Ramiscal</v>
      </c>
      <c r="D354" s="35" cm="1">
        <f t="array" ref="D354">--(SUM(COUNTIF(B354,{"*nest*","*grad*","*trans*","*1B*","*1C*"}))&gt;0)</f>
        <v>1</v>
      </c>
      <c r="E354" s="18">
        <f>[29]Performance!X14</f>
        <v>1</v>
      </c>
      <c r="F354" s="18">
        <f>[29]Performance!Y14</f>
        <v>1</v>
      </c>
      <c r="G354" s="18">
        <f>[29]Performance!Z14</f>
        <v>0.86</v>
      </c>
      <c r="H354" s="18">
        <f>[29]Performance!AA14</f>
        <v>1</v>
      </c>
      <c r="I354" s="18">
        <f>[29]Performance!AB14</f>
        <v>0.83</v>
      </c>
      <c r="J354" s="49" t="str">
        <f>[29]Performance!O14</f>
        <v>N/A</v>
      </c>
      <c r="K354" s="49">
        <f>[29]Performance!P14</f>
        <v>0</v>
      </c>
      <c r="L354" s="49">
        <f>[29]Performance!Q14</f>
        <v>0</v>
      </c>
      <c r="M354" s="49" t="str">
        <f>[29]Performance!R14</f>
        <v>N/A</v>
      </c>
      <c r="N354" s="49" t="str">
        <f>[29]Performance!S14</f>
        <v>N/A</v>
      </c>
      <c r="O354" s="49" t="str">
        <f>[29]Performance!T14</f>
        <v>N/A</v>
      </c>
      <c r="P354" s="49">
        <f>[29]Performance!U14</f>
        <v>0</v>
      </c>
      <c r="Q354" s="49" t="str">
        <f>[29]Performance!V14</f>
        <v>N/A</v>
      </c>
      <c r="R354" s="49">
        <f>[29]Performance!W14</f>
        <v>0</v>
      </c>
    </row>
    <row r="355" spans="1:18" x14ac:dyDescent="0.3">
      <c r="A355">
        <f>'[29]Student Data'!O15</f>
        <v>351160</v>
      </c>
      <c r="B355" t="str">
        <f>'[29]Student Data'!G15</f>
        <v>Tier 1B</v>
      </c>
      <c r="C355" s="10" t="str">
        <f>[29]Reporting!F14</f>
        <v>Giovanni Regalado</v>
      </c>
      <c r="D355" s="35" cm="1">
        <f t="array" ref="D355">--(SUM(COUNTIF(B355,{"*nest*","*grad*","*trans*","*1B*","*1C*"}))&gt;0)</f>
        <v>1</v>
      </c>
      <c r="E355" s="18">
        <f>[29]Performance!X15</f>
        <v>1</v>
      </c>
      <c r="F355" s="18">
        <f>[29]Performance!Y15</f>
        <v>1</v>
      </c>
      <c r="G355" s="18">
        <f>[29]Performance!Z15</f>
        <v>0.94</v>
      </c>
      <c r="H355" s="18">
        <f>[29]Performance!AA15</f>
        <v>1</v>
      </c>
      <c r="I355" s="18">
        <f>[29]Performance!AB15</f>
        <v>0.8</v>
      </c>
      <c r="J355" s="49" t="str">
        <f>[29]Performance!O15</f>
        <v>N/A</v>
      </c>
      <c r="K355" s="49">
        <f>[29]Performance!P15</f>
        <v>0</v>
      </c>
      <c r="L355" s="49">
        <f>[29]Performance!Q15</f>
        <v>0</v>
      </c>
      <c r="M355" s="49" t="str">
        <f>[29]Performance!R15</f>
        <v>N/A</v>
      </c>
      <c r="N355" s="49" t="str">
        <f>[29]Performance!S15</f>
        <v>N/A</v>
      </c>
      <c r="O355" s="49" t="str">
        <f>[29]Performance!T15</f>
        <v>N/A</v>
      </c>
      <c r="P355" s="49">
        <f>[29]Performance!U15</f>
        <v>0</v>
      </c>
      <c r="Q355" s="49" t="str">
        <f>[29]Performance!V15</f>
        <v>N/A</v>
      </c>
      <c r="R355" s="49">
        <f>[29]Performance!W15</f>
        <v>0</v>
      </c>
    </row>
    <row r="356" spans="1:18" x14ac:dyDescent="0.3">
      <c r="A356">
        <f>'[29]Student Data'!O16</f>
        <v>351152</v>
      </c>
      <c r="B356" t="str">
        <f>'[29]Student Data'!G16</f>
        <v>Tier 1B</v>
      </c>
      <c r="C356" s="10" t="str">
        <f>[29]Reporting!F15</f>
        <v>Patricia Monique Relevo</v>
      </c>
      <c r="D356" s="35" cm="1">
        <f t="array" ref="D356">--(SUM(COUNTIF(B356,{"*nest*","*grad*","*trans*","*1B*","*1C*"}))&gt;0)</f>
        <v>1</v>
      </c>
      <c r="E356" s="18">
        <f>[29]Performance!X16</f>
        <v>1</v>
      </c>
      <c r="F356" s="18">
        <f>[29]Performance!Y16</f>
        <v>1</v>
      </c>
      <c r="G356" s="18">
        <f>[29]Performance!Z16</f>
        <v>0.9</v>
      </c>
      <c r="H356" s="18">
        <f>[29]Performance!AA16</f>
        <v>0.8</v>
      </c>
      <c r="I356" s="18">
        <f>[29]Performance!AB16</f>
        <v>0.83</v>
      </c>
      <c r="J356" s="49" t="str">
        <f>[29]Performance!O16</f>
        <v>N/A</v>
      </c>
      <c r="K356" s="49">
        <f>[29]Performance!P16</f>
        <v>0</v>
      </c>
      <c r="L356" s="49">
        <f>[29]Performance!Q16</f>
        <v>0</v>
      </c>
      <c r="M356" s="49" t="str">
        <f>[29]Performance!R16</f>
        <v>N/A</v>
      </c>
      <c r="N356" s="49" t="str">
        <f>[29]Performance!S16</f>
        <v>N/A</v>
      </c>
      <c r="O356" s="49" t="str">
        <f>[29]Performance!T16</f>
        <v>N/A</v>
      </c>
      <c r="P356" s="49">
        <f>[29]Performance!U16</f>
        <v>0</v>
      </c>
      <c r="Q356" s="49" t="str">
        <f>[29]Performance!V16</f>
        <v>N/A</v>
      </c>
      <c r="R356" s="49">
        <f>[29]Performance!W16</f>
        <v>0</v>
      </c>
    </row>
    <row r="357" spans="1:18" x14ac:dyDescent="0.3">
      <c r="A357">
        <f>'[29]Student Data'!O17</f>
        <v>351156</v>
      </c>
      <c r="B357" t="str">
        <f>'[29]Student Data'!G17</f>
        <v>Tier 1B</v>
      </c>
      <c r="C357" s="10" t="str">
        <f>[29]Reporting!F16</f>
        <v>Rose Ann  Victoria</v>
      </c>
      <c r="D357" s="35" cm="1">
        <f t="array" ref="D357">--(SUM(COUNTIF(B357,{"*nest*","*grad*","*trans*","*1B*","*1C*"}))&gt;0)</f>
        <v>1</v>
      </c>
      <c r="E357" s="18">
        <f>[29]Performance!X17</f>
        <v>1</v>
      </c>
      <c r="F357" s="18">
        <f>[29]Performance!Y17</f>
        <v>1</v>
      </c>
      <c r="G357" s="18">
        <f>[29]Performance!Z17</f>
        <v>1</v>
      </c>
      <c r="H357" s="18">
        <f>[29]Performance!AA17</f>
        <v>1</v>
      </c>
      <c r="I357" s="18">
        <f>[29]Performance!AB17</f>
        <v>0.95</v>
      </c>
      <c r="J357" s="49" t="str">
        <f>[29]Performance!O17</f>
        <v>N/A</v>
      </c>
      <c r="K357" s="49">
        <f>[29]Performance!P17</f>
        <v>0</v>
      </c>
      <c r="L357" s="49">
        <f>[29]Performance!Q17</f>
        <v>0</v>
      </c>
      <c r="M357" s="49" t="str">
        <f>[29]Performance!R17</f>
        <v>N/A</v>
      </c>
      <c r="N357" s="49" t="str">
        <f>[29]Performance!S17</f>
        <v>N/A</v>
      </c>
      <c r="O357" s="49" t="str">
        <f>[29]Performance!T17</f>
        <v>N/A</v>
      </c>
      <c r="P357" s="49">
        <f>[29]Performance!U17</f>
        <v>0</v>
      </c>
      <c r="Q357" s="49" t="str">
        <f>[29]Performance!V17</f>
        <v>N/A</v>
      </c>
      <c r="R357" s="49">
        <f>[29]Performance!W17</f>
        <v>0</v>
      </c>
    </row>
    <row r="358" spans="1:18" x14ac:dyDescent="0.3">
      <c r="A358">
        <f>'[29]Student Data'!O18</f>
        <v>351151</v>
      </c>
      <c r="B358" t="str">
        <f>'[29]Student Data'!G18</f>
        <v>Tier 1B</v>
      </c>
      <c r="C358" s="10" t="str">
        <f>[29]Reporting!F17</f>
        <v>Julius Renzo Villegas</v>
      </c>
      <c r="D358" s="35" cm="1">
        <f t="array" ref="D358">--(SUM(COUNTIF(B358,{"*nest*","*grad*","*trans*","*1B*","*1C*"}))&gt;0)</f>
        <v>1</v>
      </c>
      <c r="E358" s="18">
        <f>[29]Performance!X18</f>
        <v>1</v>
      </c>
      <c r="F358" s="18">
        <f>[29]Performance!Y18</f>
        <v>1</v>
      </c>
      <c r="G358" s="18">
        <f>[29]Performance!Z18</f>
        <v>0.88</v>
      </c>
      <c r="H358" s="18">
        <f>[29]Performance!AA18</f>
        <v>1</v>
      </c>
      <c r="I358" s="18">
        <f>[29]Performance!AB18</f>
        <v>1</v>
      </c>
      <c r="J358" s="49" t="str">
        <f>[29]Performance!O18</f>
        <v>N/A</v>
      </c>
      <c r="K358" s="49">
        <f>[29]Performance!P18</f>
        <v>0</v>
      </c>
      <c r="L358" s="49">
        <f>[29]Performance!Q18</f>
        <v>0</v>
      </c>
      <c r="M358" s="49" t="str">
        <f>[29]Performance!R18</f>
        <v>N/A</v>
      </c>
      <c r="N358" s="49" t="str">
        <f>[29]Performance!S18</f>
        <v>N/A</v>
      </c>
      <c r="O358" s="49" t="str">
        <f>[29]Performance!T18</f>
        <v>N/A</v>
      </c>
      <c r="P358" s="49">
        <f>[29]Performance!U18</f>
        <v>0</v>
      </c>
      <c r="Q358" s="49" t="str">
        <f>[29]Performance!V18</f>
        <v>N/A</v>
      </c>
      <c r="R358" s="49">
        <f>[29]Performance!W18</f>
        <v>0</v>
      </c>
    </row>
    <row r="359" spans="1:18" x14ac:dyDescent="0.3">
      <c r="A359">
        <f>'[29]Student Data'!O19</f>
        <v>350457</v>
      </c>
      <c r="B359" t="str">
        <f>'[29]Student Data'!G19</f>
        <v>Tier 1B</v>
      </c>
      <c r="C359" s="10" t="str">
        <f>[29]Reporting!F18</f>
        <v>Ronaldo Solis</v>
      </c>
      <c r="D359" s="35" cm="1">
        <f t="array" ref="D359">--(SUM(COUNTIF(B359,{"*nest*","*grad*","*trans*","*1B*","*1C*"}))&gt;0)</f>
        <v>1</v>
      </c>
      <c r="E359" s="18">
        <f>[29]Performance!X19</f>
        <v>0</v>
      </c>
      <c r="F359" s="18">
        <f>[29]Performance!Y19</f>
        <v>0</v>
      </c>
      <c r="G359" s="18">
        <f>[29]Performance!Z19</f>
        <v>0</v>
      </c>
      <c r="H359" s="18">
        <f>[29]Performance!AA19</f>
        <v>0</v>
      </c>
      <c r="I359" s="18">
        <f>[29]Performance!AB19</f>
        <v>0</v>
      </c>
      <c r="J359" s="49">
        <f>[29]Performance!O19</f>
        <v>0</v>
      </c>
      <c r="K359" s="49">
        <f>[29]Performance!P19</f>
        <v>0</v>
      </c>
      <c r="L359" s="49">
        <f>[29]Performance!Q19</f>
        <v>0</v>
      </c>
      <c r="M359" s="49">
        <f>[29]Performance!R19</f>
        <v>0</v>
      </c>
      <c r="N359" s="49">
        <f>[29]Performance!S19</f>
        <v>0</v>
      </c>
      <c r="O359" s="49">
        <f>[29]Performance!T19</f>
        <v>0</v>
      </c>
      <c r="P359" s="49">
        <f>[29]Performance!U19</f>
        <v>0</v>
      </c>
      <c r="Q359" s="49">
        <f>[29]Performance!V19</f>
        <v>0</v>
      </c>
      <c r="R359" s="49">
        <f>[29]Performance!W19</f>
        <v>0</v>
      </c>
    </row>
    <row r="360" spans="1:18" x14ac:dyDescent="0.3">
      <c r="A360">
        <f>'[29]Student Data'!O20</f>
        <v>349518</v>
      </c>
      <c r="B360" t="str">
        <f>'[29]Student Data'!G20</f>
        <v>Tier 1B</v>
      </c>
      <c r="C360" s="10" t="str">
        <f>[29]Reporting!F19</f>
        <v>Noren Sicheco</v>
      </c>
      <c r="D360" s="35" cm="1">
        <f t="array" ref="D360">--(SUM(COUNTIF(B360,{"*nest*","*grad*","*trans*","*1B*","*1C*"}))&gt;0)</f>
        <v>1</v>
      </c>
      <c r="E360" s="18">
        <f>[29]Performance!X20</f>
        <v>0</v>
      </c>
      <c r="F360" s="18">
        <f>[29]Performance!Y20</f>
        <v>0</v>
      </c>
      <c r="G360" s="18">
        <f>[29]Performance!Z20</f>
        <v>0</v>
      </c>
      <c r="H360" s="18">
        <f>[29]Performance!AA20</f>
        <v>0</v>
      </c>
      <c r="I360" s="18">
        <f>[29]Performance!AB20</f>
        <v>0</v>
      </c>
      <c r="J360" s="49">
        <f>[29]Performance!O20</f>
        <v>0</v>
      </c>
      <c r="K360" s="49">
        <f>[29]Performance!P20</f>
        <v>0</v>
      </c>
      <c r="L360" s="49">
        <f>[29]Performance!Q20</f>
        <v>0</v>
      </c>
      <c r="M360" s="49">
        <f>[29]Performance!R20</f>
        <v>0</v>
      </c>
      <c r="N360" s="49">
        <f>[29]Performance!S20</f>
        <v>0</v>
      </c>
      <c r="O360" s="49">
        <f>[29]Performance!T20</f>
        <v>0</v>
      </c>
      <c r="P360" s="49">
        <f>[29]Performance!U20</f>
        <v>0</v>
      </c>
      <c r="Q360" s="49">
        <f>[29]Performance!V20</f>
        <v>0</v>
      </c>
      <c r="R360" s="49">
        <f>[29]Performance!W20</f>
        <v>0</v>
      </c>
    </row>
    <row r="361" spans="1:18" x14ac:dyDescent="0.3">
      <c r="A361" s="8" t="s">
        <v>74</v>
      </c>
      <c r="B361" s="44" t="s">
        <v>34</v>
      </c>
      <c r="C361" s="44" t="s">
        <v>58</v>
      </c>
      <c r="D361" s="43">
        <f>SUM(D362:D377)</f>
        <v>15</v>
      </c>
      <c r="E361" s="43">
        <f>COUNTIF(E362:E380, "&gt;79%")</f>
        <v>16</v>
      </c>
      <c r="F361" s="43">
        <f t="shared" ref="F361:R361" si="26">COUNTIF(F362:F380, "&gt;79%")</f>
        <v>16</v>
      </c>
      <c r="G361" s="43">
        <f t="shared" si="26"/>
        <v>15</v>
      </c>
      <c r="H361" s="43">
        <f t="shared" si="26"/>
        <v>16</v>
      </c>
      <c r="I361" s="43">
        <f t="shared" si="26"/>
        <v>15</v>
      </c>
      <c r="J361" s="43">
        <f t="shared" si="26"/>
        <v>0</v>
      </c>
      <c r="K361" s="43">
        <f t="shared" si="26"/>
        <v>16</v>
      </c>
      <c r="L361" s="43">
        <f t="shared" si="26"/>
        <v>16</v>
      </c>
      <c r="M361" s="43">
        <f t="shared" si="26"/>
        <v>0</v>
      </c>
      <c r="N361" s="43">
        <f t="shared" si="26"/>
        <v>0</v>
      </c>
      <c r="O361" s="43">
        <f t="shared" si="26"/>
        <v>0</v>
      </c>
      <c r="P361" s="43">
        <f t="shared" si="26"/>
        <v>16</v>
      </c>
      <c r="Q361" s="43">
        <f t="shared" si="26"/>
        <v>0</v>
      </c>
      <c r="R361" s="43">
        <f t="shared" si="26"/>
        <v>16</v>
      </c>
    </row>
    <row r="362" spans="1:18" x14ac:dyDescent="0.3">
      <c r="A362">
        <f>'[30]Student Data'!O5</f>
        <v>509779</v>
      </c>
      <c r="B362" t="str">
        <f>'[30]Student Data'!G5</f>
        <v>Tier 1A Nesting</v>
      </c>
      <c r="C362" t="str">
        <f>[30]Reporting!F4</f>
        <v>Yonela Mbolekwa</v>
      </c>
      <c r="D362" s="35" cm="1">
        <f t="array" ref="D362">--(SUM(COUNTIF(B362,{"*nest*","*grad*","*trans*","*1B*","*1C*"}))&gt;0)</f>
        <v>1</v>
      </c>
      <c r="E362" s="18">
        <f>[30]Performance!X5</f>
        <v>1</v>
      </c>
      <c r="F362" s="18">
        <f>[30]Performance!Y5</f>
        <v>1</v>
      </c>
      <c r="G362" s="18">
        <f>[30]Performance!Z5</f>
        <v>0.98</v>
      </c>
      <c r="H362" s="18">
        <f>[30]Performance!AA5</f>
        <v>1</v>
      </c>
      <c r="I362" s="18">
        <f>[30]Performance!AB5</f>
        <v>0.9</v>
      </c>
      <c r="J362" s="18" t="str">
        <f>[30]Performance!O5</f>
        <v>Merchants</v>
      </c>
      <c r="K362" s="18">
        <f>[30]Performance!P5</f>
        <v>0.88</v>
      </c>
      <c r="L362" s="18">
        <f>[30]Performance!Q5</f>
        <v>1</v>
      </c>
      <c r="M362" s="18" t="str">
        <f>[30]Performance!R5</f>
        <v>Merchants</v>
      </c>
      <c r="N362" s="18" t="str">
        <f>[30]Performance!S5</f>
        <v>Merchants</v>
      </c>
      <c r="O362" s="18" t="str">
        <f>[30]Performance!T5</f>
        <v>Merchants</v>
      </c>
      <c r="P362" s="18">
        <f>[30]Performance!U5</f>
        <v>1</v>
      </c>
      <c r="Q362" s="18" t="str">
        <f>[30]Performance!V5</f>
        <v>Merchants</v>
      </c>
      <c r="R362" s="18">
        <f>[30]Performance!W5</f>
        <v>1</v>
      </c>
    </row>
    <row r="363" spans="1:18" x14ac:dyDescent="0.3">
      <c r="A363">
        <f>'[30]Student Data'!O6</f>
        <v>509970</v>
      </c>
      <c r="B363" t="str">
        <f>'[30]Student Data'!G6</f>
        <v>Tier 1A Nesting</v>
      </c>
      <c r="C363" t="str">
        <f>[30]Reporting!F5</f>
        <v xml:space="preserve">Soeurette Mukole </v>
      </c>
      <c r="D363" s="35" cm="1">
        <f t="array" ref="D363">--(SUM(COUNTIF(B363,{"*nest*","*grad*","*trans*","*1B*","*1C*"}))&gt;0)</f>
        <v>1</v>
      </c>
      <c r="E363" s="18">
        <f>[30]Performance!X6</f>
        <v>1</v>
      </c>
      <c r="F363" s="18">
        <f>[30]Performance!Y6</f>
        <v>1</v>
      </c>
      <c r="G363" s="18">
        <f>[30]Performance!Z6</f>
        <v>0.94</v>
      </c>
      <c r="H363" s="18">
        <f>[30]Performance!AA6</f>
        <v>1</v>
      </c>
      <c r="I363" s="18">
        <f>[30]Performance!AB6</f>
        <v>0.8</v>
      </c>
      <c r="J363" s="18" t="str">
        <f>[30]Performance!O6</f>
        <v>Merchants</v>
      </c>
      <c r="K363" s="18">
        <f>[30]Performance!P6</f>
        <v>1</v>
      </c>
      <c r="L363" s="18">
        <f>[30]Performance!Q6</f>
        <v>1</v>
      </c>
      <c r="M363" s="18" t="str">
        <f>[30]Performance!R6</f>
        <v>Merchants</v>
      </c>
      <c r="N363" s="18" t="str">
        <f>[30]Performance!S6</f>
        <v>Merchants</v>
      </c>
      <c r="O363" s="18" t="str">
        <f>[30]Performance!T6</f>
        <v>Merchants</v>
      </c>
      <c r="P363" s="18">
        <f>[30]Performance!U6</f>
        <v>1</v>
      </c>
      <c r="Q363" s="18" t="str">
        <f>[30]Performance!V6</f>
        <v>Merchants</v>
      </c>
      <c r="R363" s="18">
        <f>[30]Performance!W6</f>
        <v>1</v>
      </c>
    </row>
    <row r="364" spans="1:18" x14ac:dyDescent="0.3">
      <c r="A364">
        <f>'[30]Student Data'!O7</f>
        <v>509972</v>
      </c>
      <c r="B364" t="str">
        <f>'[30]Student Data'!G7</f>
        <v>Tier 1A Nesting</v>
      </c>
      <c r="C364" t="str">
        <f>[30]Reporting!F6</f>
        <v>Ania  Mbuyi</v>
      </c>
      <c r="D364" s="35" cm="1">
        <f t="array" ref="D364">--(SUM(COUNTIF(B364,{"*nest*","*grad*","*trans*","*1B*","*1C*"}))&gt;0)</f>
        <v>1</v>
      </c>
      <c r="E364" s="18">
        <f>[30]Performance!X7</f>
        <v>1</v>
      </c>
      <c r="F364" s="18">
        <f>[30]Performance!Y7</f>
        <v>1</v>
      </c>
      <c r="G364" s="18">
        <f>[30]Performance!Z7</f>
        <v>0.9</v>
      </c>
      <c r="H364" s="18">
        <f>[30]Performance!AA7</f>
        <v>0.8</v>
      </c>
      <c r="I364" s="18">
        <f>[30]Performance!AB7</f>
        <v>1</v>
      </c>
      <c r="J364" s="18" t="str">
        <f>[30]Performance!O7</f>
        <v>Merchants</v>
      </c>
      <c r="K364" s="18">
        <f>[30]Performance!P7</f>
        <v>0.88</v>
      </c>
      <c r="L364" s="18">
        <f>[30]Performance!Q7</f>
        <v>0.8</v>
      </c>
      <c r="M364" s="18" t="str">
        <f>[30]Performance!R7</f>
        <v>Merchants</v>
      </c>
      <c r="N364" s="18" t="str">
        <f>[30]Performance!S7</f>
        <v>Merchants</v>
      </c>
      <c r="O364" s="18" t="str">
        <f>[30]Performance!T7</f>
        <v>Merchants</v>
      </c>
      <c r="P364" s="18">
        <f>[30]Performance!U7</f>
        <v>1</v>
      </c>
      <c r="Q364" s="18" t="str">
        <f>[30]Performance!V7</f>
        <v>Merchants</v>
      </c>
      <c r="R364" s="18">
        <f>[30]Performance!W7</f>
        <v>1</v>
      </c>
    </row>
    <row r="365" spans="1:18" x14ac:dyDescent="0.3">
      <c r="A365">
        <f>'[30]Student Data'!O8</f>
        <v>509973</v>
      </c>
      <c r="B365" t="str">
        <f>'[30]Student Data'!G8</f>
        <v>Tier 1A Nesting</v>
      </c>
      <c r="C365" t="str">
        <f>[30]Reporting!F7</f>
        <v>Vance Kamalenga</v>
      </c>
      <c r="D365" s="35" cm="1">
        <f t="array" ref="D365">--(SUM(COUNTIF(B365,{"*nest*","*grad*","*trans*","*1B*","*1C*"}))&gt;0)</f>
        <v>1</v>
      </c>
      <c r="E365" s="18">
        <f>[30]Performance!X8</f>
        <v>1</v>
      </c>
      <c r="F365" s="18">
        <f>[30]Performance!Y8</f>
        <v>1</v>
      </c>
      <c r="G365" s="18">
        <f>[30]Performance!Z8</f>
        <v>1</v>
      </c>
      <c r="H365" s="18">
        <f>[30]Performance!AA8</f>
        <v>0.8</v>
      </c>
      <c r="I365" s="18">
        <f>[30]Performance!AB8</f>
        <v>0.9</v>
      </c>
      <c r="J365" s="18" t="str">
        <f>[30]Performance!O8</f>
        <v>Merchants</v>
      </c>
      <c r="K365" s="18">
        <f>[30]Performance!P8</f>
        <v>0.88</v>
      </c>
      <c r="L365" s="18">
        <f>[30]Performance!Q8</f>
        <v>1</v>
      </c>
      <c r="M365" s="18" t="str">
        <f>[30]Performance!R8</f>
        <v>Merchants</v>
      </c>
      <c r="N365" s="18" t="str">
        <f>[30]Performance!S8</f>
        <v>Merchants</v>
      </c>
      <c r="O365" s="18" t="str">
        <f>[30]Performance!T8</f>
        <v>Merchants</v>
      </c>
      <c r="P365" s="18">
        <f>[30]Performance!U8</f>
        <v>1</v>
      </c>
      <c r="Q365" s="18" t="str">
        <f>[30]Performance!V8</f>
        <v>Merchants</v>
      </c>
      <c r="R365" s="18">
        <f>[30]Performance!W8</f>
        <v>1</v>
      </c>
    </row>
    <row r="366" spans="1:18" x14ac:dyDescent="0.3">
      <c r="A366">
        <f>'[30]Student Data'!O9</f>
        <v>509974</v>
      </c>
      <c r="B366" t="str">
        <f>'[30]Student Data'!G9</f>
        <v>Tier 1A Nesting</v>
      </c>
      <c r="C366" t="str">
        <f>[30]Reporting!F8</f>
        <v>Ange Kazadi</v>
      </c>
      <c r="D366" s="35" cm="1">
        <f t="array" ref="D366">--(SUM(COUNTIF(B366,{"*nest*","*grad*","*trans*","*1B*","*1C*"}))&gt;0)</f>
        <v>1</v>
      </c>
      <c r="E366" s="18">
        <f>[30]Performance!X9</f>
        <v>1</v>
      </c>
      <c r="F366" s="18">
        <f>[30]Performance!Y9</f>
        <v>1</v>
      </c>
      <c r="G366" s="18">
        <f>[30]Performance!Z9</f>
        <v>1</v>
      </c>
      <c r="H366" s="18">
        <f>[30]Performance!AA9</f>
        <v>0.8</v>
      </c>
      <c r="I366" s="18">
        <f>[30]Performance!AB9</f>
        <v>0.95</v>
      </c>
      <c r="J366" s="18" t="str">
        <f>[30]Performance!O9</f>
        <v>Merchants</v>
      </c>
      <c r="K366" s="18">
        <f>[30]Performance!P9</f>
        <v>0.88</v>
      </c>
      <c r="L366" s="18">
        <f>[30]Performance!Q9</f>
        <v>1</v>
      </c>
      <c r="M366" s="18" t="str">
        <f>[30]Performance!R9</f>
        <v>Merchants</v>
      </c>
      <c r="N366" s="18" t="str">
        <f>[30]Performance!S9</f>
        <v>Merchants</v>
      </c>
      <c r="O366" s="18" t="str">
        <f>[30]Performance!T9</f>
        <v>Merchants</v>
      </c>
      <c r="P366" s="18">
        <f>[30]Performance!U9</f>
        <v>1</v>
      </c>
      <c r="Q366" s="18" t="str">
        <f>[30]Performance!V9</f>
        <v>Merchants</v>
      </c>
      <c r="R366" s="18">
        <f>[30]Performance!W9</f>
        <v>0.94</v>
      </c>
    </row>
    <row r="367" spans="1:18" x14ac:dyDescent="0.3">
      <c r="A367">
        <f>'[30]Student Data'!O10</f>
        <v>509975</v>
      </c>
      <c r="B367" t="str">
        <f>'[30]Student Data'!G10</f>
        <v>Tier 1A Nesting</v>
      </c>
      <c r="C367" t="str">
        <f>[30]Reporting!F9</f>
        <v>Kabeya(Mireille) Mireille</v>
      </c>
      <c r="D367" s="35" cm="1">
        <f t="array" ref="D367">--(SUM(COUNTIF(B367,{"*nest*","*grad*","*trans*","*1B*","*1C*"}))&gt;0)</f>
        <v>1</v>
      </c>
      <c r="E367" s="18">
        <f>[30]Performance!X10</f>
        <v>1</v>
      </c>
      <c r="F367" s="18">
        <f>[30]Performance!Y10</f>
        <v>1</v>
      </c>
      <c r="G367" s="18">
        <f>[30]Performance!Z10</f>
        <v>0.88</v>
      </c>
      <c r="H367" s="18">
        <f>[30]Performance!AA10</f>
        <v>1</v>
      </c>
      <c r="I367" s="18">
        <f>[30]Performance!AB10</f>
        <v>0.91</v>
      </c>
      <c r="J367" s="18" t="str">
        <f>[30]Performance!O10</f>
        <v>Merchants</v>
      </c>
      <c r="K367" s="18">
        <f>[30]Performance!P10</f>
        <v>1</v>
      </c>
      <c r="L367" s="18">
        <f>[30]Performance!Q10</f>
        <v>1</v>
      </c>
      <c r="M367" s="18" t="str">
        <f>[30]Performance!R10</f>
        <v>Merchants</v>
      </c>
      <c r="N367" s="18" t="str">
        <f>[30]Performance!S10</f>
        <v>Merchants</v>
      </c>
      <c r="O367" s="18" t="str">
        <f>[30]Performance!T10</f>
        <v>Merchants</v>
      </c>
      <c r="P367" s="18">
        <f>[30]Performance!U10</f>
        <v>1</v>
      </c>
      <c r="Q367" s="18" t="str">
        <f>[30]Performance!V10</f>
        <v>Merchants</v>
      </c>
      <c r="R367" s="18">
        <f>[30]Performance!W10</f>
        <v>1</v>
      </c>
    </row>
    <row r="368" spans="1:18" x14ac:dyDescent="0.3">
      <c r="A368">
        <f>'[30]Student Data'!O11</f>
        <v>509976</v>
      </c>
      <c r="B368" t="str">
        <f>'[30]Student Data'!G11</f>
        <v>Tier 1A Nesting</v>
      </c>
      <c r="C368" t="str">
        <f>[30]Reporting!F10</f>
        <v>Regine  Musafiri</v>
      </c>
      <c r="D368" s="35" cm="1">
        <f t="array" ref="D368">--(SUM(COUNTIF(B368,{"*nest*","*grad*","*trans*","*1B*","*1C*"}))&gt;0)</f>
        <v>1</v>
      </c>
      <c r="E368" s="18">
        <f>[30]Performance!X11</f>
        <v>1</v>
      </c>
      <c r="F368" s="18">
        <f>[30]Performance!Y11</f>
        <v>1</v>
      </c>
      <c r="G368" s="18">
        <f>[30]Performance!Z11</f>
        <v>0.94</v>
      </c>
      <c r="H368" s="18">
        <f>[30]Performance!AA11</f>
        <v>1</v>
      </c>
      <c r="I368" s="18">
        <f>[30]Performance!AB11</f>
        <v>0.95</v>
      </c>
      <c r="J368" s="18" t="str">
        <f>[30]Performance!O11</f>
        <v>Merchants</v>
      </c>
      <c r="K368" s="18">
        <f>[30]Performance!P11</f>
        <v>1</v>
      </c>
      <c r="L368" s="18">
        <f>[30]Performance!Q11</f>
        <v>1</v>
      </c>
      <c r="M368" s="18" t="str">
        <f>[30]Performance!R11</f>
        <v>Merchants</v>
      </c>
      <c r="N368" s="18" t="str">
        <f>[30]Performance!S11</f>
        <v>Merchants</v>
      </c>
      <c r="O368" s="18" t="str">
        <f>[30]Performance!T11</f>
        <v>Merchants</v>
      </c>
      <c r="P368" s="18">
        <f>[30]Performance!U11</f>
        <v>1</v>
      </c>
      <c r="Q368" s="18" t="str">
        <f>[30]Performance!V11</f>
        <v>Merchants</v>
      </c>
      <c r="R368" s="18">
        <f>[30]Performance!W11</f>
        <v>1</v>
      </c>
    </row>
    <row r="369" spans="1:18" x14ac:dyDescent="0.3">
      <c r="A369">
        <f>'[30]Student Data'!O12</f>
        <v>509977</v>
      </c>
      <c r="B369" t="str">
        <f>'[30]Student Data'!G12</f>
        <v>Tier 1A Nesting</v>
      </c>
      <c r="C369" t="str">
        <f>[30]Reporting!F11</f>
        <v>Mukandi (Ivon) Nkunabu</v>
      </c>
      <c r="D369" s="35" cm="1">
        <f t="array" ref="D369">--(SUM(COUNTIF(B369,{"*nest*","*grad*","*trans*","*1B*","*1C*"}))&gt;0)</f>
        <v>1</v>
      </c>
      <c r="E369" s="18">
        <f>[30]Performance!X12</f>
        <v>1</v>
      </c>
      <c r="F369" s="18">
        <f>[30]Performance!Y12</f>
        <v>1</v>
      </c>
      <c r="G369" s="18">
        <f>[30]Performance!Z12</f>
        <v>0.86</v>
      </c>
      <c r="H369" s="18">
        <f>[30]Performance!AA12</f>
        <v>0.8</v>
      </c>
      <c r="I369" s="18">
        <f>[30]Performance!AB12</f>
        <v>0.8</v>
      </c>
      <c r="J369" s="18" t="str">
        <f>[30]Performance!O12</f>
        <v>Merchants</v>
      </c>
      <c r="K369" s="18">
        <f>[30]Performance!P12</f>
        <v>1</v>
      </c>
      <c r="L369" s="18">
        <f>[30]Performance!Q12</f>
        <v>1</v>
      </c>
      <c r="M369" s="18" t="str">
        <f>[30]Performance!R12</f>
        <v>Merchants</v>
      </c>
      <c r="N369" s="18" t="str">
        <f>[30]Performance!S12</f>
        <v>Merchants</v>
      </c>
      <c r="O369" s="18" t="str">
        <f>[30]Performance!T12</f>
        <v>Merchants</v>
      </c>
      <c r="P369" s="18">
        <f>[30]Performance!U12</f>
        <v>1</v>
      </c>
      <c r="Q369" s="18" t="str">
        <f>[30]Performance!V12</f>
        <v>Merchants</v>
      </c>
      <c r="R369" s="18">
        <f>[30]Performance!W12</f>
        <v>1</v>
      </c>
    </row>
    <row r="370" spans="1:18" x14ac:dyDescent="0.3">
      <c r="A370">
        <f>'[30]Student Data'!O13</f>
        <v>509982</v>
      </c>
      <c r="B370" t="str">
        <f>'[30]Student Data'!G13</f>
        <v>Tier 1A Nesting</v>
      </c>
      <c r="C370" t="str">
        <f>[30]Reporting!F12</f>
        <v>Parfait  Kay</v>
      </c>
      <c r="D370" s="35" cm="1">
        <f t="array" ref="D370">--(SUM(COUNTIF(B370,{"*nest*","*grad*","*trans*","*1B*","*1C*"}))&gt;0)</f>
        <v>1</v>
      </c>
      <c r="E370" s="18">
        <f>[30]Performance!X13</f>
        <v>1</v>
      </c>
      <c r="F370" s="18">
        <f>[30]Performance!Y13</f>
        <v>1</v>
      </c>
      <c r="G370" s="18">
        <f>[30]Performance!Z13</f>
        <v>0.86</v>
      </c>
      <c r="H370" s="18">
        <f>[30]Performance!AA13</f>
        <v>0.8</v>
      </c>
      <c r="I370" s="18">
        <f>[30]Performance!AB13</f>
        <v>0.9</v>
      </c>
      <c r="J370" s="18" t="str">
        <f>[30]Performance!O13</f>
        <v>Merchants</v>
      </c>
      <c r="K370" s="18">
        <f>[30]Performance!P13</f>
        <v>1</v>
      </c>
      <c r="L370" s="18">
        <f>[30]Performance!Q13</f>
        <v>1</v>
      </c>
      <c r="M370" s="18" t="str">
        <f>[30]Performance!R13</f>
        <v>Merchants</v>
      </c>
      <c r="N370" s="18" t="str">
        <f>[30]Performance!S13</f>
        <v>Merchants</v>
      </c>
      <c r="O370" s="18" t="str">
        <f>[30]Performance!T13</f>
        <v>Merchants</v>
      </c>
      <c r="P370" s="18">
        <f>[30]Performance!U13</f>
        <v>1</v>
      </c>
      <c r="Q370" s="18" t="str">
        <f>[30]Performance!V13</f>
        <v>Merchants</v>
      </c>
      <c r="R370" s="18">
        <f>[30]Performance!W13</f>
        <v>1</v>
      </c>
    </row>
    <row r="371" spans="1:18" x14ac:dyDescent="0.3">
      <c r="A371">
        <f>'[30]Student Data'!O14</f>
        <v>509978</v>
      </c>
      <c r="B371" t="str">
        <f>'[30]Student Data'!G14</f>
        <v>Tier 1A Nesting</v>
      </c>
      <c r="C371" t="str">
        <f>[30]Reporting!F13</f>
        <v xml:space="preserve">Bajana Ilunga </v>
      </c>
      <c r="D371" s="35" cm="1">
        <f t="array" ref="D371">--(SUM(COUNTIF(B371,{"*nest*","*grad*","*trans*","*1B*","*1C*"}))&gt;0)</f>
        <v>1</v>
      </c>
      <c r="E371" s="18">
        <f>[30]Performance!X14</f>
        <v>1</v>
      </c>
      <c r="F371" s="18">
        <f>[30]Performance!Y14</f>
        <v>1</v>
      </c>
      <c r="G371" s="18">
        <f>[30]Performance!Z14</f>
        <v>1</v>
      </c>
      <c r="H371" s="18">
        <f>[30]Performance!AA14</f>
        <v>1</v>
      </c>
      <c r="I371" s="18">
        <f>[30]Performance!AB14</f>
        <v>0.9</v>
      </c>
      <c r="J371" s="18" t="str">
        <f>[30]Performance!O14</f>
        <v>Merchants</v>
      </c>
      <c r="K371" s="18">
        <f>[30]Performance!P14</f>
        <v>1</v>
      </c>
      <c r="L371" s="18">
        <f>[30]Performance!Q14</f>
        <v>1</v>
      </c>
      <c r="M371" s="18" t="str">
        <f>[30]Performance!R14</f>
        <v>Merchants</v>
      </c>
      <c r="N371" s="18" t="str">
        <f>[30]Performance!S14</f>
        <v>Merchants</v>
      </c>
      <c r="O371" s="18" t="str">
        <f>[30]Performance!T14</f>
        <v>Merchants</v>
      </c>
      <c r="P371" s="18">
        <f>[30]Performance!U14</f>
        <v>1</v>
      </c>
      <c r="Q371" s="18" t="str">
        <f>[30]Performance!V14</f>
        <v>Merchants</v>
      </c>
      <c r="R371" s="18">
        <f>[30]Performance!W14</f>
        <v>0.94</v>
      </c>
    </row>
    <row r="372" spans="1:18" x14ac:dyDescent="0.3">
      <c r="A372">
        <f>'[30]Student Data'!O15</f>
        <v>509979</v>
      </c>
      <c r="B372" t="str">
        <f>'[30]Student Data'!G15</f>
        <v>Tier 1A Nesting</v>
      </c>
      <c r="C372" t="str">
        <f>[30]Reporting!F14</f>
        <v>Rocky  Shongo</v>
      </c>
      <c r="D372" s="35" cm="1">
        <f t="array" ref="D372">--(SUM(COUNTIF(B372,{"*nest*","*grad*","*trans*","*1B*","*1C*"}))&gt;0)</f>
        <v>1</v>
      </c>
      <c r="E372" s="18">
        <f>[30]Performance!X15</f>
        <v>1</v>
      </c>
      <c r="F372" s="18">
        <f>[30]Performance!Y15</f>
        <v>1</v>
      </c>
      <c r="G372" s="18">
        <f>[30]Performance!Z15</f>
        <v>0.86</v>
      </c>
      <c r="H372" s="18">
        <f>[30]Performance!AA15</f>
        <v>1</v>
      </c>
      <c r="I372" s="18">
        <f>[30]Performance!AB15</f>
        <v>0.85</v>
      </c>
      <c r="J372" s="18" t="str">
        <f>[30]Performance!O15</f>
        <v>Merchants</v>
      </c>
      <c r="K372" s="18">
        <f>[30]Performance!P15</f>
        <v>0.88</v>
      </c>
      <c r="L372" s="18">
        <f>[30]Performance!Q15</f>
        <v>1</v>
      </c>
      <c r="M372" s="18" t="str">
        <f>[30]Performance!R15</f>
        <v>Merchants</v>
      </c>
      <c r="N372" s="18" t="str">
        <f>[30]Performance!S15</f>
        <v>Merchants</v>
      </c>
      <c r="O372" s="18" t="str">
        <f>[30]Performance!T15</f>
        <v>Merchants</v>
      </c>
      <c r="P372" s="18">
        <f>[30]Performance!U15</f>
        <v>1</v>
      </c>
      <c r="Q372" s="18" t="str">
        <f>[30]Performance!V15</f>
        <v>Merchants</v>
      </c>
      <c r="R372" s="18">
        <f>[30]Performance!W15</f>
        <v>0.94</v>
      </c>
    </row>
    <row r="373" spans="1:18" x14ac:dyDescent="0.3">
      <c r="A373">
        <f>'[30]Student Data'!O16</f>
        <v>509980</v>
      </c>
      <c r="B373" t="str">
        <f>'[30]Student Data'!G16</f>
        <v>Tier 1A Nesting</v>
      </c>
      <c r="C373" t="str">
        <f>[30]Reporting!F15</f>
        <v xml:space="preserve">Lingole  Bohume </v>
      </c>
      <c r="D373" s="35" cm="1">
        <f t="array" ref="D373">--(SUM(COUNTIF(B373,{"*nest*","*grad*","*trans*","*1B*","*1C*"}))&gt;0)</f>
        <v>1</v>
      </c>
      <c r="E373" s="18">
        <f>[30]Performance!X16</f>
        <v>1</v>
      </c>
      <c r="F373" s="18">
        <f>[30]Performance!Y16</f>
        <v>1</v>
      </c>
      <c r="G373" s="18">
        <f>[30]Performance!Z16</f>
        <v>0.95</v>
      </c>
      <c r="H373" s="18">
        <f>[30]Performance!AA16</f>
        <v>1</v>
      </c>
      <c r="I373" s="18">
        <f>[30]Performance!AB16</f>
        <v>0.9</v>
      </c>
      <c r="J373" s="18" t="str">
        <f>[30]Performance!O16</f>
        <v>Merchants</v>
      </c>
      <c r="K373" s="18">
        <f>[30]Performance!P16</f>
        <v>0.88</v>
      </c>
      <c r="L373" s="18">
        <f>[30]Performance!Q16</f>
        <v>1</v>
      </c>
      <c r="M373" s="18" t="str">
        <f>[30]Performance!R16</f>
        <v>Merchants</v>
      </c>
      <c r="N373" s="18" t="str">
        <f>[30]Performance!S16</f>
        <v>Merchants</v>
      </c>
      <c r="O373" s="18" t="str">
        <f>[30]Performance!T16</f>
        <v>Merchants</v>
      </c>
      <c r="P373" s="18">
        <f>[30]Performance!U16</f>
        <v>1</v>
      </c>
      <c r="Q373" s="18" t="str">
        <f>[30]Performance!V16</f>
        <v>Merchants</v>
      </c>
      <c r="R373" s="18">
        <f>[30]Performance!W16</f>
        <v>1</v>
      </c>
    </row>
    <row r="374" spans="1:18" x14ac:dyDescent="0.3">
      <c r="A374">
        <f>'[30]Student Data'!O17</f>
        <v>509981</v>
      </c>
      <c r="B374" t="str">
        <f>'[30]Student Data'!G17</f>
        <v>Tier 1A Nesting</v>
      </c>
      <c r="C374" t="str">
        <f>[30]Reporting!F16</f>
        <v>Bin Milambo</v>
      </c>
      <c r="D374" s="35" cm="1">
        <f t="array" ref="D374">--(SUM(COUNTIF(B374,{"*nest*","*grad*","*trans*","*1B*","*1C*"}))&gt;0)</f>
        <v>1</v>
      </c>
      <c r="E374" s="18">
        <f>[30]Performance!X17</f>
        <v>1</v>
      </c>
      <c r="F374" s="18">
        <f>[30]Performance!Y17</f>
        <v>1</v>
      </c>
      <c r="G374" s="18">
        <f>[30]Performance!Z17</f>
        <v>0.9</v>
      </c>
      <c r="H374" s="18">
        <f>[30]Performance!AA17</f>
        <v>1</v>
      </c>
      <c r="I374" s="18">
        <f>[30]Performance!AB17</f>
        <v>0.8</v>
      </c>
      <c r="J374" s="18" t="str">
        <f>[30]Performance!O17</f>
        <v>Merchants</v>
      </c>
      <c r="K374" s="18">
        <f>[30]Performance!P17</f>
        <v>1</v>
      </c>
      <c r="L374" s="18">
        <f>[30]Performance!Q17</f>
        <v>1</v>
      </c>
      <c r="M374" s="18" t="str">
        <f>[30]Performance!R17</f>
        <v>Merchants</v>
      </c>
      <c r="N374" s="18" t="str">
        <f>[30]Performance!S17</f>
        <v>Merchants</v>
      </c>
      <c r="O374" s="18" t="str">
        <f>[30]Performance!T17</f>
        <v>Merchants</v>
      </c>
      <c r="P374" s="18">
        <f>[30]Performance!U17</f>
        <v>1</v>
      </c>
      <c r="Q374" s="18" t="str">
        <f>[30]Performance!V17</f>
        <v>Merchants</v>
      </c>
      <c r="R374" s="18">
        <f>[30]Performance!W17</f>
        <v>0.92</v>
      </c>
    </row>
    <row r="375" spans="1:18" x14ac:dyDescent="0.3">
      <c r="A375">
        <f>'[30]Student Data'!O18</f>
        <v>509971</v>
      </c>
      <c r="B375" t="str">
        <f>'[30]Student Data'!G18</f>
        <v>Tier 1A Nesting</v>
      </c>
      <c r="C375" t="str">
        <f>[30]Reporting!F17</f>
        <v>Herve Mubenga</v>
      </c>
      <c r="D375" s="35" cm="1">
        <f t="array" ref="D375">--(SUM(COUNTIF(B375,{"*nest*","*grad*","*trans*","*1B*","*1C*"}))&gt;0)</f>
        <v>1</v>
      </c>
      <c r="E375" s="18">
        <f>[30]Performance!X18</f>
        <v>1</v>
      </c>
      <c r="F375" s="18">
        <f>[30]Performance!Y18</f>
        <v>1</v>
      </c>
      <c r="G375" s="18">
        <f>[30]Performance!Z18</f>
        <v>0.92</v>
      </c>
      <c r="H375" s="18">
        <f>[30]Performance!AA18</f>
        <v>1</v>
      </c>
      <c r="I375" s="18">
        <f>[30]Performance!AB18</f>
        <v>0.91</v>
      </c>
      <c r="J375" s="18" t="str">
        <f>[30]Performance!O18</f>
        <v>Merchants</v>
      </c>
      <c r="K375" s="18">
        <f>[30]Performance!P18</f>
        <v>0.88</v>
      </c>
      <c r="L375" s="18">
        <f>[30]Performance!Q18</f>
        <v>1</v>
      </c>
      <c r="M375" s="18" t="str">
        <f>[30]Performance!R18</f>
        <v>Merchants</v>
      </c>
      <c r="N375" s="18" t="str">
        <f>[30]Performance!S18</f>
        <v>Merchants</v>
      </c>
      <c r="O375" s="18" t="str">
        <f>[30]Performance!T18</f>
        <v>Merchants</v>
      </c>
      <c r="P375" s="18">
        <f>[30]Performance!U18</f>
        <v>1</v>
      </c>
      <c r="Q375" s="18" t="str">
        <f>[30]Performance!V18</f>
        <v>Merchants</v>
      </c>
      <c r="R375" s="18">
        <f>[30]Performance!W18</f>
        <v>1</v>
      </c>
    </row>
    <row r="376" spans="1:18" x14ac:dyDescent="0.3">
      <c r="A376">
        <f>'[30]Student Data'!O19</f>
        <v>509983</v>
      </c>
      <c r="B376" t="str">
        <f>'[30]Student Data'!G19</f>
        <v>Resigned Tier 1A</v>
      </c>
      <c r="C376" t="str">
        <f>[30]Reporting!F18</f>
        <v>Ntsassa (Bettina) Mussaana</v>
      </c>
      <c r="D376" s="35" cm="1">
        <f t="array" ref="D376">--(SUM(COUNTIF(B376,{"*nest*","*grad*","*trans*","*1B*","*1C*"}))&gt;0)</f>
        <v>0</v>
      </c>
      <c r="E376" s="18">
        <f>[30]Performance!X19</f>
        <v>1</v>
      </c>
      <c r="F376" s="18">
        <f>[30]Performance!Y19</f>
        <v>1</v>
      </c>
      <c r="G376" s="18" t="str">
        <f>[30]Performance!Z19</f>
        <v>N/A</v>
      </c>
      <c r="H376" s="18">
        <f>[30]Performance!AA19</f>
        <v>0.8</v>
      </c>
      <c r="I376" s="18" t="str">
        <f>[30]Performance!AB19</f>
        <v>N/A</v>
      </c>
      <c r="J376" s="18" t="str">
        <f>[30]Performance!O19</f>
        <v>Merchants</v>
      </c>
      <c r="K376" s="18">
        <f>[30]Performance!P19</f>
        <v>1</v>
      </c>
      <c r="L376" s="18">
        <f>[30]Performance!Q19</f>
        <v>1</v>
      </c>
      <c r="M376" s="18" t="str">
        <f>[30]Performance!R19</f>
        <v>Merchants</v>
      </c>
      <c r="N376" s="18" t="str">
        <f>[30]Performance!S19</f>
        <v>Merchants</v>
      </c>
      <c r="O376" s="18" t="str">
        <f>[30]Performance!T19</f>
        <v>Merchants</v>
      </c>
      <c r="P376" s="18">
        <f>[30]Performance!U19</f>
        <v>1</v>
      </c>
      <c r="Q376" s="18" t="str">
        <f>[30]Performance!V19</f>
        <v>Merchants</v>
      </c>
      <c r="R376" s="18">
        <f>[30]Performance!W19</f>
        <v>0.94</v>
      </c>
    </row>
    <row r="377" spans="1:18" x14ac:dyDescent="0.3">
      <c r="A377">
        <f>'[30]Student Data'!O20</f>
        <v>510072</v>
      </c>
      <c r="B377" t="str">
        <f>'[30]Student Data'!G20</f>
        <v>Tier 1A Nesting</v>
      </c>
      <c r="C377" t="str">
        <f>[30]Reporting!F19</f>
        <v>Karabo Radiokana</v>
      </c>
      <c r="D377" s="35" cm="1">
        <f t="array" ref="D377">--(SUM(COUNTIF(B377,{"*nest*","*grad*","*trans*","*1B*","*1C*"}))&gt;0)</f>
        <v>1</v>
      </c>
      <c r="E377" s="18">
        <f>[30]Performance!X20</f>
        <v>1</v>
      </c>
      <c r="F377" s="18">
        <f>[30]Performance!Y20</f>
        <v>1</v>
      </c>
      <c r="G377" s="18">
        <f>[30]Performance!Z20</f>
        <v>0.84</v>
      </c>
      <c r="H377" s="18">
        <f>[30]Performance!AA20</f>
        <v>0.8</v>
      </c>
      <c r="I377" s="18">
        <f>[30]Performance!AB20</f>
        <v>0.89</v>
      </c>
      <c r="J377" s="18" t="str">
        <f>[30]Performance!O20</f>
        <v>Merchants</v>
      </c>
      <c r="K377" s="18">
        <f>[30]Performance!P20</f>
        <v>0.88</v>
      </c>
      <c r="L377" s="18">
        <f>[30]Performance!Q20</f>
        <v>1</v>
      </c>
      <c r="M377" s="18" t="str">
        <f>[30]Performance!R20</f>
        <v>Merchants</v>
      </c>
      <c r="N377" s="18" t="str">
        <f>[30]Performance!S20</f>
        <v>Merchants</v>
      </c>
      <c r="O377" s="18" t="str">
        <f>[30]Performance!T20</f>
        <v>Merchants</v>
      </c>
      <c r="P377" s="18">
        <f>[30]Performance!U20</f>
        <v>1</v>
      </c>
      <c r="Q377" s="18" t="str">
        <f>[30]Performance!V20</f>
        <v>Merchants</v>
      </c>
      <c r="R377" s="18">
        <f>[30]Performance!W20</f>
        <v>0.86</v>
      </c>
    </row>
  </sheetData>
  <conditionalFormatting sqref="A2:A98">
    <cfRule type="cellIs" dxfId="15" priority="17" operator="equal">
      <formula>"Resigned"</formula>
    </cfRule>
  </conditionalFormatting>
  <conditionalFormatting sqref="A116">
    <cfRule type="cellIs" dxfId="14" priority="16" operator="equal">
      <formula>"Resigned"</formula>
    </cfRule>
  </conditionalFormatting>
  <conditionalFormatting sqref="A135">
    <cfRule type="cellIs" dxfId="13" priority="15" operator="equal">
      <formula>"Resigned"</formula>
    </cfRule>
  </conditionalFormatting>
  <conditionalFormatting sqref="A154">
    <cfRule type="cellIs" dxfId="12" priority="14" operator="equal">
      <formula>"Resigned"</formula>
    </cfRule>
  </conditionalFormatting>
  <conditionalFormatting sqref="A169">
    <cfRule type="cellIs" dxfId="11" priority="12" operator="equal">
      <formula>"Resigned"</formula>
    </cfRule>
  </conditionalFormatting>
  <conditionalFormatting sqref="A187">
    <cfRule type="cellIs" dxfId="10" priority="11" operator="equal">
      <formula>"Resigned"</formula>
    </cfRule>
  </conditionalFormatting>
  <conditionalFormatting sqref="A203">
    <cfRule type="cellIs" dxfId="9" priority="10" operator="equal">
      <formula>"Resigned"</formula>
    </cfRule>
  </conditionalFormatting>
  <conditionalFormatting sqref="A217">
    <cfRule type="cellIs" dxfId="8" priority="9" operator="equal">
      <formula>"Resigned"</formula>
    </cfRule>
  </conditionalFormatting>
  <conditionalFormatting sqref="A237">
    <cfRule type="cellIs" dxfId="7" priority="8" operator="equal">
      <formula>"Resigned"</formula>
    </cfRule>
  </conditionalFormatting>
  <conditionalFormatting sqref="A256">
    <cfRule type="cellIs" dxfId="6" priority="7" operator="equal">
      <formula>"Resigned"</formula>
    </cfRule>
  </conditionalFormatting>
  <conditionalFormatting sqref="A272">
    <cfRule type="cellIs" dxfId="5" priority="6" operator="equal">
      <formula>"Resigned"</formula>
    </cfRule>
  </conditionalFormatting>
  <conditionalFormatting sqref="A289">
    <cfRule type="cellIs" dxfId="4" priority="5" operator="equal">
      <formula>"Resigned"</formula>
    </cfRule>
  </conditionalFormatting>
  <conditionalFormatting sqref="A305">
    <cfRule type="cellIs" dxfId="3" priority="4" operator="equal">
      <formula>"Resigned"</formula>
    </cfRule>
  </conditionalFormatting>
  <conditionalFormatting sqref="A324">
    <cfRule type="cellIs" dxfId="2" priority="3" operator="equal">
      <formula>"Resigned"</formula>
    </cfRule>
  </conditionalFormatting>
  <conditionalFormatting sqref="A344">
    <cfRule type="cellIs" dxfId="1" priority="2" operator="equal">
      <formula>"Resigned"</formula>
    </cfRule>
  </conditionalFormatting>
  <conditionalFormatting sqref="A361">
    <cfRule type="cellIs" dxfId="0" priority="1" operator="equal">
      <formula>"Resigned"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81572050E6F4BBD129C2AA2DED0A0" ma:contentTypeVersion="6" ma:contentTypeDescription="Create a new document." ma:contentTypeScope="" ma:versionID="53276b7be5dfda56dc235f98a0718e39">
  <xsd:schema xmlns:xsd="http://www.w3.org/2001/XMLSchema" xmlns:xs="http://www.w3.org/2001/XMLSchema" xmlns:p="http://schemas.microsoft.com/office/2006/metadata/properties" xmlns:ns2="861adf3d-1412-4842-9367-b5bdf30a3f84" xmlns:ns3="e81dcfd3-bb5b-4c01-b359-5c535f40575b" targetNamespace="http://schemas.microsoft.com/office/2006/metadata/properties" ma:root="true" ma:fieldsID="6392964e17ae9105f0fdcf8baa698ff5" ns2:_="" ns3:_="">
    <xsd:import namespace="861adf3d-1412-4842-9367-b5bdf30a3f84"/>
    <xsd:import namespace="e81dcfd3-bb5b-4c01-b359-5c535f4057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df3d-1412-4842-9367-b5bdf30a3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1dcfd3-bb5b-4c01-b359-5c535f4057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1CEAB9-E796-4B80-89EB-9F3F2965CB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CA54E-D285-455F-88B8-8E859B547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1adf3d-1412-4842-9367-b5bdf30a3f84"/>
    <ds:schemaRef ds:uri="e81dcfd3-bb5b-4c01-b359-5c535f4057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86B99-1A3C-4DD8-A7A8-18187CE76814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81dcfd3-bb5b-4c01-b359-5c535f40575b"/>
    <ds:schemaRef ds:uri="http://purl.org/dc/terms/"/>
    <ds:schemaRef ds:uri="861adf3d-1412-4842-9367-b5bdf30a3f8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Q1</vt:lpstr>
      <vt:lpstr>Q2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 Peloza</dc:creator>
  <cp:keywords/>
  <dc:description/>
  <cp:lastModifiedBy>Gilisa Williams</cp:lastModifiedBy>
  <cp:revision/>
  <dcterms:created xsi:type="dcterms:W3CDTF">2024-03-21T13:06:31Z</dcterms:created>
  <dcterms:modified xsi:type="dcterms:W3CDTF">2025-12-11T20:41:19Z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0x01010019981572050E6F4BBD129C2AA2DED0A0</vt:lpwstr>
  </property>
  <property fmtid="{D5CDD505-2E9C-101B-9397-08002B2CF9AE}" pid="3" name="MSIP_Label_4637e5cc-ed1f-4ad6-a881-35c0f1c6f3d8_Enabled">
    <vt:lpwstr>true</vt:lpwstr>
  </property>
  <property fmtid="{D5CDD505-2E9C-101B-9397-08002B2CF9AE}" pid="4" name="MSIP_Label_4637e5cc-ed1f-4ad6-a881-35c0f1c6f3d8_SetDate">
    <vt:lpwstr>2024-05-06T15:57:30Z</vt:lpwstr>
  </property>
  <property fmtid="{D5CDD505-2E9C-101B-9397-08002B2CF9AE}" pid="5" name="MSIP_Label_4637e5cc-ed1f-4ad6-a881-35c0f1c6f3d8_Method">
    <vt:lpwstr>Standard</vt:lpwstr>
  </property>
  <property fmtid="{D5CDD505-2E9C-101B-9397-08002B2CF9AE}" pid="6" name="MSIP_Label_4637e5cc-ed1f-4ad6-a881-35c0f1c6f3d8_Name">
    <vt:lpwstr>General</vt:lpwstr>
  </property>
  <property fmtid="{D5CDD505-2E9C-101B-9397-08002B2CF9AE}" pid="7" name="MSIP_Label_4637e5cc-ed1f-4ad6-a881-35c0f1c6f3d8_SiteId">
    <vt:lpwstr>e3cf3c98-a978-465f-8254-9d541eeea73c</vt:lpwstr>
  </property>
  <property fmtid="{D5CDD505-2E9C-101B-9397-08002B2CF9AE}" pid="8" name="MSIP_Label_4637e5cc-ed1f-4ad6-a881-35c0f1c6f3d8_ActionId">
    <vt:lpwstr>8dfef622-fe82-42aa-852e-49a3852bfa16</vt:lpwstr>
  </property>
  <property fmtid="{D5CDD505-2E9C-101B-9397-08002B2CF9AE}" pid="9" name="MSIP_Label_4637e5cc-ed1f-4ad6-a881-35c0f1c6f3d8_ContentBits">
    <vt:lpwstr>2</vt:lpwstr>
  </property>
</Properties>
</file>