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3.xml" ContentType="application/vnd.openxmlformats-officedocument.spreadsheetml.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filterPrivacy="1" updateLinks="always"/>
  <xr:revisionPtr revIDLastSave="10422" documentId="8_{AFC90299-F455-4A47-B29D-BB8FCB4378ED}" xr6:coauthVersionLast="47" xr6:coauthVersionMax="47" xr10:uidLastSave="{764537B4-0472-418E-8BC6-29B8C26098E6}"/>
  <bookViews>
    <workbookView xWindow="28680" yWindow="-120" windowWidth="29040" windowHeight="15720" firstSheet="1" xr2:uid="{00000000-000D-0000-FFFF-FFFF00000000}"/>
  </bookViews>
  <sheets>
    <sheet name="KPIs Dashboard" sheetId="1" r:id="rId1"/>
    <sheet name="Scores - Raw Data" sheetId="4" r:id="rId2"/>
    <sheet name="Survey Raw Data" sheetId="5" r:id="rId3"/>
    <sheet name="Compliance Raw Data" sheetId="7" r:id="rId4"/>
    <sheet name="Compliance Pivot Table" sheetId="11" r:id="rId5"/>
    <sheet name="Pivot Tables" sheetId="6" r:id="rId6"/>
    <sheet name="Observation Metrics" sheetId="10" r:id="rId7"/>
    <sheet name="Sheet2" sheetId="9"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s>
  <definedNames>
    <definedName name="_xlnm._FilterDatabase" localSheetId="3" hidden="1">'Compliance Raw Data'!$A$1:$T$50</definedName>
    <definedName name="_xlnm._FilterDatabase" localSheetId="1" hidden="1">'Scores - Raw Data'!$A$1:$J$94</definedName>
    <definedName name="List_SalesAgents">#REF!</definedName>
    <definedName name="List_SalesCategories">#REF!</definedName>
    <definedName name="List_SalesPhases">#REF!</definedName>
    <definedName name="List_SalesRegions">#REF!</definedName>
    <definedName name="Starting_Month">#REF!</definedName>
  </definedNames>
  <calcPr calcId="191028"/>
  <pivotCaches>
    <pivotCache cacheId="11251" r:id="rId120"/>
    <pivotCache cacheId="11252" r:id="rId121"/>
    <pivotCache cacheId="11253" r:id="rId122"/>
    <pivotCache cacheId="11254" r:id="rId12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1" l="1"/>
  <c r="M16" i="1"/>
  <c r="L16" i="1"/>
  <c r="N16" i="1" s="1"/>
  <c r="F33" i="1"/>
  <c r="E91" i="4"/>
  <c r="H34" i="1"/>
  <c r="M11" i="1"/>
  <c r="M10" i="1"/>
  <c r="N5" i="1"/>
  <c r="M5" i="1"/>
  <c r="L5" i="1"/>
  <c r="F16" i="1"/>
  <c r="H23" i="1"/>
  <c r="D30" i="1"/>
  <c r="S29" i="7" l="1"/>
  <c r="Q29" i="7"/>
  <c r="P29" i="7"/>
  <c r="O29" i="7"/>
  <c r="N29" i="7"/>
  <c r="M29" i="7"/>
  <c r="L29" i="7"/>
  <c r="K29" i="7"/>
  <c r="J29" i="7"/>
  <c r="I29" i="7"/>
  <c r="H29" i="7"/>
  <c r="G29" i="7"/>
  <c r="F29" i="7"/>
  <c r="E29" i="7"/>
  <c r="E53" i="7"/>
  <c r="D29" i="7"/>
  <c r="C29" i="7"/>
  <c r="P53" i="7"/>
  <c r="L53" i="7"/>
  <c r="K53" i="7"/>
  <c r="I53" i="7"/>
  <c r="H53" i="7"/>
  <c r="G53" i="7"/>
  <c r="A29" i="7"/>
  <c r="F53" i="7"/>
  <c r="D53" i="7"/>
  <c r="C53" i="7"/>
  <c r="A53" i="7"/>
  <c r="P52" i="7"/>
  <c r="L52" i="7"/>
  <c r="K52" i="7"/>
  <c r="I52" i="7"/>
  <c r="H52" i="7"/>
  <c r="G52" i="7"/>
  <c r="F52" i="7"/>
  <c r="E52" i="7"/>
  <c r="D52" i="7"/>
  <c r="C52" i="7"/>
  <c r="A52" i="7"/>
  <c r="J47" i="7"/>
  <c r="G28" i="10"/>
  <c r="G29" i="10"/>
  <c r="G30" i="10"/>
  <c r="G24" i="10"/>
  <c r="G22" i="10"/>
  <c r="C39" i="1"/>
  <c r="N47" i="7"/>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F89" i="4"/>
  <c r="F88" i="4"/>
  <c r="P76" i="7"/>
  <c r="L76" i="7"/>
  <c r="K76" i="7"/>
  <c r="I76" i="7"/>
  <c r="H76" i="7"/>
  <c r="G76" i="7"/>
  <c r="F76" i="7"/>
  <c r="E76" i="7"/>
  <c r="D76" i="7"/>
  <c r="C76" i="7"/>
  <c r="B76" i="7"/>
  <c r="A76" i="7"/>
  <c r="P75" i="7"/>
  <c r="L75" i="7"/>
  <c r="K75" i="7"/>
  <c r="I75" i="7"/>
  <c r="H75" i="7"/>
  <c r="G75" i="7"/>
  <c r="F75" i="7"/>
  <c r="E75" i="7"/>
  <c r="D75" i="7"/>
  <c r="C75" i="7"/>
  <c r="B75" i="7"/>
  <c r="A75" i="7"/>
  <c r="P74" i="7"/>
  <c r="L74" i="7"/>
  <c r="K74" i="7"/>
  <c r="I74" i="7"/>
  <c r="H74" i="7"/>
  <c r="G74" i="7"/>
  <c r="F74" i="7"/>
  <c r="E74" i="7"/>
  <c r="D74" i="7"/>
  <c r="C74" i="7"/>
  <c r="B74" i="7"/>
  <c r="A74" i="7"/>
  <c r="P73" i="7"/>
  <c r="L73" i="7"/>
  <c r="K73" i="7"/>
  <c r="I73" i="7"/>
  <c r="H73" i="7"/>
  <c r="G73" i="7"/>
  <c r="F73" i="7"/>
  <c r="E73" i="7"/>
  <c r="D73" i="7"/>
  <c r="C73" i="7"/>
  <c r="B73" i="7"/>
  <c r="A73" i="7"/>
  <c r="S50" i="7"/>
  <c r="P50" i="7"/>
  <c r="L50" i="7"/>
  <c r="K50" i="7"/>
  <c r="I50" i="7"/>
  <c r="H50" i="7"/>
  <c r="G50" i="7"/>
  <c r="F50" i="7"/>
  <c r="E50" i="7"/>
  <c r="D50" i="7"/>
  <c r="C50" i="7"/>
  <c r="B50" i="7"/>
  <c r="A50" i="7"/>
  <c r="S49" i="7"/>
  <c r="Q49" i="7"/>
  <c r="P49" i="7"/>
  <c r="O49" i="7"/>
  <c r="N49" i="7"/>
  <c r="M49" i="7"/>
  <c r="L49" i="7"/>
  <c r="K49" i="7"/>
  <c r="I49" i="7"/>
  <c r="H49" i="7"/>
  <c r="G49" i="7"/>
  <c r="F49" i="7"/>
  <c r="E49" i="7"/>
  <c r="D49" i="7"/>
  <c r="C49" i="7"/>
  <c r="B49" i="7"/>
  <c r="A49" i="7"/>
  <c r="S48" i="7"/>
  <c r="Q48" i="7"/>
  <c r="P48" i="7"/>
  <c r="O48" i="7"/>
  <c r="N48" i="7"/>
  <c r="M48" i="7"/>
  <c r="L48" i="7"/>
  <c r="K48" i="7"/>
  <c r="I48" i="7"/>
  <c r="H48" i="7"/>
  <c r="G48" i="7"/>
  <c r="F48" i="7"/>
  <c r="E48" i="7"/>
  <c r="D48" i="7"/>
  <c r="C48" i="7"/>
  <c r="B48" i="7"/>
  <c r="A48" i="7"/>
  <c r="S47" i="7"/>
  <c r="Q47" i="7"/>
  <c r="P47" i="7"/>
  <c r="O47" i="7"/>
  <c r="M47" i="7"/>
  <c r="L47" i="7"/>
  <c r="K47" i="7"/>
  <c r="I47" i="7"/>
  <c r="H47" i="7"/>
  <c r="G47" i="7"/>
  <c r="F47" i="7"/>
  <c r="E47" i="7"/>
  <c r="D47" i="7"/>
  <c r="C47" i="7"/>
  <c r="B47" i="7"/>
  <c r="A47" i="7"/>
  <c r="S46" i="7"/>
  <c r="Q46" i="7"/>
  <c r="P46" i="7"/>
  <c r="O46" i="7"/>
  <c r="N46" i="7"/>
  <c r="M46" i="7"/>
  <c r="L46" i="7"/>
  <c r="K46" i="7"/>
  <c r="J46" i="7"/>
  <c r="I46" i="7"/>
  <c r="H46" i="7"/>
  <c r="G46" i="7"/>
  <c r="F46" i="7"/>
  <c r="E46" i="7"/>
  <c r="D46" i="7"/>
  <c r="C46" i="7"/>
  <c r="B46" i="7"/>
  <c r="A46" i="7"/>
  <c r="S45" i="7"/>
  <c r="Q45" i="7"/>
  <c r="P45" i="7"/>
  <c r="O45" i="7"/>
  <c r="N45" i="7"/>
  <c r="M45" i="7"/>
  <c r="L45" i="7"/>
  <c r="K45" i="7"/>
  <c r="J45" i="7"/>
  <c r="I45" i="7"/>
  <c r="H45" i="7"/>
  <c r="G45" i="7"/>
  <c r="F45" i="7"/>
  <c r="E45" i="7"/>
  <c r="D45" i="7"/>
  <c r="C45" i="7"/>
  <c r="B45" i="7"/>
  <c r="A45" i="7"/>
  <c r="S44" i="7"/>
  <c r="Q44" i="7"/>
  <c r="P44" i="7"/>
  <c r="O44" i="7"/>
  <c r="N44" i="7"/>
  <c r="M44" i="7"/>
  <c r="L44" i="7"/>
  <c r="K44" i="7"/>
  <c r="J44" i="7"/>
  <c r="I44" i="7"/>
  <c r="H44" i="7"/>
  <c r="G44" i="7"/>
  <c r="F44" i="7"/>
  <c r="E44" i="7"/>
  <c r="D44" i="7"/>
  <c r="C44" i="7"/>
  <c r="B44" i="7"/>
  <c r="A44" i="7"/>
  <c r="S43" i="7"/>
  <c r="Q43" i="7"/>
  <c r="P43" i="7"/>
  <c r="O43" i="7"/>
  <c r="N43" i="7"/>
  <c r="M43" i="7"/>
  <c r="L43" i="7"/>
  <c r="K43" i="7"/>
  <c r="J43" i="7"/>
  <c r="I43" i="7"/>
  <c r="H43" i="7"/>
  <c r="G43" i="7"/>
  <c r="F43" i="7"/>
  <c r="E43" i="7"/>
  <c r="D43" i="7"/>
  <c r="C43" i="7"/>
  <c r="B43" i="7"/>
  <c r="A43" i="7"/>
  <c r="S42" i="7"/>
  <c r="Q42" i="7"/>
  <c r="P42" i="7"/>
  <c r="O42" i="7"/>
  <c r="N42" i="7"/>
  <c r="M42" i="7"/>
  <c r="L42" i="7"/>
  <c r="K42" i="7"/>
  <c r="J42" i="7"/>
  <c r="I42" i="7"/>
  <c r="H42" i="7"/>
  <c r="G42" i="7"/>
  <c r="F42" i="7"/>
  <c r="E42" i="7"/>
  <c r="D42" i="7"/>
  <c r="C42" i="7"/>
  <c r="B42" i="7"/>
  <c r="A42" i="7"/>
  <c r="S41" i="7"/>
  <c r="Q41" i="7"/>
  <c r="P41" i="7"/>
  <c r="O41" i="7"/>
  <c r="N41" i="7"/>
  <c r="M41" i="7"/>
  <c r="L41" i="7"/>
  <c r="K41" i="7"/>
  <c r="J41" i="7"/>
  <c r="I41" i="7"/>
  <c r="H41" i="7"/>
  <c r="G41" i="7"/>
  <c r="F41" i="7"/>
  <c r="E41" i="7"/>
  <c r="D41" i="7"/>
  <c r="C41" i="7"/>
  <c r="B41" i="7"/>
  <c r="A41" i="7"/>
  <c r="S40" i="7"/>
  <c r="Q40" i="7"/>
  <c r="P40" i="7"/>
  <c r="O40" i="7"/>
  <c r="N40" i="7"/>
  <c r="M40" i="7"/>
  <c r="L40" i="7"/>
  <c r="K40" i="7"/>
  <c r="J40" i="7"/>
  <c r="I40" i="7"/>
  <c r="H40" i="7"/>
  <c r="G40" i="7"/>
  <c r="F40" i="7"/>
  <c r="E40" i="7"/>
  <c r="D40" i="7"/>
  <c r="C40" i="7"/>
  <c r="B40" i="7"/>
  <c r="A40" i="7"/>
  <c r="P39" i="7"/>
  <c r="L39" i="7"/>
  <c r="K39" i="7"/>
  <c r="I39" i="7"/>
  <c r="H39" i="7"/>
  <c r="G39" i="7"/>
  <c r="F39" i="7"/>
  <c r="E39" i="7"/>
  <c r="D39" i="7"/>
  <c r="C39" i="7"/>
  <c r="A39" i="7"/>
  <c r="P38" i="7"/>
  <c r="L38" i="7"/>
  <c r="K38" i="7"/>
  <c r="I38" i="7"/>
  <c r="H38" i="7"/>
  <c r="G38" i="7"/>
  <c r="F38" i="7"/>
  <c r="E38" i="7"/>
  <c r="D38" i="7"/>
  <c r="C38" i="7"/>
  <c r="A38" i="7"/>
  <c r="S37" i="7"/>
  <c r="P37" i="7"/>
  <c r="L37" i="7"/>
  <c r="K37" i="7"/>
  <c r="I37" i="7"/>
  <c r="H37" i="7"/>
  <c r="G37" i="7"/>
  <c r="F37" i="7"/>
  <c r="E37" i="7"/>
  <c r="D37" i="7"/>
  <c r="C37" i="7"/>
  <c r="A37" i="7"/>
  <c r="S36" i="7"/>
  <c r="P36" i="7"/>
  <c r="L36" i="7"/>
  <c r="K36" i="7"/>
  <c r="I36" i="7"/>
  <c r="H36" i="7"/>
  <c r="G36" i="7"/>
  <c r="F36" i="7"/>
  <c r="E36" i="7"/>
  <c r="D36" i="7"/>
  <c r="C36" i="7"/>
  <c r="B36" i="7"/>
  <c r="A36" i="7"/>
  <c r="S35" i="7"/>
  <c r="P35" i="7"/>
  <c r="L35" i="7"/>
  <c r="K35" i="7"/>
  <c r="I35" i="7"/>
  <c r="H35" i="7"/>
  <c r="G35" i="7"/>
  <c r="F35" i="7"/>
  <c r="E35" i="7"/>
  <c r="D35" i="7"/>
  <c r="C35" i="7"/>
  <c r="B35" i="7"/>
  <c r="A35" i="7"/>
  <c r="S34" i="7"/>
  <c r="P34" i="7"/>
  <c r="L34" i="7"/>
  <c r="K34" i="7"/>
  <c r="I34" i="7"/>
  <c r="H34" i="7"/>
  <c r="G34" i="7"/>
  <c r="F34" i="7"/>
  <c r="E34" i="7"/>
  <c r="D34" i="7"/>
  <c r="C34" i="7"/>
  <c r="B34" i="7"/>
  <c r="A34" i="7"/>
  <c r="S33" i="7"/>
  <c r="P33" i="7"/>
  <c r="L33" i="7"/>
  <c r="K33" i="7"/>
  <c r="I33" i="7"/>
  <c r="H33" i="7"/>
  <c r="G33" i="7"/>
  <c r="F33" i="7"/>
  <c r="E33" i="7"/>
  <c r="D33" i="7"/>
  <c r="C33" i="7"/>
  <c r="B33" i="7"/>
  <c r="A33" i="7"/>
  <c r="S32" i="7"/>
  <c r="P32" i="7"/>
  <c r="L32" i="7"/>
  <c r="K32" i="7"/>
  <c r="I32" i="7"/>
  <c r="H32" i="7"/>
  <c r="G32" i="7"/>
  <c r="F32" i="7"/>
  <c r="E32" i="7"/>
  <c r="D32" i="7"/>
  <c r="C32" i="7"/>
  <c r="B32" i="7"/>
  <c r="A32" i="7"/>
  <c r="S31" i="7"/>
  <c r="Q31" i="7"/>
  <c r="P31" i="7"/>
  <c r="L31" i="7"/>
  <c r="K31" i="7"/>
  <c r="I31" i="7"/>
  <c r="H31" i="7"/>
  <c r="G31" i="7"/>
  <c r="F31" i="7"/>
  <c r="E31" i="7"/>
  <c r="D31" i="7"/>
  <c r="C31" i="7"/>
  <c r="B31" i="7"/>
  <c r="A31" i="7"/>
  <c r="S30" i="7"/>
  <c r="Q30" i="7"/>
  <c r="P30" i="7"/>
  <c r="O30" i="7"/>
  <c r="N30" i="7"/>
  <c r="M30" i="7"/>
  <c r="L30" i="7"/>
  <c r="K30" i="7"/>
  <c r="J30" i="7"/>
  <c r="I30" i="7"/>
  <c r="H30" i="7"/>
  <c r="G30" i="7"/>
  <c r="F30" i="7"/>
  <c r="E30" i="7"/>
  <c r="D30" i="7"/>
  <c r="C30" i="7"/>
  <c r="B30" i="7"/>
  <c r="A30" i="7"/>
  <c r="S28" i="7"/>
  <c r="Q28" i="7"/>
  <c r="P28" i="7"/>
  <c r="O28" i="7"/>
  <c r="N28" i="7"/>
  <c r="M28" i="7"/>
  <c r="L28" i="7"/>
  <c r="K28" i="7"/>
  <c r="J28" i="7"/>
  <c r="I28" i="7"/>
  <c r="H28" i="7"/>
  <c r="G28" i="7"/>
  <c r="F28" i="7"/>
  <c r="E28" i="7"/>
  <c r="D28" i="7"/>
  <c r="C28" i="7"/>
  <c r="B28" i="7"/>
  <c r="A28" i="7"/>
  <c r="S27" i="7"/>
  <c r="Q27" i="7"/>
  <c r="P27" i="7"/>
  <c r="O27" i="7"/>
  <c r="N27" i="7"/>
  <c r="M27" i="7"/>
  <c r="L27" i="7"/>
  <c r="K27" i="7"/>
  <c r="J27" i="7"/>
  <c r="I27" i="7"/>
  <c r="H27" i="7"/>
  <c r="G27" i="7"/>
  <c r="F27" i="7"/>
  <c r="E27" i="7"/>
  <c r="D27" i="7"/>
  <c r="C27" i="7"/>
  <c r="B27" i="7"/>
  <c r="A27" i="7"/>
  <c r="S26" i="7"/>
  <c r="Q26" i="7"/>
  <c r="P26" i="7"/>
  <c r="O26" i="7"/>
  <c r="N26" i="7"/>
  <c r="M26" i="7"/>
  <c r="L26" i="7"/>
  <c r="K26" i="7"/>
  <c r="J26" i="7"/>
  <c r="I26" i="7"/>
  <c r="H26" i="7"/>
  <c r="G26" i="7"/>
  <c r="F26" i="7"/>
  <c r="E26" i="7"/>
  <c r="D26" i="7"/>
  <c r="C26" i="7"/>
  <c r="B26" i="7"/>
  <c r="A26" i="7"/>
  <c r="S25" i="7"/>
  <c r="Q25" i="7"/>
  <c r="P25" i="7"/>
  <c r="O25" i="7"/>
  <c r="N25" i="7"/>
  <c r="M25" i="7"/>
  <c r="L25" i="7"/>
  <c r="K25" i="7"/>
  <c r="J25" i="7"/>
  <c r="I25" i="7"/>
  <c r="H25" i="7"/>
  <c r="G25" i="7"/>
  <c r="F25" i="7"/>
  <c r="E25" i="7"/>
  <c r="D25" i="7"/>
  <c r="C25" i="7"/>
  <c r="B25" i="7"/>
  <c r="A25" i="7"/>
  <c r="S24" i="7"/>
  <c r="P24" i="7"/>
  <c r="O24" i="7"/>
  <c r="N24" i="7"/>
  <c r="M24" i="7"/>
  <c r="L24" i="7"/>
  <c r="K24" i="7"/>
  <c r="I24" i="7"/>
  <c r="H24" i="7"/>
  <c r="G24" i="7"/>
  <c r="F24" i="7"/>
  <c r="E24" i="7"/>
  <c r="D24" i="7"/>
  <c r="C24" i="7"/>
  <c r="B24" i="7"/>
  <c r="A24" i="7"/>
  <c r="S23" i="7"/>
  <c r="P23" i="7"/>
  <c r="O23" i="7"/>
  <c r="N23" i="7"/>
  <c r="M23" i="7"/>
  <c r="L23" i="7"/>
  <c r="K23" i="7"/>
  <c r="I23" i="7"/>
  <c r="H23" i="7"/>
  <c r="G23" i="7"/>
  <c r="F23" i="7"/>
  <c r="E23" i="7"/>
  <c r="D23" i="7"/>
  <c r="C23" i="7"/>
  <c r="B23" i="7"/>
  <c r="A23" i="7"/>
  <c r="S22" i="7"/>
  <c r="P22" i="7"/>
  <c r="O22" i="7"/>
  <c r="N22" i="7"/>
  <c r="M22" i="7"/>
  <c r="L22" i="7"/>
  <c r="K22" i="7"/>
  <c r="I22" i="7"/>
  <c r="H22" i="7"/>
  <c r="G22" i="7"/>
  <c r="F22" i="7"/>
  <c r="E22" i="7"/>
  <c r="D22" i="7"/>
  <c r="R22" i="7" s="1"/>
  <c r="C22" i="7"/>
  <c r="B22" i="7"/>
  <c r="A22" i="7"/>
  <c r="S21" i="7"/>
  <c r="P21" i="7"/>
  <c r="O21" i="7"/>
  <c r="N21" i="7"/>
  <c r="M21" i="7"/>
  <c r="L21" i="7"/>
  <c r="K21" i="7"/>
  <c r="I21" i="7"/>
  <c r="H21" i="7"/>
  <c r="G21" i="7"/>
  <c r="F21" i="7"/>
  <c r="E21" i="7"/>
  <c r="D21" i="7"/>
  <c r="C21" i="7"/>
  <c r="B21" i="7"/>
  <c r="A21" i="7"/>
  <c r="S20" i="7"/>
  <c r="P20" i="7"/>
  <c r="O20" i="7"/>
  <c r="N20" i="7"/>
  <c r="M20" i="7"/>
  <c r="L20" i="7"/>
  <c r="K20" i="7"/>
  <c r="I20" i="7"/>
  <c r="H20" i="7"/>
  <c r="G20" i="7"/>
  <c r="F20" i="7"/>
  <c r="E20" i="7"/>
  <c r="D20" i="7"/>
  <c r="C20" i="7"/>
  <c r="B20" i="7"/>
  <c r="A20" i="7"/>
  <c r="S19" i="7"/>
  <c r="P19" i="7"/>
  <c r="O19" i="7"/>
  <c r="N19" i="7"/>
  <c r="M19" i="7"/>
  <c r="L19" i="7"/>
  <c r="K19" i="7"/>
  <c r="I19" i="7"/>
  <c r="H19" i="7"/>
  <c r="G19" i="7"/>
  <c r="F19" i="7"/>
  <c r="E19" i="7"/>
  <c r="D19" i="7"/>
  <c r="R19" i="7" s="1"/>
  <c r="C19" i="7"/>
  <c r="B19" i="7"/>
  <c r="A19" i="7"/>
  <c r="S18" i="7"/>
  <c r="P18" i="7"/>
  <c r="O18" i="7"/>
  <c r="N18" i="7"/>
  <c r="M18" i="7"/>
  <c r="L18" i="7"/>
  <c r="K18" i="7"/>
  <c r="I18" i="7"/>
  <c r="H18" i="7"/>
  <c r="G18" i="7"/>
  <c r="F18" i="7"/>
  <c r="E18" i="7"/>
  <c r="D18" i="7"/>
  <c r="C18" i="7"/>
  <c r="B18" i="7"/>
  <c r="A18" i="7"/>
  <c r="S17" i="7"/>
  <c r="P17" i="7"/>
  <c r="O17" i="7"/>
  <c r="N17" i="7"/>
  <c r="M17" i="7"/>
  <c r="L17" i="7"/>
  <c r="K17" i="7"/>
  <c r="I17" i="7"/>
  <c r="H17" i="7"/>
  <c r="G17" i="7"/>
  <c r="F17" i="7"/>
  <c r="E17" i="7"/>
  <c r="D17" i="7"/>
  <c r="C17" i="7"/>
  <c r="B17" i="7"/>
  <c r="A17" i="7"/>
  <c r="S16" i="7"/>
  <c r="P16" i="7"/>
  <c r="O16" i="7"/>
  <c r="N16" i="7"/>
  <c r="M16" i="7"/>
  <c r="L16" i="7"/>
  <c r="K16" i="7"/>
  <c r="I16" i="7"/>
  <c r="H16" i="7"/>
  <c r="G16" i="7"/>
  <c r="F16" i="7"/>
  <c r="E16" i="7"/>
  <c r="D16" i="7"/>
  <c r="R16" i="7" s="1"/>
  <c r="C16" i="7"/>
  <c r="B16" i="7"/>
  <c r="A16" i="7"/>
  <c r="S15" i="7"/>
  <c r="P15" i="7"/>
  <c r="O15" i="7"/>
  <c r="N15" i="7"/>
  <c r="M15" i="7"/>
  <c r="L15" i="7"/>
  <c r="K15" i="7"/>
  <c r="I15" i="7"/>
  <c r="H15" i="7"/>
  <c r="G15" i="7"/>
  <c r="F15" i="7"/>
  <c r="E15" i="7"/>
  <c r="D15" i="7"/>
  <c r="C15" i="7"/>
  <c r="B15" i="7"/>
  <c r="A15" i="7"/>
  <c r="S14" i="7"/>
  <c r="P14" i="7"/>
  <c r="O14" i="7"/>
  <c r="N14" i="7"/>
  <c r="M14" i="7"/>
  <c r="L14" i="7"/>
  <c r="K14" i="7"/>
  <c r="I14" i="7"/>
  <c r="H14" i="7"/>
  <c r="G14" i="7"/>
  <c r="F14" i="7"/>
  <c r="E14" i="7"/>
  <c r="D14" i="7"/>
  <c r="C14" i="7"/>
  <c r="B14" i="7"/>
  <c r="A14" i="7"/>
  <c r="S13" i="7"/>
  <c r="P13" i="7"/>
  <c r="O13" i="7"/>
  <c r="N13" i="7"/>
  <c r="M13" i="7"/>
  <c r="L13" i="7"/>
  <c r="K13" i="7"/>
  <c r="I13" i="7"/>
  <c r="H13" i="7"/>
  <c r="G13" i="7"/>
  <c r="F13" i="7"/>
  <c r="E13" i="7"/>
  <c r="D13" i="7"/>
  <c r="C13" i="7"/>
  <c r="B13" i="7"/>
  <c r="A13" i="7"/>
  <c r="S12" i="7"/>
  <c r="P12" i="7"/>
  <c r="O12" i="7"/>
  <c r="N12" i="7"/>
  <c r="M12" i="7"/>
  <c r="L12" i="7"/>
  <c r="K12" i="7"/>
  <c r="I12" i="7"/>
  <c r="H12" i="7"/>
  <c r="G12" i="7"/>
  <c r="F12" i="7"/>
  <c r="E12" i="7"/>
  <c r="D12" i="7"/>
  <c r="C12" i="7"/>
  <c r="B12" i="7"/>
  <c r="A12" i="7"/>
  <c r="S11" i="7"/>
  <c r="P11" i="7"/>
  <c r="O11" i="7"/>
  <c r="N11" i="7"/>
  <c r="M11" i="7"/>
  <c r="L11" i="7"/>
  <c r="K11" i="7"/>
  <c r="I11" i="7"/>
  <c r="H11" i="7"/>
  <c r="G11" i="7"/>
  <c r="F11" i="7"/>
  <c r="E11" i="7"/>
  <c r="D11" i="7"/>
  <c r="C11" i="7"/>
  <c r="B11" i="7"/>
  <c r="A11" i="7"/>
  <c r="S10" i="7"/>
  <c r="P10" i="7"/>
  <c r="O10" i="7"/>
  <c r="N10" i="7"/>
  <c r="M10" i="7"/>
  <c r="L10" i="7"/>
  <c r="K10" i="7"/>
  <c r="I10" i="7"/>
  <c r="H10" i="7"/>
  <c r="G10" i="7"/>
  <c r="F10" i="7"/>
  <c r="E10" i="7"/>
  <c r="D10" i="7"/>
  <c r="C10" i="7"/>
  <c r="B10" i="7"/>
  <c r="A10" i="7"/>
  <c r="S9" i="7"/>
  <c r="P9" i="7"/>
  <c r="O9" i="7"/>
  <c r="N9" i="7"/>
  <c r="M9" i="7"/>
  <c r="L9" i="7"/>
  <c r="K9" i="7"/>
  <c r="I9" i="7"/>
  <c r="H9" i="7"/>
  <c r="G9" i="7"/>
  <c r="F9" i="7"/>
  <c r="E9" i="7"/>
  <c r="D9" i="7"/>
  <c r="C9" i="7"/>
  <c r="B9" i="7"/>
  <c r="A9" i="7"/>
  <c r="S8" i="7"/>
  <c r="P8" i="7"/>
  <c r="O8" i="7"/>
  <c r="N8" i="7"/>
  <c r="M8" i="7"/>
  <c r="L8" i="7"/>
  <c r="K8" i="7"/>
  <c r="I8" i="7"/>
  <c r="H8" i="7"/>
  <c r="G8" i="7"/>
  <c r="F8" i="7"/>
  <c r="E8" i="7"/>
  <c r="D8" i="7"/>
  <c r="C8" i="7"/>
  <c r="B8" i="7"/>
  <c r="A8" i="7"/>
  <c r="S7" i="7"/>
  <c r="P7" i="7"/>
  <c r="O7" i="7"/>
  <c r="N7" i="7"/>
  <c r="M7" i="7"/>
  <c r="L7" i="7"/>
  <c r="K7" i="7"/>
  <c r="I7" i="7"/>
  <c r="H7" i="7"/>
  <c r="G7" i="7"/>
  <c r="F7" i="7"/>
  <c r="E7" i="7"/>
  <c r="D7" i="7"/>
  <c r="C7" i="7"/>
  <c r="B7" i="7"/>
  <c r="A7" i="7"/>
  <c r="S6" i="7"/>
  <c r="P6" i="7"/>
  <c r="O6" i="7"/>
  <c r="N6" i="7"/>
  <c r="M6" i="7"/>
  <c r="L6" i="7"/>
  <c r="K6" i="7"/>
  <c r="I6" i="7"/>
  <c r="H6" i="7"/>
  <c r="G6" i="7"/>
  <c r="F6" i="7"/>
  <c r="E6" i="7"/>
  <c r="D6" i="7"/>
  <c r="C6" i="7"/>
  <c r="B6" i="7"/>
  <c r="A6" i="7"/>
  <c r="S5" i="7"/>
  <c r="P5" i="7"/>
  <c r="O5" i="7"/>
  <c r="N5" i="7"/>
  <c r="M5" i="7"/>
  <c r="L5" i="7"/>
  <c r="K5" i="7"/>
  <c r="I5" i="7"/>
  <c r="H5" i="7"/>
  <c r="G5" i="7"/>
  <c r="F5" i="7"/>
  <c r="E5" i="7"/>
  <c r="D5" i="7"/>
  <c r="C5" i="7"/>
  <c r="B5" i="7"/>
  <c r="A5" i="7"/>
  <c r="S4" i="7"/>
  <c r="P4" i="7"/>
  <c r="O4" i="7"/>
  <c r="N4" i="7"/>
  <c r="M4" i="7"/>
  <c r="L4" i="7"/>
  <c r="K4" i="7"/>
  <c r="I4" i="7"/>
  <c r="H4" i="7"/>
  <c r="G4" i="7"/>
  <c r="F4" i="7"/>
  <c r="E4" i="7"/>
  <c r="D4" i="7"/>
  <c r="C4" i="7"/>
  <c r="B4" i="7"/>
  <c r="A4" i="7"/>
  <c r="S3" i="7"/>
  <c r="P3" i="7"/>
  <c r="O3" i="7"/>
  <c r="N3" i="7"/>
  <c r="M3" i="7"/>
  <c r="L3" i="7"/>
  <c r="K3" i="7"/>
  <c r="I3" i="7"/>
  <c r="H3" i="7"/>
  <c r="G3" i="7"/>
  <c r="F3" i="7"/>
  <c r="E3" i="7"/>
  <c r="D3" i="7"/>
  <c r="C3" i="7"/>
  <c r="B3" i="7"/>
  <c r="A3" i="7"/>
  <c r="S2" i="7"/>
  <c r="Q2" i="7"/>
  <c r="P2" i="7"/>
  <c r="O2" i="7"/>
  <c r="N2" i="7"/>
  <c r="M2" i="7"/>
  <c r="L2" i="7"/>
  <c r="K2" i="7"/>
  <c r="I2" i="7"/>
  <c r="H2" i="7"/>
  <c r="G2" i="7"/>
  <c r="F2" i="7"/>
  <c r="E2" i="7"/>
  <c r="D2" i="7"/>
  <c r="C2" i="7"/>
  <c r="B2" i="7"/>
  <c r="A2" i="7"/>
  <c r="C12" i="10"/>
  <c r="B26" i="10"/>
  <c r="B25" i="10"/>
  <c r="B32" i="10"/>
  <c r="B8" i="10"/>
  <c r="B20" i="10"/>
  <c r="C16" i="10"/>
  <c r="B5" i="10"/>
  <c r="C3" i="10"/>
  <c r="H94" i="4"/>
  <c r="G94" i="4"/>
  <c r="F94" i="4"/>
  <c r="E94" i="4"/>
  <c r="I94" i="4"/>
  <c r="I92" i="4"/>
  <c r="H92" i="4"/>
  <c r="G92" i="4"/>
  <c r="F92" i="4"/>
  <c r="I89" i="4"/>
  <c r="H89" i="4"/>
  <c r="G89" i="4"/>
  <c r="E89" i="4"/>
  <c r="I87" i="4"/>
  <c r="H87" i="4"/>
  <c r="G87" i="4"/>
  <c r="F87" i="4"/>
  <c r="E87" i="4"/>
  <c r="I85" i="4"/>
  <c r="H85" i="4"/>
  <c r="G85" i="4"/>
  <c r="F85" i="4"/>
  <c r="E85" i="4"/>
  <c r="I83" i="4"/>
  <c r="H83" i="4"/>
  <c r="G83" i="4"/>
  <c r="F83" i="4"/>
  <c r="E83" i="4"/>
  <c r="H93" i="4"/>
  <c r="G93" i="4"/>
  <c r="I91" i="4"/>
  <c r="H91" i="4"/>
  <c r="G91" i="4"/>
  <c r="F91" i="4"/>
  <c r="H90" i="4"/>
  <c r="G90" i="4"/>
  <c r="F90" i="4"/>
  <c r="I90" i="4"/>
  <c r="I88" i="4"/>
  <c r="H88" i="4"/>
  <c r="G88" i="4"/>
  <c r="E88" i="4"/>
  <c r="I86" i="4"/>
  <c r="H86" i="4"/>
  <c r="G86" i="4"/>
  <c r="F86" i="4"/>
  <c r="E86" i="4"/>
  <c r="I84" i="4"/>
  <c r="H84" i="4"/>
  <c r="G84" i="4"/>
  <c r="F84" i="4"/>
  <c r="E84" i="4"/>
  <c r="I82" i="4"/>
  <c r="H82" i="4"/>
  <c r="G82" i="4"/>
  <c r="F82" i="4"/>
  <c r="E82" i="4"/>
  <c r="H81" i="4"/>
  <c r="G81" i="4"/>
  <c r="F81" i="4"/>
  <c r="J80" i="4"/>
  <c r="H80" i="4"/>
  <c r="G80" i="4"/>
  <c r="E80" i="4"/>
  <c r="F80" i="4"/>
  <c r="G32" i="10"/>
  <c r="G26" i="10"/>
  <c r="G20" i="10"/>
  <c r="G5" i="10"/>
  <c r="G7" i="10"/>
  <c r="G8" i="10"/>
  <c r="I15" i="1" s="1"/>
  <c r="G25" i="10"/>
  <c r="D10" i="10"/>
  <c r="B17" i="10"/>
  <c r="G17" i="10" s="1"/>
  <c r="D15" i="10"/>
  <c r="B13" i="10"/>
  <c r="G13" i="10" s="1"/>
  <c r="C15" i="1"/>
  <c r="C32" i="1"/>
  <c r="C31" i="1"/>
  <c r="C14" i="1"/>
  <c r="I32" i="1"/>
  <c r="B27" i="10"/>
  <c r="G27" i="10" s="1"/>
  <c r="I31" i="1" s="1"/>
  <c r="B3" i="10"/>
  <c r="G3" i="10" s="1"/>
  <c r="H79" i="4"/>
  <c r="G79" i="4"/>
  <c r="F79" i="4"/>
  <c r="H78" i="4"/>
  <c r="G78" i="4"/>
  <c r="F78" i="4"/>
  <c r="H77" i="4"/>
  <c r="G77" i="4"/>
  <c r="F77" i="4"/>
  <c r="F76" i="4"/>
  <c r="H76" i="4"/>
  <c r="G76" i="4"/>
  <c r="H75" i="4"/>
  <c r="G75" i="4"/>
  <c r="F75" i="4"/>
  <c r="I74" i="4"/>
  <c r="H74" i="4"/>
  <c r="G74" i="4"/>
  <c r="F74" i="4"/>
  <c r="E74" i="4"/>
  <c r="I73" i="4"/>
  <c r="H73" i="4"/>
  <c r="G73" i="4"/>
  <c r="E73" i="4"/>
  <c r="C9" i="1"/>
  <c r="H69" i="4"/>
  <c r="F66" i="4"/>
  <c r="F64" i="4"/>
  <c r="C35" i="1"/>
  <c r="H72" i="4"/>
  <c r="G72" i="4"/>
  <c r="F72" i="4"/>
  <c r="D9" i="1"/>
  <c r="D19" i="1"/>
  <c r="D12" i="1"/>
  <c r="D17" i="5"/>
  <c r="D15" i="1"/>
  <c r="D16" i="5"/>
  <c r="D16" i="1"/>
  <c r="D15" i="5"/>
  <c r="D18" i="5"/>
  <c r="D13" i="5"/>
  <c r="D32" i="1"/>
  <c r="D14" i="5"/>
  <c r="D19" i="5"/>
  <c r="D34" i="1"/>
  <c r="D11" i="5"/>
  <c r="D10" i="1"/>
  <c r="D23" i="5"/>
  <c r="D12" i="5"/>
  <c r="D22" i="5"/>
  <c r="D10" i="5"/>
  <c r="D20" i="5"/>
  <c r="D8" i="5"/>
  <c r="D6" i="5"/>
  <c r="D31" i="1"/>
  <c r="D21" i="5"/>
  <c r="D7" i="5"/>
  <c r="D29" i="1"/>
  <c r="E39" i="1"/>
  <c r="E26" i="1"/>
  <c r="E12" i="1"/>
  <c r="E37" i="1"/>
  <c r="E25" i="1"/>
  <c r="E10" i="1"/>
  <c r="E31" i="1"/>
  <c r="E19" i="1"/>
  <c r="E30" i="1"/>
  <c r="E16" i="1"/>
  <c r="E13" i="1"/>
  <c r="E28" i="1"/>
  <c r="E11" i="1"/>
  <c r="E34" i="1"/>
  <c r="E22" i="1"/>
  <c r="E33" i="1"/>
  <c r="E20" i="1"/>
  <c r="E17" i="1"/>
  <c r="E14" i="1"/>
  <c r="E35" i="1"/>
  <c r="E23" i="1"/>
  <c r="E32" i="1"/>
  <c r="E29" i="1"/>
  <c r="E15" i="1"/>
  <c r="E21" i="1"/>
  <c r="E36" i="1"/>
  <c r="E24" i="1"/>
  <c r="E9" i="1"/>
  <c r="E27" i="1"/>
  <c r="H35" i="1"/>
  <c r="G9" i="1"/>
  <c r="F39" i="1"/>
  <c r="H14" i="1"/>
  <c r="H10" i="1"/>
  <c r="G32" i="1"/>
  <c r="F37" i="1"/>
  <c r="G16" i="1"/>
  <c r="H19" i="1"/>
  <c r="H24" i="1"/>
  <c r="F28" i="1"/>
  <c r="F31" i="1"/>
  <c r="F15" i="1"/>
  <c r="G31" i="1"/>
  <c r="H32" i="1"/>
  <c r="H29" i="1"/>
  <c r="F14" i="1"/>
  <c r="G27" i="1"/>
  <c r="G15" i="1"/>
  <c r="G37" i="1"/>
  <c r="G10" i="1"/>
  <c r="H39" i="1"/>
  <c r="F9" i="1"/>
  <c r="G12" i="1"/>
  <c r="H9" i="1"/>
  <c r="G39" i="1"/>
  <c r="F35" i="1"/>
  <c r="F32" i="1"/>
  <c r="F29" i="1"/>
  <c r="G35" i="1"/>
  <c r="G26" i="1"/>
  <c r="G19" i="1"/>
  <c r="F30" i="1"/>
  <c r="G29" i="1"/>
  <c r="F19" i="1"/>
  <c r="H31" i="1"/>
  <c r="H37" i="1"/>
  <c r="G25" i="1"/>
  <c r="H15" i="1"/>
  <c r="G14" i="1"/>
  <c r="F27" i="1"/>
  <c r="I79" i="4" l="1"/>
  <c r="I76" i="4"/>
  <c r="I81" i="4"/>
  <c r="I77" i="4"/>
  <c r="I72" i="4"/>
  <c r="R29" i="7"/>
  <c r="R18" i="7"/>
  <c r="R24" i="7"/>
  <c r="R15" i="7"/>
  <c r="R21" i="7"/>
  <c r="R53" i="7"/>
  <c r="R17" i="7"/>
  <c r="R20" i="7"/>
  <c r="R23" i="7"/>
  <c r="R52" i="7"/>
  <c r="R50" i="7"/>
  <c r="R26" i="7"/>
  <c r="R28" i="7"/>
  <c r="R3" i="7"/>
  <c r="R6" i="7"/>
  <c r="R9" i="7"/>
  <c r="R12" i="7"/>
  <c r="R32" i="7"/>
  <c r="R41" i="7"/>
  <c r="R43" i="7"/>
  <c r="R45" i="7"/>
  <c r="R47" i="7"/>
  <c r="R31" i="7"/>
  <c r="R33" i="7"/>
  <c r="R34" i="7"/>
  <c r="R35" i="7"/>
  <c r="R4" i="7"/>
  <c r="R7" i="7"/>
  <c r="R10" i="7"/>
  <c r="R13" i="7"/>
  <c r="R25" i="7"/>
  <c r="R27" i="7"/>
  <c r="R30" i="7"/>
  <c r="R36" i="7"/>
  <c r="R48" i="7"/>
  <c r="R37" i="7"/>
  <c r="R46" i="7"/>
  <c r="R2" i="7"/>
  <c r="R14" i="7"/>
  <c r="R38" i="7"/>
  <c r="R39" i="7"/>
  <c r="R40" i="7"/>
  <c r="R42" i="7"/>
  <c r="R44" i="7"/>
  <c r="R5" i="7"/>
  <c r="R8" i="7"/>
  <c r="R11" i="7"/>
  <c r="R49" i="7"/>
  <c r="I80" i="4"/>
  <c r="E7" i="1"/>
  <c r="I93" i="4"/>
  <c r="I78" i="4"/>
  <c r="I75" i="4"/>
  <c r="M12" i="1"/>
  <c r="M25" i="1"/>
  <c r="L27" i="1"/>
  <c r="E72" i="4"/>
  <c r="H71" i="4" l="1"/>
  <c r="G71" i="4"/>
  <c r="I71" i="4" s="1"/>
  <c r="F71" i="4"/>
  <c r="E71" i="4"/>
  <c r="F69" i="4" l="1"/>
  <c r="E69" i="4"/>
  <c r="G69" i="4"/>
  <c r="I69" i="4" s="1"/>
  <c r="H70" i="4" l="1"/>
  <c r="F70" i="4"/>
  <c r="G70" i="4"/>
  <c r="E70" i="4"/>
  <c r="I70" i="4" l="1"/>
  <c r="F68" i="4"/>
  <c r="E68" i="4"/>
  <c r="G68" i="4" l="1"/>
  <c r="H68" i="4"/>
  <c r="I68" i="4" l="1"/>
  <c r="I56" i="4"/>
  <c r="H56" i="4"/>
  <c r="G56" i="4"/>
  <c r="F56" i="4"/>
  <c r="E56" i="4"/>
  <c r="D33" i="1"/>
  <c r="H16" i="1"/>
  <c r="H20" i="1"/>
  <c r="G21" i="1"/>
  <c r="H13" i="1"/>
  <c r="G22" i="1"/>
  <c r="H30" i="1"/>
  <c r="H27" i="1"/>
  <c r="G11" i="1"/>
  <c r="H25" i="1"/>
  <c r="F34" i="1"/>
  <c r="H33" i="1"/>
  <c r="F22" i="1"/>
  <c r="H12" i="1"/>
  <c r="G28" i="1"/>
  <c r="H11" i="1"/>
  <c r="G30" i="1"/>
  <c r="H28" i="1"/>
  <c r="H21" i="1"/>
  <c r="H22" i="1"/>
  <c r="H17" i="1"/>
  <c r="H26" i="1"/>
  <c r="H36" i="1"/>
  <c r="G33" i="1"/>
  <c r="M27" i="1" l="1"/>
  <c r="N27" i="1" s="1"/>
  <c r="M29" i="1"/>
  <c r="L29" i="1"/>
  <c r="N29" i="1" s="1"/>
  <c r="L28" i="1"/>
  <c r="L30" i="1"/>
  <c r="M28" i="1"/>
  <c r="M26" i="1"/>
  <c r="F63" i="4"/>
  <c r="G62" i="4"/>
  <c r="G61" i="4"/>
  <c r="G66" i="4"/>
  <c r="G65" i="4"/>
  <c r="G64" i="4"/>
  <c r="F62" i="4"/>
  <c r="G60" i="4"/>
  <c r="G59" i="4"/>
  <c r="G58" i="4"/>
  <c r="F61" i="4"/>
  <c r="G55" i="4"/>
  <c r="G54" i="4"/>
  <c r="E61" i="4"/>
  <c r="G53" i="4"/>
  <c r="G52" i="4"/>
  <c r="F59" i="4"/>
  <c r="F60" i="4"/>
  <c r="G48" i="4"/>
  <c r="G47" i="4"/>
  <c r="G44" i="4"/>
  <c r="G43" i="4"/>
  <c r="G41" i="4"/>
  <c r="F58" i="4"/>
  <c r="G40" i="4"/>
  <c r="G39" i="4"/>
  <c r="F65" i="4"/>
  <c r="G38" i="4"/>
  <c r="G37" i="4"/>
  <c r="G36" i="4"/>
  <c r="G35" i="4"/>
  <c r="G34" i="4"/>
  <c r="F67" i="4"/>
  <c r="G33" i="4"/>
  <c r="G30" i="4"/>
  <c r="G29" i="4"/>
  <c r="G31" i="4"/>
  <c r="G21" i="4"/>
  <c r="G20" i="4"/>
  <c r="G22" i="4"/>
  <c r="E55" i="4"/>
  <c r="E54" i="4"/>
  <c r="F55" i="4"/>
  <c r="F54" i="4"/>
  <c r="E47" i="4"/>
  <c r="I48" i="4"/>
  <c r="H48" i="4"/>
  <c r="F53" i="4"/>
  <c r="E53" i="4"/>
  <c r="H7" i="1"/>
  <c r="F10" i="1"/>
  <c r="F17" i="1"/>
  <c r="L17" i="1" l="1"/>
  <c r="L10" i="1"/>
  <c r="N28" i="1"/>
  <c r="I11" i="1"/>
  <c r="I30" i="1"/>
  <c r="I38" i="1"/>
  <c r="I39" i="1"/>
  <c r="I28" i="1"/>
  <c r="I29" i="1"/>
  <c r="I27" i="1"/>
  <c r="I26" i="1"/>
  <c r="N10" i="1" l="1"/>
  <c r="F48" i="4"/>
  <c r="E48" i="4" l="1"/>
  <c r="I30" i="4" l="1"/>
  <c r="H30" i="4"/>
  <c r="F30" i="4"/>
  <c r="E30" i="4"/>
  <c r="I3" i="4" l="1"/>
  <c r="H3" i="4"/>
  <c r="G3" i="4"/>
  <c r="F3" i="4"/>
  <c r="E3" i="4"/>
  <c r="I17" i="4" l="1"/>
  <c r="H17" i="4"/>
  <c r="G17" i="4"/>
  <c r="F17" i="4"/>
  <c r="E17" i="4"/>
  <c r="E34" i="4" l="1"/>
  <c r="F38" i="4" l="1"/>
  <c r="E52" i="4" l="1"/>
  <c r="F52" i="4"/>
  <c r="F44" i="4" l="1"/>
  <c r="F43" i="4" l="1"/>
  <c r="F37" i="4" l="1"/>
  <c r="F5" i="4" l="1"/>
  <c r="F50" i="4" l="1"/>
  <c r="E50" i="4"/>
  <c r="F49" i="4"/>
  <c r="E49" i="4"/>
  <c r="H66" i="4" l="1"/>
  <c r="E66" i="4"/>
  <c r="H65" i="4"/>
  <c r="E65" i="4"/>
  <c r="H62" i="4"/>
  <c r="E62" i="4"/>
  <c r="H60" i="4"/>
  <c r="E60" i="4"/>
  <c r="H59" i="4"/>
  <c r="E59" i="4"/>
  <c r="I55" i="4"/>
  <c r="H55" i="4"/>
  <c r="I53" i="4"/>
  <c r="H53" i="4"/>
  <c r="I50" i="4"/>
  <c r="H50" i="4"/>
  <c r="G50" i="4"/>
  <c r="H46" i="4"/>
  <c r="G46" i="4"/>
  <c r="F46" i="4"/>
  <c r="I44" i="4"/>
  <c r="H44" i="4"/>
  <c r="E44" i="4"/>
  <c r="I40" i="4"/>
  <c r="H40" i="4"/>
  <c r="F40" i="4"/>
  <c r="E40" i="4"/>
  <c r="I38" i="4"/>
  <c r="H38" i="4"/>
  <c r="E38" i="4"/>
  <c r="I35" i="4"/>
  <c r="H35" i="4"/>
  <c r="F35" i="4"/>
  <c r="E35" i="4"/>
  <c r="H33" i="4"/>
  <c r="F33" i="4"/>
  <c r="I28" i="4"/>
  <c r="H28" i="4"/>
  <c r="G28" i="4"/>
  <c r="F28" i="4"/>
  <c r="E28" i="4"/>
  <c r="I26" i="4"/>
  <c r="H26" i="4"/>
  <c r="G26" i="4"/>
  <c r="F26" i="4"/>
  <c r="E26" i="4"/>
  <c r="I23" i="4"/>
  <c r="H23" i="4"/>
  <c r="G23" i="4"/>
  <c r="F23" i="4"/>
  <c r="E23" i="4"/>
  <c r="I21" i="4"/>
  <c r="H21" i="4"/>
  <c r="F21" i="4"/>
  <c r="E21" i="4"/>
  <c r="I19" i="4"/>
  <c r="H19" i="4"/>
  <c r="G19" i="4"/>
  <c r="F19" i="4"/>
  <c r="E19" i="4"/>
  <c r="I14" i="4"/>
  <c r="H14" i="4"/>
  <c r="G14" i="4"/>
  <c r="F14" i="4"/>
  <c r="E14" i="4"/>
  <c r="I12" i="4"/>
  <c r="H12" i="4"/>
  <c r="G12" i="4"/>
  <c r="F12" i="4"/>
  <c r="E12" i="4"/>
  <c r="H7" i="4"/>
  <c r="G7" i="4"/>
  <c r="F7" i="4"/>
  <c r="E7" i="4"/>
  <c r="I7" i="4"/>
  <c r="J5" i="4"/>
  <c r="I5" i="4"/>
  <c r="H5" i="4"/>
  <c r="G5" i="4"/>
  <c r="I46" i="4" l="1"/>
  <c r="I33" i="4"/>
  <c r="F21" i="1"/>
  <c r="F39" i="4" l="1"/>
  <c r="F29" i="4"/>
  <c r="D4" i="5"/>
  <c r="D3" i="5"/>
  <c r="D25" i="1"/>
  <c r="D37" i="1"/>
  <c r="D26" i="1"/>
  <c r="D2" i="5"/>
  <c r="D36" i="1"/>
  <c r="D23" i="1"/>
  <c r="D24" i="1"/>
  <c r="D20" i="1"/>
  <c r="D21" i="1"/>
  <c r="D24" i="5"/>
  <c r="D11" i="1"/>
  <c r="D13" i="1"/>
  <c r="D28" i="1"/>
  <c r="D27" i="1"/>
  <c r="D5" i="5"/>
  <c r="D39" i="1"/>
  <c r="D9" i="5"/>
  <c r="D22" i="1"/>
  <c r="D17" i="1"/>
  <c r="F11" i="1"/>
  <c r="D7" i="1" l="1"/>
  <c r="L11" i="1"/>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406" i="5"/>
  <c r="H407" i="5"/>
  <c r="H408" i="5"/>
  <c r="H409" i="5"/>
  <c r="H410" i="5"/>
  <c r="H411" i="5"/>
  <c r="H412" i="5"/>
  <c r="H413" i="5"/>
  <c r="H414" i="5"/>
  <c r="H415" i="5"/>
  <c r="H416" i="5"/>
  <c r="H417" i="5"/>
  <c r="H418" i="5"/>
  <c r="H2" i="5"/>
  <c r="B2" i="10"/>
  <c r="C10" i="1"/>
  <c r="I33" i="1"/>
  <c r="C11" i="1"/>
  <c r="C19" i="1"/>
  <c r="C33" i="1"/>
  <c r="B12" i="10"/>
  <c r="G12" i="10" s="1"/>
  <c r="C10" i="10"/>
  <c r="I37" i="1"/>
  <c r="I35" i="1"/>
  <c r="I36" i="1"/>
  <c r="I34" i="1"/>
  <c r="I25" i="1"/>
  <c r="B16" i="10"/>
  <c r="C15" i="10"/>
  <c r="B15" i="10"/>
  <c r="B14" i="10"/>
  <c r="G14" i="10" s="1"/>
  <c r="I22" i="1" s="1"/>
  <c r="I21" i="1"/>
  <c r="B10" i="10"/>
  <c r="B9" i="10"/>
  <c r="G9" i="10" s="1"/>
  <c r="I16" i="1" s="1"/>
  <c r="I12" i="1"/>
  <c r="B6" i="10"/>
  <c r="G6" i="10" s="1"/>
  <c r="I13" i="1" s="1"/>
  <c r="C37" i="1"/>
  <c r="C36" i="1"/>
  <c r="C34" i="1"/>
  <c r="C30" i="1"/>
  <c r="C29" i="1"/>
  <c r="C28" i="1"/>
  <c r="C27" i="1"/>
  <c r="C26" i="1"/>
  <c r="C25" i="1"/>
  <c r="C24" i="1"/>
  <c r="C23" i="1"/>
  <c r="C22" i="1"/>
  <c r="C21" i="1"/>
  <c r="C20" i="1"/>
  <c r="C16" i="1"/>
  <c r="C13" i="1"/>
  <c r="C12" i="1"/>
  <c r="E31" i="4"/>
  <c r="I27" i="4"/>
  <c r="H31" i="4"/>
  <c r="H29" i="4"/>
  <c r="H27" i="4"/>
  <c r="H25" i="4"/>
  <c r="H24" i="4"/>
  <c r="H22" i="4"/>
  <c r="H20" i="4"/>
  <c r="H18" i="4"/>
  <c r="H16" i="4"/>
  <c r="H15" i="4"/>
  <c r="H13" i="4"/>
  <c r="H11" i="4"/>
  <c r="H10" i="4"/>
  <c r="H9" i="4"/>
  <c r="H8" i="4"/>
  <c r="H6" i="4"/>
  <c r="H4" i="4"/>
  <c r="H2" i="4"/>
  <c r="G27" i="4"/>
  <c r="G25" i="4"/>
  <c r="G24" i="4"/>
  <c r="G18" i="4"/>
  <c r="G16" i="4"/>
  <c r="G15" i="4"/>
  <c r="G13" i="4"/>
  <c r="G11" i="4"/>
  <c r="G10" i="4"/>
  <c r="G9" i="4"/>
  <c r="G8" i="4"/>
  <c r="G6" i="4"/>
  <c r="G4" i="4"/>
  <c r="G2" i="4"/>
  <c r="F31" i="4"/>
  <c r="F27" i="4"/>
  <c r="F25" i="4"/>
  <c r="F24" i="4"/>
  <c r="F22" i="4"/>
  <c r="F20" i="4"/>
  <c r="F18" i="4"/>
  <c r="F16" i="4"/>
  <c r="F15" i="4"/>
  <c r="F13" i="4"/>
  <c r="F11" i="4"/>
  <c r="F10" i="4"/>
  <c r="F9" i="4"/>
  <c r="F8" i="4"/>
  <c r="F6" i="4"/>
  <c r="F4" i="4"/>
  <c r="F2" i="4"/>
  <c r="E27" i="4"/>
  <c r="E25" i="4"/>
  <c r="E24" i="4"/>
  <c r="E22" i="4"/>
  <c r="E20" i="4"/>
  <c r="E18" i="4"/>
  <c r="E16" i="4"/>
  <c r="E15" i="4"/>
  <c r="E13" i="4"/>
  <c r="E11" i="4"/>
  <c r="E10" i="4"/>
  <c r="E9" i="4"/>
  <c r="E8" i="4"/>
  <c r="E6" i="4"/>
  <c r="E2" i="4"/>
  <c r="E29" i="4"/>
  <c r="H67" i="4"/>
  <c r="G67" i="4"/>
  <c r="H64" i="4"/>
  <c r="E64" i="4"/>
  <c r="H63" i="4"/>
  <c r="G63" i="4"/>
  <c r="E63" i="4"/>
  <c r="J63" i="4"/>
  <c r="H61" i="4"/>
  <c r="E58" i="4"/>
  <c r="H58" i="4"/>
  <c r="H57" i="4"/>
  <c r="G57" i="4"/>
  <c r="F57" i="4"/>
  <c r="E57" i="4"/>
  <c r="J57" i="4"/>
  <c r="I54" i="4"/>
  <c r="H54" i="4"/>
  <c r="I52" i="4"/>
  <c r="H52" i="4"/>
  <c r="H32" i="4"/>
  <c r="G32" i="4"/>
  <c r="F32" i="4"/>
  <c r="H34" i="4"/>
  <c r="F34" i="4"/>
  <c r="H36" i="4"/>
  <c r="F36" i="4"/>
  <c r="E36" i="4"/>
  <c r="H37" i="4"/>
  <c r="E37" i="4"/>
  <c r="H39" i="4"/>
  <c r="E39" i="4"/>
  <c r="H41" i="4"/>
  <c r="F41" i="4"/>
  <c r="E41" i="4"/>
  <c r="H42" i="4"/>
  <c r="G42" i="4"/>
  <c r="F42" i="4"/>
  <c r="E42" i="4"/>
  <c r="H43" i="4"/>
  <c r="E43" i="4"/>
  <c r="H45" i="4"/>
  <c r="G45" i="4"/>
  <c r="F45" i="4"/>
  <c r="H47" i="4"/>
  <c r="F47" i="4"/>
  <c r="H49" i="4"/>
  <c r="G49" i="4"/>
  <c r="H51" i="4"/>
  <c r="G51" i="4"/>
  <c r="F51" i="4"/>
  <c r="E51" i="4"/>
  <c r="I15" i="4"/>
  <c r="I24" i="4"/>
  <c r="J42" i="4"/>
  <c r="I49" i="4"/>
  <c r="I47" i="4"/>
  <c r="I43" i="4"/>
  <c r="I41" i="4"/>
  <c r="I39" i="4"/>
  <c r="I37" i="4"/>
  <c r="I36" i="4"/>
  <c r="F12" i="1"/>
  <c r="C7" i="1" l="1"/>
  <c r="G10" i="10"/>
  <c r="I14" i="1" s="1"/>
  <c r="G2" i="10"/>
  <c r="I9" i="1" s="1"/>
  <c r="L12" i="1"/>
  <c r="N12" i="1" s="1"/>
  <c r="N11" i="1"/>
  <c r="G15" i="10"/>
  <c r="I23" i="1" s="1"/>
  <c r="I67" i="4"/>
  <c r="I45" i="4"/>
  <c r="G16" i="10"/>
  <c r="I24" i="1" s="1"/>
  <c r="I10" i="1"/>
  <c r="I19" i="1"/>
  <c r="I20" i="1"/>
  <c r="G24" i="1"/>
  <c r="G23" i="1"/>
  <c r="F23" i="1"/>
  <c r="F20" i="1"/>
  <c r="F25" i="1"/>
  <c r="G34" i="1"/>
  <c r="F36" i="1"/>
  <c r="G17" i="1"/>
  <c r="G13" i="1"/>
  <c r="G20" i="1"/>
  <c r="F24" i="1"/>
  <c r="F13" i="1"/>
  <c r="G36" i="1"/>
  <c r="F26" i="1"/>
  <c r="M17" i="1" l="1"/>
  <c r="N17" i="1" s="1"/>
  <c r="G7" i="1"/>
  <c r="F7" i="1"/>
  <c r="I17" i="1"/>
  <c r="I7" i="1" s="1"/>
  <c r="L25" i="1"/>
  <c r="N25" i="1" s="1"/>
  <c r="L26" i="1"/>
  <c r="N26" i="1" s="1"/>
  <c r="M19" i="1"/>
  <c r="M20" i="1"/>
  <c r="L19" i="1"/>
  <c r="N19" i="1" s="1"/>
  <c r="L20" i="1"/>
  <c r="M23" i="1"/>
  <c r="M24" i="1"/>
  <c r="L33" i="1"/>
  <c r="L35" i="1"/>
  <c r="N35" i="1" s="1"/>
  <c r="M33" i="1"/>
  <c r="L23" i="1"/>
  <c r="M13" i="1"/>
  <c r="L21" i="1"/>
  <c r="L24" i="1"/>
  <c r="M21" i="1"/>
  <c r="L13" i="1"/>
  <c r="M30" i="1"/>
  <c r="N30" i="1" s="1"/>
  <c r="L22" i="1"/>
  <c r="M22" i="1"/>
  <c r="N20" i="1" l="1"/>
  <c r="N24" i="1"/>
  <c r="N23" i="1"/>
  <c r="N33" i="1"/>
  <c r="N22" i="1"/>
  <c r="L7" i="1"/>
  <c r="N21" i="1"/>
  <c r="N13" i="1"/>
  <c r="M7" i="1"/>
  <c r="N7" i="1" s="1"/>
  <c r="J15" i="4"/>
  <c r="J4" i="4"/>
  <c r="I10" i="4"/>
  <c r="I9" i="4"/>
  <c r="I8" i="4"/>
  <c r="I6" i="4"/>
  <c r="I4" i="4"/>
  <c r="I2" i="4"/>
  <c r="I32" i="4" l="1"/>
  <c r="I29" i="4" l="1"/>
  <c r="I31" i="4"/>
  <c r="I34" i="4"/>
  <c r="I22" i="4" l="1"/>
  <c r="I20" i="4" l="1"/>
  <c r="I16" i="4"/>
  <c r="I18" i="4"/>
  <c r="I11" i="4"/>
  <c r="I13" i="4" l="1"/>
  <c r="I25" i="4" l="1"/>
  <c r="I51" i="4" l="1"/>
  <c r="I57" i="4" l="1"/>
  <c r="I63" i="4"/>
  <c r="I42" i="4"/>
  <c r="J24" i="4" l="1"/>
  <c r="J51" i="4" l="1"/>
  <c r="I62" i="4" l="1"/>
  <c r="I61" i="4"/>
  <c r="I59" i="4"/>
  <c r="I60" i="4"/>
  <c r="I58" i="4"/>
  <c r="I66" i="4"/>
  <c r="I64" i="4"/>
  <c r="I6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tc={D72C3474-8420-467F-9FBD-EF9A8C33F623}</author>
    <author>Author</author>
  </authors>
  <commentList>
    <comment ref="A2" authorId="0" shapeId="0" xr:uid="{D72C3474-8420-467F-9FBD-EF9A8C33F623}">
      <text>
        <t>[Threaded comment]
Your version of Excel allows you to read this threaded comment; however, any edits to it will get removed if the file is opened in a newer version of Excel. Learn more: https://go.microsoft.com/fwlink/?linkid=870924
Comment:
    Start of Q1</t>
      </text>
    </comment>
    <comment ref="J4" authorId="1" shapeId="0" xr:uid="{87483A93-D855-4C7C-B29D-885F1B8EF5AD}">
      <text>
        <r>
          <rPr>
            <b/>
            <sz val="11"/>
            <color theme="1"/>
            <rFont val="Franklin Gothic Book"/>
            <family val="2"/>
            <scheme val="minor"/>
          </rPr>
          <t>Author:</t>
        </r>
        <r>
          <rPr>
            <sz val="11"/>
            <color theme="1"/>
            <rFont val="Franklin Gothic Book"/>
            <family val="2"/>
            <scheme val="minor"/>
          </rPr>
          <t xml:space="preserve">
Grad Rate
</t>
        </r>
      </text>
    </comment>
    <comment ref="J5" authorId="1" shapeId="0" xr:uid="{7A8E284A-A74D-45F2-BB6F-9916D72DDAA1}">
      <text>
        <r>
          <rPr>
            <b/>
            <sz val="11"/>
            <color theme="1"/>
            <rFont val="Franklin Gothic Book"/>
            <family val="2"/>
            <scheme val="minor"/>
          </rPr>
          <t>Author:</t>
        </r>
        <r>
          <rPr>
            <sz val="11"/>
            <color theme="1"/>
            <rFont val="Franklin Gothic Book"/>
            <family val="2"/>
            <scheme val="minor"/>
          </rPr>
          <t xml:space="preserve">
Grad Rate
</t>
        </r>
      </text>
    </comment>
    <comment ref="J15" authorId="1" shapeId="0" xr:uid="{582CC3F9-CBA7-4E1D-8069-34298AD4D7B8}">
      <text>
        <r>
          <rPr>
            <b/>
            <sz val="11"/>
            <color theme="1"/>
            <rFont val="Franklin Gothic Book"/>
            <family val="2"/>
            <scheme val="minor"/>
          </rPr>
          <t>Author:</t>
        </r>
        <r>
          <rPr>
            <sz val="11"/>
            <color theme="1"/>
            <rFont val="Franklin Gothic Book"/>
            <family val="2"/>
            <scheme val="minor"/>
          </rPr>
          <t xml:space="preserve">
Grad Rate</t>
        </r>
      </text>
    </comment>
    <comment ref="G24" authorId="1" shapeId="0" xr:uid="{BEB14FCC-B90D-4F61-967F-5A3A817131B7}">
      <text>
        <r>
          <rPr>
            <b/>
            <sz val="11"/>
            <color theme="1"/>
            <rFont val="Franklin Gothic Book"/>
            <family val="2"/>
            <scheme val="minor"/>
          </rPr>
          <t>Author:</t>
        </r>
        <r>
          <rPr>
            <sz val="11"/>
            <color theme="1"/>
            <rFont val="Franklin Gothic Book"/>
            <family val="2"/>
            <scheme val="minor"/>
          </rPr>
          <t xml:space="preserve">
Grad Rate</t>
        </r>
      </text>
    </comment>
    <comment ref="J24" authorId="1" shapeId="0" xr:uid="{C72F7CFC-BC37-4292-BDE3-C4B13EB85B67}">
      <text>
        <r>
          <rPr>
            <b/>
            <sz val="11"/>
            <color theme="1"/>
            <rFont val="Franklin Gothic Book"/>
            <family val="2"/>
            <scheme val="minor"/>
          </rPr>
          <t>Author:</t>
        </r>
        <r>
          <rPr>
            <sz val="11"/>
            <color theme="1"/>
            <rFont val="Franklin Gothic Book"/>
            <family val="2"/>
            <scheme val="minor"/>
          </rPr>
          <t xml:space="preserve">
Grad Rate</t>
        </r>
      </text>
    </comment>
    <comment ref="G41" authorId="1" shapeId="0" xr:uid="{60B6C892-6C93-42CF-94B7-C9A096AED250}">
      <text>
        <r>
          <rPr>
            <b/>
            <sz val="11"/>
            <color theme="1"/>
            <rFont val="Franklin Gothic Book"/>
            <family val="2"/>
            <scheme val="minor"/>
          </rPr>
          <t>Author:</t>
        </r>
        <r>
          <rPr>
            <sz val="11"/>
            <color theme="1"/>
            <rFont val="Franklin Gothic Book"/>
            <family val="2"/>
            <scheme val="minor"/>
          </rPr>
          <t xml:space="preserve">
Grad Rate</t>
        </r>
      </text>
    </comment>
    <comment ref="J41" authorId="1" shapeId="0" xr:uid="{87D4C121-BF90-4A02-B88F-E57A45358C13}">
      <text>
        <r>
          <rPr>
            <b/>
            <sz val="11"/>
            <color theme="1"/>
            <rFont val="Franklin Gothic Book"/>
            <family val="2"/>
            <scheme val="minor"/>
          </rPr>
          <t>Author:</t>
        </r>
        <r>
          <rPr>
            <sz val="11"/>
            <color theme="1"/>
            <rFont val="Franklin Gothic Book"/>
            <family val="2"/>
            <scheme val="minor"/>
          </rPr>
          <t xml:space="preserve">
Grad Rate</t>
        </r>
      </text>
    </comment>
    <comment ref="G42" authorId="1" shapeId="0" xr:uid="{B4BC013A-58D1-4C0A-8967-B207ECC8B6EF}">
      <text>
        <r>
          <rPr>
            <b/>
            <sz val="11"/>
            <color theme="1"/>
            <rFont val="Franklin Gothic Book"/>
            <family val="2"/>
            <scheme val="minor"/>
          </rPr>
          <t>Author:</t>
        </r>
        <r>
          <rPr>
            <sz val="11"/>
            <color theme="1"/>
            <rFont val="Franklin Gothic Book"/>
            <family val="2"/>
            <scheme val="minor"/>
          </rPr>
          <t xml:space="preserve">
Grad Rate</t>
        </r>
      </text>
    </comment>
    <comment ref="J42" authorId="1" shapeId="0" xr:uid="{6AC8C24D-6FCF-4E78-85D7-0BBF836A23C0}">
      <text>
        <r>
          <rPr>
            <b/>
            <sz val="11"/>
            <color theme="1"/>
            <rFont val="Franklin Gothic Book"/>
            <family val="2"/>
            <scheme val="minor"/>
          </rPr>
          <t>Author:</t>
        </r>
        <r>
          <rPr>
            <sz val="11"/>
            <color theme="1"/>
            <rFont val="Franklin Gothic Book"/>
            <family val="2"/>
            <scheme val="minor"/>
          </rPr>
          <t xml:space="preserve">
Grad Rate</t>
        </r>
      </text>
    </comment>
    <comment ref="G43" authorId="1" shapeId="0" xr:uid="{BE75185B-970A-4344-BEE5-12811519E27A}">
      <text>
        <r>
          <rPr>
            <b/>
            <sz val="11"/>
            <color theme="1"/>
            <rFont val="Franklin Gothic Book"/>
            <family val="2"/>
            <scheme val="minor"/>
          </rPr>
          <t>Author:</t>
        </r>
        <r>
          <rPr>
            <sz val="11"/>
            <color theme="1"/>
            <rFont val="Franklin Gothic Book"/>
            <family val="2"/>
            <scheme val="minor"/>
          </rPr>
          <t xml:space="preserve">
Grad Rate</t>
        </r>
      </text>
    </comment>
    <comment ref="G44" authorId="1" shapeId="0" xr:uid="{8E666721-D181-49F1-B8CA-A0E930AC6ECE}">
      <text>
        <r>
          <rPr>
            <b/>
            <sz val="11"/>
            <color theme="1"/>
            <rFont val="Franklin Gothic Book"/>
            <family val="2"/>
            <scheme val="minor"/>
          </rPr>
          <t>Author:</t>
        </r>
        <r>
          <rPr>
            <sz val="11"/>
            <color theme="1"/>
            <rFont val="Franklin Gothic Book"/>
            <family val="2"/>
            <scheme val="minor"/>
          </rPr>
          <t xml:space="preserve">
Grad Rate</t>
        </r>
      </text>
    </comment>
    <comment ref="G47" authorId="1" shapeId="0" xr:uid="{D6203F91-E49F-486B-9995-E587F0D028F0}">
      <text>
        <r>
          <rPr>
            <b/>
            <sz val="11"/>
            <color theme="1"/>
            <rFont val="Franklin Gothic Book"/>
            <family val="2"/>
            <scheme val="minor"/>
          </rPr>
          <t>Author:</t>
        </r>
        <r>
          <rPr>
            <sz val="11"/>
            <color theme="1"/>
            <rFont val="Franklin Gothic Book"/>
            <family val="2"/>
            <scheme val="minor"/>
          </rPr>
          <t xml:space="preserve">
Grad Rate</t>
        </r>
      </text>
    </comment>
    <comment ref="G48" authorId="1" shapeId="0" xr:uid="{39D38D12-B7EA-4A44-BD02-9AF725BD8FBF}">
      <text>
        <r>
          <rPr>
            <b/>
            <sz val="11"/>
            <color theme="1"/>
            <rFont val="Franklin Gothic Book"/>
            <family val="2"/>
            <scheme val="minor"/>
          </rPr>
          <t>Author:</t>
        </r>
        <r>
          <rPr>
            <sz val="11"/>
            <color theme="1"/>
            <rFont val="Franklin Gothic Book"/>
            <family val="2"/>
            <scheme val="minor"/>
          </rPr>
          <t xml:space="preserve">
Grad Rate</t>
        </r>
      </text>
    </comment>
    <comment ref="G49" authorId="1" shapeId="0" xr:uid="{04EB31B1-5CBF-4E8D-AB78-373CA0381612}">
      <text>
        <r>
          <rPr>
            <b/>
            <sz val="11"/>
            <color theme="1"/>
            <rFont val="Franklin Gothic Book"/>
            <family val="2"/>
            <scheme val="minor"/>
          </rPr>
          <t>Author:</t>
        </r>
        <r>
          <rPr>
            <sz val="11"/>
            <color theme="1"/>
            <rFont val="Franklin Gothic Book"/>
            <family val="2"/>
            <scheme val="minor"/>
          </rPr>
          <t xml:space="preserve">
Grad Rate</t>
        </r>
      </text>
    </comment>
    <comment ref="G50" authorId="1" shapeId="0" xr:uid="{FDFBCACB-7C5B-4733-B5E1-7F6FED975C41}">
      <text>
        <r>
          <rPr>
            <b/>
            <sz val="11"/>
            <color theme="1"/>
            <rFont val="Franklin Gothic Book"/>
            <family val="2"/>
            <scheme val="minor"/>
          </rPr>
          <t>Author:</t>
        </r>
        <r>
          <rPr>
            <sz val="11"/>
            <color theme="1"/>
            <rFont val="Franklin Gothic Book"/>
            <family val="2"/>
            <scheme val="minor"/>
          </rPr>
          <t xml:space="preserve">
Grad Rate</t>
        </r>
      </text>
    </comment>
    <comment ref="G51" authorId="1" shapeId="0" xr:uid="{BB3D2E96-576D-43CC-A4C5-98A7E4AB774E}">
      <text>
        <r>
          <rPr>
            <b/>
            <sz val="11"/>
            <color theme="1"/>
            <rFont val="Franklin Gothic Book"/>
            <family val="2"/>
            <scheme val="minor"/>
          </rPr>
          <t>Author:</t>
        </r>
        <r>
          <rPr>
            <sz val="11"/>
            <color theme="1"/>
            <rFont val="Franklin Gothic Book"/>
            <family val="2"/>
            <scheme val="minor"/>
          </rPr>
          <t xml:space="preserve">
Grad Rate</t>
        </r>
      </text>
    </comment>
    <comment ref="J51" authorId="1" shapeId="0" xr:uid="{F0DFB0FA-A96F-4C8B-8078-8C480DED09A1}">
      <text>
        <r>
          <rPr>
            <b/>
            <sz val="11"/>
            <color theme="1"/>
            <rFont val="Franklin Gothic Book"/>
            <family val="2"/>
            <scheme val="minor"/>
          </rPr>
          <t>Author:</t>
        </r>
        <r>
          <rPr>
            <sz val="11"/>
            <color theme="1"/>
            <rFont val="Franklin Gothic Book"/>
            <family val="2"/>
            <scheme val="minor"/>
          </rPr>
          <t xml:space="preserve">
Grad Rate</t>
        </r>
      </text>
    </comment>
    <comment ref="G52" authorId="1" shapeId="0" xr:uid="{2D40285F-CF7D-4180-B1C5-ECA600164031}">
      <text>
        <r>
          <rPr>
            <b/>
            <sz val="11"/>
            <color theme="1"/>
            <rFont val="Franklin Gothic Book"/>
            <family val="2"/>
            <scheme val="minor"/>
          </rPr>
          <t>Author:</t>
        </r>
        <r>
          <rPr>
            <sz val="11"/>
            <color theme="1"/>
            <rFont val="Franklin Gothic Book"/>
            <family val="2"/>
            <scheme val="minor"/>
          </rPr>
          <t xml:space="preserve">
Grad Rate</t>
        </r>
      </text>
    </comment>
    <comment ref="G53" authorId="1" shapeId="0" xr:uid="{2042477A-0FB3-43CA-9D42-1E47CCF36D6C}">
      <text>
        <r>
          <rPr>
            <b/>
            <sz val="11"/>
            <color theme="1"/>
            <rFont val="Franklin Gothic Book"/>
            <family val="2"/>
            <scheme val="minor"/>
          </rPr>
          <t>Author:</t>
        </r>
        <r>
          <rPr>
            <sz val="11"/>
            <color theme="1"/>
            <rFont val="Franklin Gothic Book"/>
            <family val="2"/>
            <scheme val="minor"/>
          </rPr>
          <t xml:space="preserve">
Grad Rate</t>
        </r>
      </text>
    </comment>
    <comment ref="G54" authorId="1" shapeId="0" xr:uid="{16BDF9D5-D712-4890-BEAB-D7C2C35BF234}">
      <text>
        <r>
          <rPr>
            <b/>
            <sz val="11"/>
            <color theme="1"/>
            <rFont val="Franklin Gothic Book"/>
            <family val="2"/>
            <scheme val="minor"/>
          </rPr>
          <t>Author:</t>
        </r>
        <r>
          <rPr>
            <sz val="11"/>
            <color theme="1"/>
            <rFont val="Franklin Gothic Book"/>
            <family val="2"/>
            <scheme val="minor"/>
          </rPr>
          <t xml:space="preserve">
Grad Rate</t>
        </r>
      </text>
    </comment>
    <comment ref="G55" authorId="1" shapeId="0" xr:uid="{4DD0DCEA-96C7-4E21-99D1-F5572D3C345F}">
      <text>
        <r>
          <rPr>
            <b/>
            <sz val="11"/>
            <color theme="1"/>
            <rFont val="Franklin Gothic Book"/>
            <family val="2"/>
            <scheme val="minor"/>
          </rPr>
          <t>Author:</t>
        </r>
        <r>
          <rPr>
            <sz val="11"/>
            <color theme="1"/>
            <rFont val="Franklin Gothic Book"/>
            <family val="2"/>
            <scheme val="minor"/>
          </rPr>
          <t xml:space="preserve">
Grad Rate</t>
        </r>
      </text>
    </comment>
    <comment ref="G56" authorId="1" shapeId="0" xr:uid="{7A0B0F31-67DF-4101-BF8E-DECA8349A2BC}">
      <text>
        <r>
          <rPr>
            <b/>
            <sz val="11"/>
            <color theme="1"/>
            <rFont val="Franklin Gothic Book"/>
            <family val="2"/>
            <scheme val="minor"/>
          </rPr>
          <t>Author:</t>
        </r>
        <r>
          <rPr>
            <sz val="11"/>
            <color theme="1"/>
            <rFont val="Franklin Gothic Book"/>
            <family val="2"/>
            <scheme val="minor"/>
          </rPr>
          <t xml:space="preserve">
Grad Rate</t>
        </r>
      </text>
    </comment>
    <comment ref="G57" authorId="1" shapeId="0" xr:uid="{29277706-A8EC-4C62-AFE0-2047B56F6DE2}">
      <text>
        <r>
          <rPr>
            <b/>
            <sz val="11"/>
            <color theme="1"/>
            <rFont val="Franklin Gothic Book"/>
            <family val="2"/>
            <scheme val="minor"/>
          </rPr>
          <t>Author:</t>
        </r>
        <r>
          <rPr>
            <sz val="11"/>
            <color theme="1"/>
            <rFont val="Franklin Gothic Book"/>
            <family val="2"/>
            <scheme val="minor"/>
          </rPr>
          <t xml:space="preserve">
Grad Rate</t>
        </r>
      </text>
    </comment>
    <comment ref="J57" authorId="1" shapeId="0" xr:uid="{D306CFFB-F5C5-4318-9B05-8650F534263F}">
      <text>
        <r>
          <rPr>
            <b/>
            <sz val="11"/>
            <color theme="1"/>
            <rFont val="Franklin Gothic Book"/>
            <family val="2"/>
            <scheme val="minor"/>
          </rPr>
          <t>Author:</t>
        </r>
        <r>
          <rPr>
            <sz val="11"/>
            <color theme="1"/>
            <rFont val="Franklin Gothic Book"/>
            <family val="2"/>
            <scheme val="minor"/>
          </rPr>
          <t xml:space="preserve">
Grad Rate</t>
        </r>
      </text>
    </comment>
    <comment ref="G58" authorId="1" shapeId="0" xr:uid="{0B42B738-4710-4889-8DA4-CB12ECBE67FA}">
      <text>
        <r>
          <rPr>
            <b/>
            <sz val="11"/>
            <color theme="1"/>
            <rFont val="Franklin Gothic Book"/>
            <family val="2"/>
            <scheme val="minor"/>
          </rPr>
          <t>Author:</t>
        </r>
        <r>
          <rPr>
            <sz val="11"/>
            <color theme="1"/>
            <rFont val="Franklin Gothic Book"/>
            <family val="2"/>
            <scheme val="minor"/>
          </rPr>
          <t xml:space="preserve">
Grad Rate</t>
        </r>
      </text>
    </comment>
    <comment ref="G59" authorId="1" shapeId="0" xr:uid="{4FE3D7D1-747B-4C6A-9FB7-ECA42E06AFE1}">
      <text>
        <r>
          <rPr>
            <b/>
            <sz val="11"/>
            <color theme="1"/>
            <rFont val="Franklin Gothic Book"/>
            <family val="2"/>
            <scheme val="minor"/>
          </rPr>
          <t>Author:</t>
        </r>
        <r>
          <rPr>
            <sz val="11"/>
            <color theme="1"/>
            <rFont val="Franklin Gothic Book"/>
            <family val="2"/>
            <scheme val="minor"/>
          </rPr>
          <t xml:space="preserve">
Grad Rate</t>
        </r>
      </text>
    </comment>
    <comment ref="G60" authorId="1" shapeId="0" xr:uid="{ECF6F799-4007-45B3-9959-585F1B9589CE}">
      <text>
        <r>
          <rPr>
            <b/>
            <sz val="11"/>
            <color theme="1"/>
            <rFont val="Franklin Gothic Book"/>
            <family val="2"/>
            <scheme val="minor"/>
          </rPr>
          <t>Author:</t>
        </r>
        <r>
          <rPr>
            <sz val="11"/>
            <color theme="1"/>
            <rFont val="Franklin Gothic Book"/>
            <family val="2"/>
            <scheme val="minor"/>
          </rPr>
          <t xml:space="preserve">
Grad Rate</t>
        </r>
      </text>
    </comment>
    <comment ref="G61" authorId="1" shapeId="0" xr:uid="{4FD45C4D-249A-4899-8066-29A9A8DF7D67}">
      <text>
        <r>
          <rPr>
            <b/>
            <sz val="11"/>
            <color theme="1"/>
            <rFont val="Franklin Gothic Book"/>
            <family val="2"/>
            <scheme val="minor"/>
          </rPr>
          <t>Author:</t>
        </r>
        <r>
          <rPr>
            <sz val="11"/>
            <color theme="1"/>
            <rFont val="Franklin Gothic Book"/>
            <family val="2"/>
            <scheme val="minor"/>
          </rPr>
          <t xml:space="preserve">
Grad Rate</t>
        </r>
      </text>
    </comment>
    <comment ref="G62" authorId="1" shapeId="0" xr:uid="{CFD8E45E-AF93-429D-8D11-16C7C8B7A0CB}">
      <text>
        <r>
          <rPr>
            <b/>
            <sz val="11"/>
            <color theme="1"/>
            <rFont val="Franklin Gothic Book"/>
            <family val="2"/>
            <scheme val="minor"/>
          </rPr>
          <t>Author:</t>
        </r>
        <r>
          <rPr>
            <sz val="11"/>
            <color theme="1"/>
            <rFont val="Franklin Gothic Book"/>
            <family val="2"/>
            <scheme val="minor"/>
          </rPr>
          <t xml:space="preserve">
Grad Rate</t>
        </r>
      </text>
    </comment>
    <comment ref="G63" authorId="1" shapeId="0" xr:uid="{F5AD4F3E-F245-43BB-8B3C-7B7F829A288D}">
      <text>
        <r>
          <rPr>
            <b/>
            <sz val="11"/>
            <color theme="1"/>
            <rFont val="Franklin Gothic Book"/>
            <family val="2"/>
            <scheme val="minor"/>
          </rPr>
          <t>Author:</t>
        </r>
        <r>
          <rPr>
            <sz val="11"/>
            <color theme="1"/>
            <rFont val="Franklin Gothic Book"/>
            <family val="2"/>
            <scheme val="minor"/>
          </rPr>
          <t xml:space="preserve">
Grad Rate</t>
        </r>
      </text>
    </comment>
    <comment ref="J63" authorId="1" shapeId="0" xr:uid="{8971EE80-24B1-4AF3-A023-98AC21AA15BD}">
      <text>
        <r>
          <rPr>
            <b/>
            <sz val="11"/>
            <color theme="1"/>
            <rFont val="Franklin Gothic Book"/>
            <family val="2"/>
            <scheme val="minor"/>
          </rPr>
          <t>Author:</t>
        </r>
        <r>
          <rPr>
            <sz val="11"/>
            <color theme="1"/>
            <rFont val="Franklin Gothic Book"/>
            <family val="2"/>
            <scheme val="minor"/>
          </rPr>
          <t xml:space="preserve">
Grad Rate</t>
        </r>
      </text>
    </comment>
    <comment ref="G64" authorId="1" shapeId="0" xr:uid="{72F9D0DA-620D-48E1-9B55-4E33F9A747BA}">
      <text>
        <r>
          <rPr>
            <b/>
            <sz val="11"/>
            <color theme="1"/>
            <rFont val="Franklin Gothic Book"/>
            <family val="2"/>
            <scheme val="minor"/>
          </rPr>
          <t>Author:</t>
        </r>
        <r>
          <rPr>
            <sz val="11"/>
            <color theme="1"/>
            <rFont val="Franklin Gothic Book"/>
            <family val="2"/>
            <scheme val="minor"/>
          </rPr>
          <t xml:space="preserve">
Grad Rate</t>
        </r>
      </text>
    </comment>
    <comment ref="G65" authorId="1" shapeId="0" xr:uid="{4006D192-9C60-4B78-BC78-9F39EA8DA74D}">
      <text>
        <r>
          <rPr>
            <b/>
            <sz val="11"/>
            <color theme="1"/>
            <rFont val="Franklin Gothic Book"/>
            <family val="2"/>
            <scheme val="minor"/>
          </rPr>
          <t>Author:</t>
        </r>
        <r>
          <rPr>
            <sz val="11"/>
            <color theme="1"/>
            <rFont val="Franklin Gothic Book"/>
            <family val="2"/>
            <scheme val="minor"/>
          </rPr>
          <t xml:space="preserve">
Grad Rate</t>
        </r>
      </text>
    </comment>
    <comment ref="G66" authorId="1" shapeId="0" xr:uid="{8327B8A0-0C4E-46C7-93A7-BB2F49255436}">
      <text>
        <r>
          <rPr>
            <b/>
            <sz val="11"/>
            <color theme="1"/>
            <rFont val="Franklin Gothic Book"/>
            <family val="2"/>
            <scheme val="minor"/>
          </rPr>
          <t>Author:</t>
        </r>
        <r>
          <rPr>
            <sz val="11"/>
            <color theme="1"/>
            <rFont val="Franklin Gothic Book"/>
            <family val="2"/>
            <scheme val="minor"/>
          </rPr>
          <t xml:space="preserve">
Grad Rate</t>
        </r>
      </text>
    </comment>
    <comment ref="G80" authorId="1" shapeId="0" xr:uid="{43B00D5D-9631-44E7-9132-272B7882BCBD}">
      <text>
        <r>
          <rPr>
            <b/>
            <sz val="11"/>
            <color theme="1"/>
            <rFont val="Franklin Gothic Book"/>
            <family val="2"/>
            <scheme val="minor"/>
          </rPr>
          <t>Author:</t>
        </r>
        <r>
          <rPr>
            <sz val="11"/>
            <color theme="1"/>
            <rFont val="Franklin Gothic Book"/>
            <family val="2"/>
            <scheme val="minor"/>
          </rPr>
          <t xml:space="preserve">
Grad Rate</t>
        </r>
      </text>
    </comment>
    <comment ref="J80" authorId="1" shapeId="0" xr:uid="{7E08458B-86D7-4DF3-B1BA-55B4E73E9458}">
      <text>
        <r>
          <rPr>
            <b/>
            <sz val="11"/>
            <color theme="1"/>
            <rFont val="Franklin Gothic Book"/>
            <family val="2"/>
            <scheme val="minor"/>
          </rPr>
          <t>Author:</t>
        </r>
        <r>
          <rPr>
            <sz val="11"/>
            <color theme="1"/>
            <rFont val="Franklin Gothic Book"/>
            <family val="2"/>
            <scheme val="minor"/>
          </rPr>
          <t xml:space="preserve">
Grad Rate</t>
        </r>
      </text>
    </comment>
    <comment ref="G82" authorId="1" shapeId="0" xr:uid="{B2410B0A-2E82-487E-8EED-585512FFC4BA}">
      <text>
        <r>
          <rPr>
            <b/>
            <sz val="11"/>
            <color theme="1"/>
            <rFont val="Franklin Gothic Book"/>
            <family val="2"/>
            <scheme val="minor"/>
          </rPr>
          <t>Author:</t>
        </r>
        <r>
          <rPr>
            <sz val="11"/>
            <color theme="1"/>
            <rFont val="Franklin Gothic Book"/>
            <family val="2"/>
            <scheme val="minor"/>
          </rPr>
          <t xml:space="preserve">
Grad Rate</t>
        </r>
      </text>
    </comment>
    <comment ref="G83" authorId="1" shapeId="0" xr:uid="{93436561-CD97-44B9-A27E-548764ADDE7D}">
      <text>
        <r>
          <rPr>
            <b/>
            <sz val="11"/>
            <color theme="1"/>
            <rFont val="Franklin Gothic Book"/>
            <family val="2"/>
            <scheme val="minor"/>
          </rPr>
          <t>Author:</t>
        </r>
        <r>
          <rPr>
            <sz val="11"/>
            <color theme="1"/>
            <rFont val="Franklin Gothic Book"/>
            <family val="2"/>
            <scheme val="minor"/>
          </rPr>
          <t xml:space="preserve">
Grad Rate</t>
        </r>
      </text>
    </comment>
    <comment ref="G84" authorId="1" shapeId="0" xr:uid="{84FF746D-A875-43C3-B3D3-B119C9AD62F2}">
      <text>
        <r>
          <rPr>
            <b/>
            <sz val="11"/>
            <color theme="1"/>
            <rFont val="Franklin Gothic Book"/>
            <family val="2"/>
            <scheme val="minor"/>
          </rPr>
          <t>Author:</t>
        </r>
        <r>
          <rPr>
            <sz val="11"/>
            <color theme="1"/>
            <rFont val="Franklin Gothic Book"/>
            <family val="2"/>
            <scheme val="minor"/>
          </rPr>
          <t xml:space="preserve">
Grad Rate</t>
        </r>
      </text>
    </comment>
    <comment ref="G85" authorId="1" shapeId="0" xr:uid="{D92E6F53-381C-4C51-AF0F-C8112C3FBE00}">
      <text>
        <r>
          <rPr>
            <b/>
            <sz val="11"/>
            <color theme="1"/>
            <rFont val="Franklin Gothic Book"/>
            <family val="2"/>
            <scheme val="minor"/>
          </rPr>
          <t>Author:</t>
        </r>
        <r>
          <rPr>
            <sz val="11"/>
            <color theme="1"/>
            <rFont val="Franklin Gothic Book"/>
            <family val="2"/>
            <scheme val="minor"/>
          </rPr>
          <t xml:space="preserve">
Grad Rate</t>
        </r>
      </text>
    </comment>
    <comment ref="G86" authorId="1" shapeId="0" xr:uid="{C79DF155-4EAD-427E-A68D-391867CF1666}">
      <text>
        <r>
          <rPr>
            <b/>
            <sz val="11"/>
            <color theme="1"/>
            <rFont val="Franklin Gothic Book"/>
            <family val="2"/>
            <scheme val="minor"/>
          </rPr>
          <t>Author:</t>
        </r>
        <r>
          <rPr>
            <sz val="11"/>
            <color theme="1"/>
            <rFont val="Franklin Gothic Book"/>
            <family val="2"/>
            <scheme val="minor"/>
          </rPr>
          <t xml:space="preserve">
Grad Rate</t>
        </r>
      </text>
    </comment>
    <comment ref="G87" authorId="1" shapeId="0" xr:uid="{1429F981-974D-4DFE-9ED5-4D372B7E2394}">
      <text>
        <r>
          <rPr>
            <b/>
            <sz val="11"/>
            <color theme="1"/>
            <rFont val="Franklin Gothic Book"/>
            <family val="2"/>
            <scheme val="minor"/>
          </rPr>
          <t>Author:</t>
        </r>
        <r>
          <rPr>
            <sz val="11"/>
            <color theme="1"/>
            <rFont val="Franklin Gothic Book"/>
            <family val="2"/>
            <scheme val="minor"/>
          </rPr>
          <t xml:space="preserve">
Grad Rate</t>
        </r>
      </text>
    </comment>
    <comment ref="G88" authorId="1" shapeId="0" xr:uid="{2931500D-007D-4C0F-8FB1-85CC9B813004}">
      <text>
        <r>
          <rPr>
            <b/>
            <sz val="11"/>
            <color theme="1"/>
            <rFont val="Franklin Gothic Book"/>
            <family val="2"/>
            <scheme val="minor"/>
          </rPr>
          <t>Author:</t>
        </r>
        <r>
          <rPr>
            <sz val="11"/>
            <color theme="1"/>
            <rFont val="Franklin Gothic Book"/>
            <family val="2"/>
            <scheme val="minor"/>
          </rPr>
          <t xml:space="preserve">
Grad Rate</t>
        </r>
      </text>
    </comment>
    <comment ref="G89" authorId="1" shapeId="0" xr:uid="{F7890D9F-2A1F-4441-BFAA-7AE3217B8C6C}">
      <text>
        <r>
          <rPr>
            <b/>
            <sz val="11"/>
            <color theme="1"/>
            <rFont val="Franklin Gothic Book"/>
            <family val="2"/>
            <scheme val="minor"/>
          </rPr>
          <t>Author:</t>
        </r>
        <r>
          <rPr>
            <sz val="11"/>
            <color theme="1"/>
            <rFont val="Franklin Gothic Book"/>
            <family val="2"/>
            <scheme val="minor"/>
          </rPr>
          <t xml:space="preserve">
Grad Rate</t>
        </r>
      </text>
    </comment>
    <comment ref="G91" authorId="1" shapeId="0" xr:uid="{AC102792-8C25-465D-9F58-5F6D65BCCFC5}">
      <text>
        <r>
          <rPr>
            <b/>
            <sz val="11"/>
            <color theme="1"/>
            <rFont val="Franklin Gothic Book"/>
            <family val="2"/>
            <scheme val="minor"/>
          </rPr>
          <t>Author:</t>
        </r>
        <r>
          <rPr>
            <sz val="11"/>
            <color theme="1"/>
            <rFont val="Franklin Gothic Book"/>
            <family val="2"/>
            <scheme val="minor"/>
          </rPr>
          <t xml:space="preserve">
Grad Rate</t>
        </r>
      </text>
    </comment>
    <comment ref="G92" authorId="1" shapeId="0" xr:uid="{12A2AED3-5B25-4B52-8E95-D8F89E51547B}">
      <text>
        <r>
          <rPr>
            <b/>
            <sz val="11"/>
            <color theme="1"/>
            <rFont val="Franklin Gothic Book"/>
            <family val="2"/>
            <scheme val="minor"/>
          </rPr>
          <t>Author:</t>
        </r>
        <r>
          <rPr>
            <sz val="11"/>
            <color theme="1"/>
            <rFont val="Franklin Gothic Book"/>
            <family val="2"/>
            <scheme val="minor"/>
          </rPr>
          <t xml:space="preserve">
Grad Rate</t>
        </r>
      </text>
    </comment>
    <comment ref="G95" authorId="1" shapeId="0" xr:uid="{FD6C9706-DCF1-49F9-A6C0-2C67C9D45D64}">
      <text>
        <r>
          <rPr>
            <b/>
            <sz val="11"/>
            <color theme="1"/>
            <rFont val="Franklin Gothic Book"/>
            <family val="2"/>
            <scheme val="minor"/>
          </rPr>
          <t>Author:</t>
        </r>
        <r>
          <rPr>
            <sz val="11"/>
            <color theme="1"/>
            <rFont val="Franklin Gothic Book"/>
            <family val="2"/>
            <scheme val="minor"/>
          </rPr>
          <t xml:space="preserve">
Grad Rate</t>
        </r>
      </text>
    </comment>
    <comment ref="G96" authorId="1" shapeId="0" xr:uid="{E1347B0A-8BEC-49D2-8308-359D7B102819}">
      <text>
        <r>
          <rPr>
            <b/>
            <sz val="11"/>
            <color theme="1"/>
            <rFont val="Franklin Gothic Book"/>
            <family val="2"/>
            <scheme val="minor"/>
          </rPr>
          <t>Author:</t>
        </r>
        <r>
          <rPr>
            <sz val="11"/>
            <color theme="1"/>
            <rFont val="Franklin Gothic Book"/>
            <family val="2"/>
            <scheme val="minor"/>
          </rPr>
          <t xml:space="preserve">
Grad Rate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50D6AA-AE36-4E1B-A72A-1FB51421153E}" sourceFile="C:\Users\jpeloza\Downloads\Survey_Takers_Report_85omf.xlsx" keepAlive="1" name="Survey_Takers_Report_85omf" type="5" refreshedVersion="8" background="1">
    <dbPr connection="Provider=Microsoft.ACE.OLEDB.12.0;User ID=Admin;Data Source=C:\Users\jpeloza\Downloads\Survey_Takers_Report_85omf.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Worksheet$" commandType="3"/>
  </connection>
  <connection id="2" xr16:uid="{DE240414-BE2D-4335-B374-DC8F06514795}" sourceFile="C:\Users\jpeloza\Downloads\Survey_Takers_Report_85omf.xlsx" odcFile="C:\Users\jpeloza\Documents\My Data Sources\Survey_Takers_Report_85omf Worksheet$.od.odc" keepAlive="1" name="Survey_Takers_Report_85omf Worksheet$.od" type="5" refreshedVersion="8" background="1">
    <dbPr connection="Provider=Microsoft.ACE.OLEDB.12.0;User ID=Admin;Data Source=C:\Users\jpeloza\Downloads\Survey_Takers_Report_85omf.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Worksheet$" commandType="3"/>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<sst xmlns="http://schemas.openxmlformats.org/spreadsheetml/2006/main" count="3728" uniqueCount="1214">
  <si>
    <t xml:space="preserve"> </t>
  </si>
  <si>
    <t>Company Confidential</t>
  </si>
  <si>
    <t>Juanita's Training Team</t>
  </si>
  <si>
    <t>Key Performance Indicators (KPIs)</t>
  </si>
  <si>
    <t>Goal</t>
  </si>
  <si>
    <t>80% or above</t>
  </si>
  <si>
    <t>90% or above</t>
  </si>
  <si>
    <t>35% or below</t>
  </si>
  <si>
    <t>Weighting</t>
  </si>
  <si>
    <t>N/A</t>
  </si>
  <si>
    <t>Team Average</t>
  </si>
  <si>
    <t>Name</t>
  </si>
  <si>
    <t>Productivity - YTD</t>
  </si>
  <si>
    <t>Training Satisfaction (Survey Results</t>
  </si>
  <si>
    <t>Compliance</t>
  </si>
  <si>
    <t>Knowledge Retention in Class</t>
  </si>
  <si>
    <t>Knowledge Retention Nesting</t>
  </si>
  <si>
    <t>New Hire Attrition</t>
  </si>
  <si>
    <t>Observation Scores</t>
  </si>
  <si>
    <t>Angeline Rubrico</t>
  </si>
  <si>
    <t>Anita Bliss-Dias</t>
  </si>
  <si>
    <t>Bibi Alli</t>
  </si>
  <si>
    <t>John David Lim</t>
  </si>
  <si>
    <t>Gilisa Roberts</t>
  </si>
  <si>
    <t>Irish Ferreras</t>
  </si>
  <si>
    <t>Jean Luzada</t>
  </si>
  <si>
    <t>Jill Hirtle</t>
  </si>
  <si>
    <t>Jordan Saulnier</t>
  </si>
  <si>
    <t>Kaitlind Allard</t>
  </si>
  <si>
    <t>NLE</t>
  </si>
  <si>
    <t>Catherine Saigo</t>
  </si>
  <si>
    <t>Kristi Stead</t>
  </si>
  <si>
    <t>Maida Musse</t>
  </si>
  <si>
    <t>Maria Skubiszewska</t>
  </si>
  <si>
    <t>Nancy Price</t>
  </si>
  <si>
    <t xml:space="preserve">Rowena Lasala </t>
  </si>
  <si>
    <t>Ruschel Bartolome</t>
  </si>
  <si>
    <t>Scott McDonald</t>
  </si>
  <si>
    <t>Siya Nugent</t>
  </si>
  <si>
    <t xml:space="preserve">Sneha Menda </t>
  </si>
  <si>
    <t>Stephany Chavez</t>
  </si>
  <si>
    <t>Tom Tse</t>
  </si>
  <si>
    <t>Vera Hibaya</t>
  </si>
  <si>
    <t>Vhea De Fiesta</t>
  </si>
  <si>
    <t>Viena Lacena</t>
  </si>
  <si>
    <t>Ankit Vishnoi</t>
  </si>
  <si>
    <t xml:space="preserve">Chantelle Thomas </t>
  </si>
  <si>
    <t xml:space="preserve">Hira Umair </t>
  </si>
  <si>
    <t>Mahalakshmi Ramasubramanian</t>
  </si>
  <si>
    <t xml:space="preserve">Rachel Daury </t>
  </si>
  <si>
    <t>Debbie Anthony</t>
  </si>
  <si>
    <t>PR Number</t>
  </si>
  <si>
    <t>Class Type</t>
  </si>
  <si>
    <t>Trainer 1</t>
  </si>
  <si>
    <t>Trainer 2</t>
  </si>
  <si>
    <t>Test Avg</t>
  </si>
  <si>
    <t>QA Avg</t>
  </si>
  <si>
    <t>Attrition Class</t>
  </si>
  <si>
    <t>Attrition Nesting</t>
  </si>
  <si>
    <t>Attrition less Terms</t>
  </si>
  <si>
    <t>Grad Rate</t>
  </si>
  <si>
    <t>Tier 1</t>
  </si>
  <si>
    <t>Sneha Menda</t>
  </si>
  <si>
    <t>FSA</t>
  </si>
  <si>
    <t>Hira Umair</t>
  </si>
  <si>
    <t>Rowena Lasala</t>
  </si>
  <si>
    <t>Tier 2 SLP</t>
  </si>
  <si>
    <t>DSA</t>
  </si>
  <si>
    <t>HTC</t>
  </si>
  <si>
    <t>Laurentian</t>
  </si>
  <si>
    <t>Pavasiya Nugent</t>
  </si>
  <si>
    <t>Select the name of your primary trainer for this course.</t>
  </si>
  <si>
    <t>Sum of Sum of User Score</t>
  </si>
  <si>
    <t>Sum of Sum of Responses</t>
  </si>
  <si>
    <t>Average</t>
  </si>
  <si>
    <t>Attempt Date</t>
  </si>
  <si>
    <t>Sum of User Score</t>
  </si>
  <si>
    <t>Sum of Responses</t>
  </si>
  <si>
    <t>name</t>
  </si>
  <si>
    <t>Select your location from the drop-down menu.</t>
  </si>
  <si>
    <t>What is your training start date?</t>
  </si>
  <si>
    <t>If there was a secondary trainer assisting your class, then please select their name or select None.</t>
  </si>
  <si>
    <t>What is your department? </t>
  </si>
  <si>
    <t>It was easy for me to get actively involved during this program.</t>
  </si>
  <si>
    <t>I was comfortable with the pace of this program.</t>
  </si>
  <si>
    <t>I had many opportunities to get answers to my questions.</t>
  </si>
  <si>
    <t>I had opportunities to practice the skills I was asked to learn.</t>
  </si>
  <si>
    <t>My learning was enhanced by the knowledge of the facilitator.</t>
  </si>
  <si>
    <t>My learning was enhanced by the experiences shared by the facilitator.</t>
  </si>
  <si>
    <t>What are three things the facilitator did well that encouraged you?</t>
  </si>
  <si>
    <t>What are three things that the facilitator could do differently next time?</t>
  </si>
  <si>
    <t>Nov 16, 2023 15:39:56</t>
  </si>
  <si>
    <t>Guest</t>
  </si>
  <si>
    <t>Manila, PHL</t>
  </si>
  <si>
    <t>2023-11-16</t>
  </si>
  <si>
    <t>Tier 2</t>
  </si>
  <si>
    <t>None. She is perfectly excellent.</t>
  </si>
  <si>
    <t>Nov 16, 2023 13:36:51</t>
  </si>
  <si>
    <t>Ottawa</t>
  </si>
  <si>
    <t>2023-09-20</t>
  </si>
  <si>
    <t>she was available to help , active listening, patient with us</t>
  </si>
  <si>
    <t>nothing to add every thing was perfect for the training.</t>
  </si>
  <si>
    <t>Nov 16, 2023 13:20:35</t>
  </si>
  <si>
    <t>Edmundson, NB</t>
  </si>
  <si>
    <t>2023-10-12</t>
  </si>
  <si>
    <t>Ankit made sure he was always available for our questions, always willing and ready to explain until everyone understood, also when answering our queries he made sure to explain with detail so that we go back to the cardholder and explain in clear terms</t>
  </si>
  <si>
    <t>Everything Ankit did was Great, the only thing that i was bummed about it that not everyone was willing to participate and speak on voice, that makes the training so much more interesting</t>
  </si>
  <si>
    <t>Dave Lim</t>
  </si>
  <si>
    <t>Nov 16, 2023 11:49:51</t>
  </si>
  <si>
    <t>2023-10-11</t>
  </si>
  <si>
    <t>Always ask probing questions, always check SOP and always thank the Card holder</t>
  </si>
  <si>
    <t>Nov 16, 2023 10:38:56</t>
  </si>
  <si>
    <t>Ankit always do a recap each day regarding the first time calls we encountered. When one of us asked for his help, he make sure that all of us will be able to know that new knowledge as well, so that if where going to encounter it we already have a prior knowledge about that concern. He always takes time to asked us if we\'re able to get the self led module.</t>
  </si>
  <si>
    <t>Oct 10, 2023 18:33:06</t>
  </si>
  <si>
    <t>2023-09-05</t>
  </si>
  <si>
    <t>learned, correct process,follow instructions</t>
  </si>
  <si>
    <t>more familiarization, sidebarged,and more details</t>
  </si>
  <si>
    <t>Oct 10, 2023 18:15:53</t>
  </si>
  <si>
    <t>2023-10-10</t>
  </si>
  <si>
    <t>They\'re lways remind me to use the sop, always be mindful in terms of validation &amp; must do the call flow</t>
  </si>
  <si>
    <t>I think for the future was nothing I can\'t tell right now because they\'re gave more information that we need in diffirent scenario in terms of skills, tools and the flow</t>
  </si>
  <si>
    <t>Oct 10, 2023 18:11:17</t>
  </si>
  <si>
    <t>considerate, having long patience, answering accurately the questions i had</t>
  </si>
  <si>
    <t>none</t>
  </si>
  <si>
    <t>Kate Saigo</t>
  </si>
  <si>
    <t>Oct 10, 2023 18:06:18</t>
  </si>
  <si>
    <t>by explaining how we can handle the call, giving appropriate examples to provide resolution and teaching the concerns that might be encountered.</t>
  </si>
  <si>
    <t>None</t>
  </si>
  <si>
    <t>Oct 10, 2023 18:05:56</t>
  </si>
  <si>
    <t>2023-09-11</t>
  </si>
  <si>
    <t>For me, I had a hard time to find the right SOP for the given concern. \\nHowever, Ate Sheena, told us that we really need to allot time in order for me to understand the SOP easily and also to give the best solution to the given problem. \\n\\nThe second thing was, we always from our mistakes. During the second day of the nesting week, the pressure was lessen and so far I was able to enjoy the call because of how kind the customer is. \\n\\nLastly, the floor support was very hands on even though there are some chances that all of us need them, but then they can still manage their time to rotate from one another to help and cater the concern of the card holder.</t>
  </si>
  <si>
    <t>-able to have another floor support \\n-it is way more enjoyable if we can meet the trainer because it is totally different to have a face to face training\\n-I don\'t think that there\'s still a need to improve or give the facilitator an advise because without them, trainees are nothing. \\n\\n\\nTHANK YOU SO MUCH, SCOTT &amp; MS. CATHE! :)</t>
  </si>
  <si>
    <t>Oct 10, 2023 18:05:03</t>
  </si>
  <si>
    <t>Mr Scoot and Miss Catherine is very approachable  when asking a question  also they very generosity</t>
  </si>
  <si>
    <t>none so far Mr scoot and Miss Catherine is very professional during our training period</t>
  </si>
  <si>
    <t>Oct 10, 2023 18:04:01</t>
  </si>
  <si>
    <t>Patience on discussing, Kindness that we can see every single day of training, Passion that we can feel through the whole training days. :)</t>
  </si>
  <si>
    <t>Nothing, the facilitator did a good job on educating us 8) :)</t>
  </si>
  <si>
    <t>MariaSkubiszewska</t>
  </si>
  <si>
    <t>Oct 10, 2023 18:03:21</t>
  </si>
  <si>
    <t>THEY BOOST OUR CONFIDENT ESP US NEWBIE, GUIDE US WELL TO ENGAGED WELL TO THE ENVIRONMENT, HAVING MORE PATIENCE</t>
  </si>
  <si>
    <t>NONE SO FAR</t>
  </si>
  <si>
    <t>Oct 10, 2023 18:02:42</t>
  </si>
  <si>
    <t>Motivates me, Trained me well, and encourage me</t>
  </si>
  <si>
    <t>Nothing, everyday was actually perfect</t>
  </si>
  <si>
    <t>Oct 10, 2023 18:01:57</t>
  </si>
  <si>
    <t>Helping us to answer our question during training</t>
  </si>
  <si>
    <t>n/a</t>
  </si>
  <si>
    <t>Oct 10, 2023 17:59:40</t>
  </si>
  <si>
    <t>the facilitator did well that encourage me would be process and procedure., activate listening</t>
  </si>
  <si>
    <t>Oct 10, 2023 17:54:48</t>
  </si>
  <si>
    <t>Oct 09, 2023 09:53:44</t>
  </si>
  <si>
    <t>2023-10-09</t>
  </si>
  <si>
    <t>Oct 06, 2023 09:45:21</t>
  </si>
  <si>
    <t>2023-08-08</t>
  </si>
  <si>
    <t>provide all information for this account\\n</t>
  </si>
  <si>
    <t>miss rowena is the best</t>
  </si>
  <si>
    <t>Oct 05, 2023 15:28:45</t>
  </si>
  <si>
    <t>Their positivity towards success, their encouragement, and  willingness to share their knowledge.</t>
  </si>
  <si>
    <t>All is well. They are doing great.</t>
  </si>
  <si>
    <t>Oct 05, 2023 12:11:57</t>
  </si>
  <si>
    <t>2023-08-14</t>
  </si>
  <si>
    <t>Ms Rowena will always asked each and everyone of us if what questions or topic are we confused about, shes so attentive to each and every detail of every discussion and shes a positive trainor that help us to enggage with all of the lessons.</t>
  </si>
  <si>
    <t>Oct 05, 2023 12:10:47</t>
  </si>
  <si>
    <t>How well she discussed the lessons.\\nHow she pursued us to continue.\\nHow he help us with things we do not know yet.</t>
  </si>
  <si>
    <t>None\\nNone\\nNone</t>
  </si>
  <si>
    <t>(blank)</t>
  </si>
  <si>
    <t>Sep 25, 2023 17:51:02</t>
  </si>
  <si>
    <t>2023-08-28</t>
  </si>
  <si>
    <t>The facilitator will make sure that they will be helping us in every way they can as much as we will help ourselves. The facilitators are knowledgeable about products and even we have differences, they are making that we respect each other.</t>
  </si>
  <si>
    <t>The primary trainer could have done better not to be kinda rude when we are asking her because sometimes, we are intimidated to ask since she will always say to look for the SOP which is okay but for me personally, if we asked a questions which means it\'s either we are confused or really can\'t understand the SOP.</t>
  </si>
  <si>
    <t>Grand Total</t>
  </si>
  <si>
    <t>Sep 25, 2023 17:50:24</t>
  </si>
  <si>
    <t>the way they explain the lesson it was very clear and you can easily pick up the things that you need to know....they believe on us even though this is our 1st time handling this kind of account.....the way they are always happy and positive</t>
  </si>
  <si>
    <t>I think none because they are so great,I learned a lot !!!!!!!! Thank you so much Miss Hira and Miss Jill..--K</t>
  </si>
  <si>
    <t>Sep 25, 2023 17:50:00</t>
  </si>
  <si>
    <t>They motivate, encourage and help us to face our fears in taking a call.</t>
  </si>
  <si>
    <t>At first, I was not that active in taking all the tools since this is my first time working in BPO company but after a week or more I am motivated to listen more to them. But overall nothing, they are good because they are doing their best to answers all our questions/queries.</t>
  </si>
  <si>
    <t>Sep 25, 2023 17:48:46</t>
  </si>
  <si>
    <t>2023-09-25</t>
  </si>
  <si>
    <t>good choices of word, fun learning, friendly\\n</t>
  </si>
  <si>
    <t>be mindful of words, do an example on how to manage the call in lesson,  do not be sarcastic in explaining</t>
  </si>
  <si>
    <t>Sep 25, 2023 17:47:01</t>
  </si>
  <si>
    <t>Since I\'m new in this field I\'m really nervous but the facilitator encouraged me to continue by using materials that are easy to learn, use teaching approach where I can easily understand the knowledge about the process and the atmosphere that she created is very conducive.</t>
  </si>
  <si>
    <t>More explanation in some topics.</t>
  </si>
  <si>
    <t>Sep 25, 2023 17:45:59</t>
  </si>
  <si>
    <t>They we\'re relatable and very newbie friendly. They encourages us to learn more and to not be afraid to make mistakes because that\'s where you learn. I really liked how they assist us whenever we have questions, just so welcoming and approachable.</t>
  </si>
  <si>
    <t>Nothing else other that more interactions, maybe.</t>
  </si>
  <si>
    <t>Sep 25, 2023 17:44:58</t>
  </si>
  <si>
    <t>2023-09-26</t>
  </si>
  <si>
    <t>they are very accomodating, easy to approach and understanding</t>
  </si>
  <si>
    <t>more fun activities nothing more</t>
  </si>
  <si>
    <t>Sep 25, 2023 17:44:54</t>
  </si>
  <si>
    <t>-To keep my focus and be attentive and do check &amp; follow the SOP rigidly.</t>
  </si>
  <si>
    <t>Sep 13, 2023 12:14:26</t>
  </si>
  <si>
    <t>2023-08-15</t>
  </si>
  <si>
    <t>motivator, patience, efficient</t>
  </si>
  <si>
    <t>none for me\\n</t>
  </si>
  <si>
    <t>Sep 13, 2023 12:01:32</t>
  </si>
  <si>
    <t>Ankit is active in asking question and He do his best to explain us any topic that we need clarification\\n \\n</t>
  </si>
  <si>
    <t>More role play if possible</t>
  </si>
  <si>
    <t>Sep 13, 2023 11:39:39</t>
  </si>
  <si>
    <t>2023-09-13</t>
  </si>
  <si>
    <t>Ankit is active in asking question</t>
  </si>
  <si>
    <t>More role plays if possible</t>
  </si>
  <si>
    <t>Sep 13, 2023 11:27:41</t>
  </si>
  <si>
    <t>real time assistance, always confirm module understanding, give us time to do recaps and SOP reviews</t>
  </si>
  <si>
    <t>Sep 12, 2023 18:09:46</t>
  </si>
  <si>
    <t>Sudbury, ON</t>
  </si>
  <si>
    <t>2023-08-29</t>
  </si>
  <si>
    <t>Fraud</t>
  </si>
  <si>
    <t>pushing me forward to talk when I need help</t>
  </si>
  <si>
    <t>just a little more time to revise our notes, other than that I loved the training, it felt a lot more fun than looking at it like it was studying</t>
  </si>
  <si>
    <t>Sep 12, 2023 17:37:25</t>
  </si>
  <si>
    <t>2023-09-12</t>
  </si>
  <si>
    <t>explain things did provide time to practice know the answers</t>
  </si>
  <si>
    <t>i think there should be more shadowing   with we only get 2 times</t>
  </si>
  <si>
    <t>Sep 12, 2023 17:35:25</t>
  </si>
  <si>
    <t>gave feedback when needed, explained items thoroughly, good pace</t>
  </si>
  <si>
    <t>spoke in a bit of a monotone, sometimes allowed questions to get far ahead of the item at hand</t>
  </si>
  <si>
    <t>Sep 12, 2023 17:33:29</t>
  </si>
  <si>
    <t>Clarity, getting positively  involved</t>
  </si>
  <si>
    <t>Can\'t think of any.</t>
  </si>
  <si>
    <t>Sep 12, 2023 17:31:40</t>
  </si>
  <si>
    <t>trained ,asked questions and gave examples from experience</t>
  </si>
  <si>
    <t>Maida was an amazing trainer and she helped us understand things that were confusing by providing examples from her experiences</t>
  </si>
  <si>
    <t>Sep 12, 2023 17:30:31</t>
  </si>
  <si>
    <t>Toronto, ON</t>
  </si>
  <si>
    <t>confident and cool</t>
  </si>
  <si>
    <t>good experienced trainer</t>
  </si>
  <si>
    <t>Sep 12, 2023 11:38:30</t>
  </si>
  <si>
    <t>Bridgewater, NS</t>
  </si>
  <si>
    <t>Sep 12, 2023 11:09:14</t>
  </si>
  <si>
    <t>good instructor. willing to answer question. testing the knowledge of the class</t>
  </si>
  <si>
    <t>Sep 12, 2023 10:51:09</t>
  </si>
  <si>
    <t>facilitator encouraged us to actively listen and ask questions</t>
  </si>
  <si>
    <t>nothing</t>
  </si>
  <si>
    <t>Sep 12, 2023 10:51:06</t>
  </si>
  <si>
    <t>Yarmouth, NS</t>
  </si>
  <si>
    <t>Sep 12, 2023 10:44:54</t>
  </si>
  <si>
    <t>Explained things very well, used examples, hands on practice with systems</t>
  </si>
  <si>
    <t>Nothing I can think of</t>
  </si>
  <si>
    <t>Sep 12, 2023 10:32:30</t>
  </si>
  <si>
    <t>Anita explains in detail for the steps and processes required. She did step by step approach. A new step to learn each day</t>
  </si>
  <si>
    <t>The training could be longer so the info can be absorbed better. I feel maybe 2 days per topic instead of one day would be better. Have more job shadowing</t>
  </si>
  <si>
    <t>Sep 12, 2023 10:25:51</t>
  </si>
  <si>
    <t>Very knowledgeable, willing to help and explain things again, sometimes differently, patient, always knew what to expect for the day</t>
  </si>
  <si>
    <t>Nothing - I found my training experience to be great.</t>
  </si>
  <si>
    <t>Sep 12, 2023 10:25:08</t>
  </si>
  <si>
    <t>Encouraged us to ask questions, gave good feedback, provided good information</t>
  </si>
  <si>
    <t>This is not on the trainer but I wish that as we learned each process we had time to practice it several times before moving on to the next segment. When you learn many things at once and then only practice them once before moving on to the next segment it gets forgotten quickly.</t>
  </si>
  <si>
    <t>Aug 25, 2023 14:39:45</t>
  </si>
  <si>
    <t>2023-08-11</t>
  </si>
  <si>
    <t>Hira Umair - 1. she\'s clear with how she delivers the lesson 2. she\'s engaged 3. - i love how she speaks\\nMahalakshmi Ramasubramanian - 1. she gave some pointers for us to review 2. she was always jolly 3. we enjoy having lessons with her\\nRuschel Bartolome - 1. clear with how she delivers the info that i asked 2. easy to approach 3. i can easily understand what she\'s saying</t>
  </si>
  <si>
    <t>Hira Umair - none\\nMahalakshmi Ramasubramanian - 1. she speaks fast but its okay we can understand her more if she speaks slowly\\nRuschel Bartolome - none</t>
  </si>
  <si>
    <t>Aug 25, 2023 14:35:13</t>
  </si>
  <si>
    <t>2023-07-31</t>
  </si>
  <si>
    <t>Maha is very hands on, always positive and she has so much of words of wisdom that she\'s always shares to the whole class. Very approachable and very fun to talk to, class is never boring because she has a lot of stories to share specially about her experiences in work and in life. We\'re really thankful that she became our trainer because she give so much support and effort to us during our training just like Hira. \\n\\nAnd about trainer Ruschel she\'s also approachable, calm and she also shares her best practices to us so, we can do well on our calls. She\'s a big help during our pre-nesting and we enjoy talking to her.</t>
  </si>
  <si>
    <t>None. I don\'t see any problem with our trainers.</t>
  </si>
  <si>
    <t>Aug 25, 2023 14:32:32</t>
  </si>
  <si>
    <t>Mahalakshmi Ramasubramanian - 1. she gave some pointers for us to review 2. she was always jolly 3. we enjoy having lessons with her</t>
  </si>
  <si>
    <t>Mahalakshmi Ramasubramanian - 1. she speaks fast but its okay we can understand her more if she speaks slowly</t>
  </si>
  <si>
    <t>Aug 25, 2023 14:32:11</t>
  </si>
  <si>
    <t>2023-08-23</t>
  </si>
  <si>
    <t>I loved the way she explained topics because it was very detailed, she speaks slowly and clearly, she is very accommodating.</t>
  </si>
  <si>
    <t>She could have been joined the training earlier, haha. That\'s all I can say.</t>
  </si>
  <si>
    <t>Aug 25, 2023 14:30:02</t>
  </si>
  <si>
    <t>I liked how she really explains every topic she is very organized. She helps us really to understand how to navigate in TS2.</t>
  </si>
  <si>
    <t>Aug 25, 2023 14:28:57</t>
  </si>
  <si>
    <t>Maha is very appreciative of our performance in every activity, shares her actual experiences in the production floor which gave us meaningful insights and she always encourage us to be better by telling us our opportunities for further improvement.</t>
  </si>
  <si>
    <t>She could have been more straight to the point when explaining things, could have made the discussion more interactive by integrating ice breakers related to the topics, there is a communication barrier but then, it is understandable</t>
  </si>
  <si>
    <t>Aug 25, 2023 14:25:39</t>
  </si>
  <si>
    <t>She is informative and knowledgeable. I really learned a  lot. I just wanted to highlight the hard work you\'ve put into this training.</t>
  </si>
  <si>
    <t>Aug 25, 2023 14:25:01</t>
  </si>
  <si>
    <t>Maha, encouraged me like knowing all the lesson or SOP, she proactively answer questions like adding more information about it, and also she\'s approachable to get in touch with, she\'s very natural in doing this, it just that she\'s spoon feeding the information. Ruschel, thought as well even though it is just a short time, like 4days in our pre-nesting, i understand easily about the ts2, on how to navigate and know different id\'s.</t>
  </si>
  <si>
    <t>Maha could do differently by saying too much information about the certain topics, she\'s good at it, its just that i wanted it concise and more direct to the point. The communication barrier is  understandable, and i suggest that add like a small ice breaker.</t>
  </si>
  <si>
    <t>Aug 25, 2023 14:24:30</t>
  </si>
  <si>
    <t>1.very knowledgeable\\n2.interactive\\n3. Great teaching approach.</t>
  </si>
  <si>
    <t>Aug 25, 2023 14:23:44</t>
  </si>
  <si>
    <t>She provides support, praise us when we share our answer and opinions and she always shares her best practices so, we will have a better understanding to our discussions. We\'re really thankful to Hira for guiding us during our training session. She has a lot of patience, very understanding and will be forever grateful to her for teaching us.</t>
  </si>
  <si>
    <t>I know Hira is not perfect just like the other trainers but I don\'t see any problem with her during training. She did her best, and we really look up to her.</t>
  </si>
  <si>
    <t>Aug 25, 2023 14:22:58</t>
  </si>
  <si>
    <t>1. Very active and positive ways of collaborative discussion.\\n2.Very Appreciative and nice person.\\n3. Encourage us to do the right things, always remind us a good possible ways to approach something especially related to the job description.</t>
  </si>
  <si>
    <t>1. Highly suggest to open a great conversation online as a medium ,it will be more interactive if we can see you on screen.\\n2. Be more mindful about the peak topic add something unique that can enhance the creative side of teaching. Like presentation or short game.\\n3. I think communication wise,  be more considerate because communication barrier can affect a lot.</t>
  </si>
  <si>
    <t>Aug 25, 2023 14:19:43</t>
  </si>
  <si>
    <t>2023-08-07</t>
  </si>
  <si>
    <t>Hira always gave us enough time to adjust on the phasing of the topics, she makes the discussion interactive and provides us the knowledge and skills necessary for our role in production floor.</t>
  </si>
  <si>
    <t>Give ice breaker like games or brain teaser, provide more navigation experience, detailed discussion in the tools especially in TS2</t>
  </si>
  <si>
    <t>Aug 25, 2023 14:19:37</t>
  </si>
  <si>
    <t>She always make sure that we understood the topic or discussion first before we proceed to next lesson. She was approachable and also we\'re engaged during the discussion which help us understand way better.</t>
  </si>
  <si>
    <t>Everything was perfect the way it was handled by Hira. I would like also to give credits to Ms. Ruschel Bartolome who is assisting us during pre nesting calls and most especially for facilitating the discussion for TS2. It was a big help as we now understand how TS2 works. Thank you Ms. Ruschel.</t>
  </si>
  <si>
    <t>Aug 25, 2023 14:18:49</t>
  </si>
  <si>
    <t>co-create an atmosphere that encourages participation, encourages them to speak out, and shared most of her experiences as TIER 1 before</t>
  </si>
  <si>
    <t>So far I\'m good. Most especially when the Trainer Ruschel Bartolome came and provided an assistance on the floor That\'s appreciated as well.</t>
  </si>
  <si>
    <t>Aug 25, 2023 14:17:42</t>
  </si>
  <si>
    <t>Aug 25, 2023 14:16:32</t>
  </si>
  <si>
    <t>SHE WAS ORGANIZED, FOLLOWED THE SCHEDULE IN EVERY AGENDA, AND SHE IS INFORMATIVE.</t>
  </si>
  <si>
    <t>MORE ON PRACTICE IN NAVIGATION AND CALLS.</t>
  </si>
  <si>
    <t>Aug 25, 2023 14:15:26</t>
  </si>
  <si>
    <t>2023-08-31</t>
  </si>
  <si>
    <t>Providing accurate and clear concept of the job description</t>
  </si>
  <si>
    <t>1. Highly suggest to think collective and creative ways of teaching. Do something like icebreaker or short game that is connected to the topic, this is the best way to introduce the certain topic.\\n2. Be more active add some enjoyment to create a good foundation to everyone\\n3. Adjust for the pacing of the topics.\\n</t>
  </si>
  <si>
    <t>Aug 25, 2023 14:14:53</t>
  </si>
  <si>
    <t>Hira encouraged me by her knowledge, experience, and the way she teach the lesson to be engaged more in the training.</t>
  </si>
  <si>
    <t>Hira could do differently by making the trainee to apply immediately what they learned after the lesson. And I think she can be more like ice breaker.</t>
  </si>
  <si>
    <t>Aug 25, 2023 14:14:42</t>
  </si>
  <si>
    <t>2023-08-03</t>
  </si>
  <si>
    <t>Very helpful, she always put herself being an agent  whenever she is discussing or giving examples about the topics and encouraged us to do our best</t>
  </si>
  <si>
    <t>Aug 25, 2023 14:13:17</t>
  </si>
  <si>
    <t>Aug 25, 2023 14:12:56</t>
  </si>
  <si>
    <t>very accommodating, she motivated us a lot</t>
  </si>
  <si>
    <t>Aug 21, 2023 17:57:03</t>
  </si>
  <si>
    <t>2023-07-24</t>
  </si>
  <si>
    <t>Sounds knowledgeable, friendly tone and interesting topics to discuss</t>
  </si>
  <si>
    <t>I guess more fun and interactive topics</t>
  </si>
  <si>
    <t>Aug 21, 2023 17:56:59</t>
  </si>
  <si>
    <t>Optimistic, Moltivating, Intusiastic</t>
  </si>
  <si>
    <t>ALL GOODS</t>
  </si>
  <si>
    <t>Aug 21, 2023 17:56:43</t>
  </si>
  <si>
    <t>Always asking about our feelings/mood for the day, Asking any questions, clarifications or any concerns and keep engaged with the Knowledge Center.</t>
  </si>
  <si>
    <t>Long patience in product training when it comes in navigation during roleplays/pre-nesting.</t>
  </si>
  <si>
    <t>Aug 21, 2023 17:56:36</t>
  </si>
  <si>
    <t>she doing great, friendly and very hands on trainer</t>
  </si>
  <si>
    <t>Aug 21, 2023 17:56:28</t>
  </si>
  <si>
    <t>2023-08-21</t>
  </si>
  <si>
    <t>Trainers are  very patient and smart. Kudos</t>
  </si>
  <si>
    <t>Aug 21, 2023 17:56:27</t>
  </si>
  <si>
    <t>2023-08-24</t>
  </si>
  <si>
    <t>hands on and she keeps telling not to give up and also she is very kind trainor</t>
  </si>
  <si>
    <t>Aug 21, 2023 17:56:11</t>
  </si>
  <si>
    <t>knowledgeable, kind, and motivated towards the training</t>
  </si>
  <si>
    <t>none so far, they're all good.</t>
  </si>
  <si>
    <t>Aug 21, 2023 17:55:41</t>
  </si>
  <si>
    <t>Our trainer is always believes in our capability. She was hands on on each of everyone of us and she delivers every lesson in comprehensive way.</t>
  </si>
  <si>
    <t>NA</t>
  </si>
  <si>
    <t>Aug 21, 2023 17:55:28</t>
  </si>
  <si>
    <t>1. She was hands on when it comes to teaching important stuff. 2. The trainer was making sure everyone in the team have the opportunity to speak up. 3. She also asks how our day and cares about us.</t>
  </si>
  <si>
    <t>-</t>
  </si>
  <si>
    <t>Aug 21, 2023 17:55:09</t>
  </si>
  <si>
    <t>They are very detailed and really encourage you to learn and dig deeper to the lessons.</t>
  </si>
  <si>
    <t>I don't see anything, they both did amazing!</t>
  </si>
  <si>
    <t>Aug 21, 2023 17:55:07</t>
  </si>
  <si>
    <t>Provide good feedback when we did mock calls, Assist very well comes on navigating the tools, Provide some words to encourage me</t>
  </si>
  <si>
    <t>Pacing, More interactions, Feedback to other agents</t>
  </si>
  <si>
    <t>Aug 21, 2023 17:54:58</t>
  </si>
  <si>
    <t>Aug 16, 2023 16:34:50</t>
  </si>
  <si>
    <t>2023-07-17</t>
  </si>
  <si>
    <t>We can ask question anytime and they did well explaining it to us. They kept motivating us by giving feedback regarding our activities. They made our learning environment and atmosphere comfortable and enjoyable.</t>
  </si>
  <si>
    <t>I suggest more hands-on discussion with the tools and more interactive activities.</t>
  </si>
  <si>
    <t>Aug 16, 2023 16:30:39</t>
  </si>
  <si>
    <t>They answer all our question \nThey gave daily motivation to motivate us in our training.</t>
  </si>
  <si>
    <t>Navigate tools while discussion(SF,CSR and TS2).</t>
  </si>
  <si>
    <t>Aug 16, 2023 11:50:44</t>
  </si>
  <si>
    <t>the three things that encouraging me is to be confident,feel free and motivate your self coz no one can help you.</t>
  </si>
  <si>
    <t>tom and scoot trained me.he try to remove my shy type and for about sop knowlege center he teach me on how to be a great agent .. scoot practice me a mock call live for two times so that i learned</t>
  </si>
  <si>
    <t>Aug 16, 2023 11:49:38</t>
  </si>
  <si>
    <t>The facilitators explained to us the SOPs. There was also activities to hone what we learned. The facilitators created an atmosphere that would encourage us to get involved and participate in the discussions.</t>
  </si>
  <si>
    <t>I hope there would be a follow up and hands on activities on navigating the tools. Longer pre-nesting to prepare the agent.</t>
  </si>
  <si>
    <t>Aug 16, 2023 11:49:31</t>
  </si>
  <si>
    <t>As newbie here in BPO they provided me the information I need to enhances my communication skills, they provide ways how to handle the customer the on the right way and they motivate us that we should believe in our self, that we can do it.</t>
  </si>
  <si>
    <t>Aug 16, 2023 11:44:25</t>
  </si>
  <si>
    <t>2023-08-16</t>
  </si>
  <si>
    <t>enhanced my communication skill,,be friendly,, enhanced my knowledge in bpo industry</t>
  </si>
  <si>
    <t>Aug 16, 2023 11:43:29</t>
  </si>
  <si>
    <t>He encouraged us to participate in every activities and ask questions if we cant understand the topic well</t>
  </si>
  <si>
    <t>To encouraged everyone to participate.</t>
  </si>
  <si>
    <t>Aug 16, 2023 11:42:50</t>
  </si>
  <si>
    <t>Aug 16, 2023 11:41:57</t>
  </si>
  <si>
    <t>they compliments are strengths and also provides what's things needs improvement. also they're very friendly. they know they product well</t>
  </si>
  <si>
    <t>for me, it would be easier for us to learn navigations of tools we our trainers are physically here with us.</t>
  </si>
  <si>
    <t>Aug 16, 2023 11:36:44</t>
  </si>
  <si>
    <t>Aug 04, 2023 12:44:19</t>
  </si>
  <si>
    <t>2023-07-10</t>
  </si>
  <si>
    <t>Nancy was personable and made sure we knew she was always available to help and support us. She did her best to teach within the limitations of the training software available.</t>
  </si>
  <si>
    <t>manage the discussions so that one student isn't monopolizing the conversation the whole time making it difficult for others to participate. \nCall on students who aren't participating more to make sure they understand\n--------------------------------------------------------------------------------------------------------------------------------------------------------------------------------------------------------------------------------\nadditional feedback:\nMany of the training videos are difficult to engage with because of the computer voice that reads them. I personally would prefer no narration to that encredibly distracting voice. \nSome french training materials would be beneficial to the bilingual agents, even just some recorded french calls. It feels like the French/english agents are not prioritized because of the lack of materials.\n</t>
  </si>
  <si>
    <t>Aug 04, 2023 12:42:29</t>
  </si>
  <si>
    <t>compassion,</t>
  </si>
  <si>
    <t>give more time to nesting</t>
  </si>
  <si>
    <t>Aug 04, 2023 12:37:36</t>
  </si>
  <si>
    <t>Patience, repeating the same thing so we understand, give us time to pratic in role play</t>
  </si>
  <si>
    <t>Aug 04, 2023 12:37:27</t>
  </si>
  <si>
    <t>Listening, make sure everyone understands before she continue, encouraging</t>
  </si>
  <si>
    <t>Go slowly</t>
  </si>
  <si>
    <t>Aug 04, 2023 12:36:58</t>
  </si>
  <si>
    <t>Was patient, explained very well , encouraged us</t>
  </si>
  <si>
    <t>Aug 04, 2023 12:36:07</t>
  </si>
  <si>
    <t>positive attitude, easy to speak and ask questions too, easy to understand</t>
  </si>
  <si>
    <t>maybe try  having shadow calls a bit earlier in training</t>
  </si>
  <si>
    <t>Aug 04, 2023 12:36:01</t>
  </si>
  <si>
    <t>Nancy was always very considerate of our needs, and would nudge us along in the right direction if she felt we were going the wrong way. She was always very kind and supportive of us, and gave us lots of anecdotes from her time as an agent, and experience with past classes.</t>
  </si>
  <si>
    <t>She could find a way to improve her audio quality, as there were several times where the sound would cut out while she was talking. While this was beyond Nancy's control, it would've been nice to have a more thorough onboarding experience, as there was a lot of confusion when the class was first starting with equipment and links and logins and such, but she handled it to the best of her abilities and it was appreciated that she helped where she could.</t>
  </si>
  <si>
    <t>Aug 04, 2023 12:35:47</t>
  </si>
  <si>
    <t>Montreal, QC</t>
  </si>
  <si>
    <t>The role type and the Web base trainings</t>
  </si>
  <si>
    <t>Maybe the speed of the explanations</t>
  </si>
  <si>
    <t>Aug 04, 2023 12:35:21</t>
  </si>
  <si>
    <t>explaining explicitly, encouraging, and actively listing.</t>
  </si>
  <si>
    <t>Aug 04, 2023 12:35:04</t>
  </si>
  <si>
    <t>Her positive attitude, always here to help and her confidence</t>
  </si>
  <si>
    <t>Aug 04, 2023 12:34:54</t>
  </si>
  <si>
    <t>- We had lots of opportunity to roleplay which was very helpful for me\n- She gave clear explanation to all of the question and always follow back to make sure everyone understand</t>
  </si>
  <si>
    <t>Aug 04, 2023 12:31:50</t>
  </si>
  <si>
    <t>encouraging  active participation helping out</t>
  </si>
  <si>
    <t>Aug 04, 2023 12:31:08</t>
  </si>
  <si>
    <t>Jul 27, 2023 19:51:39</t>
  </si>
  <si>
    <t>2023-07-25</t>
  </si>
  <si>
    <t>detailed information</t>
  </si>
  <si>
    <t>giving time to have call shadowing</t>
  </si>
  <si>
    <t>Jul 27, 2023 18:34:49</t>
  </si>
  <si>
    <t>2023-06-26</t>
  </si>
  <si>
    <t>Jul 27, 2023 13:30:21</t>
  </si>
  <si>
    <t>Motivation, Encouragement and Responsible</t>
  </si>
  <si>
    <t>Everything is good!</t>
  </si>
  <si>
    <t>Jul 27, 2023 12:47:34</t>
  </si>
  <si>
    <t>Both trainers were able to create a very comfortable learning environment, it didn't take long at all for everyone on-shore and off-shore to grow close and learn from each other's mistakes and successes. It's important for me to feel a sense of community within an organization, and our trainers were able to demonstrate that we are a team very well.</t>
  </si>
  <si>
    <t>The only thing I would have wanted to change is that rather than spending as much time as we did call-shadowing very capable agents, I think it would have been more beneficial to start taking turns answering real calls sooner so we could learn what the real environment feels like. It also would have been great to learn from watching the others in the class make mistakes so we can note what we should be doing instead. Sometimes it felt like the call-shadow went so fast that I wasn't able to process what had just happened.</t>
  </si>
  <si>
    <t>Jul 27, 2023 12:28:36</t>
  </si>
  <si>
    <t>to read the SOP, you will never go wrong if you refer to the SOP during the call, master the SOP</t>
  </si>
  <si>
    <t>i have not think of any</t>
  </si>
  <si>
    <t>Jul 27, 2023 12:25:14</t>
  </si>
  <si>
    <t>learn more using sop, engage every interaction and always ask if you dont know the answer</t>
  </si>
  <si>
    <t>none everything is fine</t>
  </si>
  <si>
    <t>Jul 27, 2023 12:24:43</t>
  </si>
  <si>
    <t>Rowena provided a lot of helpful tips and provided a work environment context for the information provided. I am really grateful for the training and the time we were given to learn everything.</t>
  </si>
  <si>
    <t>TS2 is extremely challenging and may require a bit more time to practice. Though the training group was large , maybe some one on one time to go over certain things that individuals are finding difficult. Maybe more simulations to get used to setting up a good workflow.</t>
  </si>
  <si>
    <t>Jul 25, 2023 19:21:52</t>
  </si>
  <si>
    <t>The proper way to position the statements in every concerns</t>
  </si>
  <si>
    <t>actually they're good.</t>
  </si>
  <si>
    <t>Jul 25, 2023 19:14:18</t>
  </si>
  <si>
    <t>The tone of the voice, the demeanor and being easy to approach</t>
  </si>
  <si>
    <t>More hands-on experience, more role-playing and more participation from every member.</t>
  </si>
  <si>
    <t>Jul 25, 2023 19:13:07</t>
  </si>
  <si>
    <t>Practice on tools, SOP navigation and following the correct process/steps</t>
  </si>
  <si>
    <t>.</t>
  </si>
  <si>
    <t>Jul 25, 2023 19:12:15</t>
  </si>
  <si>
    <t>setting proper expectations/giving feedbacks/time to practice on our tools</t>
  </si>
  <si>
    <t>more time on navigating and familiarization about the tools</t>
  </si>
  <si>
    <t>Jul 25, 2023 19:12:00</t>
  </si>
  <si>
    <t>just read the sop, remember everything about the experience during nesting and facilitator engaged us every topic that we have</t>
  </si>
  <si>
    <t>non, just be what she is because its really help the trainees to learn easily</t>
  </si>
  <si>
    <t>Jul 25, 2023 19:11:18</t>
  </si>
  <si>
    <t>hands on\nknowledgeable\nSOP navigation</t>
  </si>
  <si>
    <t>there's none for me</t>
  </si>
  <si>
    <t>Jul 25, 2023 19:09:34</t>
  </si>
  <si>
    <t>train well, assisting while taking calls, coaching</t>
  </si>
  <si>
    <t>Jul 25, 2023 19:06:18</t>
  </si>
  <si>
    <t>2023-06-20</t>
  </si>
  <si>
    <t>Motivations, Responsible and Enthusiastic</t>
  </si>
  <si>
    <t>None, just the same</t>
  </si>
  <si>
    <t>Jul 25, 2023 19:06:04</t>
  </si>
  <si>
    <t>very approachable, highly encouraged to check sop first  and answer questions regarding process</t>
  </si>
  <si>
    <t>Jul 25, 2023 17:33:55</t>
  </si>
  <si>
    <t>She has been very open and willing to answer any and all questions we have, Rowena's patience is seemingly limitless which makes asking questions a very comfortable experience. Rowena has the ability to make learning fun and engaging, and should be considered a valuable training asset for this company.</t>
  </si>
  <si>
    <t>The only thing I would have changed is that rather than doing as much call shadowing as we did with an experienced T1 agent, I think it would be more beneficial to take real calls sooner and more often while still training and have the class take turns taking the calls. That way we could gain more experience and also make note of each others mistakes and how to avoid making them ourselves later.</t>
  </si>
  <si>
    <t>Jul 25, 2023 17:14:33</t>
  </si>
  <si>
    <t>Rachel Daury</t>
  </si>
  <si>
    <t>Lots of helpful notes and detailed explanations!</t>
  </si>
  <si>
    <t>No complaints really! I'm really grateful for the training.</t>
  </si>
  <si>
    <t>Jul 25, 2023 17:10:25</t>
  </si>
  <si>
    <t>to read the SOP all the time, to check the status code first before proceeding with the concern, to learn searching for answers by our own by reading the sop</t>
  </si>
  <si>
    <t>she is very detailed oriented and that's helpful for me, I can't think of any improvements</t>
  </si>
  <si>
    <t>Jul 25, 2023 16:22:35</t>
  </si>
  <si>
    <t>Take one case at a time, remember to always refer to the SOPs and not guess the answer, check the blocks on the account</t>
  </si>
  <si>
    <t>I can't think of any</t>
  </si>
  <si>
    <t>Jul 25, 2023 16:17:35</t>
  </si>
  <si>
    <t>Jul 21, 2023 17:36:29</t>
  </si>
  <si>
    <t>2023-06-06</t>
  </si>
  <si>
    <t>be patience be strong and be knowledgeable</t>
  </si>
  <si>
    <t>none for now</t>
  </si>
  <si>
    <t>Jul 20, 2023 17:52:53</t>
  </si>
  <si>
    <t>2023-07-05</t>
  </si>
  <si>
    <t>Disputes</t>
  </si>
  <si>
    <t>explaining the material. supporting us. practicing.</t>
  </si>
  <si>
    <t>none. love her!</t>
  </si>
  <si>
    <t>Jul 20, 2023 12:01:47</t>
  </si>
  <si>
    <t>2023-07-20</t>
  </si>
  <si>
    <t>made us interact with pairs, involved us in the simulation , answered to all our question</t>
  </si>
  <si>
    <t>give us more time to read sobs,</t>
  </si>
  <si>
    <t>Jul 20, 2023 12:01:42</t>
  </si>
  <si>
    <t>Facilitator was clear and concise. She was able to answer questions when given a hypothetical scenario. She also provided examples and transcripts of similar topic scenario.</t>
  </si>
  <si>
    <t>To be honest, nothing.</t>
  </si>
  <si>
    <t>Jul 20, 2023 12:00:01</t>
  </si>
  <si>
    <t>Supportive, Energy level, Clear communication</t>
  </si>
  <si>
    <t>Jul 20, 2023 11:59:02</t>
  </si>
  <si>
    <t>Gave us positive reinforcement when it came to something we we not to sure of, gave us personal experience examples, always made herself available for any reason.</t>
  </si>
  <si>
    <t>I really have nothing to say. She truly knows what she is saying and doing, knows how to read a room and realize maybe what she said was over our heads and broke down the lessons. Maida really is a people person and you can tell she enjoys teaching her people.</t>
  </si>
  <si>
    <t>Jul 20, 2023 11:58:37</t>
  </si>
  <si>
    <t>pratice role play take good notes</t>
  </si>
  <si>
    <t>everything was good</t>
  </si>
  <si>
    <t>Jul 19, 2023 22:53:18</t>
  </si>
  <si>
    <t>2023-07-19</t>
  </si>
  <si>
    <t>Understanding, Patience and Great teaching</t>
  </si>
  <si>
    <t>Jul 17, 2023 21:08:24</t>
  </si>
  <si>
    <t>2023-06-17</t>
  </si>
  <si>
    <t>Jul 17, 2023 17:31:19</t>
  </si>
  <si>
    <t>2023-06-19</t>
  </si>
  <si>
    <t>Encouraged the asking of questions, answered questions accurately, gave feedback.</t>
  </si>
  <si>
    <t>Jul 17, 2023 17:30:32</t>
  </si>
  <si>
    <t>Our trainer is kind, confident and  confident</t>
  </si>
  <si>
    <t>The facilitator should elaborate the Sop and she should provide a easiest way on how the trainees can easily understand the specific topic</t>
  </si>
  <si>
    <t>Jul 17, 2023 16:52:26</t>
  </si>
  <si>
    <t>Our trainer was able to answers most of our questions with a nice voice, I didn't feel that I am lacking just because I am asking// She gave us a lot of activities so we can practice.</t>
  </si>
  <si>
    <t>Sometimes, she jumped to another topic without discussing it further. // There are lots of self-studies.</t>
  </si>
  <si>
    <t>Jul 17, 2023 16:47:43</t>
  </si>
  <si>
    <t>Jul 17, 2023 16:47:34</t>
  </si>
  <si>
    <t>able to provide examples on the scenarios, providing the time to read and understand the sop</t>
  </si>
  <si>
    <t>example with the navigation more so that we can able to understand with the scenario</t>
  </si>
  <si>
    <t>Jul 17, 2023 16:46:29</t>
  </si>
  <si>
    <t>The way she positively answers the questions and providing feedbacks and saying the opportunities in a nice way and pushing us beyond our limits is such an amazing experience to have with our trainers</t>
  </si>
  <si>
    <t>They should try being the ch in a roleplay. And Balmannu Acharya was an amazing facilitator for challenging us every meeting with the mind blowing brain teasers.</t>
  </si>
  <si>
    <t>Jul 17, 2023 16:46:17</t>
  </si>
  <si>
    <t>Always based your questions on the SOP.</t>
  </si>
  <si>
    <t>Try to give an ice breaker.</t>
  </si>
  <si>
    <t>Jul 17, 2023 16:39:38</t>
  </si>
  <si>
    <t>2023-06-13</t>
  </si>
  <si>
    <t>explaining the process, asking if we understand the process, answering all of our questions</t>
  </si>
  <si>
    <t>Jul 17, 2023 16:38:32</t>
  </si>
  <si>
    <t>feedback, answer all the question , patience of teaching</t>
  </si>
  <si>
    <t>Jul 17, 2023 16:37:33</t>
  </si>
  <si>
    <t>saying we can do it, answering question thoroughly, providing time and understanding by the book.</t>
  </si>
  <si>
    <t>Jul 17, 2023 16:36:58</t>
  </si>
  <si>
    <t>Jul 17, 2023 16:36:28</t>
  </si>
  <si>
    <t>Professional , very hands on and reliable</t>
  </si>
  <si>
    <t>Jul 17, 2023 16:34:09</t>
  </si>
  <si>
    <t>Ok</t>
  </si>
  <si>
    <t>Jul 14, 2023 19:18:53</t>
  </si>
  <si>
    <t>1) Answered each and every doubts of us, 2) did call shadowing for us for complex calls and 3) Put us on the calls of same type for more practice as the modules covered in the training</t>
  </si>
  <si>
    <t>1) may be given more time to practice for each and  every self led modules 2) did some more call shadowing for us.</t>
  </si>
  <si>
    <t>Jul 14, 2023 17:33:45</t>
  </si>
  <si>
    <t>Jul 14, 2023 14:05:47</t>
  </si>
  <si>
    <t>2023-07-14</t>
  </si>
  <si>
    <t>answering all my question, and material well prepared and many examples about different seniors was offered</t>
  </si>
  <si>
    <t>everything on training was well arranged</t>
  </si>
  <si>
    <t>Jul 14, 2023 10:49:23</t>
  </si>
  <si>
    <t>Jul 14, 2023 10:43:59</t>
  </si>
  <si>
    <t>Facilitator was patient, always willing to answer questions asked and gave helpful scenarios that enabled faster understanding</t>
  </si>
  <si>
    <t>Jul 14, 2023 10:36:43</t>
  </si>
  <si>
    <t>Helpful, Friendly, Have proper knowledge of every material</t>
  </si>
  <si>
    <t>More job shadowing, going little bit more slow, more practice</t>
  </si>
  <si>
    <t>Jul 13, 2023 12:38:51</t>
  </si>
  <si>
    <t>2023-07-13</t>
  </si>
  <si>
    <t>have better listening abilities</t>
  </si>
  <si>
    <t>Jul 13, 2023 07:41:23</t>
  </si>
  <si>
    <t>The trainer Asked and answered our questions, explained and put examples of processes, and took life calls so we would have the opportunity to see in real life how it works. Also pointed the things we needed to improve to get better.</t>
  </si>
  <si>
    <t>Not sure, he did a good job and was available to clarify our doubts, and answered all our questions.</t>
  </si>
  <si>
    <t>Jul 12, 2023 17:57:55</t>
  </si>
  <si>
    <t>2023-07-12</t>
  </si>
  <si>
    <t>sop, detail instruction and easy to understand the concept</t>
  </si>
  <si>
    <t>more videos, more live calls and more team interaction</t>
  </si>
  <si>
    <t>Jul 12, 2023 14:59:48</t>
  </si>
  <si>
    <t>Huddle, Question Answer and Teams group assistance</t>
  </si>
  <si>
    <t>Huddle more same day to discuss his opinion, More Shadowing, and discuss team mates call everyday.</t>
  </si>
  <si>
    <t>Jul 12, 2023 14:15:32</t>
  </si>
  <si>
    <t>call shadowing</t>
  </si>
  <si>
    <t>more call shadowing,</t>
  </si>
  <si>
    <t>Jul 12, 2023 13:54:50</t>
  </si>
  <si>
    <t>explain/ shadowing</t>
  </si>
  <si>
    <t>Jul 12, 2023 13:49:22</t>
  </si>
  <si>
    <t>He was very supportive and answered all our questions and is a very good trainer . he did some calls for us and did shadowing which enhanced our confidence and let us know how to handle calls and all.</t>
  </si>
  <si>
    <t>I dont think anything like that . all was good</t>
  </si>
  <si>
    <t>Jun 30, 2023 17:55:31</t>
  </si>
  <si>
    <t>2023-06-05</t>
  </si>
  <si>
    <t>to believe in ourselves , make sure we understand  the teachings</t>
  </si>
  <si>
    <t>Jun 30, 2023 17:53:09</t>
  </si>
  <si>
    <t>Sneha was really encouraging and she also took time to explain slowly and with simple word the most complex subject, Mr. Tom Tse was really energetic, and him and Sneha were really listening to us and they always had clear answers to our questions</t>
  </si>
  <si>
    <t>They did really great !</t>
  </si>
  <si>
    <t>Jun 30, 2023 17:51:42</t>
  </si>
  <si>
    <t>encouraged me told me not to worry and the way she explained things really kept it interesting</t>
  </si>
  <si>
    <t>not thinking of anything to improve also tom tse was a good cofacilitator as well really showed up tip and tricks</t>
  </si>
  <si>
    <t>Jun 30, 2023 17:51:40</t>
  </si>
  <si>
    <t>encourangement</t>
  </si>
  <si>
    <t>kinda lessen reading the sops and make actual examples so that the new trainees will understand it much better.</t>
  </si>
  <si>
    <t>Jun 30, 2023 17:51:34</t>
  </si>
  <si>
    <t>They motivate us everyday, they giving us an opportunity to explore more and speak more to practice our communication skills.</t>
  </si>
  <si>
    <t>For me, none so far. Because they really good mentors for us.</t>
  </si>
  <si>
    <t>Jun 30, 2023 17:51:11</t>
  </si>
  <si>
    <t>she is very nice, kind, and very good mentor.</t>
  </si>
  <si>
    <t>for me i think they did they're  very well. we learned a lot.</t>
  </si>
  <si>
    <t>Jun 30, 2023 17:50:57</t>
  </si>
  <si>
    <t>1. They were informative in answering the questions that bothers me after lecture\n2. Encouraging words that boost my confidence when I'm in doubt\n3. Voices are empowering and makes me comfortable</t>
  </si>
  <si>
    <t>1. I guess when discussing they should try to do role play after if its possible \n2. Instead of reading the whole text there should be an actual navigation in using the tools if needed\n3. Let us read the text instead of their selves the whole time so their would be a interaction between all of us</t>
  </si>
  <si>
    <t>Jun 30, 2023 17:50:52</t>
  </si>
  <si>
    <t>kind , patience, and very understanding facilitator and also enough knowledge  to teach</t>
  </si>
  <si>
    <t>none i think bc facilitator did a great job and also thank you tom for all the knowledge and effort</t>
  </si>
  <si>
    <t>Jun 30, 2023 17:50:50</t>
  </si>
  <si>
    <t>Sneha was very patient, understanding and good at training. Tom is good at explaining and making points clear as well</t>
  </si>
  <si>
    <t>Jun 30, 2023 17:49:15</t>
  </si>
  <si>
    <t>Keep providing the necessary steps of the module, hands on when it comes to the topic and very enthusiastic when it comes to the teaching</t>
  </si>
  <si>
    <t>Give at least an ice breaker just to spice up the mood of the listener</t>
  </si>
  <si>
    <t>Jun 30, 2023 17:49:01</t>
  </si>
  <si>
    <t>They would us the chance to find information on our own, they were patient, and would give very good suggestions</t>
  </si>
  <si>
    <t>Give us more activities as a group, more time to do call shadowings, and more practice rounds with Live customers</t>
  </si>
  <si>
    <t>2023-06-30</t>
  </si>
  <si>
    <t>Jun 23, 2023 13:57:12</t>
  </si>
  <si>
    <t>2023-05-29</t>
  </si>
  <si>
    <t>maybe on how you can i communicate with the cardholder just like on how comfortable  to each other</t>
  </si>
  <si>
    <t>about the mock call practice</t>
  </si>
  <si>
    <t>Jun 23, 2023 13:53:07</t>
  </si>
  <si>
    <t>2023-06-29</t>
  </si>
  <si>
    <t>they are knowledegeable in process and also they motivate and encourage us to learn new things</t>
  </si>
  <si>
    <t>Jun 23, 2023 13:52:27</t>
  </si>
  <si>
    <t>Don't give up, Learning is a process and that If i have questions I can ask them.</t>
  </si>
  <si>
    <t>They're good</t>
  </si>
  <si>
    <t>Jun 23, 2023 13:51:20</t>
  </si>
  <si>
    <t>they keep on complimenting us whenever we asked or answer their questions they keep on saying very good question/answer.</t>
  </si>
  <si>
    <t>They could have allow us to make mock call every after the lesson so we could practice.</t>
  </si>
  <si>
    <t>Jun 23, 2023 13:50:41</t>
  </si>
  <si>
    <t>They were easy to talk to, elaborated when questions were asked, very positive, and patient.</t>
  </si>
  <si>
    <t>They were actually amazing, there's nothing I can think of. I felt supported in a way that was customized for me.</t>
  </si>
  <si>
    <t>Jun 21, 2023 18:13:31</t>
  </si>
  <si>
    <t>2023-06-21</t>
  </si>
  <si>
    <t>Always made sure we understood and did not mind repeating when you could not fully comprehend</t>
  </si>
  <si>
    <t>If we had time to do practice calls within the group/class i feel like it would have been great but i understand the schedule was fixed a certain way. Thats the only thing i mainly wish was different</t>
  </si>
  <si>
    <t>Jun 19, 2023 17:32:26</t>
  </si>
  <si>
    <t>2023-05-23</t>
  </si>
  <si>
    <t>He made sure to take the time to answer everyone's questions and would go over things if we felt we needed it. He was always in a pleasant mood and was so patient even if we went off track a bit. He was great at keeping us directed (or getting us back on direction). He gave little words of encouragement, or would relate to us. He was extremely knowledgeable and gave us the information very clearly. He was awesome for making things more visual or showing us examples when we were struggling at following.</t>
  </si>
  <si>
    <t>We need more time in training with the tools. It's hard because we need to review so much so I'm not sure how they could do it better... maybe more breakout sessions, or more time with the one on one calls we did this last day. I felt a lot of time that there was a lot of information that we didn't need to review as it would be something we can only relate when we're doing it firsthand. I'm an extremely visual person so it was a lot of auditory information for me. I think a lot of it will come in handy as we're actually working so it may have been all the info dump we needed just maybe a little more hands on practice time with the tools.</t>
  </si>
  <si>
    <t>Jun 19, 2023 17:32:03</t>
  </si>
  <si>
    <t>Explaining their answers. Listening to my questions. Patience and Kindness.</t>
  </si>
  <si>
    <t>Control the class. More opportunities to practice what I learned. Setting the right expectations for the next day.</t>
  </si>
  <si>
    <t>Jun 19, 2023 17:28:07</t>
  </si>
  <si>
    <t>well explained, patience, and acknowledgement</t>
  </si>
  <si>
    <t>Jun 19, 2023 17:24:01</t>
  </si>
  <si>
    <t>Reading the SOP's, Doing the Quizzes and Taking our time to understand</t>
  </si>
  <si>
    <t>Giving more training with TS2 and more breakout sessions more training with MAC GUI</t>
  </si>
  <si>
    <t>Jun 19, 2023 17:23:59</t>
  </si>
  <si>
    <t>Our facilitator always motivate us that we can do the task, He is so very nice to us and he always help us to understand everything, Lastly he always make the lesson simple so we can always understand his lessons.</t>
  </si>
  <si>
    <t>Jun 19, 2023 17:23:33</t>
  </si>
  <si>
    <t>Sharing own experience, giving extra time if need for practice, always ready to help</t>
  </si>
  <si>
    <t>Jun 19, 2023 17:22:50</t>
  </si>
  <si>
    <t>guide/help/clear things out for us one by one just to make us understand the process.</t>
  </si>
  <si>
    <t>for me much more on screenshots/examples during presentation pictures that their sharing since each in every year or so the system is updating so the new agents needs new access and information but all in all I am so grateful and happy bout the training it beyonds my expectations on my first day of training .</t>
  </si>
  <si>
    <t>Jun 19, 2023 17:22:15</t>
  </si>
  <si>
    <t>Always appreciate each students\nAlways checking up on his students and spread joy\nAlways make the lesson fun but we will learned</t>
  </si>
  <si>
    <t>More role plays</t>
  </si>
  <si>
    <t>Jun 19, 2023 17:21:52</t>
  </si>
  <si>
    <t>appreciation and encouragement</t>
  </si>
  <si>
    <t>All of those are very good, I don't have any idea what is needed to be change</t>
  </si>
  <si>
    <t>Jun 19, 2023 17:21:34</t>
  </si>
  <si>
    <t>He encouraged me to speak clearly during calls, listen carefully and ask probing questions if we can't understand.</t>
  </si>
  <si>
    <t>In every lesson, there is a mock call practice so we can familiarized the process during calls.</t>
  </si>
  <si>
    <t>Jun 19, 2023 17:20:06</t>
  </si>
  <si>
    <t>He is very clear explaining things out. He's very patient and he's very approachable.</t>
  </si>
  <si>
    <t>None.</t>
  </si>
  <si>
    <t>Jun 19, 2023 17:19:49</t>
  </si>
  <si>
    <t>Tone of voice, pacing, lessons</t>
  </si>
  <si>
    <t>More practice sessions, More role plays, More call shadowing</t>
  </si>
  <si>
    <t>Jun 19, 2023 08:28:12</t>
  </si>
  <si>
    <t>2023-05-10</t>
  </si>
  <si>
    <t>her way of teaching.....how to handle different situation on real based experience and she always mention yes you can do it...</t>
  </si>
  <si>
    <t>all good..!! she will find it by herself because she know how and when to improve.</t>
  </si>
  <si>
    <t>Jun 16, 2023 18:57:52</t>
  </si>
  <si>
    <t>She communuicated effetively and was very Engaging/Interactive and Encouraging.</t>
  </si>
  <si>
    <t>She did great and may improve on the above listed.</t>
  </si>
  <si>
    <t>Jun 15, 2023 23:54:14</t>
  </si>
  <si>
    <t>She always sends us reckoner notes, When you ask a question, she makes sure she explains until you understand, Shared some call experiences she had with us and we learnt from them</t>
  </si>
  <si>
    <t>Jun 15, 2023 18:00:20</t>
  </si>
  <si>
    <t>2023-06-15</t>
  </si>
  <si>
    <t>she is kind and understanding</t>
  </si>
  <si>
    <t>nothing everything is perfect</t>
  </si>
  <si>
    <t>Jun 15, 2023 14:47:03</t>
  </si>
  <si>
    <t>Jun 15, 2023 12:46:23</t>
  </si>
  <si>
    <t>explaining, demostration and assisting throught the training</t>
  </si>
  <si>
    <t>while nesting focus on taking calls of the specific module without mixing it with the previous one like a week of focusing only on one specific module in order to learn a lot on that module without mixing it to another one</t>
  </si>
  <si>
    <t>Jun 15, 2023 10:34:18</t>
  </si>
  <si>
    <t>Jun 15, 2023 10:11:17</t>
  </si>
  <si>
    <t>2023-05-15</t>
  </si>
  <si>
    <t>Assistance was on point, encouragement , understanding</t>
  </si>
  <si>
    <t>Jun 14, 2023 19:38:45</t>
  </si>
  <si>
    <t>- She was very accommodating regarding my unusual schedule and made a clear effort to make sure I could succeed despite not being online for the majority of the time that she was with the rest of the class.\n- She went above and beyond to make sure to get the right answers to my questions if she did not know them right away, including staying late and involving other people to get the right answers.\n- I appreciated how she elaborated in lots of detail on her QAs so that I could really understand how she came to that score and how I could improve from there on out.</t>
  </si>
  <si>
    <t>Pertaining to my specific set of unusual circumstances, it would have been helpful if job shadowing was set at a specific time, planned ahead so that I could see about making it to those sessions since I was not online at that time on training days. Otherwise, I thoroughly enjoyed this style and pace of self-led training and I think that Mahalakshmi did a very good job.</t>
  </si>
  <si>
    <t>Jun 12, 2023 19:00:53</t>
  </si>
  <si>
    <t>2023-05-01</t>
  </si>
  <si>
    <t>breakout sessions, call on us for answers,</t>
  </si>
  <si>
    <t>better flow,</t>
  </si>
  <si>
    <t>Jun 12, 2023 18:59:52</t>
  </si>
  <si>
    <t>the team</t>
  </si>
  <si>
    <t>Explain more to the slower learner</t>
  </si>
  <si>
    <t>Jun 12, 2023 18:59:32</t>
  </si>
  <si>
    <t>Kristi was I believe one of the best trainers I've ever had from any company. And I've worked at many different places. She was engaging, helpful, kind, thoughtful and very intelligent. It was really hard for her to keep us engaged, but she did a fantastic job!</t>
  </si>
  <si>
    <t>Nothing, shes great!</t>
  </si>
  <si>
    <t>Jun 12, 2023 18:57:40</t>
  </si>
  <si>
    <t>2023-05-11</t>
  </si>
  <si>
    <t>she got us involved with group discussions, we practiced what was taught in class under her supervision, she asked questions regularly in class and also had tests set up to be sure we understood the training</t>
  </si>
  <si>
    <t>Jun 12, 2023 11:56:11</t>
  </si>
  <si>
    <t>Proper coordination\nGreat communication \nPerfect equality</t>
  </si>
  <si>
    <t>Covering less material per day\n</t>
  </si>
  <si>
    <t>Jun 12, 2023 10:49:49</t>
  </si>
  <si>
    <t>Active Participation, Prompt chat responses, Sufficient time provided with each learning exercises</t>
  </si>
  <si>
    <t>More detailed practice on SF, CSR Portal and other Internal tools</t>
  </si>
  <si>
    <t>Jun 12, 2023 10:23:51</t>
  </si>
  <si>
    <t>Kristi patient, always available and even went over the modules again if asked by the class.</t>
  </si>
  <si>
    <t>Everything was fine but may be more call shadowing could have helped the class even better.</t>
  </si>
  <si>
    <t>Jun 08, 2023 11:21:20</t>
  </si>
  <si>
    <t>2023-05-08</t>
  </si>
  <si>
    <t>explained the lessons clearly\nmade sure that every end of each discussion topics are well understood,\ngives knowledge check early shift or before the shift ends to make sure that lessons are remembered</t>
  </si>
  <si>
    <t>none, She did a good job!</t>
  </si>
  <si>
    <t>Jun 08, 2023 11:21:11</t>
  </si>
  <si>
    <t>the three things  facilitator  encourage me is how to be  confident,  how to be strong, and always be positive</t>
  </si>
  <si>
    <t>None because they did a great job and I'm learned from them a lot</t>
  </si>
  <si>
    <t>Jun 08, 2023 11:20:28</t>
  </si>
  <si>
    <t>Our facilitator always comes over to our stations to ensure that no one is getting left behind during discussion. She gives feedbacks with great value.</t>
  </si>
  <si>
    <t>Jun 07, 2023 17:51:24</t>
  </si>
  <si>
    <t>2023-05-04</t>
  </si>
  <si>
    <t>kind, clear explanations, help when needed</t>
  </si>
  <si>
    <t>continue to improve</t>
  </si>
  <si>
    <t>Jun 07, 2023 17:44:00</t>
  </si>
  <si>
    <t>2023-05-17</t>
  </si>
  <si>
    <t>she was there for me for any question i had, well prepared program , answering all the question</t>
  </si>
  <si>
    <t>everything on my end was ok</t>
  </si>
  <si>
    <t>Jun 07, 2023 17:41:11</t>
  </si>
  <si>
    <t>2023-06-10</t>
  </si>
  <si>
    <t>Positive, kind and generous</t>
  </si>
  <si>
    <t>nothing much</t>
  </si>
  <si>
    <t>Jun 07, 2023 17:39:55</t>
  </si>
  <si>
    <t>They were good listenner, kind and they mastered their topic, they always had a good energy and kind of bring everyone in that joy and energy and too many other things that make us feeling better ... They were just Great</t>
  </si>
  <si>
    <t>Gilisa has sometimes showed sign of impatience when we were asking her to repeat something that she already said, beside that , she's great</t>
  </si>
  <si>
    <t>Jun 07, 2023 17:38:55</t>
  </si>
  <si>
    <t>Asked a lot of engaging questions, kept the training classes fun and interesting, made sure that other class members were being proactive in participating</t>
  </si>
  <si>
    <t>Less waiting time, I felt the time between asking and answering questions took too long on occasion when waiting on answers. Provide more one-on-one training time, as I felt like practicing with other team members did not allow me to practice properly or in a way that felt helpful most of the time. Otherwise, Gilisa and Jordan were amazing trainers and exceptionally knowledgeable and very helpful throughout training. One of the best training classes I've been a part of :)</t>
  </si>
  <si>
    <t>Jun 07, 2023 17:37:05</t>
  </si>
  <si>
    <t>Very knowledgeable, pleasant and positive each and every day</t>
  </si>
  <si>
    <t>Focus more on programs and learning to navigate in between them. Explain how to use Webex Training and Teams on day one</t>
  </si>
  <si>
    <t>Jun 07, 2023 17:36:03</t>
  </si>
  <si>
    <t>Helped us find the answers instead of just giving them to us, guided us through live calls, was always very optomistic.</t>
  </si>
  <si>
    <t>More physical practice, more explanation by example instead of using online videos, less small breakout rooms.</t>
  </si>
  <si>
    <t>Jun 07, 2023 17:35:32</t>
  </si>
  <si>
    <t>Breakouts and Class practice having volunteers read in order to be involved and all learn at same pace! The call shadowing was much needed and the presentation on how to stay organized was clutch! Thanks to you all!</t>
  </si>
  <si>
    <t>Nothing! I actually loved training safe place to learn and get better everyday!</t>
  </si>
  <si>
    <t>Jun 07, 2023 17:34:56</t>
  </si>
  <si>
    <t>Our trainers were very patient with us, friendly and answered every question we had. I will miss them for sure</t>
  </si>
  <si>
    <t>On my end everything was good</t>
  </si>
  <si>
    <t>Jun 07, 2023 17:34:08</t>
  </si>
  <si>
    <t>Jun 07, 2023 17:33:57</t>
  </si>
  <si>
    <t>Give me advice, teling me that I was doing a good job and saying that I will get better</t>
  </si>
  <si>
    <t>Jun 07, 2023 17:33:56</t>
  </si>
  <si>
    <t>Explore the programs, participate, practice.</t>
  </si>
  <si>
    <t>Let us get to know eachother in training more, thats it!</t>
  </si>
  <si>
    <t>May 12, 2023 16:30:08</t>
  </si>
  <si>
    <t>2023-04-17</t>
  </si>
  <si>
    <t>She encouraged us for share our ideas with the team, practice active listening, practice Empathy, focus on communication, and be proactive.\n</t>
  </si>
  <si>
    <t>Thank you so much Hira for your Hard work and your dedication towards us.</t>
  </si>
  <si>
    <t>May 12, 2023 15:27:30</t>
  </si>
  <si>
    <t>asked us a lot of questions to push us to participate, break out session in webex and quizes</t>
  </si>
  <si>
    <t>May 12, 2023 15:18:55</t>
  </si>
  <si>
    <t>Carried everyone along, She was patient and always responded to questions</t>
  </si>
  <si>
    <t>Nothing I can think of, She did great</t>
  </si>
  <si>
    <t>May 12, 2023 15:12:08</t>
  </si>
  <si>
    <t>role play, support,</t>
  </si>
  <si>
    <t>May 12, 2023 15:10:57</t>
  </si>
  <si>
    <t>May 12, 2023 15:10:53</t>
  </si>
  <si>
    <t>May 12, 2023 15:10:41</t>
  </si>
  <si>
    <t>activities,clear understanding and discussion</t>
  </si>
  <si>
    <t>revice,knowledge pole and daily tasks</t>
  </si>
  <si>
    <t>May 12, 2023 15:08:33</t>
  </si>
  <si>
    <t>Explained well, Covered all the topics needed for the role, Walked us through the real time cases, took live calls for us to understand the environment</t>
  </si>
  <si>
    <t>It was all good.</t>
  </si>
  <si>
    <t>May 12, 2023 13:44:53</t>
  </si>
  <si>
    <t>Explain well, help whit tools</t>
  </si>
  <si>
    <t>May 12, 2023 13:37:11</t>
  </si>
  <si>
    <t>Always answered my questions in a detailed way, was very patient, Managed time quite well</t>
  </si>
  <si>
    <t>May 12, 2023 13:35:19</t>
  </si>
  <si>
    <t>May 12, 2023 13:32:21</t>
  </si>
  <si>
    <t>May 05, 2023 17:36:05</t>
  </si>
  <si>
    <t>2023-04-10</t>
  </si>
  <si>
    <t>clear communication, creating focus amongst the group, managing the group decision process</t>
  </si>
  <si>
    <t>none keep up the same</t>
  </si>
  <si>
    <t>May 05, 2023 17:34:55</t>
  </si>
  <si>
    <t>supported - acknowledged my concerns - helped me to understand</t>
  </si>
  <si>
    <t>he did well. nothing comes to my mind</t>
  </si>
  <si>
    <t>May 05, 2023 17:34:07</t>
  </si>
  <si>
    <t>He was a good listener to my questions- he went into deep details to get me understand the tools of the course- he simplified learning professionally</t>
  </si>
  <si>
    <t>He was given short time to train the team, He needed more time by the company to deliver comfortably</t>
  </si>
  <si>
    <t>May 05, 2023 17:33:41</t>
  </si>
  <si>
    <t>pleasant, clear, knows how to explain.......</t>
  </si>
  <si>
    <t>May 05, 2023 17:32:25</t>
  </si>
  <si>
    <t>answered all my question, help with any problem we had during training, gave us time to practice</t>
  </si>
  <si>
    <t>More roll play</t>
  </si>
  <si>
    <t>May 05, 2023 17:31:20</t>
  </si>
  <si>
    <t>explained things very well, made sure we understood and was patient</t>
  </si>
  <si>
    <t>May 05, 2023 17:31:10</t>
  </si>
  <si>
    <t>He stayed calm in all circumstances, lead the learning at a really good pace, started the day with a smile.</t>
  </si>
  <si>
    <t>Not sure what could have been done to improve, but perhaps someone to help him move along when people hit a wall with their tech.</t>
  </si>
  <si>
    <t>May 05, 2023 17:30:54</t>
  </si>
  <si>
    <t>take his time whit us explained everything and answer every question</t>
  </si>
  <si>
    <t>i have no complainte i loved my training</t>
  </si>
  <si>
    <t>May 05, 2023 17:30:53</t>
  </si>
  <si>
    <t>Explained quite well, was confident in his abilities and really helpful the entire time.</t>
  </si>
  <si>
    <t>i dont think he could have done anything to make it better, it was good training.</t>
  </si>
  <si>
    <t>May 05, 2023 17:30:10</t>
  </si>
  <si>
    <t>communication, gentle, very understanding</t>
  </si>
  <si>
    <t>May 05, 2023 17:29:25</t>
  </si>
  <si>
    <t>motivating, being patient, kind.!</t>
  </si>
  <si>
    <t>i think job shadowing was not enough for us we should have took more job shadowing sessions but for me I am ok since I already have the call center experience job.</t>
  </si>
  <si>
    <t>May 02, 2023 11:19:58</t>
  </si>
  <si>
    <t>2023-04-03</t>
  </si>
  <si>
    <t>She was always telling us to ask questions,She always told us not to stress everything will be fine and she explained everything for everyone</t>
  </si>
  <si>
    <t>she is perfect for me</t>
  </si>
  <si>
    <t>May 02, 2023 11:18:49</t>
  </si>
  <si>
    <t>encouraged me to speak ask questions, always listen, and give examples of scenario</t>
  </si>
  <si>
    <t>great the way it is</t>
  </si>
  <si>
    <t>May 02, 2023 11:15:38</t>
  </si>
  <si>
    <t>Motivated, explained till the time we understood the process, practicing.</t>
  </si>
  <si>
    <t>May 02, 2023 11:15:30</t>
  </si>
  <si>
    <t>1) engaging properly, 2 ) answering the questions, 3) explaining the concept</t>
  </si>
  <si>
    <t>Give more time to practice and understand, ask frequent questions</t>
  </si>
  <si>
    <t>May 02, 2023 11:15:11</t>
  </si>
  <si>
    <t>she made sure that i understood how to navigate the systems and that i understood the information before proceeding she went above and beyond.</t>
  </si>
  <si>
    <t>honestly i think we should have had more hands on practice with the system while on a call and doing one live call isn't enough for any training class other then that it went very well i was very involved and Sneha did a great job at letting us know where we could make small improvements and what not. overall great experience.</t>
  </si>
  <si>
    <t>very positive, happy to help</t>
  </si>
  <si>
    <t>less time spent on WBT, no rushing to get all objectives done in the day, less class time spent on repeating</t>
  </si>
  <si>
    <t>May 02, 2023 11:14:50</t>
  </si>
  <si>
    <t>giving time to practice what we learned, detail explanation on what was not well understood, went a good pace to understand the course.</t>
  </si>
  <si>
    <t>nothing because she was amazing.</t>
  </si>
  <si>
    <t>May 02, 2023 11:13:59</t>
  </si>
  <si>
    <t>good communication when having a question, making sure we were all paying attention by asking for reactions when asked something, constant check-ins.</t>
  </si>
  <si>
    <t>i sometimes felt like there was a sense of impatience when not understanding something quick enough, incorporate more role-play and shadowing before nesting.</t>
  </si>
  <si>
    <t>May 02, 2023 11:13:57</t>
  </si>
  <si>
    <t>explaining, practice, she always ask if we have question</t>
  </si>
  <si>
    <t>she tried her best.</t>
  </si>
  <si>
    <t>reviewed readings to make sure it was understood</t>
  </si>
  <si>
    <t>more guided time for program navigation</t>
  </si>
  <si>
    <t>May 02, 2023 11:13:43</t>
  </si>
  <si>
    <t>Polite , patience</t>
  </si>
  <si>
    <t>NOTHING</t>
  </si>
  <si>
    <t>May 02, 2023 11:12:41</t>
  </si>
  <si>
    <t>Explained everything properly, caring, friendly</t>
  </si>
  <si>
    <t>more roleplays and calls</t>
  </si>
  <si>
    <t>May 02, 2023 11:11:58</t>
  </si>
  <si>
    <t>Skill assesments and supervised, polls and quiz</t>
  </si>
  <si>
    <t>longer period of call shadowing, letting us take supervised call a lot more then just a few minutes,</t>
  </si>
  <si>
    <t>May 02, 2023 11:10:56</t>
  </si>
  <si>
    <t>Apr 24, 2023 14:12:10</t>
  </si>
  <si>
    <t>2023-03-27</t>
  </si>
  <si>
    <t>DETAILED TEACHING\nEXPLANATION\nFRIENDY</t>
  </si>
  <si>
    <t>NONE\nNONE\nNONE</t>
  </si>
  <si>
    <t>Apr 24, 2023 14:07:25</t>
  </si>
  <si>
    <t>make it easy to understand, friendly working environment, motivate, work recognition</t>
  </si>
  <si>
    <t>nothing in specific</t>
  </si>
  <si>
    <t>Apr 24, 2023 14:04:04</t>
  </si>
  <si>
    <t>2023-04-24</t>
  </si>
  <si>
    <t>Apr 24, 2023 14:02:38</t>
  </si>
  <si>
    <t>repeat and made sure we all understood</t>
  </si>
  <si>
    <t>Just do it the same way</t>
  </si>
  <si>
    <t>Apr 24, 2023 14:01:57</t>
  </si>
  <si>
    <t>Great explanation, patience and believing in me.</t>
  </si>
  <si>
    <t>I would say nothing as they were great all through</t>
  </si>
  <si>
    <t>Apr 24, 2023 14:01:20</t>
  </si>
  <si>
    <t>2023-04-27</t>
  </si>
  <si>
    <t>Provided with all the knowledge that is required, have some good practice &amp; given ample support &amp; confidence.</t>
  </si>
  <si>
    <t>Nothing much, everything is good.</t>
  </si>
  <si>
    <t>Apr 24, 2023 14:01:05</t>
  </si>
  <si>
    <t>Learning process,  encouraging and feedback</t>
  </si>
  <si>
    <t>Apr 24, 2023 14:00:51</t>
  </si>
  <si>
    <t>Explain everything in detail, demo about every tool and maintain friendly comfortable learning environment</t>
  </si>
  <si>
    <t>they are awesome nothing to change.</t>
  </si>
  <si>
    <t>Apr 21, 2023 16:30:27</t>
  </si>
  <si>
    <t>2023-04-18</t>
  </si>
  <si>
    <t>Apr 21, 2023 10:44:49</t>
  </si>
  <si>
    <t>2023-03-20</t>
  </si>
  <si>
    <t>She explained everything well if we did not understand, answered all questions</t>
  </si>
  <si>
    <t>patience - i understand it can be stressful to train however i think if she was more patient with all of us it would  be a better training experience. everyone could tell when she was loosing her patience which made me very nervous during the process</t>
  </si>
  <si>
    <t>Apr 20, 2023 18:45:12</t>
  </si>
  <si>
    <t>2023-04-20</t>
  </si>
  <si>
    <t>everything.</t>
  </si>
  <si>
    <t>everything looks good</t>
  </si>
  <si>
    <t>Apr 20, 2023 18:44:36</t>
  </si>
  <si>
    <t>Breakout session, Hot seat, Class test</t>
  </si>
  <si>
    <t>Software usage, class on how to manage calls, tips on call escalation.</t>
  </si>
  <si>
    <t>Apr 20, 2023 18:09:03</t>
  </si>
  <si>
    <t>Appreciated for tasks well done, helped to correct mistakes and showed how to handle situations.</t>
  </si>
  <si>
    <t>rather than giving break out sessions show us each SOPs and where to find what, rather than making us calls one from those days try to shadow someone with us on their work calls.</t>
  </si>
  <si>
    <t>Apr 20, 2023 16:38:09</t>
  </si>
  <si>
    <t>practice time, good trainer, get my all questions' answer</t>
  </si>
  <si>
    <t>Use demo MAC GUI next time for better knowledge</t>
  </si>
  <si>
    <t>Apr 20, 2023 15:33:30</t>
  </si>
  <si>
    <t>Apr 19, 2023 18:11:09</t>
  </si>
  <si>
    <t>2023-04-05</t>
  </si>
  <si>
    <t>Apr 19, 2023 18:00:49</t>
  </si>
  <si>
    <t>Apr 19, 2023 11:32:08</t>
  </si>
  <si>
    <t>They Said us to be Perfect Not to be fast and making mistakes</t>
  </si>
  <si>
    <t>1. They could have give us more Training 2. They could have gave us more System Practice 3. They are so fast teaching</t>
  </si>
  <si>
    <t>Apr 19, 2023 11:20:39</t>
  </si>
  <si>
    <t>2023-04-06</t>
  </si>
  <si>
    <t>The Facilitator made sure ensured everyone was carried along all through the training process, The use of Emoji's.</t>
  </si>
  <si>
    <t>Display time of break and lunch periods.</t>
  </si>
  <si>
    <t>Apr 19, 2023 11:19:32</t>
  </si>
  <si>
    <t>my facilitator make sure she take real life example, make sure i am clear about the concept, making sure my systems are working fine</t>
  </si>
  <si>
    <t>Apr 19, 2023 11:18:38</t>
  </si>
  <si>
    <t>Apr 19, 2023 11:18:08</t>
  </si>
  <si>
    <t>Nothing that I can think of at this moment  Anita was more upbeat and willing to help</t>
  </si>
  <si>
    <t>Been a little more polite with some of the agents when they were having issues \n</t>
  </si>
  <si>
    <t>Apr 19, 2023 11:18:05</t>
  </si>
  <si>
    <t>after every single topic get the chance to ask question, both trainers was really patient, explained each topic well. i can say that it was a good training than what i get for tier1</t>
  </si>
  <si>
    <t>they both are doing really well</t>
  </si>
  <si>
    <t>Apr 19, 2023 11:18:02</t>
  </si>
  <si>
    <t>active listening // answer all our questions // re-explain if requested</t>
  </si>
  <si>
    <t>---</t>
  </si>
  <si>
    <t>Apr 19, 2023 11:17:09</t>
  </si>
  <si>
    <t>They wanted us to learn well, they gave us a lot of training that we needed, they didn't waste time</t>
  </si>
  <si>
    <t>More practice, though they did give us time, we couldn't get answers to our problems easily,   Can't think of 2 others</t>
  </si>
  <si>
    <t>Apr 19, 2023 11:16:05</t>
  </si>
  <si>
    <t>Trainer encouraged questions and answered clearly, Their Knowledge of the SOPS and system was great.  Really explained TS2 in a way that was not trained previously and I am no longer intimidated by it.</t>
  </si>
  <si>
    <t>Nothing they were saints with a lot of patience with people who were struggling.</t>
  </si>
  <si>
    <t>Apr 19, 2023 11:15:02</t>
  </si>
  <si>
    <t>Lots of patience listen to Q &amp; A and helped so much to learn and grasp the info</t>
  </si>
  <si>
    <t>At the end of each day have a quiz to make sure we show what we have learned is understood</t>
  </si>
  <si>
    <t>Apr 19, 2023 11:13:26</t>
  </si>
  <si>
    <t>kind, cooperative, understanding</t>
  </si>
  <si>
    <t>they were great</t>
  </si>
  <si>
    <t>Apr 14, 2023 10:03:48</t>
  </si>
  <si>
    <t>2023-04-13</t>
  </si>
  <si>
    <t>ready to answer all questions at any given time. 2. good in explanation 3. practically showed me all that i needed</t>
  </si>
  <si>
    <t>more practiced</t>
  </si>
  <si>
    <t>Apr 13, 2023 12:39:59</t>
  </si>
  <si>
    <t>2023-03-13</t>
  </si>
  <si>
    <t>(1.) She was so opened to questions. (2) So accomodating (3) She is well versed in the training</t>
  </si>
  <si>
    <t>She did really great, put in her best to ensure that we get the training well. She can just do an overview of what will be learnt in the training ahead of time (she can have this as her personal tool for the training).</t>
  </si>
  <si>
    <t>Apr 12, 2023 18:04:27</t>
  </si>
  <si>
    <t>Actively Encouraged class participation</t>
  </si>
  <si>
    <t>na</t>
  </si>
  <si>
    <t>Apr 12, 2023 17:42:17</t>
  </si>
  <si>
    <t>Daily Quiz to catch up with class topics, always encouraging us, connecting us to call shadowing to understudy experienced agents</t>
  </si>
  <si>
    <t>more time for the training, more practices and simulations on IceBar and Genesys, more time to study SOP and training materials</t>
  </si>
  <si>
    <t>Apr 12, 2023 17:38:09</t>
  </si>
  <si>
    <t>She is always motivating us &amp; provide all the tools to handling the customers.</t>
  </si>
  <si>
    <t>She is to active, motivated, punchual.</t>
  </si>
  <si>
    <t>Apr 12, 2023 17:36:09</t>
  </si>
  <si>
    <t>supporting, allowing us to ask questions, supporting role play</t>
  </si>
  <si>
    <t>Apr 12, 2023 17:35:54</t>
  </si>
  <si>
    <t>she was very informative and understanding. Also very patient.</t>
  </si>
  <si>
    <t>Nothing the facilitator was great. Maybe more time for training. Like 6 weeks training and then 2 week nesting.</t>
  </si>
  <si>
    <t>Apr 12, 2023 17:34:26</t>
  </si>
  <si>
    <t>Very supportive and provided hands on work and activities for us to get familiar</t>
  </si>
  <si>
    <t>Nothing for me, personally I think Rowena did an amazing job! THANK YOU ROWENA! :D</t>
  </si>
  <si>
    <t>Apr 12, 2023 17:32:38</t>
  </si>
  <si>
    <t>answered questions, kind and encouraging</t>
  </si>
  <si>
    <t>share screen to show where in SOP to find things</t>
  </si>
  <si>
    <t>Nov 24, 2023 19:34:02</t>
  </si>
  <si>
    <t>She\'s knowledgable to the process, Has a long patience with us and very accommodating</t>
  </si>
  <si>
    <t>Nothing. She\'s doing great throughout the training for me.</t>
  </si>
  <si>
    <t>Nov 24, 2023 19:32:01</t>
  </si>
  <si>
    <t>She\'s knowledgable about the process, Caring and has a long patience to us</t>
  </si>
  <si>
    <t>Nov 24, 2023 19:31:04</t>
  </si>
  <si>
    <t>patience to teach, always motivate to do better and informing the areas of my improvements</t>
  </si>
  <si>
    <t>Nov 24, 2023 19:30:54</t>
  </si>
  <si>
    <t>knowledgeable</t>
  </si>
  <si>
    <t>Nov 24, 2023 19:30:26</t>
  </si>
  <si>
    <t>Nov 24, 2023 19:30:11</t>
  </si>
  <si>
    <t>2023-11-10</t>
  </si>
  <si>
    <t>motivate, opportunities</t>
  </si>
  <si>
    <t>Nov 24, 2023 19:30:02</t>
  </si>
  <si>
    <t>Nov 24, 2023 19:29:41</t>
  </si>
  <si>
    <t>2023-11-24</t>
  </si>
  <si>
    <t>NONE</t>
  </si>
  <si>
    <t>Nov 24, 2023 19:29:24</t>
  </si>
  <si>
    <t>Nov 24, 2023 19:27:26</t>
  </si>
  <si>
    <t>He\'s Very Caring, Keen to Details &amp; Lively</t>
  </si>
  <si>
    <t>Nothing. Honestly,  he\'s totally fine throughout the training.</t>
  </si>
  <si>
    <t>Nov 24, 2023 19:27:18</t>
  </si>
  <si>
    <t>Nov 24, 2023 19:27:09</t>
  </si>
  <si>
    <t>KNOWLEDGEABLE, APPRECIABLE, AND UNDERSTANDABLE</t>
  </si>
  <si>
    <t>PROVIDING PAPER REVIEWERS</t>
  </si>
  <si>
    <t>Nov 24, 2023 19:27:07</t>
  </si>
  <si>
    <t>Always be thankful for opportunities</t>
  </si>
  <si>
    <t>Nov 24, 2023 19:26:34</t>
  </si>
  <si>
    <t>Explained very well and more very good all in all.</t>
  </si>
  <si>
    <t>Nothing to say.</t>
  </si>
  <si>
    <t>Nov 24, 2023 19:25:56</t>
  </si>
  <si>
    <t>Nov 24, 2023 19:25:53</t>
  </si>
  <si>
    <t>Nov 24, 2023 19:25:51</t>
  </si>
  <si>
    <t>PROVIDING PAPERS REVIEWER</t>
  </si>
  <si>
    <t>Nov 24, 2023 19:25:13</t>
  </si>
  <si>
    <t>Providing oppurtunity so that we can improve</t>
  </si>
  <si>
    <t>Nov 24, 2023 19:24:59</t>
  </si>
  <si>
    <t>Nov 24, 2023 19:24:17</t>
  </si>
  <si>
    <t>Nov 24, 2023 19:24:10</t>
  </si>
  <si>
    <t>motivation, open opportunities</t>
  </si>
  <si>
    <t>Nov 24, 2023 19:24:05</t>
  </si>
  <si>
    <t>Nov 24, 2023 19:23:43</t>
  </si>
  <si>
    <t>Nov 24, 2023 19:23:17</t>
  </si>
  <si>
    <t>Nov 24, 2023 19:23:11</t>
  </si>
  <si>
    <t>Giving a motivation</t>
  </si>
  <si>
    <t>Nov 24, 2023 19:22:43</t>
  </si>
  <si>
    <t>The way she approach, the way she spoke with and explained the processes.</t>
  </si>
  <si>
    <t>I don\'t have anything to say as Ma\'am Ruschel is very approachable and very kind. ^_^</t>
  </si>
  <si>
    <t>Nov 24, 2023 19:22:39</t>
  </si>
  <si>
    <t>Explaining the complicated topics</t>
  </si>
  <si>
    <t>Nov 24, 2023 19:22:34</t>
  </si>
  <si>
    <t>Nov 24, 2023 19:22:22</t>
  </si>
  <si>
    <t>Always be on time.</t>
  </si>
  <si>
    <t>Nov 24, 2023 19:20:50</t>
  </si>
  <si>
    <t>Sharing experience related to the topic</t>
  </si>
  <si>
    <t>Nov 23, 2023 19:42:45</t>
  </si>
  <si>
    <t>2023-10-02</t>
  </si>
  <si>
    <t>They made sure that we know as much as we can about the process. They provided their own experience. They discussed beyond what is in the learning material.</t>
  </si>
  <si>
    <t>Nov 23, 2023 19:17:55</t>
  </si>
  <si>
    <t>They were very informative. Made sure we understood the topics. Approachable.</t>
  </si>
  <si>
    <t>It would be nice if they can be more engaged with the trainees and do more part on discussions because they are good at training :)</t>
  </si>
  <si>
    <t>Nov 23, 2023 18:53:20</t>
  </si>
  <si>
    <t>My facilitator was very attentive, they were clear with their explanations and they always provided us support.</t>
  </si>
  <si>
    <t>They can deepen their discussions further by providing info that is not in the learning material or share their own experience more, they are clear and quick with the discussion which is nice however it would be more helpful if they gave more time to explore the topics more with the trainees. Other than that everything else is good.</t>
  </si>
  <si>
    <t>Nov 23, 2023 18:33:17</t>
  </si>
  <si>
    <t>Nov 23, 2023 18:32:27</t>
  </si>
  <si>
    <t>Nov 23, 2023 18:31:51</t>
  </si>
  <si>
    <t>Nov 23, 2023 18:26:28</t>
  </si>
  <si>
    <t>sharing helpful tips, reminding of possible opportunities, optimistic\\n</t>
  </si>
  <si>
    <t>nothing, everything is fine</t>
  </si>
  <si>
    <t>Nov 23, 2023 18:24:58</t>
  </si>
  <si>
    <t>cheerful and positive during coaching, reminding of possible opportunities, sharing techniques\\n</t>
  </si>
  <si>
    <t>nothing, everything is fine\\n</t>
  </si>
  <si>
    <t>Nov 23, 2023 18:23:28</t>
  </si>
  <si>
    <t>addressing our confusion, reminding of possible opportunities, sharing techniques</t>
  </si>
  <si>
    <t>Nov 10, 2023 18:14:02</t>
  </si>
  <si>
    <t>2023-10-18</t>
  </si>
  <si>
    <t>Sneha is very informative as well, very nice. I love how she&amp;#92;\'s so patient with us whenever we don&amp;#92;\'t speak. Also, she&amp;#92;\'s a liitle bit strict which is great because it makes us do better. Hardworking and is very cool as well &gt;,&lt; always laugh and smiling~</t>
  </si>
  <si>
    <t>She\'s great!</t>
  </si>
  <si>
    <t>Nov 10, 2023 17:54:37</t>
  </si>
  <si>
    <t>2023-09-18</t>
  </si>
  <si>
    <t>Oh Maria is my favorite trainer!! I love how she always laugh and do exercise and is very very kind to all of us. She also makes the environment feels light that encourages me to participate and go to work. Second, Maria is always there whenever we have questions, she always answer all of it and is very informative as well!! Lastly, Maria is always patient and coool. Very cool trainer, I love it.</t>
  </si>
  <si>
    <t>SHE DID GREAT, THERE\'S NOTHING SHE COULD DO BETTER!!</t>
  </si>
  <si>
    <t>Nov 10, 2023 17:51:14</t>
  </si>
  <si>
    <t>She\'s also quite strict, but it was still good because it will encourage you to do more, very approachable and caring.</t>
  </si>
  <si>
    <t>No comments, because she\'s already good.</t>
  </si>
  <si>
    <t>Nov 10, 2023 17:50:25</t>
  </si>
  <si>
    <t>WHAT I LOVE MARIA IS THAT SHE IS BEING HERSELF, IT MAKES ME HAPPY WHEN SHE IS PRESENT. SHE IS JOYFUL AND GOOD AT ENTERTAINING US TO AVOID BEING BORED IN THIS PROCESS. SHE MOTIVATE ME ALWAYS, SPECIALLY TO MY QA\'S. SHE APPROACH ME WHEN I AM NOT FEELING WELL. SHE ALSO LOVE TAYLOR SWIFT</t>
  </si>
  <si>
    <t>Nov 10, 2023 17:50:18</t>
  </si>
  <si>
    <t>Really knows what her doing. Good support. Answer all inquiries.</t>
  </si>
  <si>
    <t>be patient to the manila folks since we really have slow internet connection and we are thinking of answers when we are asked. Aside from that, no issues. Visit us.</t>
  </si>
  <si>
    <t>Nov 10, 2023 17:50:00</t>
  </si>
  <si>
    <t>She encourage me to how I can handle the call effectively, provide advises on how I can manage customer\'s concern and help me to manage my metrics (QA Score, AHT, Hold time).</t>
  </si>
  <si>
    <t>She could improve on how she provide information to agents/newbies.</t>
  </si>
  <si>
    <t>Nov 10, 2023 17:49:17</t>
  </si>
  <si>
    <t>Quite strict for my own perspective, but that was good because it will make you do more and go beyond your knowledge, she\'s also approachable and very caring.</t>
  </si>
  <si>
    <t>She\'s already good, no comments.</t>
  </si>
  <si>
    <t>always smile , be professional , do your best</t>
  </si>
  <si>
    <t>none , she give me a lot of tips to be better on the call.</t>
  </si>
  <si>
    <t>Nov 10, 2023 17:48:51</t>
  </si>
  <si>
    <t>Motivate, Engage, and help me passed the metrics</t>
  </si>
  <si>
    <t>Visit the Philippines :D</t>
  </si>
  <si>
    <t>Nov 10, 2023 17:48:40</t>
  </si>
  <si>
    <t>Nov 10, 2023 17:48:36</t>
  </si>
  <si>
    <t>First Gilisa always approach us in the most kindest and gentle way but enough for us to do better whenever we are doing something wrong or on coaching which encouraged me to do my best so reciprocate. Second, Gilisa always smiles and laugh that makes the environment feels light and actually encouraged me to go to work everyday. Lastly, very informative whenever we are asking something we do not know or is not clear, she always explains it in a way that we are going to understand it better which I honestly like the most when it comes to Gilisa.</t>
  </si>
  <si>
    <t>I think she did everything well :&gt;</t>
  </si>
  <si>
    <t>Nov 10, 2023 17:48:11</t>
  </si>
  <si>
    <t>Nov 10, 2023 17:47:44</t>
  </si>
  <si>
    <t>She is a great facilitator especially in giving feedback and make the training more interactive</t>
  </si>
  <si>
    <t>Longer time for role play\\nVisit Philippines\\nThat\'s all</t>
  </si>
  <si>
    <t>Nov 10, 2023 17:47:35</t>
  </si>
  <si>
    <t>provide a really good support. Very encouraging. Answer all the inquiries. Really patient</t>
  </si>
  <si>
    <t>Visit us here in the Philippines. Stay strong with the ice breaker. I can\'t think of anything that the facilitator can do differently next time.</t>
  </si>
  <si>
    <t>Nov 10, 2023 17:47:29</t>
  </si>
  <si>
    <t>Nov 10, 2023 17:47:28</t>
  </si>
  <si>
    <t>Nov 10, 2023 17:46:51</t>
  </si>
  <si>
    <t>SHE SHARED HER TECHNIQUES, SHE IS EAGER  TO TEACH US EVEN IN THE MIDST OF  PROBLEM AND I REALLY LIKE ABOUT HER IS SHE IS ALWAYS PRESENT. i ALSO LOVE ABOUT HER IS SHE TALK ABOUT HER CULTURE , SUCH WHAT SHE LIKES , WHERE SHE GO AND WHAT SHE DID AND SO ON</t>
  </si>
  <si>
    <t>PLEASE SPEAK SLOWER SNEHA.</t>
  </si>
  <si>
    <t>Nov 10, 2023 17:46:29</t>
  </si>
  <si>
    <t>Advices like used the mistakes as strength for you to do more be better, not all days are for you but always do your best despite the difficulties, always encourage us that even do we made a mistake today there\'s a room for improvement.</t>
  </si>
  <si>
    <t>None, because she\'s already the best and good for her position.</t>
  </si>
  <si>
    <t>Nov 10, 2023 17:46:28</t>
  </si>
  <si>
    <t>always smile , be professional , do your best.</t>
  </si>
  <si>
    <t>Nov 10, 2023 17:45:59</t>
  </si>
  <si>
    <t>Longer time for role play\\nVisit Philippines\\nthat\'s all</t>
  </si>
  <si>
    <t>Nov 10, 2023 17:45:49</t>
  </si>
  <si>
    <t>Go to the Philippines :D</t>
  </si>
  <si>
    <t>Nov 10, 2023 17:45:22</t>
  </si>
  <si>
    <t>she was great, very helpful, and she make sure that, they are there to help you.</t>
  </si>
  <si>
    <t>Its all perfect!</t>
  </si>
  <si>
    <t>Nov 10, 2023 17:44:48</t>
  </si>
  <si>
    <t>the facilitator was really engaging. Smiles a lot. Provide answers to inquiries.</t>
  </si>
  <si>
    <t>For me, the facilitator a did a great job. I can\'t think of anything that the facilitator can do differently next time.</t>
  </si>
  <si>
    <t>Nov 10, 2023 17:44:44</t>
  </si>
  <si>
    <t>Nov 10, 2023 17:43:45</t>
  </si>
  <si>
    <t>Nov 10, 2023 17:43:35</t>
  </si>
  <si>
    <t>ENTERTAINING US , MOTIVATING US AND TEACH US THE PROPER WAY.  WHAT I LIIKE ABOUT GILISA , ASIDE FROM HER HAIR IS THE WAY SHE TEACH US, SHE\'S JOLLY AND EACH TO UNDERSTAND WITH.</t>
  </si>
  <si>
    <t>Oct 31, 2023 12:33:28</t>
  </si>
  <si>
    <t>Ottawa, ON</t>
  </si>
  <si>
    <t>2023-10-31</t>
  </si>
  <si>
    <t>1- share her own experiences with is\\n2- answer all questions\\n3- Take time to explain and do revisions of the previous day every morning</t>
  </si>
  <si>
    <t>Make sure learners do more practice and learn about the system they will be working with before going to the field.</t>
  </si>
  <si>
    <t>Dec 01, 2023 15:18:17</t>
  </si>
  <si>
    <t>2023-11-20</t>
  </si>
  <si>
    <t>patience, deep understanding about HomeTrust systems and great instruction methods,</t>
  </si>
  <si>
    <t>more call shadowing time, better training materials and better IT infrastructure.</t>
  </si>
  <si>
    <t>Dec 01, 2023 14:45:54</t>
  </si>
  <si>
    <t>Shared experiences, given important tips and given motivation for doing well in future.</t>
  </si>
  <si>
    <t>Divide the material into manageable small portions over the entire training period so that we don\'t feel overwhelmed by the amount of information given to us.</t>
  </si>
  <si>
    <t>Oct 13, 2023 14:53:24</t>
  </si>
  <si>
    <t>listen, answer, deliver</t>
  </si>
  <si>
    <t>There is not really a anything that she should change!!!</t>
  </si>
  <si>
    <t>Oct 13, 2023 14:53:02</t>
  </si>
  <si>
    <t>Other</t>
  </si>
  <si>
    <t>Engagement, interaction with the class throughout course, clarifying when needed and making sure we understand concepts before moving on to the next.</t>
  </si>
  <si>
    <t>I think she did extremely well. She met everyone at the level they were on and worked with us all to prepare us for the position!</t>
  </si>
  <si>
    <t>2023-10-13</t>
  </si>
  <si>
    <t>provided plenty of opportunities to ask questions, was very receptive and approachable</t>
  </si>
  <si>
    <t>no complaints - facilitator was great. My hardware however has been a bit of a circus. We are at the end of second week and I have yet to receive everything needed to operate</t>
  </si>
  <si>
    <t>Aug 11, 2023 10:32:40</t>
  </si>
  <si>
    <t>2023-08-01</t>
  </si>
  <si>
    <t>Debbie is very kind, easy to speak to and also advises that no question is stupid.</t>
  </si>
  <si>
    <t>More visual aides, slowing down on her slides. MORE hand outs. I am a very visual person and learn better with more hands on. Maybe have us read the slides and material ourselves and then when we are done, she could have a discussion with us on the material.</t>
  </si>
  <si>
    <t>Aug 11, 2023 10:32:15</t>
  </si>
  <si>
    <t>she was willing to answer questions</t>
  </si>
  <si>
    <t>slower, talk less, let us speak to other agent when shadowing calls rather than chatting most of the time about personal things, also the training was so scattered that we had a very hard time retaining anything. Also notice we didnt follow our training breaks and instead were going 2 hours or more at a time without breaks, during training I find that to be hard mentally. We had a super lack of visual aides (screenshots of steps during her slides). Overall it wasn't one of my favorite training programs at all. She was kind though.</t>
  </si>
  <si>
    <t>Jun 23, 2023 13:42:11</t>
  </si>
  <si>
    <t>2023-06-12</t>
  </si>
  <si>
    <t>Freedom to ask any questions; good communication, well organized</t>
  </si>
  <si>
    <t>more practice with the materiel and the system</t>
  </si>
  <si>
    <t>Jun 23, 2023 13:40:19</t>
  </si>
  <si>
    <t>kept checking in with us to make sure we understood the material. encouraged asking any and all questions. was warm and friendly which made training fun and welcoming.</t>
  </si>
  <si>
    <t>Nothing. I thought she was excellent. One of the best trainers I've had. Excellent training flow and excellent Home Trust knowledge!!!</t>
  </si>
  <si>
    <t>Apr 17, 2023 09:21:14</t>
  </si>
  <si>
    <t>Motivated us. \nEquipped us with information and made sure we had answers to all our questions.\nMade sure we were comfortable with the pace and understood.</t>
  </si>
  <si>
    <t>Apr 17, 2023 09:17:27</t>
  </si>
  <si>
    <t>more practice less theory</t>
  </si>
  <si>
    <t>Apr 14, 2023 16:11:37</t>
  </si>
  <si>
    <t>Not giving up, checking in on me and listening to my concerns without holding it against me.</t>
  </si>
  <si>
    <t>Lingo for PC related things (not a big problem but did question some terms she used being a PC user that confused me. EX: She said page "flipped" but it "refreshed/reloaded". Adding a ton of things on at the end of the day which might seem like minor things to her but for a new person are VERY overwhelming because it is end of the day and we're exhausted and finally just mixing names up haha Sometimes she would call a fellow trainee my name and vice versa which caused some confusion when it came to things being available and requested for each of us.</t>
  </si>
  <si>
    <t>Good listener, answered all my questions and gave me space to present my doughts.\\nUsed good visuals and real case scenarios.</t>
  </si>
  <si>
    <t>Have more reallife case practice,\\nThis one is not for the trainer but for the line- system could be updated/ have more information.</t>
  </si>
  <si>
    <t>explain to us the documentation is continuously been updated. so the course was easier to understand cause it was also meaning what we are been told might also change in the next day.</t>
  </si>
  <si>
    <t>Maybe understanding not everyone have been using the same tool for other contract. some where equiped while some other not.</t>
  </si>
  <si>
    <t>Scavenger hunt\\nGive scenarios\\nAsk questions back.</t>
  </si>
  <si>
    <t>More hands on material with more visuals to display what operating on a call live is like.</t>
  </si>
  <si>
    <t>SHE MOTIVATES ME , SHE BELIEVES ON ME , AND LASTLY SHE WANT ME TO FEEL THAT NO MATTER HOW HARD IT IS SHE IS HERE TO ASSIST ME</t>
  </si>
  <si>
    <t>MS.KATE IS THE BEST , SHE DO WELL</t>
  </si>
  <si>
    <t>THE FACILITATOR GIVE ME A TIME TO UNDERSTAND EVERY CONCERN OF THE PCH , SHE ALWAYS PROVIDES BETTER UNDERSTANDING AND MOTIVATING ME TO WORK HARD TO  THE THINGS THAT I CAN , SHE MOTIVATE ME IN EVERYDAY BASIS</t>
  </si>
  <si>
    <t>NOTHING , MS KRISTI IS SUCH A GOOD TRAINER , SHE IS THE BEST</t>
  </si>
  <si>
    <t>she\'s telling us feedback what are the things we can do to improve what we learned during training process and also during our nesting period.</t>
  </si>
  <si>
    <t>overall she did a great job thank you for teaching us.</t>
  </si>
  <si>
    <t>she\'s helping me to have a confidence in myself , she\'s also trying to elaborate the topics for us so that we can also understand  better ,</t>
  </si>
  <si>
    <t>maybe just for the pace of the topic it might be little fast but overall she did a great job and we appreciate a lot.</t>
  </si>
  <si>
    <t>always giving me time to think first. boosting my confidence. always says that i can do it.</t>
  </si>
  <si>
    <t>make sure that all the trainees can participate.</t>
  </si>
  <si>
    <t>always ready to answer the questions i have. boosting my confidence. giving me the chance to prove myself that i can.</t>
  </si>
  <si>
    <t>should handle the first impression better next time :p</t>
  </si>
  <si>
    <t>She makes sure that everyone already understand the topic before proceeding with the next one.\\nShe always makes sure that all our question will be answered.\\nShe\'s very patient with us.</t>
  </si>
  <si>
    <t>She\'s already doing great.........</t>
  </si>
  <si>
    <t>She\'s always making sure that all of our questions will be answered before we proceed with the next topic.</t>
  </si>
  <si>
    <t>They can do some engagement like a little game so that the agents will not sleepy during training.</t>
  </si>
  <si>
    <t>mock calls, taking a call with the teacher helping me in class, job shadowing - teacher was very understanding and encouraging</t>
  </si>
  <si>
    <t>go at a slower pace with more complicated topics</t>
  </si>
  <si>
    <t>very supportive,and also clarifying all the doubts.</t>
  </si>
  <si>
    <t>Overcome Fear , going above and beyond to explain thoroughly , super friendly</t>
  </si>
  <si>
    <t>more practical knowledge is required rather than just theoretical sessions</t>
  </si>
  <si>
    <t>more activities</t>
  </si>
  <si>
    <t>everything good</t>
  </si>
  <si>
    <t>Created positive environment to ask questions\\nEncouraged to ask questions\\n</t>
  </si>
  <si>
    <t>encouragement, tried to answer questions to the best of her abilities, patient to an extent.</t>
  </si>
  <si>
    <t>Nothing to do with the facilitator, but this is a lot of information to take in.</t>
  </si>
  <si>
    <t>encouraged us, ask as many question as we can, to follow sobs</t>
  </si>
  <si>
    <t>give us more time, material is heavy it require more time, give more call shadowing</t>
  </si>
  <si>
    <t>Maida is knowledgeable and kind. She explained things clearly, and provided us with a good knowledge base to move into FSA.</t>
  </si>
  <si>
    <t>Try and involve the more quiet people in the group. Get a better handle on managing the class, some participants took over and really made it difficult to stay on track.</t>
  </si>
  <si>
    <t>She is very knowledgeable and provided activities for practice and time for questions.  She gave demonstrations to help enhance the training experience, and again answered question for better understanding.  She gave the opportunity for the class to shadow a seasoned member on real time calls - very helpful.  Lots of notes provided to assist when going into nesting.</t>
  </si>
  <si>
    <t>1. Possibly more scenarios to practice, good for more hands-on learners. 2. Some fun game activities related to the curriculum, get everyone engaged and have a little fun as there is a lot of information to take in.  3.  I cannot think of a third thing!</t>
  </si>
  <si>
    <t>went over everything, explained it well and made sure to answer any and all questions we had.</t>
  </si>
  <si>
    <t>nothing that I can think of, honestly I know 10 days seems a lot but it\'s just a lot of new information to take in. Otherwise Maida was a great trainer! :)</t>
  </si>
  <si>
    <t>Debriefs after the self-learning modules, sharing her screen and taking us through the different steps, feedback on our work (breakout sessions)</t>
  </si>
  <si>
    <t>Nothing. However, my comment is for the training organizers. The Training was too condensed for the number of days allocated, a lot of the topics were new and complex. It could have been a few days longer (2-3 days) before Nesting.</t>
  </si>
  <si>
    <t>More hands on experience</t>
  </si>
  <si>
    <t>Training should be little bit lenthier so participant can do more practice and get more confortable</t>
  </si>
  <si>
    <t>Streach the programme if you can  , you were already very helpful that is good i feel that only</t>
  </si>
  <si>
    <t>Maida is a great trainer! She went over the material well, answered all questions asked &amp; made us feel comfortable during training.</t>
  </si>
  <si>
    <t>Maybe slow the pace down a bit.....But other then that I cannot think of anything else.</t>
  </si>
  <si>
    <t>Provides activities which helped a lot to understand the codes related to fraud</t>
  </si>
  <si>
    <t>she was friendly, very informative, well educated.</t>
  </si>
  <si>
    <t>try to get us more time to practice but because we were a big group so many tech issues happened during the period of training..</t>
  </si>
  <si>
    <t>answered all questions</t>
  </si>
  <si>
    <t>group mock calls, thats it</t>
  </si>
  <si>
    <t>Class Start Date</t>
  </si>
  <si>
    <t>Trainer Name</t>
  </si>
  <si>
    <t>Number of Agent Transition to Nesting</t>
  </si>
  <si>
    <t>PCB AML</t>
  </si>
  <si>
    <t>CASL</t>
  </si>
  <si>
    <t>AODA</t>
  </si>
  <si>
    <t>Health and Safety</t>
  </si>
  <si>
    <t>WHMIS</t>
  </si>
  <si>
    <t>Violence &amp; Harassment</t>
  </si>
  <si>
    <t>Violence &amp; Harassment Quiz</t>
  </si>
  <si>
    <t>Insider Fraud</t>
  </si>
  <si>
    <t>Privacy &amp; Security</t>
  </si>
  <si>
    <t>Seniors Fraud</t>
  </si>
  <si>
    <t>Compliance Coaching</t>
  </si>
  <si>
    <t>Complaint Management</t>
  </si>
  <si>
    <t>Corporate Policy</t>
  </si>
  <si>
    <t>Human Rights</t>
  </si>
  <si>
    <t>Total</t>
  </si>
  <si>
    <t>Last day in Training</t>
  </si>
  <si>
    <t>STephany Chavez</t>
  </si>
  <si>
    <t>7.17.2023</t>
  </si>
  <si>
    <t>08/15/2023</t>
  </si>
  <si>
    <t>5.4.2023</t>
  </si>
  <si>
    <t>11.27.2023</t>
  </si>
  <si>
    <t>12/13/2023</t>
  </si>
  <si>
    <t>Sum of Number of Agent Transition to Nesting</t>
  </si>
  <si>
    <t>Sum of Total</t>
  </si>
  <si>
    <t>Bib Alli</t>
  </si>
  <si>
    <t>Catherine Saigo2</t>
  </si>
  <si>
    <t>Row Labels</t>
  </si>
  <si>
    <t>Average of Test Avg</t>
  </si>
  <si>
    <t>Average of Attrition Class</t>
  </si>
  <si>
    <t>Average of Attrition Nesting</t>
  </si>
  <si>
    <t>Average of QA Avg</t>
  </si>
  <si>
    <t>Average of Attrition less Terms</t>
  </si>
  <si>
    <t>Observation 1</t>
  </si>
  <si>
    <t>Observation 2</t>
  </si>
  <si>
    <t>Observation 3</t>
  </si>
  <si>
    <t>Observation 4</t>
  </si>
  <si>
    <t>Observation 5</t>
  </si>
  <si>
    <t>LOA</t>
  </si>
  <si>
    <t>NEW ROLE</t>
  </si>
  <si>
    <t>NEW LOB</t>
  </si>
  <si>
    <t>Count of PCB AML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</si>
</sst>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quot;* #,##0.00_);_(&quot;$&quot;* \(#,##0.00\);_(&quot;$&quot;* &quot;-&quot;??_);_(@_)"/>
  </numFmts>
  <fonts count="22">
    <font>
      <sz val="11"/>
      <color theme="1"/>
      <name val="Franklin Gothic Book"/>
      <family val="2"/>
      <scheme val="minor"/>
    </font>
    <font>
      <sz val="10"/>
      <color theme="1"/>
      <name val="Franklin Gothic Book"/>
      <family val="2"/>
      <scheme val="minor"/>
    </font>
    <font>
      <sz val="10"/>
      <color theme="1"/>
      <name val="Franklin Gothic Book"/>
      <family val="2"/>
      <scheme val="minor"/>
    </font>
    <font>
      <sz val="11"/>
      <color rgb="FFFFC000"/>
      <name val="Franklin Gothic Book"/>
      <family val="2"/>
      <scheme val="minor"/>
    </font>
    <font>
      <sz val="18"/>
      <color theme="0"/>
      <name val="Franklin Gothic Book"/>
      <family val="2"/>
      <scheme val="minor"/>
    </font>
    <font>
      <b/>
      <sz val="18"/>
      <color theme="3" tint="0.79998168889431442"/>
      <name val="Constantia"/>
      <family val="1"/>
      <scheme val="major"/>
    </font>
    <font>
      <sz val="11"/>
      <color theme="1"/>
      <name val="Franklin Gothic Book"/>
      <family val="2"/>
      <scheme val="minor"/>
    </font>
    <font>
      <sz val="11"/>
      <name val="Daytona"/>
      <family val="2"/>
    </font>
    <font>
      <sz val="11"/>
      <color rgb="FF000000"/>
      <name val="Daytona"/>
      <family val="2"/>
    </font>
    <font>
      <sz val="8"/>
      <name val="Franklin Gothic Book"/>
      <family val="2"/>
      <scheme val="minor"/>
    </font>
    <font>
      <b/>
      <sz val="11"/>
      <color rgb="FF000000"/>
      <name val="Calibri"/>
      <family val="2"/>
    </font>
    <font>
      <sz val="11"/>
      <color rgb="FF000000"/>
      <name val="Calibri"/>
      <family val="2"/>
    </font>
    <font>
      <b/>
      <sz val="11"/>
      <color theme="1"/>
      <name val="Franklin Gothic Book"/>
      <family val="2"/>
      <scheme val="minor"/>
    </font>
    <font>
      <sz val="11"/>
      <color theme="1"/>
      <name val="Daytona"/>
      <family val="2"/>
    </font>
    <font>
      <sz val="11"/>
      <color theme="0"/>
      <name val="Franklin Gothic Book"/>
      <family val="2"/>
      <scheme val="minor"/>
    </font>
    <font>
      <sz val="11"/>
      <color rgb="FF000000"/>
      <name val="Franklin Gothic Book"/>
      <family val="2"/>
      <scheme val="minor"/>
    </font>
    <font>
      <sz val="10"/>
      <color rgb="FF000000"/>
      <name val="Franklin Gothic Book"/>
      <family val="2"/>
      <scheme val="minor"/>
    </font>
    <font>
      <sz val="11"/>
      <name val="Franklin Gothic Book"/>
      <family val="2"/>
      <scheme val="minor"/>
    </font>
    <font>
      <sz val="11"/>
      <color rgb="FF006100"/>
      <name val="Franklin Gothic Book"/>
      <family val="2"/>
      <scheme val="minor"/>
    </font>
    <font>
      <sz val="11"/>
      <color rgb="FF9C0006"/>
      <name val="Franklin Gothic Book"/>
      <family val="2"/>
      <scheme val="minor"/>
    </font>
    <font>
      <sz val="10"/>
      <name val="Franklin Gothic Book"/>
      <family val="2"/>
      <scheme val="minor"/>
    </font>
    <font>
      <sz val="11"/>
      <color rgb="FF000000"/>
      <name val="Calibri"/>
      <family val="2"/>
      <charset val="1"/>
    </font>
  </fonts>
  <fills count="16">
    <fill>
      <patternFill patternType="none"/>
    </fill>
    <fill>
      <patternFill patternType="gray125"/>
    </fill>
    <fill>
      <patternFill patternType="solid">
        <fgColor theme="3" tint="-0.249977111117893"/>
        <bgColor indexed="64"/>
      </patternFill>
    </fill>
    <fill>
      <patternFill patternType="solid">
        <fgColor rgb="FFFFFFFF"/>
        <bgColor rgb="FF000000"/>
      </patternFill>
    </fill>
    <fill>
      <patternFill patternType="solid">
        <fgColor theme="3" tint="0.79998168889431442"/>
        <bgColor rgb="FF000000"/>
      </patternFill>
    </fill>
    <fill>
      <patternFill patternType="solid">
        <fgColor theme="3" tint="0.79998168889431442"/>
        <bgColor indexed="64"/>
      </patternFill>
    </fill>
    <fill>
      <patternFill patternType="solid">
        <fgColor theme="0"/>
        <bgColor indexed="64"/>
      </patternFill>
    </fill>
    <fill>
      <patternFill patternType="solid">
        <fgColor rgb="FFBFB9B9"/>
        <bgColor rgb="FF000000"/>
      </patternFill>
    </fill>
    <fill>
      <patternFill patternType="solid">
        <fgColor theme="0" tint="-0.14999847407452621"/>
        <bgColor indexed="64"/>
      </patternFill>
    </fill>
    <fill>
      <patternFill patternType="solid">
        <fgColor theme="0" tint="-0.249977111117893"/>
        <bgColor indexed="64"/>
      </patternFill>
    </fill>
    <fill>
      <patternFill patternType="solid">
        <fgColor theme="3"/>
        <bgColor indexed="64"/>
      </patternFill>
    </fill>
    <fill>
      <patternFill patternType="solid">
        <fgColor theme="0" tint="-4.9989318521683403E-2"/>
        <bgColor indexed="64"/>
      </patternFill>
    </fill>
    <fill>
      <patternFill patternType="solid">
        <fgColor theme="0" tint="-0.249977111117893"/>
        <bgColor rgb="FF000000"/>
      </patternFill>
    </fill>
    <fill>
      <patternFill patternType="solid">
        <fgColor rgb="FFC6EFCE"/>
      </patternFill>
    </fill>
    <fill>
      <patternFill patternType="solid">
        <fgColor rgb="FFFFC7CE"/>
      </patternFill>
    </fill>
    <fill>
      <patternFill patternType="solid">
        <fgColor rgb="FFBAF7C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3"/>
      </left>
      <right style="thin">
        <color theme="6" tint="0.59996337778862885"/>
      </right>
      <top style="thin">
        <color theme="6" tint="0.59996337778862885"/>
      </top>
      <bottom style="thin">
        <color theme="6" tint="0.59996337778862885"/>
      </bottom>
      <diagonal/>
    </border>
    <border>
      <left style="thin">
        <color theme="3"/>
      </left>
      <right style="thin">
        <color theme="5" tint="0.59996337778862885"/>
      </right>
      <top/>
      <bottom style="thin">
        <color theme="3"/>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rgb="FFDCDCDC"/>
      </left>
      <right style="thin">
        <color rgb="FFDCDCDC"/>
      </right>
      <top/>
      <bottom style="thin">
        <color rgb="FFDCDCDC"/>
      </bottom>
      <diagonal/>
    </border>
    <border>
      <left style="thin">
        <color indexed="64"/>
      </left>
      <right style="thin">
        <color indexed="64"/>
      </right>
      <top/>
      <bottom style="thin">
        <color indexed="64"/>
      </bottom>
      <diagonal/>
    </border>
  </borders>
  <cellStyleXfs count="5">
    <xf numFmtId="0" fontId="0" fillId="0" borderId="0"/>
    <xf numFmtId="9" fontId="6" fillId="0" borderId="0" applyFont="0" applyFill="0" applyBorder="0" applyAlignment="0" applyProtection="0"/>
    <xf numFmtId="0" fontId="11" fillId="0" borderId="0"/>
    <xf numFmtId="0" fontId="18" fillId="13" borderId="0" applyNumberFormat="0" applyBorder="0" applyAlignment="0" applyProtection="0"/>
    <xf numFmtId="0" fontId="19" fillId="14" borderId="0" applyNumberFormat="0" applyBorder="0" applyAlignment="0" applyProtection="0"/>
  </cellStyleXfs>
  <cellXfs count="125">
    <xf numFmtId="0" fontId="0" fillId="0" borderId="0" xfId="0"/>
    <xf numFmtId="0" fontId="2" fillId="0" borderId="0" xfId="0" applyFont="1"/>
    <xf numFmtId="0" fontId="2" fillId="0" borderId="0" xfId="0" applyFont="1" applyAlignment="1">
      <alignment horizontal="left" indent="1"/>
    </xf>
    <xf numFmtId="0" fontId="0" fillId="0" borderId="0" xfId="0" applyAlignment="1">
      <alignment horizontal="center" vertical="center"/>
    </xf>
    <xf numFmtId="9" fontId="0" fillId="0" borderId="0" xfId="0" applyNumberFormat="1" applyAlignment="1">
      <alignment horizontal="center" vertical="center"/>
    </xf>
    <xf numFmtId="0" fontId="3" fillId="2" borderId="0" xfId="0" applyFont="1" applyFill="1" applyAlignment="1">
      <alignment horizontal="left" indent="1"/>
    </xf>
    <xf numFmtId="0" fontId="4" fillId="2" borderId="0" xfId="0" applyFont="1" applyFill="1" applyAlignment="1">
      <alignment horizontal="left" vertical="top" indent="1"/>
    </xf>
    <xf numFmtId="0" fontId="5" fillId="2" borderId="0" xfId="0" applyFont="1" applyFill="1" applyAlignment="1">
      <alignment horizontal="left" indent="1"/>
    </xf>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1" xfId="0" applyBorder="1"/>
    <xf numFmtId="0" fontId="7" fillId="0" borderId="1" xfId="0" applyFont="1" applyBorder="1" applyAlignment="1">
      <alignment wrapText="1"/>
    </xf>
    <xf numFmtId="0" fontId="7" fillId="3" borderId="1" xfId="0" applyFont="1" applyFill="1" applyBorder="1" applyAlignment="1">
      <alignment wrapText="1"/>
    </xf>
    <xf numFmtId="0" fontId="8" fillId="0" borderId="1" xfId="0" applyFont="1" applyBorder="1"/>
    <xf numFmtId="9" fontId="1" fillId="0" borderId="0" xfId="0" applyNumberFormat="1" applyFont="1" applyAlignment="1">
      <alignment horizontal="center" vertical="center"/>
    </xf>
    <xf numFmtId="0" fontId="8" fillId="0" borderId="1" xfId="0" applyFont="1" applyBorder="1" applyAlignment="1">
      <alignment vertical="center"/>
    </xf>
    <xf numFmtId="0" fontId="8" fillId="4" borderId="1" xfId="0" applyFont="1" applyFill="1" applyBorder="1"/>
    <xf numFmtId="9" fontId="1" fillId="5" borderId="0" xfId="0" applyNumberFormat="1" applyFont="1" applyFill="1" applyAlignment="1">
      <alignment horizontal="center" vertical="center"/>
    </xf>
    <xf numFmtId="0" fontId="7" fillId="4" borderId="1" xfId="0" applyFont="1" applyFill="1" applyBorder="1" applyAlignment="1">
      <alignment wrapText="1"/>
    </xf>
    <xf numFmtId="0" fontId="7" fillId="4" borderId="0" xfId="0" applyFont="1" applyFill="1" applyAlignment="1">
      <alignment wrapText="1"/>
    </xf>
    <xf numFmtId="0" fontId="0" fillId="0" borderId="1" xfId="0" applyBorder="1" applyAlignment="1">
      <alignment horizontal="center"/>
    </xf>
    <xf numFmtId="9" fontId="0" fillId="0" borderId="1" xfId="0" applyNumberFormat="1" applyBorder="1"/>
    <xf numFmtId="9" fontId="0" fillId="0" borderId="0" xfId="1" applyFont="1"/>
    <xf numFmtId="10" fontId="0" fillId="0" borderId="1" xfId="1" applyNumberFormat="1" applyFont="1" applyBorder="1"/>
    <xf numFmtId="10" fontId="0" fillId="0" borderId="0" xfId="1" applyNumberFormat="1" applyFont="1"/>
    <xf numFmtId="0" fontId="0" fillId="0" borderId="1" xfId="0" applyBorder="1" applyAlignment="1">
      <alignment horizontal="center" wrapText="1"/>
    </xf>
    <xf numFmtId="0" fontId="1" fillId="0" borderId="0" xfId="0" applyFont="1"/>
    <xf numFmtId="0" fontId="1" fillId="0" borderId="0" xfId="0" applyFont="1" applyAlignment="1">
      <alignment horizontal="left" indent="1"/>
    </xf>
    <xf numFmtId="0" fontId="1" fillId="2" borderId="0" xfId="0" applyFont="1" applyFill="1" applyAlignment="1">
      <alignment horizontal="left" indent="1"/>
    </xf>
    <xf numFmtId="0" fontId="1" fillId="2" borderId="0" xfId="0" applyFont="1" applyFill="1"/>
    <xf numFmtId="14" fontId="0" fillId="6" borderId="2" xfId="0" applyNumberFormat="1" applyFill="1" applyBorder="1" applyAlignment="1" applyProtection="1">
      <alignment horizontal="left"/>
      <protection locked="0"/>
    </xf>
    <xf numFmtId="0" fontId="11" fillId="0" borderId="0" xfId="0" applyFont="1" applyAlignment="1">
      <alignment wrapText="1"/>
    </xf>
    <xf numFmtId="0" fontId="0" fillId="0" borderId="0" xfId="0" pivotButton="1"/>
    <xf numFmtId="0" fontId="0" fillId="0" borderId="0" xfId="0" applyAlignment="1">
      <alignment horizontal="left"/>
    </xf>
    <xf numFmtId="10" fontId="0" fillId="0" borderId="0" xfId="0" applyNumberFormat="1"/>
    <xf numFmtId="0" fontId="1" fillId="8" borderId="0" xfId="0" applyFont="1" applyFill="1"/>
    <xf numFmtId="9" fontId="1" fillId="8" borderId="0" xfId="0" applyNumberFormat="1" applyFont="1" applyFill="1" applyAlignment="1">
      <alignment horizontal="center"/>
    </xf>
    <xf numFmtId="10" fontId="1" fillId="0" borderId="0" xfId="0" applyNumberFormat="1" applyFont="1" applyAlignment="1">
      <alignment horizontal="center" vertical="center"/>
    </xf>
    <xf numFmtId="0" fontId="7" fillId="9" borderId="1" xfId="0" applyFont="1" applyFill="1" applyBorder="1"/>
    <xf numFmtId="10" fontId="1" fillId="9" borderId="0" xfId="0" applyNumberFormat="1" applyFont="1" applyFill="1" applyAlignment="1">
      <alignment horizontal="center" vertical="center"/>
    </xf>
    <xf numFmtId="0" fontId="13" fillId="0" borderId="1" xfId="0" applyFont="1" applyBorder="1"/>
    <xf numFmtId="0" fontId="0" fillId="0" borderId="0" xfId="0" applyAlignment="1">
      <alignment horizontal="center"/>
    </xf>
    <xf numFmtId="0" fontId="0" fillId="9" borderId="1" xfId="0" applyFill="1" applyBorder="1" applyAlignment="1">
      <alignment horizontal="center" wrapText="1"/>
    </xf>
    <xf numFmtId="10" fontId="0" fillId="9" borderId="1" xfId="1" applyNumberFormat="1" applyFont="1" applyFill="1" applyBorder="1"/>
    <xf numFmtId="10" fontId="1" fillId="5" borderId="0" xfId="0" applyNumberFormat="1" applyFont="1" applyFill="1" applyAlignment="1">
      <alignment horizontal="center" vertical="center"/>
    </xf>
    <xf numFmtId="9" fontId="0" fillId="0" borderId="0" xfId="0" applyNumberFormat="1"/>
    <xf numFmtId="0" fontId="0" fillId="0" borderId="3" xfId="0" applyBorder="1"/>
    <xf numFmtId="0" fontId="0" fillId="0" borderId="4" xfId="0" applyBorder="1" applyAlignment="1">
      <alignment horizontal="center"/>
    </xf>
    <xf numFmtId="0" fontId="0" fillId="0" borderId="6" xfId="0" applyBorder="1"/>
    <xf numFmtId="0" fontId="7" fillId="11" borderId="1" xfId="0" applyFont="1" applyFill="1" applyBorder="1" applyAlignment="1">
      <alignment wrapText="1"/>
    </xf>
    <xf numFmtId="0" fontId="8" fillId="11" borderId="1" xfId="0" applyFont="1" applyFill="1" applyBorder="1"/>
    <xf numFmtId="0" fontId="14" fillId="10" borderId="8" xfId="0" applyFont="1" applyFill="1" applyBorder="1" applyAlignment="1">
      <alignment horizontal="center" vertical="center"/>
    </xf>
    <xf numFmtId="0" fontId="0" fillId="0" borderId="9" xfId="0" applyBorder="1"/>
    <xf numFmtId="0" fontId="1" fillId="8" borderId="0" xfId="0" applyFont="1" applyFill="1" applyAlignment="1">
      <alignment horizontal="center"/>
    </xf>
    <xf numFmtId="0" fontId="0" fillId="0" borderId="0" xfId="0" applyAlignment="1">
      <alignment wrapText="1"/>
    </xf>
    <xf numFmtId="14" fontId="0" fillId="0" borderId="0" xfId="0" applyNumberFormat="1"/>
    <xf numFmtId="1" fontId="0" fillId="0" borderId="0" xfId="0" applyNumberFormat="1"/>
    <xf numFmtId="0" fontId="17" fillId="0" borderId="1" xfId="0" applyFont="1" applyBorder="1" applyAlignment="1">
      <alignment horizontal="left" indent="1"/>
    </xf>
    <xf numFmtId="0" fontId="8" fillId="5" borderId="1" xfId="0" applyFont="1" applyFill="1" applyBorder="1"/>
    <xf numFmtId="9" fontId="0" fillId="5" borderId="0" xfId="0" applyNumberFormat="1" applyFill="1"/>
    <xf numFmtId="0" fontId="0" fillId="5" borderId="0" xfId="0" applyFill="1"/>
    <xf numFmtId="0" fontId="7" fillId="5" borderId="1" xfId="0" applyFont="1" applyFill="1" applyBorder="1" applyAlignment="1">
      <alignment wrapText="1"/>
    </xf>
    <xf numFmtId="0" fontId="7" fillId="5" borderId="7" xfId="0" applyFont="1" applyFill="1" applyBorder="1" applyAlignment="1">
      <alignment wrapText="1"/>
    </xf>
    <xf numFmtId="0" fontId="14" fillId="0" borderId="0" xfId="0" applyFont="1" applyAlignment="1">
      <alignment horizontal="center" vertical="center"/>
    </xf>
    <xf numFmtId="0" fontId="11" fillId="0" borderId="0" xfId="2" applyAlignment="1">
      <alignment wrapText="1"/>
    </xf>
    <xf numFmtId="0" fontId="11" fillId="0" borderId="0" xfId="2" applyAlignment="1">
      <alignment vertical="center" wrapText="1"/>
    </xf>
    <xf numFmtId="0" fontId="11" fillId="0" borderId="0" xfId="2" applyAlignment="1">
      <alignment horizontal="left" wrapText="1"/>
    </xf>
    <xf numFmtId="0" fontId="7" fillId="12" borderId="1" xfId="0" applyFont="1" applyFill="1" applyBorder="1" applyAlignment="1">
      <alignment wrapText="1"/>
    </xf>
    <xf numFmtId="164" fontId="1" fillId="9" borderId="0" xfId="0" applyNumberFormat="1" applyFont="1" applyFill="1" applyAlignment="1">
      <alignment horizontal="center" vertical="center"/>
    </xf>
    <xf numFmtId="0" fontId="1" fillId="9" borderId="0" xfId="0" applyFont="1" applyFill="1" applyAlignment="1">
      <alignment horizontal="center" vertical="center"/>
    </xf>
    <xf numFmtId="9" fontId="1" fillId="9" borderId="0" xfId="0" applyNumberFormat="1" applyFont="1" applyFill="1" applyAlignment="1">
      <alignment horizontal="center" vertical="center"/>
    </xf>
    <xf numFmtId="0" fontId="15" fillId="0" borderId="0" xfId="0" applyFont="1" applyAlignment="1">
      <alignment horizontal="left" vertical="top"/>
    </xf>
    <xf numFmtId="0" fontId="0" fillId="0" borderId="4" xfId="0" applyBorder="1"/>
    <xf numFmtId="14" fontId="0" fillId="6" borderId="4" xfId="0" applyNumberFormat="1" applyFill="1" applyBorder="1" applyAlignment="1" applyProtection="1">
      <alignment horizontal="left"/>
      <protection locked="0"/>
    </xf>
    <xf numFmtId="0" fontId="0" fillId="0" borderId="10" xfId="0" applyBorder="1"/>
    <xf numFmtId="9" fontId="18" fillId="13" borderId="1" xfId="3" applyNumberFormat="1" applyBorder="1"/>
    <xf numFmtId="10" fontId="18" fillId="13" borderId="1" xfId="3" applyNumberFormat="1" applyBorder="1"/>
    <xf numFmtId="9" fontId="18" fillId="13" borderId="5" xfId="3" applyNumberFormat="1" applyBorder="1"/>
    <xf numFmtId="10" fontId="15" fillId="15" borderId="1" xfId="3" applyNumberFormat="1" applyFont="1" applyFill="1" applyBorder="1"/>
    <xf numFmtId="10" fontId="15" fillId="15" borderId="1" xfId="4" applyNumberFormat="1" applyFont="1" applyFill="1" applyBorder="1"/>
    <xf numFmtId="10" fontId="15" fillId="13" borderId="1" xfId="3" applyNumberFormat="1" applyFont="1" applyBorder="1"/>
    <xf numFmtId="0" fontId="6" fillId="0" borderId="0" xfId="0" applyFont="1" applyAlignment="1">
      <alignment horizontal="center" vertical="center"/>
    </xf>
    <xf numFmtId="0" fontId="1" fillId="0" borderId="0" xfId="0" applyFont="1" applyAlignment="1">
      <alignment horizontal="left" vertical="center" indent="1"/>
    </xf>
    <xf numFmtId="0" fontId="16" fillId="0" borderId="1" xfId="0" applyFont="1" applyBorder="1" applyAlignment="1">
      <alignment horizontal="left" vertical="center" indent="1"/>
    </xf>
    <xf numFmtId="10" fontId="1" fillId="9" borderId="0" xfId="0" applyNumberFormat="1" applyFont="1" applyFill="1" applyAlignment="1">
      <alignment horizontal="center" vertical="center" indent="1"/>
    </xf>
    <xf numFmtId="10" fontId="1" fillId="0" borderId="0" xfId="0" applyNumberFormat="1" applyFont="1" applyAlignment="1">
      <alignment horizontal="center" vertical="center" indent="1"/>
    </xf>
    <xf numFmtId="0" fontId="1" fillId="0" borderId="0" xfId="0" applyFont="1" applyAlignment="1">
      <alignment horizontal="center" vertical="center" indent="1"/>
    </xf>
    <xf numFmtId="10" fontId="1" fillId="5" borderId="0" xfId="0" applyNumberFormat="1" applyFont="1" applyFill="1" applyAlignment="1">
      <alignment horizontal="center" vertical="center" indent="1"/>
    </xf>
    <xf numFmtId="0" fontId="20" fillId="0" borderId="1" xfId="0" applyFont="1" applyBorder="1" applyAlignment="1">
      <alignment horizontal="left" vertical="center" indent="1"/>
    </xf>
    <xf numFmtId="10" fontId="1" fillId="0" borderId="0" xfId="0" applyNumberFormat="1" applyFont="1"/>
    <xf numFmtId="0" fontId="0" fillId="0" borderId="3" xfId="0" applyBorder="1" applyAlignment="1">
      <alignment horizontal="center"/>
    </xf>
    <xf numFmtId="9" fontId="0" fillId="0" borderId="3" xfId="0" applyNumberFormat="1" applyBorder="1"/>
    <xf numFmtId="10" fontId="0" fillId="0" borderId="3" xfId="1" applyNumberFormat="1" applyFont="1" applyBorder="1"/>
    <xf numFmtId="10" fontId="0" fillId="9" borderId="3" xfId="0" applyNumberFormat="1" applyFill="1" applyBorder="1"/>
    <xf numFmtId="10" fontId="0" fillId="0" borderId="3" xfId="0" applyNumberFormat="1" applyBorder="1"/>
    <xf numFmtId="0" fontId="0" fillId="0" borderId="11" xfId="0" applyBorder="1" applyAlignment="1">
      <alignment horizontal="center"/>
    </xf>
    <xf numFmtId="9" fontId="0" fillId="0" borderId="12" xfId="0" applyNumberFormat="1" applyBorder="1"/>
    <xf numFmtId="9" fontId="18" fillId="13" borderId="6" xfId="3" applyNumberFormat="1" applyBorder="1"/>
    <xf numFmtId="10" fontId="18" fillId="13" borderId="6" xfId="3" applyNumberFormat="1" applyBorder="1"/>
    <xf numFmtId="10" fontId="0" fillId="9" borderId="6" xfId="0" applyNumberFormat="1" applyFill="1" applyBorder="1"/>
    <xf numFmtId="0" fontId="0" fillId="0" borderId="3" xfId="0" applyBorder="1" applyAlignment="1">
      <alignment horizontal="left"/>
    </xf>
    <xf numFmtId="0" fontId="0" fillId="0" borderId="9" xfId="0" applyBorder="1" applyAlignment="1">
      <alignment horizontal="center"/>
    </xf>
    <xf numFmtId="0" fontId="21" fillId="0" borderId="0" xfId="0" applyFont="1"/>
    <xf numFmtId="164" fontId="1" fillId="0" borderId="0" xfId="0" applyNumberFormat="1" applyFont="1" applyAlignment="1">
      <alignment horizontal="center" vertical="center"/>
    </xf>
    <xf numFmtId="10" fontId="0" fillId="0" borderId="9" xfId="0" applyNumberFormat="1" applyBorder="1"/>
    <xf numFmtId="9" fontId="0" fillId="0" borderId="9" xfId="0" applyNumberFormat="1" applyBorder="1"/>
    <xf numFmtId="10" fontId="0" fillId="0" borderId="9" xfId="1" applyNumberFormat="1" applyFont="1" applyBorder="1"/>
    <xf numFmtId="10" fontId="0" fillId="9" borderId="9" xfId="0" applyNumberFormat="1" applyFill="1" applyBorder="1"/>
    <xf numFmtId="9" fontId="18" fillId="13" borderId="12" xfId="3" applyNumberFormat="1" applyBorder="1"/>
    <xf numFmtId="10" fontId="15" fillId="15" borderId="6" xfId="4" applyNumberFormat="1" applyFont="1" applyFill="1" applyBorder="1"/>
    <xf numFmtId="10" fontId="0" fillId="9" borderId="6" xfId="1" applyNumberFormat="1" applyFont="1" applyFill="1" applyBorder="1"/>
    <xf numFmtId="0" fontId="10" fillId="7" borderId="13" xfId="2" applyFont="1" applyFill="1" applyBorder="1" applyAlignment="1">
      <alignment vertical="center"/>
    </xf>
    <xf numFmtId="0" fontId="10" fillId="7" borderId="13" xfId="2" applyFont="1" applyFill="1" applyBorder="1" applyAlignment="1">
      <alignment horizontal="left" vertical="center"/>
    </xf>
    <xf numFmtId="10" fontId="18" fillId="13" borderId="3" xfId="3" applyNumberFormat="1" applyBorder="1"/>
    <xf numFmtId="9" fontId="18" fillId="13" borderId="4" xfId="3" applyNumberFormat="1" applyBorder="1"/>
    <xf numFmtId="10" fontId="18" fillId="13" borderId="5" xfId="3" applyNumberFormat="1" applyBorder="1"/>
    <xf numFmtId="9" fontId="18" fillId="13" borderId="14" xfId="3" applyNumberFormat="1" applyBorder="1"/>
    <xf numFmtId="0" fontId="7" fillId="0" borderId="1" xfId="0" applyFont="1" applyBorder="1"/>
    <xf numFmtId="22" fontId="11" fillId="0" borderId="0" xfId="0" applyNumberFormat="1" applyFont="1" applyAlignment="1">
      <alignment wrapText="1"/>
    </xf>
    <xf numFmtId="14" fontId="11" fillId="0" borderId="0" xfId="0" applyNumberFormat="1" applyFont="1" applyAlignment="1">
      <alignment wrapText="1"/>
    </xf>
    <xf numFmtId="0" fontId="15" fillId="0" borderId="6" xfId="0" applyFont="1" applyBorder="1" applyAlignment="1">
      <alignment wrapText="1"/>
    </xf>
    <xf numFmtId="0" fontId="15" fillId="0" borderId="6" xfId="0" applyFont="1" applyBorder="1" applyAlignment="1">
      <alignment horizontal="center" wrapText="1"/>
    </xf>
    <xf numFmtId="0" fontId="16" fillId="0" borderId="6" xfId="0" applyFont="1" applyBorder="1" applyAlignment="1">
      <alignment horizontal="center" wrapText="1"/>
    </xf>
    <xf numFmtId="9" fontId="16" fillId="0" borderId="6" xfId="0" applyNumberFormat="1" applyFont="1" applyBorder="1" applyAlignment="1">
      <alignment horizontal="center" wrapText="1"/>
    </xf>
    <xf numFmtId="9" fontId="1" fillId="8" borderId="0" xfId="0" applyNumberFormat="1" applyFont="1" applyFill="1" applyAlignment="1">
      <alignment horizontal="center"/>
    </xf>
  </cellXfs>
  <cellStyles count="5">
    <cellStyle name="Bad" xfId="4" builtinId="27"/>
    <cellStyle name="Good" xfId="3" builtinId="26"/>
    <cellStyle name="Normal" xfId="0" builtinId="0"/>
    <cellStyle name="Normal 2" xfId="2" xr:uid="{4697CDD9-A06F-4B1E-A8E4-36B4877B851C}"/>
    <cellStyle name="Percent" xfId="1" builtinId="5"/>
  </cellStyles>
  <dxfs count="39">
    <dxf>
      <numFmt numFmtId="13" formatCode="0%"/>
    </dxf>
    <dxf>
      <border outline="0">
        <bottom style="thin">
          <color theme="3"/>
        </bottom>
      </border>
    </dxf>
    <dxf>
      <border outline="0">
        <top style="thin">
          <color theme="3"/>
        </top>
      </border>
    </dxf>
    <dxf>
      <font>
        <b val="0"/>
        <i val="0"/>
        <strike val="0"/>
        <condense val="0"/>
        <extend val="0"/>
        <outline val="0"/>
        <shadow val="0"/>
        <u val="none"/>
        <vertAlign val="baseline"/>
        <sz val="11"/>
        <color theme="0"/>
        <name val="Franklin Gothic Book"/>
        <family val="2"/>
        <scheme val="minor"/>
      </font>
      <fill>
        <patternFill patternType="solid">
          <fgColor indexed="64"/>
          <bgColor theme="3"/>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alignment horizontal="left"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border outline="0">
        <bottom style="thin">
          <color rgb="FFDCDCDC"/>
        </bottom>
      </border>
    </dxf>
    <dxf>
      <border outline="0">
        <top style="thin">
          <color rgb="FFDCDCDC"/>
        </top>
      </border>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i val="0"/>
        <strike val="0"/>
        <condense val="0"/>
        <extend val="0"/>
        <outline val="0"/>
        <shadow val="0"/>
        <u val="none"/>
        <vertAlign val="baseline"/>
        <sz val="11"/>
        <color rgb="FF000000"/>
        <name val="Calibri"/>
        <family val="2"/>
        <scheme val="none"/>
      </font>
      <fill>
        <patternFill patternType="solid">
          <fgColor rgb="FF000000"/>
          <bgColor rgb="FFBFB9B9"/>
        </patternFill>
      </fill>
      <alignment horizontal="general" vertical="center" textRotation="0" wrapText="0" indent="0" justifyLastLine="0" shrinkToFit="0" readingOrder="0"/>
      <border diagonalUp="0" diagonalDown="0" outline="0">
        <left style="thin">
          <color rgb="FFDCDCDC"/>
        </left>
        <right style="thin">
          <color rgb="FFDCDCDC"/>
        </right>
        <top/>
        <bottom/>
      </border>
    </dxf>
    <dxf>
      <font>
        <strike val="0"/>
        <outline val="0"/>
        <shadow val="0"/>
        <u val="none"/>
        <vertAlign val="baseline"/>
        <sz val="10"/>
        <name val="Franklin Gothic Book"/>
        <scheme val="minor"/>
      </font>
      <numFmt numFmtId="13" formatCode="0%"/>
      <alignment horizontal="center" vertical="center" textRotation="0" wrapText="0" indent="0" justifyLastLine="0" shrinkToFit="0" readingOrder="0"/>
    </dxf>
    <dxf>
      <font>
        <strike val="0"/>
        <outline val="0"/>
        <shadow val="0"/>
        <u val="none"/>
        <vertAlign val="baseline"/>
        <sz val="10"/>
        <name val="Franklin Gothic Book"/>
        <scheme val="minor"/>
      </font>
      <numFmt numFmtId="13" formatCode="0%"/>
      <alignment horizontal="center" vertical="center" textRotation="0" wrapText="0" indent="0" justifyLastLine="0" shrinkToFit="0" readingOrder="0"/>
    </dxf>
    <dxf>
      <font>
        <strike val="0"/>
        <outline val="0"/>
        <shadow val="0"/>
        <u val="none"/>
        <vertAlign val="baseline"/>
        <sz val="10"/>
        <name val="Franklin Gothic Book"/>
        <scheme val="minor"/>
      </font>
      <alignment horizontal="center" vertical="center" textRotation="0" wrapText="0" indent="1" justifyLastLine="0" shrinkToFit="0" readingOrder="0"/>
    </dxf>
    <dxf>
      <font>
        <strike val="0"/>
        <outline val="0"/>
        <shadow val="0"/>
        <u val="none"/>
        <vertAlign val="baseline"/>
        <sz val="10"/>
        <name val="Franklin Gothic Book"/>
        <scheme val="minor"/>
      </font>
      <numFmt numFmtId="164" formatCode="_(&quot;$&quot;* #,##0.00_);_(&quot;$&quot;* \(#,##0.00\);_(&quot;$&quot;* &quot;-&quot;??_);_(@_)"/>
      <alignment horizontal="center" vertical="center" textRotation="0" wrapText="0" indent="0" justifyLastLine="0" shrinkToFit="0" readingOrder="0"/>
    </dxf>
    <dxf>
      <font>
        <strike val="0"/>
        <outline val="0"/>
        <shadow val="0"/>
        <u val="none"/>
        <vertAlign val="baseline"/>
        <sz val="10"/>
        <name val="Franklin Gothic Book"/>
        <scheme val="minor"/>
      </font>
      <numFmt numFmtId="14" formatCode="0.00%"/>
      <alignment horizontal="center" vertical="center" textRotation="0" wrapText="0" indent="1" justifyLastLine="0" shrinkToFit="0" readingOrder="0"/>
    </dxf>
    <dxf>
      <font>
        <strike val="0"/>
        <outline val="0"/>
        <shadow val="0"/>
        <u val="none"/>
        <vertAlign val="baseline"/>
        <sz val="10"/>
        <name val="Franklin Gothic Book"/>
        <scheme val="minor"/>
      </font>
      <numFmt numFmtId="14" formatCode="0.00%"/>
      <alignment horizontal="center" vertical="center" textRotation="0" wrapText="0" indent="1" justifyLastLine="0" shrinkToFit="0" readingOrder="0"/>
    </dxf>
    <dxf>
      <font>
        <strike val="0"/>
        <outline val="0"/>
        <shadow val="0"/>
        <u val="none"/>
        <vertAlign val="baseline"/>
        <sz val="10"/>
        <name val="Franklin Gothic Book"/>
        <scheme val="minor"/>
      </font>
      <numFmt numFmtId="14" formatCode="0.00%"/>
      <alignment horizontal="center" vertical="center" textRotation="0" wrapText="0" indent="1" justifyLastLine="0" shrinkToFit="0" readingOrder="0"/>
    </dxf>
    <dxf>
      <font>
        <strike val="0"/>
        <outline val="0"/>
        <shadow val="0"/>
        <u val="none"/>
        <vertAlign val="baseline"/>
        <sz val="10"/>
        <name val="Franklin Gothic Book"/>
        <scheme val="minor"/>
      </font>
      <alignment horizontal="left" vertical="center" textRotation="0" wrapText="0" indent="1" justifyLastLine="0" shrinkToFit="0" readingOrder="0"/>
    </dxf>
    <dxf>
      <font>
        <strike val="0"/>
        <outline val="0"/>
        <shadow val="0"/>
        <u val="none"/>
        <vertAlign val="baseline"/>
        <sz val="10"/>
        <name val="Franklin Gothic Book"/>
        <scheme val="minor"/>
      </font>
      <alignment horizontal="center" vertical="center" textRotation="0" wrapText="0" indent="0" justifyLastLine="0" shrinkToFit="0" readingOrder="0"/>
    </dxf>
    <dxf>
      <font>
        <b val="0"/>
        <strike val="0"/>
        <outline val="0"/>
        <shadow val="0"/>
        <u val="none"/>
        <vertAlign val="baseline"/>
        <sz val="11"/>
        <color theme="1"/>
        <name val="Franklin Gothic Book"/>
        <scheme val="minor"/>
      </font>
      <alignment horizontal="center" vertical="center" textRotation="0" wrapText="0" indent="0" justifyLastLine="0" shrinkToFit="0" readingOrder="0"/>
    </dxf>
    <dxf>
      <numFmt numFmtId="14" formatCode="0.00%"/>
    </dxf>
    <dxf>
      <fill>
        <patternFill>
          <bgColor theme="0" tint="-4.9989318521683403E-2"/>
        </patternFill>
      </fill>
    </dxf>
    <dxf>
      <font>
        <b val="0"/>
        <i val="0"/>
        <strike val="0"/>
        <color theme="0"/>
      </font>
      <fill>
        <patternFill>
          <bgColor theme="3"/>
        </patternFill>
      </fill>
      <border>
        <left style="thin">
          <color theme="3"/>
        </left>
        <right style="thin">
          <color theme="3"/>
        </right>
        <top style="thin">
          <color theme="3"/>
        </top>
        <bottom style="thin">
          <color theme="3"/>
        </bottom>
        <vertical style="thin">
          <color theme="5" tint="0.59996337778862885"/>
        </vertical>
        <horizontal style="thin">
          <color theme="3"/>
        </horizontal>
      </border>
    </dxf>
    <dxf>
      <border>
        <left style="thin">
          <color theme="3"/>
        </left>
        <right style="thin">
          <color theme="3"/>
        </right>
        <top style="thick">
          <color theme="3"/>
        </top>
        <bottom style="thick">
          <color theme="3"/>
        </bottom>
        <vertical style="thin">
          <color theme="6" tint="0.59996337778862885"/>
        </vertical>
        <horizontal style="thin">
          <color theme="6" tint="0.59996337778862885"/>
        </horizontal>
      </border>
    </dxf>
  </dxfs>
  <tableStyles count="1" defaultTableStyle="TableStyleMedium2" defaultPivotStyle="PivotStyleLight16">
    <tableStyle name="Business Table" pivot="0" count="3" xr9:uid="{00000000-0011-0000-FFFF-FFFF00000000}">
      <tableStyleElement type="wholeTable" dxfId="38"/>
      <tableStyleElement type="headerRow" dxfId="37"/>
      <tableStyleElement type="secondRowStripe" dxfId="36"/>
    </tableStyle>
  </tableStyles>
  <colors>
    <mruColors>
      <color rgb="FFBAF7C0"/>
      <color rgb="FFD6FF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9.xml"/><Relationship Id="rId21" Type="http://schemas.openxmlformats.org/officeDocument/2006/relationships/externalLink" Target="externalLinks/externalLink13.xml"/><Relationship Id="rId42" Type="http://schemas.openxmlformats.org/officeDocument/2006/relationships/externalLink" Target="externalLinks/externalLink34.xml"/><Relationship Id="rId63" Type="http://schemas.openxmlformats.org/officeDocument/2006/relationships/externalLink" Target="externalLinks/externalLink55.xml"/><Relationship Id="rId84" Type="http://schemas.openxmlformats.org/officeDocument/2006/relationships/externalLink" Target="externalLinks/externalLink76.xml"/><Relationship Id="rId16" Type="http://schemas.openxmlformats.org/officeDocument/2006/relationships/externalLink" Target="externalLinks/externalLink8.xml"/><Relationship Id="rId107" Type="http://schemas.openxmlformats.org/officeDocument/2006/relationships/externalLink" Target="externalLinks/externalLink99.xml"/><Relationship Id="rId11" Type="http://schemas.openxmlformats.org/officeDocument/2006/relationships/externalLink" Target="externalLinks/externalLink3.xml"/><Relationship Id="rId32" Type="http://schemas.openxmlformats.org/officeDocument/2006/relationships/externalLink" Target="externalLinks/externalLink24.xml"/><Relationship Id="rId37" Type="http://schemas.openxmlformats.org/officeDocument/2006/relationships/externalLink" Target="externalLinks/externalLink29.xml"/><Relationship Id="rId53" Type="http://schemas.openxmlformats.org/officeDocument/2006/relationships/externalLink" Target="externalLinks/externalLink45.xml"/><Relationship Id="rId58" Type="http://schemas.openxmlformats.org/officeDocument/2006/relationships/externalLink" Target="externalLinks/externalLink50.xml"/><Relationship Id="rId74" Type="http://schemas.openxmlformats.org/officeDocument/2006/relationships/externalLink" Target="externalLinks/externalLink66.xml"/><Relationship Id="rId79" Type="http://schemas.openxmlformats.org/officeDocument/2006/relationships/externalLink" Target="externalLinks/externalLink71.xml"/><Relationship Id="rId102" Type="http://schemas.openxmlformats.org/officeDocument/2006/relationships/externalLink" Target="externalLinks/externalLink94.xml"/><Relationship Id="rId123" Type="http://schemas.openxmlformats.org/officeDocument/2006/relationships/pivotCacheDefinition" Target="pivotCache/pivotCacheDefinition4.xml"/><Relationship Id="rId128" Type="http://schemas.openxmlformats.org/officeDocument/2006/relationships/sheetMetadata" Target="metadata.xml"/><Relationship Id="rId5" Type="http://schemas.openxmlformats.org/officeDocument/2006/relationships/worksheet" Target="worksheets/sheet5.xml"/><Relationship Id="rId90" Type="http://schemas.openxmlformats.org/officeDocument/2006/relationships/externalLink" Target="externalLinks/externalLink82.xml"/><Relationship Id="rId95" Type="http://schemas.openxmlformats.org/officeDocument/2006/relationships/externalLink" Target="externalLinks/externalLink87.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43" Type="http://schemas.openxmlformats.org/officeDocument/2006/relationships/externalLink" Target="externalLinks/externalLink35.xml"/><Relationship Id="rId48" Type="http://schemas.openxmlformats.org/officeDocument/2006/relationships/externalLink" Target="externalLinks/externalLink40.xml"/><Relationship Id="rId64" Type="http://schemas.openxmlformats.org/officeDocument/2006/relationships/externalLink" Target="externalLinks/externalLink56.xml"/><Relationship Id="rId69" Type="http://schemas.openxmlformats.org/officeDocument/2006/relationships/externalLink" Target="externalLinks/externalLink61.xml"/><Relationship Id="rId113" Type="http://schemas.openxmlformats.org/officeDocument/2006/relationships/externalLink" Target="externalLinks/externalLink105.xml"/><Relationship Id="rId118" Type="http://schemas.openxmlformats.org/officeDocument/2006/relationships/externalLink" Target="externalLinks/externalLink110.xml"/><Relationship Id="rId134" Type="http://schemas.openxmlformats.org/officeDocument/2006/relationships/customXml" Target="../customXml/item2.xml"/><Relationship Id="rId80" Type="http://schemas.openxmlformats.org/officeDocument/2006/relationships/externalLink" Target="externalLinks/externalLink72.xml"/><Relationship Id="rId85" Type="http://schemas.openxmlformats.org/officeDocument/2006/relationships/externalLink" Target="externalLinks/externalLink7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33" Type="http://schemas.openxmlformats.org/officeDocument/2006/relationships/externalLink" Target="externalLinks/externalLink25.xml"/><Relationship Id="rId38" Type="http://schemas.openxmlformats.org/officeDocument/2006/relationships/externalLink" Target="externalLinks/externalLink30.xml"/><Relationship Id="rId59" Type="http://schemas.openxmlformats.org/officeDocument/2006/relationships/externalLink" Target="externalLinks/externalLink51.xml"/><Relationship Id="rId103" Type="http://schemas.openxmlformats.org/officeDocument/2006/relationships/externalLink" Target="externalLinks/externalLink95.xml"/><Relationship Id="rId108" Type="http://schemas.openxmlformats.org/officeDocument/2006/relationships/externalLink" Target="externalLinks/externalLink100.xml"/><Relationship Id="rId124" Type="http://schemas.openxmlformats.org/officeDocument/2006/relationships/theme" Target="theme/theme1.xml"/><Relationship Id="rId129" Type="http://schemas.microsoft.com/office/2017/06/relationships/rdRichValue" Target="richData/rdrichvalue.xml"/><Relationship Id="rId54" Type="http://schemas.openxmlformats.org/officeDocument/2006/relationships/externalLink" Target="externalLinks/externalLink46.xml"/><Relationship Id="rId70" Type="http://schemas.openxmlformats.org/officeDocument/2006/relationships/externalLink" Target="externalLinks/externalLink62.xml"/><Relationship Id="rId75" Type="http://schemas.openxmlformats.org/officeDocument/2006/relationships/externalLink" Target="externalLinks/externalLink67.xml"/><Relationship Id="rId91" Type="http://schemas.openxmlformats.org/officeDocument/2006/relationships/externalLink" Target="externalLinks/externalLink83.xml"/><Relationship Id="rId96" Type="http://schemas.openxmlformats.org/officeDocument/2006/relationships/externalLink" Target="externalLinks/externalLink88.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49" Type="http://schemas.openxmlformats.org/officeDocument/2006/relationships/externalLink" Target="externalLinks/externalLink41.xml"/><Relationship Id="rId114" Type="http://schemas.openxmlformats.org/officeDocument/2006/relationships/externalLink" Target="externalLinks/externalLink106.xml"/><Relationship Id="rId119" Type="http://schemas.openxmlformats.org/officeDocument/2006/relationships/externalLink" Target="externalLinks/externalLink111.xml"/><Relationship Id="rId44" Type="http://schemas.openxmlformats.org/officeDocument/2006/relationships/externalLink" Target="externalLinks/externalLink36.xml"/><Relationship Id="rId60" Type="http://schemas.openxmlformats.org/officeDocument/2006/relationships/externalLink" Target="externalLinks/externalLink52.xml"/><Relationship Id="rId65" Type="http://schemas.openxmlformats.org/officeDocument/2006/relationships/externalLink" Target="externalLinks/externalLink57.xml"/><Relationship Id="rId81" Type="http://schemas.openxmlformats.org/officeDocument/2006/relationships/externalLink" Target="externalLinks/externalLink73.xml"/><Relationship Id="rId86" Type="http://schemas.openxmlformats.org/officeDocument/2006/relationships/externalLink" Target="externalLinks/externalLink78.xml"/><Relationship Id="rId130" Type="http://schemas.microsoft.com/office/2017/06/relationships/rdRichValueStructure" Target="richData/rdrichvaluestructure.xml"/><Relationship Id="rId135" Type="http://schemas.openxmlformats.org/officeDocument/2006/relationships/customXml" Target="../customXml/item3.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9" Type="http://schemas.openxmlformats.org/officeDocument/2006/relationships/externalLink" Target="externalLinks/externalLink31.xml"/><Relationship Id="rId109" Type="http://schemas.openxmlformats.org/officeDocument/2006/relationships/externalLink" Target="externalLinks/externalLink101.xml"/><Relationship Id="rId34" Type="http://schemas.openxmlformats.org/officeDocument/2006/relationships/externalLink" Target="externalLinks/externalLink26.xml"/><Relationship Id="rId50" Type="http://schemas.openxmlformats.org/officeDocument/2006/relationships/externalLink" Target="externalLinks/externalLink42.xml"/><Relationship Id="rId55" Type="http://schemas.openxmlformats.org/officeDocument/2006/relationships/externalLink" Target="externalLinks/externalLink47.xml"/><Relationship Id="rId76" Type="http://schemas.openxmlformats.org/officeDocument/2006/relationships/externalLink" Target="externalLinks/externalLink68.xml"/><Relationship Id="rId97" Type="http://schemas.openxmlformats.org/officeDocument/2006/relationships/externalLink" Target="externalLinks/externalLink89.xml"/><Relationship Id="rId104" Type="http://schemas.openxmlformats.org/officeDocument/2006/relationships/externalLink" Target="externalLinks/externalLink96.xml"/><Relationship Id="rId120" Type="http://schemas.openxmlformats.org/officeDocument/2006/relationships/pivotCacheDefinition" Target="pivotCache/pivotCacheDefinition1.xml"/><Relationship Id="rId125" Type="http://schemas.openxmlformats.org/officeDocument/2006/relationships/connections" Target="connections.xml"/><Relationship Id="rId7" Type="http://schemas.openxmlformats.org/officeDocument/2006/relationships/worksheet" Target="worksheets/sheet7.xml"/><Relationship Id="rId71" Type="http://schemas.openxmlformats.org/officeDocument/2006/relationships/externalLink" Target="externalLinks/externalLink63.xml"/><Relationship Id="rId92" Type="http://schemas.openxmlformats.org/officeDocument/2006/relationships/externalLink" Target="externalLinks/externalLink84.xml"/><Relationship Id="rId2" Type="http://schemas.openxmlformats.org/officeDocument/2006/relationships/worksheet" Target="worksheets/sheet2.xml"/><Relationship Id="rId29" Type="http://schemas.openxmlformats.org/officeDocument/2006/relationships/externalLink" Target="externalLinks/externalLink21.xml"/><Relationship Id="rId24" Type="http://schemas.openxmlformats.org/officeDocument/2006/relationships/externalLink" Target="externalLinks/externalLink16.xml"/><Relationship Id="rId40" Type="http://schemas.openxmlformats.org/officeDocument/2006/relationships/externalLink" Target="externalLinks/externalLink32.xml"/><Relationship Id="rId45" Type="http://schemas.openxmlformats.org/officeDocument/2006/relationships/externalLink" Target="externalLinks/externalLink37.xml"/><Relationship Id="rId66" Type="http://schemas.openxmlformats.org/officeDocument/2006/relationships/externalLink" Target="externalLinks/externalLink58.xml"/><Relationship Id="rId87" Type="http://schemas.openxmlformats.org/officeDocument/2006/relationships/externalLink" Target="externalLinks/externalLink79.xml"/><Relationship Id="rId110" Type="http://schemas.openxmlformats.org/officeDocument/2006/relationships/externalLink" Target="externalLinks/externalLink102.xml"/><Relationship Id="rId115" Type="http://schemas.openxmlformats.org/officeDocument/2006/relationships/externalLink" Target="externalLinks/externalLink107.xml"/><Relationship Id="rId131" Type="http://schemas.microsoft.com/office/2017/06/relationships/rdRichValueTypes" Target="richData/rdRichValueTypes.xml"/><Relationship Id="rId61" Type="http://schemas.openxmlformats.org/officeDocument/2006/relationships/externalLink" Target="externalLinks/externalLink53.xml"/><Relationship Id="rId82" Type="http://schemas.openxmlformats.org/officeDocument/2006/relationships/externalLink" Target="externalLinks/externalLink74.xml"/><Relationship Id="rId19" Type="http://schemas.openxmlformats.org/officeDocument/2006/relationships/externalLink" Target="externalLinks/externalLink11.xml"/><Relationship Id="rId14" Type="http://schemas.openxmlformats.org/officeDocument/2006/relationships/externalLink" Target="externalLinks/externalLink6.xml"/><Relationship Id="rId30" Type="http://schemas.openxmlformats.org/officeDocument/2006/relationships/externalLink" Target="externalLinks/externalLink22.xml"/><Relationship Id="rId35" Type="http://schemas.openxmlformats.org/officeDocument/2006/relationships/externalLink" Target="externalLinks/externalLink27.xml"/><Relationship Id="rId56" Type="http://schemas.openxmlformats.org/officeDocument/2006/relationships/externalLink" Target="externalLinks/externalLink48.xml"/><Relationship Id="rId77" Type="http://schemas.openxmlformats.org/officeDocument/2006/relationships/externalLink" Target="externalLinks/externalLink69.xml"/><Relationship Id="rId100" Type="http://schemas.openxmlformats.org/officeDocument/2006/relationships/externalLink" Target="externalLinks/externalLink92.xml"/><Relationship Id="rId105" Type="http://schemas.openxmlformats.org/officeDocument/2006/relationships/externalLink" Target="externalLinks/externalLink97.xml"/><Relationship Id="rId12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43.xml"/><Relationship Id="rId72" Type="http://schemas.openxmlformats.org/officeDocument/2006/relationships/externalLink" Target="externalLinks/externalLink64.xml"/><Relationship Id="rId93" Type="http://schemas.openxmlformats.org/officeDocument/2006/relationships/externalLink" Target="externalLinks/externalLink85.xml"/><Relationship Id="rId98" Type="http://schemas.openxmlformats.org/officeDocument/2006/relationships/externalLink" Target="externalLinks/externalLink90.xml"/><Relationship Id="rId121" Type="http://schemas.openxmlformats.org/officeDocument/2006/relationships/pivotCacheDefinition" Target="pivotCache/pivotCacheDefinition2.xml"/><Relationship Id="rId3" Type="http://schemas.openxmlformats.org/officeDocument/2006/relationships/worksheet" Target="worksheets/sheet3.xml"/><Relationship Id="rId25" Type="http://schemas.openxmlformats.org/officeDocument/2006/relationships/externalLink" Target="externalLinks/externalLink17.xml"/><Relationship Id="rId46" Type="http://schemas.openxmlformats.org/officeDocument/2006/relationships/externalLink" Target="externalLinks/externalLink38.xml"/><Relationship Id="rId67" Type="http://schemas.openxmlformats.org/officeDocument/2006/relationships/externalLink" Target="externalLinks/externalLink59.xml"/><Relationship Id="rId116" Type="http://schemas.openxmlformats.org/officeDocument/2006/relationships/externalLink" Target="externalLinks/externalLink108.xml"/><Relationship Id="rId20" Type="http://schemas.openxmlformats.org/officeDocument/2006/relationships/externalLink" Target="externalLinks/externalLink12.xml"/><Relationship Id="rId41" Type="http://schemas.openxmlformats.org/officeDocument/2006/relationships/externalLink" Target="externalLinks/externalLink33.xml"/><Relationship Id="rId62" Type="http://schemas.openxmlformats.org/officeDocument/2006/relationships/externalLink" Target="externalLinks/externalLink54.xml"/><Relationship Id="rId83" Type="http://schemas.openxmlformats.org/officeDocument/2006/relationships/externalLink" Target="externalLinks/externalLink75.xml"/><Relationship Id="rId88" Type="http://schemas.openxmlformats.org/officeDocument/2006/relationships/externalLink" Target="externalLinks/externalLink80.xml"/><Relationship Id="rId111" Type="http://schemas.openxmlformats.org/officeDocument/2006/relationships/externalLink" Target="externalLinks/externalLink103.xml"/><Relationship Id="rId132" Type="http://schemas.openxmlformats.org/officeDocument/2006/relationships/calcChain" Target="calcChain.xml"/><Relationship Id="rId15" Type="http://schemas.openxmlformats.org/officeDocument/2006/relationships/externalLink" Target="externalLinks/externalLink7.xml"/><Relationship Id="rId36" Type="http://schemas.openxmlformats.org/officeDocument/2006/relationships/externalLink" Target="externalLinks/externalLink28.xml"/><Relationship Id="rId57" Type="http://schemas.openxmlformats.org/officeDocument/2006/relationships/externalLink" Target="externalLinks/externalLink49.xml"/><Relationship Id="rId106" Type="http://schemas.openxmlformats.org/officeDocument/2006/relationships/externalLink" Target="externalLinks/externalLink98.xml"/><Relationship Id="rId127" Type="http://schemas.openxmlformats.org/officeDocument/2006/relationships/sharedStrings" Target="sharedStrings.xml"/><Relationship Id="rId10" Type="http://schemas.openxmlformats.org/officeDocument/2006/relationships/externalLink" Target="externalLinks/externalLink2.xml"/><Relationship Id="rId31" Type="http://schemas.openxmlformats.org/officeDocument/2006/relationships/externalLink" Target="externalLinks/externalLink23.xml"/><Relationship Id="rId52" Type="http://schemas.openxmlformats.org/officeDocument/2006/relationships/externalLink" Target="externalLinks/externalLink44.xml"/><Relationship Id="rId73" Type="http://schemas.openxmlformats.org/officeDocument/2006/relationships/externalLink" Target="externalLinks/externalLink65.xml"/><Relationship Id="rId78" Type="http://schemas.openxmlformats.org/officeDocument/2006/relationships/externalLink" Target="externalLinks/externalLink70.xml"/><Relationship Id="rId94" Type="http://schemas.openxmlformats.org/officeDocument/2006/relationships/externalLink" Target="externalLinks/externalLink86.xml"/><Relationship Id="rId99" Type="http://schemas.openxmlformats.org/officeDocument/2006/relationships/externalLink" Target="externalLinks/externalLink91.xml"/><Relationship Id="rId101" Type="http://schemas.openxmlformats.org/officeDocument/2006/relationships/externalLink" Target="externalLinks/externalLink93.xml"/><Relationship Id="rId122"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externalLink" Target="externalLinks/externalLink1.xml"/><Relationship Id="rId26" Type="http://schemas.openxmlformats.org/officeDocument/2006/relationships/externalLink" Target="externalLinks/externalLink18.xml"/><Relationship Id="rId47" Type="http://schemas.openxmlformats.org/officeDocument/2006/relationships/externalLink" Target="externalLinks/externalLink39.xml"/><Relationship Id="rId68" Type="http://schemas.openxmlformats.org/officeDocument/2006/relationships/externalLink" Target="externalLinks/externalLink60.xml"/><Relationship Id="rId89" Type="http://schemas.openxmlformats.org/officeDocument/2006/relationships/externalLink" Target="externalLinks/externalLink81.xml"/><Relationship Id="rId112" Type="http://schemas.openxmlformats.org/officeDocument/2006/relationships/externalLink" Target="externalLinks/externalLink104.xml"/><Relationship Id="rId133"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238125</xdr:colOff>
      <xdr:row>1</xdr:row>
      <xdr:rowOff>9525</xdr:rowOff>
    </xdr:from>
    <xdr:to>
      <xdr:col>8</xdr:col>
      <xdr:colOff>1254125</xdr:colOff>
      <xdr:row>4</xdr:row>
      <xdr:rowOff>19050</xdr:rowOff>
    </xdr:to>
    <xdr:pic>
      <xdr:nvPicPr>
        <xdr:cNvPr id="2" name="Picture 1" descr="Illustration for a business themed background" title="Banner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0525" y="161925"/>
          <a:ext cx="10391775" cy="10763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Angeline%20Rubrico.xlsm" TargetMode="External"/><Relationship Id="rId1" Type="http://schemas.openxmlformats.org/officeDocument/2006/relationships/externalLinkPath" Target="/sites/Training/Shared%20Documents/Training%20Resources/Time%20Utilization%20Tracking%20(TUT)/PCB/Time%20Utilization_Angeline%20Rubrico.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Anita%20Bliss%20Dias.xlsm" TargetMode="External"/><Relationship Id="rId1" Type="http://schemas.openxmlformats.org/officeDocument/2006/relationships/externalLinkPath" Target="/sites/Training/Shared%20Documents/Training%20Resources/Time%20Utilization%20Tracking%20(TUT)/PCB/Time%20Utilization_Anita%20Bliss%20Dias.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Bibi%20Alli.xlsm" TargetMode="External"/><Relationship Id="rId1" Type="http://schemas.openxmlformats.org/officeDocument/2006/relationships/externalLinkPath" Target="/sites/Training/Shared%20Documents/Training%20Resources/Time%20Utilization%20Tracking%20(TUT)/PCB/Time%20Utilization_Bibi%20Alli.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Dave%20Lim.xlsm" TargetMode="External"/><Relationship Id="rId1" Type="http://schemas.openxmlformats.org/officeDocument/2006/relationships/externalLinkPath" Target="/sites/Training/Shared%20Documents/Training%20Resources/Time%20Utilization%20Tracking%20(TUT)/PCB/Time%20Utilization_Dave%20Lim.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Gilisa%20Roberts.xlsm" TargetMode="External"/><Relationship Id="rId1" Type="http://schemas.openxmlformats.org/officeDocument/2006/relationships/externalLinkPath" Target="/sites/Training/Shared%20Documents/Training%20Resources/Time%20Utilization%20Tracking%20(TUT)/PCB/Time%20Utilization_Gilisa%20Roberts.xlsm"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Irish%20Ferreras.xlsm" TargetMode="External"/><Relationship Id="rId1" Type="http://schemas.openxmlformats.org/officeDocument/2006/relationships/externalLinkPath" Target="/sites/Training/Shared%20Documents/Training%20Resources/Time%20Utilization%20Tracking%20(TUT)/PCB/Time%20Utilization_Irish%20Ferreras.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Jean%20Luzada.xlsm" TargetMode="External"/><Relationship Id="rId1" Type="http://schemas.openxmlformats.org/officeDocument/2006/relationships/externalLinkPath" Target="/sites/Training/Shared%20Documents/Training%20Resources/Time%20Utilization%20Tracking%20(TUT)/PCB/Time%20Utilization_Jean%20Luzada.xlsm"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Jill%20Hirtle.xlsm" TargetMode="External"/><Relationship Id="rId1" Type="http://schemas.openxmlformats.org/officeDocument/2006/relationships/externalLinkPath" Target="/sites/Training/Shared%20Documents/Training%20Resources/Time%20Utilization%20Tracking%20(TUT)/PCB/Time%20Utilization_Jill%20Hirtle.xlsm"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Jordan%20Saulnier.xlsm" TargetMode="External"/><Relationship Id="rId1" Type="http://schemas.openxmlformats.org/officeDocument/2006/relationships/externalLinkPath" Target="/sites/Training/Shared%20Documents/Training%20Resources/Time%20Utilization%20Tracking%20(TUT)/PCB/Time%20Utilization_Jordan%20Saulnier.xlsm"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Kate%20Saigo.xlsm" TargetMode="External"/><Relationship Id="rId1" Type="http://schemas.openxmlformats.org/officeDocument/2006/relationships/externalLinkPath" Target="/sites/Training/Shared%20Documents/Training%20Resources/Time%20Utilization%20Tracking%20(TUT)/PCB/Time%20Utilization_Kate%20Saigo.xlsm"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Kristi%20Stead.xlsm" TargetMode="External"/><Relationship Id="rId1" Type="http://schemas.openxmlformats.org/officeDocument/2006/relationships/externalLinkPath" Target="/sites/Training/Shared%20Documents/Training%20Resources/Time%20Utilization%20Tracking%20(TUT)/PCB/Time%20Utilization_Kristi%20Stead.xlsm"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Maida%20Musse.xlsm" TargetMode="External"/><Relationship Id="rId1" Type="http://schemas.openxmlformats.org/officeDocument/2006/relationships/externalLinkPath" Target="/sites/Training/Shared%20Documents/Training%20Resources/Time%20Utilization%20Tracking%20(TUT)/PCB/Time%20Utilization_Maida%20Musse.xlsm"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Maria%20Skubiszewska.xlsm" TargetMode="External"/><Relationship Id="rId1" Type="http://schemas.openxmlformats.org/officeDocument/2006/relationships/externalLinkPath" Target="/sites/Training/Shared%20Documents/Training%20Resources/Time%20Utilization%20Tracking%20(TUT)/PCB/Time%20Utilization_Maria%20Skubiszewska.xlsm"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Nancy%20Price.xlsm" TargetMode="External"/><Relationship Id="rId1" Type="http://schemas.openxmlformats.org/officeDocument/2006/relationships/externalLinkPath" Target="/sites/Training/Shared%20Documents/Training%20Resources/Time%20Utilization%20Tracking%20(TUT)/PCB/Time%20Utilization_Nancy%20Price.xlsm"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Rowena%20Lasala.xlsm" TargetMode="External"/><Relationship Id="rId1" Type="http://schemas.openxmlformats.org/officeDocument/2006/relationships/externalLinkPath" Target="/sites/Training/Shared%20Documents/Training%20Resources/Time%20Utilization%20Tracking%20(TUT)/PCB/Time%20Utilization_Rowena%20Lasala.xlsm"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Ruschel%20Bartolome.xlsm" TargetMode="External"/><Relationship Id="rId1" Type="http://schemas.openxmlformats.org/officeDocument/2006/relationships/externalLinkPath" Target="/sites/Training/Shared%20Documents/Training%20Resources/Time%20Utilization%20Tracking%20(TUT)/PCB/Time%20Utilization_Ruschel%20Bartolome.xlsm"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Scott%20McDonald.xlsm" TargetMode="External"/><Relationship Id="rId1" Type="http://schemas.openxmlformats.org/officeDocument/2006/relationships/externalLinkPath" Target="/sites/Training/Shared%20Documents/Training%20Resources/Time%20Utilization%20Tracking%20(TUT)/PCB/Time%20Utilization_Scott%20McDonald.xlsm"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Siya%20Nugent.xlsm" TargetMode="External"/><Relationship Id="rId1" Type="http://schemas.openxmlformats.org/officeDocument/2006/relationships/externalLinkPath" Target="/sites/Training/Shared%20Documents/Training%20Resources/Time%20Utilization%20Tracking%20(TUT)/PCB/Time%20Utilization_Siya%20Nugent.xlsm"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Sneha%20Menda.xlsm" TargetMode="External"/><Relationship Id="rId1" Type="http://schemas.openxmlformats.org/officeDocument/2006/relationships/externalLinkPath" Target="/sites/Training/Shared%20Documents/Training%20Resources/Time%20Utilization%20Tracking%20(TUT)/PCB/Time%20Utilization_Sneha%20Menda.xlsm"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Stephany%20Chavez.xlsm" TargetMode="External"/><Relationship Id="rId1" Type="http://schemas.openxmlformats.org/officeDocument/2006/relationships/externalLinkPath" Target="/sites/Training/Shared%20Documents/Training%20Resources/Time%20Utilization%20Tracking%20(TUT)/PCB/Time%20Utilization_Stephany%20Chavez.xlsm"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Tom%20Tse.xlsm" TargetMode="External"/><Relationship Id="rId1" Type="http://schemas.openxmlformats.org/officeDocument/2006/relationships/externalLinkPath" Target="/sites/Training/Shared%20Documents/Training%20Resources/Time%20Utilization%20Tracking%20(TUT)/PCB/Time%20Utilization_Tom%20Tse.xlsm"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Vera%20Hibaya.xlsm" TargetMode="External"/><Relationship Id="rId1" Type="http://schemas.openxmlformats.org/officeDocument/2006/relationships/externalLinkPath" Target="/sites/Training/Shared%20Documents/Training%20Resources/Time%20Utilization%20Tracking%20(TUT)/PCB/Time%20Utilization_Vera%20Hibaya.xlsm"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Vhea%20De%20Fiesta.xlsm" TargetMode="External"/><Relationship Id="rId1" Type="http://schemas.openxmlformats.org/officeDocument/2006/relationships/externalLinkPath" Target="/sites/Training/Shared%20Documents/Training%20Resources/Time%20Utilization%20Tracking%20(TUT)/PCB/Time%20Utilization_Vhea%20De%20Fiesta.xlsm"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https://nttlimited.sharepoint.com/teams/PCBTraining/Shared%20Documents/General/TUT/Time%20Utilization_Anita%20Bliss%20Dias.xlsm" TargetMode="External"/><Relationship Id="rId1" Type="http://schemas.openxmlformats.org/officeDocument/2006/relationships/externalLinkPath" Target="https://nttlimited.sharepoint.com/teams/PCBTraining/Shared%20Documents/General/TUT/Time%20Utilization_Anita%20Bliss%20Dias.xlsm"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Ankit%20Vishnoi.xlsm" TargetMode="External"/><Relationship Id="rId1" Type="http://schemas.openxmlformats.org/officeDocument/2006/relationships/externalLinkPath" Target="/sites/Training/Shared%20Documents/Training%20Resources/Time%20Utilization%20Tracking%20(TUT)/PCB/Time%20Utilization_Ankit%20Vishnoi.xlsm"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Chantelle%20Thomas.xlsm" TargetMode="External"/><Relationship Id="rId1" Type="http://schemas.openxmlformats.org/officeDocument/2006/relationships/externalLinkPath" Target="/sites/Training/Shared%20Documents/Training%20Resources/Time%20Utilization%20Tracking%20(TUT)/PCB/Time%20Utilization_Chantelle%20Thomas.xlsm"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Hira%20Umair.xlsm" TargetMode="External"/><Relationship Id="rId1" Type="http://schemas.openxmlformats.org/officeDocument/2006/relationships/externalLinkPath" Target="/sites/Training/Shared%20Documents/Training%20Resources/Time%20Utilization%20Tracking%20(TUT)/PCB/Time%20Utilization_Hira%20Umair.xlsm"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PCB/Time%20Utilization_Mahalakshmi%20Ramasubramanian.xlsm" TargetMode="External"/><Relationship Id="rId1" Type="http://schemas.openxmlformats.org/officeDocument/2006/relationships/externalLinkPath" Target="/sites/Training/Shared%20Documents/Training%20Resources/Time%20Utilization%20Tracking%20(TUT)/PCB/Time%20Utilization_Mahalakshmi%20Ramasubramanian.xlsm"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Time%20Utilization%20Tracking%20(TUT)/Home%20Trust/Time%20Utilization%20Tracker%2023-24%20Debbie%20Anthony.xlsm" TargetMode="External"/><Relationship Id="rId1" Type="http://schemas.openxmlformats.org/officeDocument/2006/relationships/externalLinkPath" Target="/sites/Training/Shared%20Documents/Training%20Resources/Time%20Utilization%20Tracking%20(TUT)/Home%20Trust/Time%20Utilization%20Tracker%2023-24%20Debbie%20Anthony.xlsm"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20.%20Training%20Progress%20Report%20-%20PCB%20Tier%201%20-%2004.03.2023%20-%20Multi%20-%20site.xlsm" TargetMode="External"/><Relationship Id="rId1" Type="http://schemas.openxmlformats.org/officeDocument/2006/relationships/externalLinkPath" Target="/sites/Training/Shared%20Documents/Training%20Resources/Progress%20Reports/PC%20Mastercard/2023/20.%20Training%20Progress%20Report%20-%20PCB%20Tier%201%20-%2004.03.2023%20-%20Multi%20-%20site.xlsm"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Weekly/Transition%20Report%20-%20PCB%20.xlsx" TargetMode="External"/><Relationship Id="rId1" Type="http://schemas.openxmlformats.org/officeDocument/2006/relationships/externalLinkPath" Target="Weekly/Transition%20Report%20-%20PCB%20.xlsx"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21.%20Training%20Progress%20Report%20-%20PCB%20FSA%2004.05.2023%20-%20Multi%20Site.xlsm" TargetMode="External"/><Relationship Id="rId1" Type="http://schemas.openxmlformats.org/officeDocument/2006/relationships/externalLinkPath" Target="/sites/Training/Shared%20Documents/Training%20Resources/Progress%20Reports/PC%20Mastercard/2023/21.%20Training%20Progress%20Report%20-%20PCB%20FSA%2004.05.2023%20-%20Multi%20Site.xlsm"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22.%20Training%20Progress%20Report%20-%20PCB%20Tier%201%20-%2004.10.2023%20-%20Multi%20Site.xlsm" TargetMode="External"/><Relationship Id="rId1" Type="http://schemas.openxmlformats.org/officeDocument/2006/relationships/externalLinkPath" Target="/sites/Training/Shared%20Documents/Training%20Resources/Progress%20Reports/PC%20Mastercard/2023/22.%20Training%20Progress%20Report%20-%20PCB%20Tier%201%20-%2004.10.2023%20-%20Multi%20Site.xlsm"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23.%20Training%20Progress%20Report%20-%20PCB%20Tier%201%20-%2004.17.2023%20-%20Multi%20Site.xlsm" TargetMode="External"/><Relationship Id="rId1" Type="http://schemas.openxmlformats.org/officeDocument/2006/relationships/externalLinkPath" Target="/sites/Training/Shared%20Documents/Training%20Resources/Progress%20Reports/PC%20Mastercard/2023/23.%20Training%20Progress%20Report%20-%20PCB%20Tier%201%20-%2004.17.2023%20-%20Multi%20Site.xlsm"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24.%20Training%20Progress%20Report%20-%20T1%20-%2005.01.2023.xlsm" TargetMode="External"/><Relationship Id="rId1" Type="http://schemas.openxmlformats.org/officeDocument/2006/relationships/externalLinkPath" Target="/sites/Training/Shared%20Documents/Training%20Resources/Progress%20Reports/PC%20Mastercard/2023/24.%20Training%20Progress%20Report%20-%20T1%20-%2005.01.2023.xlsm"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25.%20Training%20Progress%20Report%20-%20PCB%20Tier%201%20-%2005.08.2023%20-%20MAN.xlsm" TargetMode="External"/><Relationship Id="rId1" Type="http://schemas.openxmlformats.org/officeDocument/2006/relationships/externalLinkPath" Target="/sites/Training/Shared%20Documents/Training%20Resources/Progress%20Reports/PC%20Mastercard/2023/25.%20Training%20Progress%20Report%20-%20PCB%20Tier%201%20-%2005.08.2023%20-%20MAN.xlsm"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26.%20Training%20Progress%20Report%20-%20PCB%20Tier%201%20-%2005.10.2023%20-%20Multi%20Site%20OTT,%20SUD,%20EDM.xlsm" TargetMode="External"/><Relationship Id="rId1" Type="http://schemas.openxmlformats.org/officeDocument/2006/relationships/externalLinkPath" Target="/sites/Training/Shared%20Documents/Training%20Resources/Progress%20Reports/PC%20Mastercard/2023/26.%20Training%20Progress%20Report%20-%20PCB%20Tier%201%20-%2005.10.2023%20-%20Multi%20Site%20OTT,%20SUD,%20EDM.xlsm"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27.%20%20Training%20Progress%20Report%20-%20PCB%20-%20Tier%201%20-%205.4.2023%20-%20Multi.xlsm" TargetMode="External"/><Relationship Id="rId1" Type="http://schemas.openxmlformats.org/officeDocument/2006/relationships/externalLinkPath" Target="/sites/Training/Shared%20Documents/Training%20Resources/Progress%20Reports/PC%20Mastercard/2023/27.%20%20Training%20Progress%20Report%20-%20PCB%20-%20Tier%201%20-%205.4.2023%20-%20Multi.xlsm"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28.%20Training%20Progress%20Report%20-%20PCB%20Tier%202%20SLP%20-%20Multisite%20-%2005.10.2023%20-%20TOR.OTT..SUD.xlsm" TargetMode="External"/><Relationship Id="rId1" Type="http://schemas.openxmlformats.org/officeDocument/2006/relationships/externalLinkPath" Target="/sites/Training/Shared%20Documents/Training%20Resources/Progress%20Reports/PC%20Mastercard/2023/28.%20Training%20Progress%20Report%20-%20PCB%20Tier%202%20SLP%20-%20Multisite%20-%2005.10.2023%20-%20TOR.OTT..SUD.xlsm"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29.%20Training%20Progress%20Report%20-%20PCB%20Tier%201%20-%2005.23.2023%20-%20Multi%20Site.xlsm" TargetMode="External"/><Relationship Id="rId1" Type="http://schemas.openxmlformats.org/officeDocument/2006/relationships/externalLinkPath" Target="/sites/Training/Shared%20Documents/Training%20Resources/Progress%20Reports/PC%20Mastercard/2023/29.%20Training%20Progress%20Report%20-%20PCB%20Tier%201%20-%2005.23.2023%20-%20Multi%20Site.xlsm" TargetMode="External"/></Relationships>
</file>

<file path=xl/externalLinks/_rels/externalLink41.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30.%20Training%20Progress%20Report%20-%20PCB%20Tier%201%20-%2005.29.2023%20-%20MAN_OTT.xlsm" TargetMode="External"/><Relationship Id="rId1" Type="http://schemas.openxmlformats.org/officeDocument/2006/relationships/externalLinkPath" Target="/sites/Training/Shared%20Documents/Training%20Resources/Progress%20Reports/PC%20Mastercard/2023/30.%20Training%20Progress%20Report%20-%20PCB%20Tier%201%20-%2005.29.2023%20-%20MAN_OTT.xlsm"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31.%20Training%20Progress%20Report%20-%20PCB%20Tier%201%20-%2006.05.2023%20-%20Multi%20Site.xlsm" TargetMode="External"/><Relationship Id="rId1" Type="http://schemas.openxmlformats.org/officeDocument/2006/relationships/externalLinkPath" Target="/sites/Training/Shared%20Documents/Training%20Resources/Progress%20Reports/PC%20Mastercard/2023/31.%20Training%20Progress%20Report%20-%20PCB%20Tier%201%20-%2006.05.2023%20-%20Multi%20Site.xlsm"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32.%20Training%20Progress%20Report%20-%20PCB%20Tier%201%20-%2006.12.2023%20-%20Multi%20Site1.xlsm" TargetMode="External"/><Relationship Id="rId1" Type="http://schemas.openxmlformats.org/officeDocument/2006/relationships/externalLinkPath" Target="/sites/Training/Shared%20Documents/Training%20Resources/Progress%20Reports/PC%20Mastercard/2023/32.%20Training%20Progress%20Report%20-%20PCB%20Tier%201%20-%2006.12.2023%20-%20Multi%20Site1.xlsm"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33.Training%20Progress%20Report%20-%20PCB%20Tier%202%20SLP%20Multi%20Site%2006.06.2023.xlsm" TargetMode="External"/><Relationship Id="rId1" Type="http://schemas.openxmlformats.org/officeDocument/2006/relationships/externalLinkPath" Target="/sites/Training/Shared%20Documents/Training%20Resources/Progress%20Reports/PC%20Mastercard/2023/33.Training%20Progress%20Report%20-%20PCB%20Tier%202%20SLP%20Multi%20Site%2006.06.2023.xlsm" TargetMode="External"/></Relationships>
</file>

<file path=xl/externalLinks/_rels/externalLink45.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34.%20Training%20Progress%20Report%20-%20PCB%20Tier%201%20-%2006.19.2023%20-%20Multi%20Site.xlsm" TargetMode="External"/><Relationship Id="rId1" Type="http://schemas.openxmlformats.org/officeDocument/2006/relationships/externalLinkPath" Target="/sites/Training/Shared%20Documents/Training%20Resources/Progress%20Reports/PC%20Mastercard/2023/34.%20Training%20Progress%20Report%20-%20PCB%20Tier%201%20-%2006.19.2023%20-%20Multi%20Site.xlsm" TargetMode="External"/></Relationships>
</file>

<file path=xl/externalLinks/_rels/externalLink46.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35.%20Training%20Progress%20Report%20-%20PCB%20Tier%201%20-%2006.26.23%20-%20Multi%20Site.xlsm" TargetMode="External"/><Relationship Id="rId1" Type="http://schemas.openxmlformats.org/officeDocument/2006/relationships/externalLinkPath" Target="/sites/Training/Shared%20Documents/Training%20Resources/Progress%20Reports/PC%20Mastercard/2023/35.%20Training%20Progress%20Report%20-%20PCB%20Tier%201%20-%2006.26.23%20-%20Multi%20Site.xlsm"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36.%20Training%20Progress%20Report%20-%20PCB%20Tier%201%20-%2007.04.2023%20-%20MAN.xlsm" TargetMode="External"/><Relationship Id="rId1" Type="http://schemas.openxmlformats.org/officeDocument/2006/relationships/externalLinkPath" Target="/sites/Training/Shared%20Documents/Training%20Resources/Progress%20Reports/PC%20Mastercard/2023/36.%20Training%20Progress%20Report%20-%20PCB%20Tier%201%20-%2007.04.2023%20-%20MAN.xlsm"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37.%20Training%20Progress%20Report%20-%20PCB%20Tier%201%20-%2007.10.2023%20OTT_TOR_BW_ED.xlsm" TargetMode="External"/><Relationship Id="rId1" Type="http://schemas.openxmlformats.org/officeDocument/2006/relationships/externalLinkPath" Target="/sites/Training/Shared%20Documents/Training%20Resources/Progress%20Reports/PC%20Mastercard/2023/37.%20Training%20Progress%20Report%20-%20PCB%20Tier%201%20-%2007.10.2023%20OTT_TOR_BW_ED.xlsm" TargetMode="External"/></Relationships>
</file>

<file path=xl/externalLinks/_rels/externalLink49.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38.%20Training%20Progress%20Report%20-%20PCB%20DSA%20-%2007.05.2023%20MultiSite.xlsm" TargetMode="External"/><Relationship Id="rId1" Type="http://schemas.openxmlformats.org/officeDocument/2006/relationships/externalLinkPath" Target="/sites/Training/Shared%20Documents/Training%20Resources/Progress%20Reports/PC%20Mastercard/2023/38.%20Training%20Progress%20Report%20-%20PCB%20DSA%20-%2007.05.2023%20MultiSite.xlsm"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39.%20Training%20Progress%20Report%20-%20PCB%20Tier%201%20-%2007.17.2023%20-%20MAN.xlsm" TargetMode="External"/><Relationship Id="rId1" Type="http://schemas.openxmlformats.org/officeDocument/2006/relationships/externalLinkPath" Target="/sites/Training/Shared%20Documents/Training%20Resources/Progress%20Reports/PC%20Mastercard/2023/39.%20Training%20Progress%20Report%20-%20PCB%20Tier%201%20-%2007.17.2023%20-%20MAN.xlsm" TargetMode="External"/></Relationships>
</file>

<file path=xl/externalLinks/_rels/externalLink51.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40.%20Training%20Progress%20Report%20-%20PCB%20Tier%201%20-%2007.24.2023%20-%20Manila.xlsm" TargetMode="External"/><Relationship Id="rId1" Type="http://schemas.openxmlformats.org/officeDocument/2006/relationships/externalLinkPath" Target="/sites/Training/Shared%20Documents/Training%20Resources/Progress%20Reports/PC%20Mastercard/2023/40.%20Training%20Progress%20Report%20-%20PCB%20Tier%201%20-%2007.24.2023%20-%20Manila.xlsm" TargetMode="External"/></Relationships>
</file>

<file path=xl/externalLinks/_rels/externalLink52.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41.%20Training%20Progress%20Report%20-%20PCB%20Tier%201%20-%2007.31.2023%20-%20MAN.xlsm" TargetMode="External"/><Relationship Id="rId1" Type="http://schemas.openxmlformats.org/officeDocument/2006/relationships/externalLinkPath" Target="/sites/Training/Shared%20Documents/Training%20Resources/Progress%20Reports/PC%20Mastercard/2023/41.%20Training%20Progress%20Report%20-%20PCB%20Tier%201%20-%2007.31.2023%20-%20MAN.xlsm"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42.%20Training%20Progress%20Report%20-%20PCB%20Tier%201%20-%2008.08.2023%20-%20Multi%20Site.xlsm" TargetMode="External"/><Relationship Id="rId1" Type="http://schemas.openxmlformats.org/officeDocument/2006/relationships/externalLinkPath" Target="/sites/Training/Shared%20Documents/Training%20Resources/Progress%20Reports/PC%20Mastercard/2023/42.%20Training%20Progress%20Report%20-%20PCB%20Tier%201%20-%2008.08.2023%20-%20Multi%20Site.xlsm" TargetMode="External"/></Relationships>
</file>

<file path=xl/externalLinks/_rels/externalLink54.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43.%20Training%20Progress%20Report%20-%20PCB%20Tier%201%20-%2008.14.2023.xlsm" TargetMode="External"/><Relationship Id="rId1" Type="http://schemas.openxmlformats.org/officeDocument/2006/relationships/externalLinkPath" Target="/sites/Training/Shared%20Documents/Training%20Resources/Progress%20Reports/PC%20Mastercard/2023/43.%20Training%20Progress%20Report%20-%20PCB%20Tier%201%20-%2008.14.2023.xlsm"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44.Training%20Progress%20Report%20-%20PCB%20Tier%202%20SLP%20Manila%20Site,%2008.15.2023.xlsm" TargetMode="External"/><Relationship Id="rId1" Type="http://schemas.openxmlformats.org/officeDocument/2006/relationships/externalLinkPath" Target="/sites/Training/Shared%20Documents/Training%20Resources/Progress%20Reports/PC%20Mastercard/2023/44.Training%20Progress%20Report%20-%20PCB%20Tier%202%20SLP%20Manila%20Site,%2008.15.2023.xlsm" TargetMode="External"/></Relationships>
</file>

<file path=xl/externalLinks/_rels/externalLink56.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45.%20Training%20Progress%20Report%20-%20PCB%20Tier%201%20-%2008.28.2023%20-%20MAN.xlsm" TargetMode="External"/><Relationship Id="rId1" Type="http://schemas.openxmlformats.org/officeDocument/2006/relationships/externalLinkPath" Target="/sites/Training/Shared%20Documents/Training%20Resources/Progress%20Reports/PC%20Mastercard/2023/45.%20Training%20Progress%20Report%20-%20PCB%20Tier%201%20-%2008.28.2023%20-%20MAN.xlsm"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46.%20Training%20Progress%20Report%20-%20PCB%20FSA%2008.29.2023%20Multi%20Site-.xlsm" TargetMode="External"/><Relationship Id="rId1" Type="http://schemas.openxmlformats.org/officeDocument/2006/relationships/externalLinkPath" Target="/sites/Training/Shared%20Documents/Training%20Resources/Progress%20Reports/PC%20Mastercard/2023/46.%20Training%20Progress%20Report%20-%20PCB%20FSA%2008.29.2023%20Multi%20Site-.xlsm" TargetMode="External"/></Relationships>
</file>

<file path=xl/externalLinks/_rels/externalLink58.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47.%20Training%20Progress%20Report%20-%20PCB%20Tier%201%20-%2009.11.2023%20MAN%20.xlsm" TargetMode="External"/><Relationship Id="rId1" Type="http://schemas.openxmlformats.org/officeDocument/2006/relationships/externalLinkPath" Target="/sites/Training/Shared%20Documents/Training%20Resources/Progress%20Reports/PC%20Mastercard/2023/47.%20Training%20Progress%20Report%20-%20PCB%20Tier%201%20-%2009.11.2023%20MAN%20.xlsm"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48.%20Training%20Progress%20Report%20-%20PCB%20Tier%201%20-%2009.18.2023%20-%20MAN_Polaris.xlsm" TargetMode="External"/><Relationship Id="rId1" Type="http://schemas.openxmlformats.org/officeDocument/2006/relationships/externalLinkPath" Target="/sites/Training/Shared%20Documents/Training%20Resources/Progress%20Reports/PC%20Mastercard/2023/48.%20Training%20Progress%20Report%20-%20PCB%20Tier%201%20-%2009.18.2023%20-%20MAN_Polaris.xlsm" TargetMode="External"/></Relationships>
</file>

<file path=xl/externalLinks/_rels/externalLink60.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49.%20Training%20Progress%20Report%20-%20Tier%202%20SLP.%20Manila.09.19.2023.xlsm" TargetMode="External"/><Relationship Id="rId1" Type="http://schemas.openxmlformats.org/officeDocument/2006/relationships/externalLinkPath" Target="/sites/Training/Shared%20Documents/Training%20Resources/Progress%20Reports/PC%20Mastercard/2023/49.%20Training%20Progress%20Report%20-%20Tier%202%20SLP.%20Manila.09.19.2023.xlsm" TargetMode="External"/></Relationships>
</file>

<file path=xl/externalLinks/_rels/externalLink61.xml.rels><?xml version="1.0" encoding="UTF-8" standalone="yes"?>
<Relationships xmlns="http://schemas.openxmlformats.org/package/2006/relationships"><Relationship Id="rId2" Type="http://schemas.openxmlformats.org/officeDocument/2006/relationships/externalLinkPath" Target="https://nttlimited-my.sharepoint.com/personal/juanita_peloza_global_ntt/Documents/Desktop/50.%20Training%20Progress%20Report%20-%20PCB%20Tier%201%20-%2010.02.2023%20-%20MAN_Polaris.xlsm" TargetMode="External"/><Relationship Id="rId1" Type="http://schemas.openxmlformats.org/officeDocument/2006/relationships/externalLinkPath" Target="https://nttlimited-my.sharepoint.com/personal/juanita_peloza_global_ntt/Documents/Desktop/50.%20Training%20Progress%20Report%20-%20PCB%20Tier%201%20-%2010.02.2023%20-%20MAN_Polaris.xlsm" TargetMode="External"/></Relationships>
</file>

<file path=xl/externalLinks/_rels/externalLink62.xml.rels><?xml version="1.0" encoding="UTF-8" standalone="yes"?>
<Relationships xmlns="http://schemas.openxmlformats.org/package/2006/relationships"><Relationship Id="rId2" Type="http://schemas.openxmlformats.org/officeDocument/2006/relationships/externalLinkPath" Target="https://nttlimited-my.sharepoint.com/personal/juanita_peloza_global_ntt/Documents/Desktop/51.%20Training%20Progress%20Report%20-%20PCB%20Tier%201%20-%2010.16.2023%20-%20MAN_Polaris_QA.xlsm" TargetMode="External"/><Relationship Id="rId1" Type="http://schemas.openxmlformats.org/officeDocument/2006/relationships/externalLinkPath" Target="https://nttlimited-my.sharepoint.com/personal/juanita_peloza_global_ntt/Documents/Desktop/51.%20Training%20Progress%20Report%20-%20PCB%20Tier%201%20-%2010.16.2023%20-%20MAN_Polaris_QA.xlsm" TargetMode="External"/></Relationships>
</file>

<file path=xl/externalLinks/_rels/externalLink63.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52.%20Training%20Progress%20Report%20-%20PCB%20Tier%202%20SLP%20-%20MultiSite%20(MAN,%20TOR).xlsm" TargetMode="External"/><Relationship Id="rId1" Type="http://schemas.openxmlformats.org/officeDocument/2006/relationships/externalLinkPath" Target="/sites/Training/Shared%20Documents/Training%20Resources/Progress%20Reports/PC%20Mastercard/2023/52.%20Training%20Progress%20Report%20-%20PCB%20Tier%202%20SLP%20-%20MultiSite%20(MAN,%20TOR).xlsm" TargetMode="External"/></Relationships>
</file>

<file path=xl/externalLinks/_rels/externalLink64.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53.%20Training%20Progress%20Report%20-%20PCB%20Tier%201%20-%2011.06.2023%20%20-%20MAN_Polaris.xlsm" TargetMode="External"/><Relationship Id="rId1" Type="http://schemas.openxmlformats.org/officeDocument/2006/relationships/externalLinkPath" Target="/sites/Training/Shared%20Documents/Training%20Resources/Progress%20Reports/PC%20Mastercard/2023/53.%20Training%20Progress%20Report%20-%20PCB%20Tier%201%20-%2011.06.2023%20%20-%20MAN_Polaris.xlsm"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54.%20Training%20Progress%20Report%20-%20PCB%20Tier%201%20-%2011.20.2023%20MAN_Polaris.xlsm" TargetMode="External"/><Relationship Id="rId1" Type="http://schemas.openxmlformats.org/officeDocument/2006/relationships/externalLinkPath" Target="/sites/Training/Shared%20Documents/Training%20Resources/Progress%20Reports/PC%20Mastercard/2023/54.%20Training%20Progress%20Report%20-%20PCB%20Tier%201%20-%2011.20.2023%20MAN_Polaris.xlsm" TargetMode="External"/></Relationships>
</file>

<file path=xl/externalLinks/_rels/externalLink66.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55.%20PCB%20Tier%202%20SLP%20Training%20-%20Manila%20-%2011.14.2023.xlsm" TargetMode="External"/><Relationship Id="rId1" Type="http://schemas.openxmlformats.org/officeDocument/2006/relationships/externalLinkPath" Target="/sites/Training/Shared%20Documents/Training%20Resources/Progress%20Reports/PC%20Mastercard/2023/55.%20PCB%20Tier%202%20SLP%20Training%20-%20Manila%20-%2011.14.2023.xlsm" TargetMode="External"/></Relationships>
</file>

<file path=xl/externalLinks/_rels/externalLink67.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56.%20Training%20Progress%20Report%20-%20PCB%20Tier%201%20-%2011.27.2023%20-%20MAN_Polaris.xlsm" TargetMode="External"/><Relationship Id="rId1" Type="http://schemas.openxmlformats.org/officeDocument/2006/relationships/externalLinkPath" Target="/sites/Training/Shared%20Documents/Training%20Resources/Progress%20Reports/PC%20Mastercard/2023/56.%20Training%20Progress%20Report%20-%20PCB%20Tier%201%20-%2011.27.2023%20-%20MAN_Polaris.xlsm" TargetMode="External"/></Relationships>
</file>

<file path=xl/externalLinks/_rels/externalLink68.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3/57.%20Training%20Progress%20Report%20-%20PCB-DSA-11.29.2023.xlsm" TargetMode="External"/><Relationship Id="rId1" Type="http://schemas.openxmlformats.org/officeDocument/2006/relationships/externalLinkPath" Target="/sites/Training/Shared%20Documents/Training%20Resources/Progress%20Reports/PC%20Mastercard/2023/57.%20Training%20Progress%20Report%20-%20PCB-DSA-11.29.2023.xlsm" TargetMode="External"/></Relationships>
</file>

<file path=xl/externalLinks/_rels/externalLink69.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HomeTrust/2023/HT%20Training%20Progress%20Report%20-%20Class%2004.03.2023%20-%20Copy.xlsm" TargetMode="External"/><Relationship Id="rId1" Type="http://schemas.openxmlformats.org/officeDocument/2006/relationships/externalLinkPath" Target="/sites/Training/Shared%20Documents/Training%20Resources/Progress%20Reports/HomeTrust/2023/HT%20Training%20Progress%20Report%20-%20Class%2004.03.2023%20-%20Copy.xlsm" TargetMode="External"/></Relationships>
</file>

<file path=xl/externalLinks/_rels/externalLink70.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HomeTrust/2023/HT%20Training%20Progress%20Report%20-%2006.12.2023.xlsm" TargetMode="External"/><Relationship Id="rId1" Type="http://schemas.openxmlformats.org/officeDocument/2006/relationships/externalLinkPath" Target="/sites/Training/Shared%20Documents/Training%20Resources/Progress%20Reports/HomeTrust/2023/HT%20Training%20Progress%20Report%20-%2006.12.2023.xlsm" TargetMode="External"/></Relationships>
</file>

<file path=xl/externalLinks/_rels/externalLink71.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HomeTrust/2023/HT%20Training%20Progress%20Report%20-%20Class%2008.01.2023.xlsm" TargetMode="External"/><Relationship Id="rId1" Type="http://schemas.openxmlformats.org/officeDocument/2006/relationships/externalLinkPath" Target="/sites/Training/Shared%20Documents/Training%20Resources/Progress%20Reports/HomeTrust/2023/HT%20Training%20Progress%20Report%20-%20Class%2008.01.2023.xlsm" TargetMode="External"/></Relationships>
</file>

<file path=xl/externalLinks/_rels/externalLink72.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HomeTrust/2023/Training%20Progress%20Report%20-%20Oct.02.2023.xlsm" TargetMode="External"/><Relationship Id="rId1" Type="http://schemas.openxmlformats.org/officeDocument/2006/relationships/externalLinkPath" Target="/sites/Training/Shared%20Documents/Training%20Resources/Progress%20Reports/HomeTrust/2023/Training%20Progress%20Report%20-%20Oct.02.2023.xlsm" TargetMode="External"/></Relationships>
</file>

<file path=xl/externalLinks/_rels/externalLink73.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HomeTrust/2023/HT%20Training%20Progress%20Report%20-%2011.20.2023.xlsm" TargetMode="External"/><Relationship Id="rId1" Type="http://schemas.openxmlformats.org/officeDocument/2006/relationships/externalLinkPath" Target="/sites/Training/Shared%20Documents/Training%20Resources/Progress%20Reports/HomeTrust/2023/HT%20Training%20Progress%20Report%20-%2011.20.2023.xlsm" TargetMode="External"/></Relationships>
</file>

<file path=xl/externalLinks/_rels/externalLink74.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Laurentian%20Bank/01.%20Training%20Progress%20Report%20-%20Banque%20Laurentienne%20-%20Multi%20-%208.10.2023.xlsm" TargetMode="External"/><Relationship Id="rId1" Type="http://schemas.openxmlformats.org/officeDocument/2006/relationships/externalLinkPath" Target="/sites/Training/Shared%20Documents/Training%20Resources/Progress%20Reports/Laurentian%20Bank/01.%20Training%20Progress%20Report%20-%20Banque%20Laurentienne%20-%20Multi%20-%208.10.2023.xlsm" TargetMode="External"/></Relationships>
</file>

<file path=xl/externalLinks/_rels/externalLink75.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Laurentian%20Bank/02.%20Training%20Progress%20Report%20-%20Banque%20Laurentienne%20-%20Multi%20-%208.14.2023.xlsm" TargetMode="External"/><Relationship Id="rId1" Type="http://schemas.openxmlformats.org/officeDocument/2006/relationships/externalLinkPath" Target="/sites/Training/Shared%20Documents/Training%20Resources/Progress%20Reports/Laurentian%20Bank/02.%20Training%20Progress%20Report%20-%20Banque%20Laurentienne%20-%20Multi%20-%208.14.2023.xlsm" TargetMode="External"/></Relationships>
</file>

<file path=xl/externalLinks/_rels/externalLink76.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Laurentian%20Bank/03.%20Training%20Progress%20Report%20-%20Banque%20Laurentienne%20-%209.20.2023.xlsm" TargetMode="External"/><Relationship Id="rId1" Type="http://schemas.openxmlformats.org/officeDocument/2006/relationships/externalLinkPath" Target="/sites/Training/Shared%20Documents/Training%20Resources/Progress%20Reports/Laurentian%20Bank/03.%20Training%20Progress%20Report%20-%20Banque%20Laurentienne%20-%209.20.2023.xlsm" TargetMode="External"/></Relationships>
</file>

<file path=xl/externalLinks/_rels/externalLink77.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Laurentian%20Bank/04.%20Training%20Progress%20Report%20-%20LBC%2010-16-2023.xlsm" TargetMode="External"/><Relationship Id="rId1" Type="http://schemas.openxmlformats.org/officeDocument/2006/relationships/externalLinkPath" Target="/sites/Training/Shared%20Documents/Training%20Resources/Progress%20Reports/Laurentian%20Bank/04.%20Training%20Progress%20Report%20-%20LBC%2010-16-2023.xlsm" TargetMode="External"/></Relationships>
</file>

<file path=xl/externalLinks/_rels/externalLink78.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4/01.%20PCB%20Tier%202%20SLP%20Training%20-%20Manila%20-%2001.16.2024.xlsm" TargetMode="External"/><Relationship Id="rId1" Type="http://schemas.openxmlformats.org/officeDocument/2006/relationships/externalLinkPath" Target="/sites/Training/Shared%20Documents/Training%20Resources/Progress%20Reports/PC%20Mastercard/2024/01.%20PCB%20Tier%202%20SLP%20Training%20-%20Manila%20-%2001.16.2024.xlsm" TargetMode="External"/></Relationships>
</file>

<file path=xl/externalLinks/_rels/externalLink79.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4/02.Training%20Progress%20Report%20-%20PCB%20-%20FSA%20-%2001.18.2024_new.xlsm" TargetMode="External"/><Relationship Id="rId1" Type="http://schemas.openxmlformats.org/officeDocument/2006/relationships/externalLinkPath" Target="/sites/Training/Shared%20Documents/Training%20Resources/Progress%20Reports/PC%20Mastercard/2024/02.Training%20Progress%20Report%20-%20PCB%20-%20FSA%20-%2001.18.2024_new.xlsm" TargetMode="External"/></Relationships>
</file>

<file path=xl/externalLinks/_rels/externalLink80.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4/03.%20Training%20Progress%20Report%20-%20PCB%20Tier%201%20-%201.29.2024%20-%20MAN_Polaris.xlsm" TargetMode="External"/><Relationship Id="rId1" Type="http://schemas.openxmlformats.org/officeDocument/2006/relationships/externalLinkPath" Target="/sites/Training/Shared%20Documents/Training%20Resources/Progress%20Reports/PC%20Mastercard/2024/03.%20Training%20Progress%20Report%20-%20PCB%20Tier%201%20-%201.29.2024%20-%20MAN_Polaris.xlsm" TargetMode="External"/></Relationships>
</file>

<file path=xl/externalLinks/_rels/externalLink81.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4/04.%20Training%20Progress%20Report%20-%20PCB%20Tier%201%201.29.2024_Onshore.xlsm" TargetMode="External"/><Relationship Id="rId1" Type="http://schemas.openxmlformats.org/officeDocument/2006/relationships/externalLinkPath" Target="/sites/Training/Shared%20Documents/Training%20Resources/Progress%20Reports/PC%20Mastercard/2024/04.%20Training%20Progress%20Report%20-%20PCB%20Tier%201%201.29.2024_Onshore.xlsm" TargetMode="External"/></Relationships>
</file>

<file path=xl/externalLinks/_rels/externalLink82.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4/05.%20Training%20Progress%20Report%20-%20PCB%20Tier%201%20-%2002.05.2024%20-%20MAN_Polaris.xlsm" TargetMode="External"/><Relationship Id="rId1" Type="http://schemas.openxmlformats.org/officeDocument/2006/relationships/externalLinkPath" Target="/sites/Training/Shared%20Documents/Training%20Resources/Progress%20Reports/PC%20Mastercard/2024/05.%20Training%20Progress%20Report%20-%20PCB%20Tier%201%20-%2002.05.2024%20-%20MAN_Polaris.xlsm" TargetMode="External"/></Relationships>
</file>

<file path=xl/externalLinks/_rels/externalLink83.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4/06.%20Training%20Progress%20Report%20-%20PCB%20Tier%201%20-%2002.12.2024%20-%20MAN_Polaris.xlsm" TargetMode="External"/><Relationship Id="rId1" Type="http://schemas.openxmlformats.org/officeDocument/2006/relationships/externalLinkPath" Target="/sites/Training/Shared%20Documents/Training%20Resources/Progress%20Reports/PC%20Mastercard/2024/06.%20Training%20Progress%20Report%20-%20PCB%20Tier%201%20-%2002.12.2024%20-%20MAN_Polaris.xlsm" TargetMode="External"/></Relationships>
</file>

<file path=xl/externalLinks/_rels/externalLink84.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4/07.%20%20Training%20Progress%20Report%20-%20PCB%20-%20FSA%20-%2002.21.2024.xlsm" TargetMode="External"/><Relationship Id="rId1" Type="http://schemas.openxmlformats.org/officeDocument/2006/relationships/externalLinkPath" Target="/sites/Training/Shared%20Documents/Training%20Resources/Progress%20Reports/PC%20Mastercard/2024/07.%20%20Training%20Progress%20Report%20-%20PCB%20-%20FSA%20-%2002.21.2024.xlsm" TargetMode="External"/></Relationships>
</file>

<file path=xl/externalLinks/_rels/externalLink85.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PC%20Mastercard/2024/08.%20Training%20Progress%20Report%20-%20PCB%20Tier%201%20-%203.4.2024%20-%20MAN_Polaris.xlsm" TargetMode="External"/><Relationship Id="rId1" Type="http://schemas.openxmlformats.org/officeDocument/2006/relationships/externalLinkPath" Target="/sites/Training/Shared%20Documents/Training%20Resources/Progress%20Reports/PC%20Mastercard/2024/08.%20Training%20Progress%20Report%20-%20PCB%20Tier%201%20-%203.4.2024%20-%20MAN_Polaris.xlsm" TargetMode="External"/></Relationships>
</file>

<file path=xl/externalLinks/_rels/externalLink86.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Laurentian%20Bank/05.%20Training%20Progress%20Report%20-%20Banque%20Laurentienne%20-%20Multi%20NTT%20Transfers%20-%2002.26.2024%20v15.5.xlsm" TargetMode="External"/><Relationship Id="rId1" Type="http://schemas.openxmlformats.org/officeDocument/2006/relationships/externalLinkPath" Target="/sites/Training/Shared%20Documents/Training%20Resources/Progress%20Reports/Laurentian%20Bank/05.%20Training%20Progress%20Report%20-%20Banque%20Laurentienne%20-%20Multi%20NTT%20Transfers%20-%2002.26.2024%20v15.5.xlsm" TargetMode="External"/></Relationships>
</file>

<file path=xl/externalLinks/_rels/externalLink87.xml.rels><?xml version="1.0" encoding="UTF-8" standalone="yes"?>
<Relationships xmlns="http://schemas.openxmlformats.org/package/2006/relationships"><Relationship Id="rId2" Type="http://schemas.openxmlformats.org/officeDocument/2006/relationships/externalLinkPath" Target="https://bpontt.sharepoint.com/sites/Training/Shared%20Documents/Training%20Resources/Progress%20Reports/HomeTrust/2024/HT%20Training%20Progress%20Report%20-%2002.05.2024.xlsm" TargetMode="External"/><Relationship Id="rId1" Type="http://schemas.openxmlformats.org/officeDocument/2006/relationships/externalLinkPath" Target="/sites/Training/Shared%20Documents/Training%20Resources/Progress%20Reports/HomeTrust/2024/HT%20Training%20Progress%20Report%20-%2002.05.2024.xlsm" TargetMode="External"/></Relationships>
</file>

<file path=xl/externalLinks/_rels/externalLink88.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PCB%20Compliance%20Tracker.xlsx" TargetMode="External"/><Relationship Id="rId1" Type="http://schemas.openxmlformats.org/officeDocument/2006/relationships/externalLinkPath" Target="PCB%20Compliance%20Tracker.xlsx" TargetMode="External"/></Relationships>
</file>

<file path=xl/externalLinks/_rels/externalLink89.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2023/Trainer%20Observation%20Worksheet%20-%20Angeline%20Rubrico.xlsx" TargetMode="External"/><Relationship Id="rId1" Type="http://schemas.openxmlformats.org/officeDocument/2006/relationships/externalLinkPath" Target="Training%20Observations/2023/Trainer%20Observation%20Worksheet%20-%20Angeline%20Rubrico.xlsx" TargetMode="External"/></Relationships>
</file>

<file path=xl/externalLinks/_rels/externalLink90.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2023/Trainer%20Observation%20Worksheet%20-%20Anita%20Bliss-Dias.xlsx" TargetMode="External"/><Relationship Id="rId1" Type="http://schemas.openxmlformats.org/officeDocument/2006/relationships/externalLinkPath" Target="Training%20Observations/2023/Trainer%20Observation%20Worksheet%20-%20Anita%20Bliss-Dias.xlsx" TargetMode="External"/></Relationships>
</file>

<file path=xl/externalLinks/_rels/externalLink91.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Q4/Trainer%20Observation%20Worksheet%20-%20Anita%20-%20Feb%2021,%202024.xlsx" TargetMode="External"/><Relationship Id="rId1" Type="http://schemas.openxmlformats.org/officeDocument/2006/relationships/externalLinkPath" Target="Training%20Observations/Q4/Trainer%20Observation%20Worksheet%20-%20Anita%20-%20Feb%2021,%202024.xlsx" TargetMode="External"/></Relationships>
</file>

<file path=xl/externalLinks/_rels/externalLink92.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Q4/Trainer%20Observation%20Worksheet%20-%20Dave%20-%20Feb%2016,%202024.xlsx" TargetMode="External"/><Relationship Id="rId1" Type="http://schemas.openxmlformats.org/officeDocument/2006/relationships/externalLinkPath" Target="Training%20Observations/Q4/Trainer%20Observation%20Worksheet%20-%20Dave%20-%20Feb%2016,%202024.xlsx" TargetMode="External"/></Relationships>
</file>

<file path=xl/externalLinks/_rels/externalLink93.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2023/Trainer%20Observation%20Worksheet%20-%20Gilisa%20Roberts.xlsx" TargetMode="External"/><Relationship Id="rId1" Type="http://schemas.openxmlformats.org/officeDocument/2006/relationships/externalLinkPath" Target="Training%20Observations/2023/Trainer%20Observation%20Worksheet%20-%20Gilisa%20Roberts.xlsx" TargetMode="External"/></Relationships>
</file>

<file path=xl/externalLinks/_rels/externalLink94.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Q4/Trainer%20Observation%20Worksheet%20-%20Jean%20Luzada.xlsx" TargetMode="External"/><Relationship Id="rId1" Type="http://schemas.openxmlformats.org/officeDocument/2006/relationships/externalLinkPath" Target="Training%20Observations/Q4/Trainer%20Observation%20Worksheet%20-%20Jean%20Luzada.xlsx" TargetMode="External"/></Relationships>
</file>

<file path=xl/externalLinks/_rels/externalLink95.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2023/Trainer%20Observation%20Worksheet%20-%20Jill%20Hirtle.xlsx" TargetMode="External"/><Relationship Id="rId1" Type="http://schemas.openxmlformats.org/officeDocument/2006/relationships/externalLinkPath" Target="Training%20Observations/2023/Trainer%20Observation%20Worksheet%20-%20Jill%20Hirtle.xlsx" TargetMode="External"/></Relationships>
</file>

<file path=xl/externalLinks/_rels/externalLink96.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2023/Trainer%20Observation%20Worksheet%20-%20Jordan%20Saulnier.xlsx" TargetMode="External"/><Relationship Id="rId1" Type="http://schemas.openxmlformats.org/officeDocument/2006/relationships/externalLinkPath" Target="Training%20Observations/2023/Trainer%20Observation%20Worksheet%20-%20Jordan%20Saulnier.xlsx" TargetMode="External"/></Relationships>
</file>

<file path=xl/externalLinks/_rels/externalLink97.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Q4/Trainer%20Observation%20Worksheet%20-%20Jordan%20-%20Feb%202,%202024.xlsx" TargetMode="External"/><Relationship Id="rId1" Type="http://schemas.openxmlformats.org/officeDocument/2006/relationships/externalLinkPath" Target="Training%20Observations/Q4/Trainer%20Observation%20Worksheet%20-%20Jordan%20-%20Feb%202,%202024.xlsx" TargetMode="External"/></Relationships>
</file>

<file path=xl/externalLinks/_rels/externalLink98.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2023/Trainer%20Observation%20Worksheet%20-%20Kate%20Saigo.xlsx" TargetMode="External"/><Relationship Id="rId1" Type="http://schemas.openxmlformats.org/officeDocument/2006/relationships/externalLinkPath" Target="Training%20Observations/2023/Trainer%20Observation%20Worksheet%20-%20Kate%20Saigo.xlsx" TargetMode="External"/></Relationships>
</file>

<file path=xl/externalLinks/_rels/externalLink99.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Q4/Trainer%20Observation%20Worksheet%20-%20Catherine%20Saigo.xlsx" TargetMode="External"/><Relationship Id="rId1" Type="http://schemas.openxmlformats.org/officeDocument/2006/relationships/externalLinkPath" Target="Training%20Observations/Q4/Trainer%20Observation%20Worksheet%20-%20Catherine%20Saigo.xlsx" TargetMode="External"/></Relationships>
</file>

<file path=xl/externalLinks/_rels/externalLink100.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Q4/Trainer%20Observation%20Worksheet%20-%20Kristi%20-%20Feb%201,%202024.xlsx" TargetMode="External"/><Relationship Id="rId1" Type="http://schemas.openxmlformats.org/officeDocument/2006/relationships/externalLinkPath" Target="Training%20Observations/Q4/Trainer%20Observation%20Worksheet%20-%20Kristi%20-%20Feb%201,%202024.xlsx" TargetMode="External"/></Relationships>
</file>

<file path=xl/externalLinks/_rels/externalLink101.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2023/Trainer%20Observation%20Worksheet%20-%20Maida%20Musse.xlsx" TargetMode="External"/><Relationship Id="rId1" Type="http://schemas.openxmlformats.org/officeDocument/2006/relationships/externalLinkPath" Target="Training%20Observations/2023/Trainer%20Observation%20Worksheet%20-%20Maida%20Musse.xlsx" TargetMode="External"/></Relationships>
</file>

<file path=xl/externalLinks/_rels/externalLink102.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2023/Trainer%20Observation%20Worksheet%20-%20Maria%20Skubiszewska.xlsx" TargetMode="External"/><Relationship Id="rId1" Type="http://schemas.openxmlformats.org/officeDocument/2006/relationships/externalLinkPath" Target="Training%20Observations/2023/Trainer%20Observation%20Worksheet%20-%20Maria%20Skubiszewska.xlsx" TargetMode="External"/></Relationships>
</file>

<file path=xl/externalLinks/_rels/externalLink103.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Q4/Trainer%20Observation%20Worksheet%20-%20Maria%20-%20Feb%207,%202024.xlsx" TargetMode="External"/><Relationship Id="rId1" Type="http://schemas.openxmlformats.org/officeDocument/2006/relationships/externalLinkPath" Target="Training%20Observations/Q4/Trainer%20Observation%20Worksheet%20-%20Maria%20-%20Feb%207,%202024.xlsx" TargetMode="External"/></Relationships>
</file>

<file path=xl/externalLinks/_rels/externalLink104.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2023/Trainer%20Observation%20Worksheet%20-%20Nancy%20Price.xlsx" TargetMode="External"/><Relationship Id="rId1" Type="http://schemas.openxmlformats.org/officeDocument/2006/relationships/externalLinkPath" Target="Training%20Observations/2023/Trainer%20Observation%20Worksheet%20-%20Nancy%20Price.xlsx" TargetMode="External"/></Relationships>
</file>

<file path=xl/externalLinks/_rels/externalLink105.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Q4/Trainer%20Observation%20Worksheet%20-%20Nancy%20-%20Feb%2029,%202024.xlsx" TargetMode="External"/><Relationship Id="rId1" Type="http://schemas.openxmlformats.org/officeDocument/2006/relationships/externalLinkPath" Target="Training%20Observations/Q4/Trainer%20Observation%20Worksheet%20-%20Nancy%20-%20Feb%2029,%202024.xlsx" TargetMode="External"/></Relationships>
</file>

<file path=xl/externalLinks/_rels/externalLink106.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Q4/Trainer%20Observation%20Worksheet%20-%20Rowena%20-%20Feb%205,%202024.xlsx" TargetMode="External"/><Relationship Id="rId1" Type="http://schemas.openxmlformats.org/officeDocument/2006/relationships/externalLinkPath" Target="Training%20Observations/Q4/Trainer%20Observation%20Worksheet%20-%20Rowena%20-%20Feb%205,%202024.xlsx" TargetMode="External"/></Relationships>
</file>

<file path=xl/externalLinks/_rels/externalLink107.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Q4/Trainer%20Observation%20Worksheet%20-%20Pavasiya%20Nugent%20-%20Feb%2014,%202024.xlsx" TargetMode="External"/><Relationship Id="rId1" Type="http://schemas.openxmlformats.org/officeDocument/2006/relationships/externalLinkPath" Target="Training%20Observations/Q4/Trainer%20Observation%20Worksheet%20-%20Pavasiya%20Nugent%20-%20Feb%2014,%202024.xlsx" TargetMode="External"/></Relationships>
</file>

<file path=xl/externalLinks/_rels/externalLink108.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Q4/Trainer%20Observation%20Worksheet%20-%20Vhea%20-%20Feb%2026,%202024.xlsx" TargetMode="External"/><Relationship Id="rId1" Type="http://schemas.openxmlformats.org/officeDocument/2006/relationships/externalLinkPath" Target="Training%20Observations/Q4/Trainer%20Observation%20Worksheet%20-%20Vhea%20-%20Feb%2026,%202024.xlsx" TargetMode="External"/></Relationships>
</file>

<file path=xl/externalLinks/_rels/externalLink109.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Q4/Trainer%20Observation%20Worksheet%20-%20Viena%20Lacena%20-%20March%2012,%202024.xlsx" TargetMode="External"/><Relationship Id="rId1" Type="http://schemas.openxmlformats.org/officeDocument/2006/relationships/externalLinkPath" Target="Training%20Observations/Q4/Trainer%20Observation%20Worksheet%20-%20Viena%20Lacena%20-%20March%2012,%202024.xlsx" TargetMode="External"/></Relationships>
</file>

<file path=xl/externalLinks/_rels/externalLink110.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Q4/Trainer%20Observation%20Worksheet%20-%20Ankit%20Vishnoi.xlsx" TargetMode="External"/><Relationship Id="rId1" Type="http://schemas.openxmlformats.org/officeDocument/2006/relationships/externalLinkPath" Target="Training%20Observations/Q4/Trainer%20Observation%20Worksheet%20-%20Ankit%20Vishnoi.xlsx" TargetMode="External"/></Relationships>
</file>

<file path=xl/externalLinks/_rels/externalLink111.xml.rels><?xml version="1.0" encoding="UTF-8" standalone="yes"?>
<Relationships xmlns="http://schemas.openxmlformats.org/package/2006/relationships"><Relationship Id="rId2" Type="http://schemas.openxmlformats.org/officeDocument/2006/relationships/externalLinkPath" Target="https://bpontt.sharepoint.com/sites/Training/Training%20Managers/Training%20Delivery%20Reports/Juanita%20Peloza/Training%20Observations/Q4/Trainer%20Observation%20Worksheet%20-%20Debbie%20-%20Feb%2012,%202024.xlsx" TargetMode="External"/><Relationship Id="rId1" Type="http://schemas.openxmlformats.org/officeDocument/2006/relationships/externalLinkPath" Target="Training%20Observations/Q4/Trainer%20Observation%20Worksheet%20-%20Debbie%20-%20Feb%2012,%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F2VZIJOKUUTFBY3CHDY2E7NV5N">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0.63891349276646003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GAS4N4CZTBSRF3TTYKUS6XF3ZC">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0.83211974110032361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CELOSCI66RUNG2KSIEKYST7H2R">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0.87170317389360752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AQMN7PXBVFERDY5J2TD27BJVEB">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0.85570844179992567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EL5E3NT2GXVBD2EP2X7FP5HWE2">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0.86813781399318513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HHWV3EMG7XIZDYHPXJUD6G7KJO">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GQLPFZKK44PVBJ43KHTDGCLIGN">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0.44642857142857145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GT64QSG5ZJ3JAYSRKGCALV7XZJ">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0.82647989154993218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HQEGXPG3ZJ65FLKX23CE3JT4T7">
      <xxl21:absoluteUrl r:id="rId2"/>
    </xxl21:alternateUrls>
    <sheetNames>
      <sheetName val="Dashboard YTD"/>
      <sheetName val="Definitions"/>
      <sheetName val="April 2023"/>
      <sheetName val="May 2023"/>
      <sheetName val="July 2023"/>
      <sheetName val="June 2023"/>
      <sheetName val="Aug 2023"/>
      <sheetName val="Sept 2023"/>
      <sheetName val="Oct 2023"/>
      <sheetName val="Nov 2023"/>
      <sheetName val="Dec 2023"/>
      <sheetName val="Jan 2024"/>
      <sheetName val="Feb 2024"/>
      <sheetName val="March 2024"/>
    </sheetNames>
    <sheetDataSet>
      <sheetData sheetId="0">
        <row r="2">
          <cell r="K2">
            <v>0.86265509574696975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F3XSTSPT4OSZF2ZQEGRYN2YYDP">
      <xxl21:absoluteUrl r:id="rId2"/>
    </xxl21:alternateUrls>
    <sheetNames>
      <sheetName val="Dashboard YTD"/>
      <sheetName val="Definitions"/>
      <sheetName val="Template Example"/>
      <sheetName val="Jan 2023"/>
      <sheetName val="Feb 2023"/>
      <sheetName val="Mar 2023"/>
      <sheetName val="Apr 2023"/>
      <sheetName val="May 2023"/>
      <sheetName val="Jun 2023"/>
      <sheetName val="Jul 2023"/>
      <sheetName val="Aug 2023"/>
      <sheetName val="Sep 2023"/>
      <sheetName val="Oct 2023"/>
      <sheetName val="Nov 2023"/>
      <sheetName val="Dec 2023"/>
      <sheetName val="Jan 2024"/>
      <sheetName val="Feb 2024"/>
      <sheetName val="Mar 2024"/>
    </sheetNames>
    <sheetDataSet>
      <sheetData sheetId="0">
        <row r="2">
          <cell r="K2">
            <v>0.77869467366841716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GP5PGH3RUTQZAIYJJO6SNI3WW6">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0.72350049164208452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BFJHJ3SKEDN5FZCILW4QWDD2I3">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0.74576271186440679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FWQBA7WVGRDRC3BXVCGJZGHMWR">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0.822018382106947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DP3JB24S7H5BG2LYRRWUNPQUUA">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0.77797979797979799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HGP4WUFGOTDBALK7K56HZCVGOC">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0.86669351590817556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HX2KXCFJRGK5C3OU6MHHNZ425W">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0.88045522949586152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B76AFKK6ONTFEJIBX76B2P6732">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0.8086053412462908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AB7XBCBI4NKBALOA4GI4HT6MMD">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0.80151040182388145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BSSRQXKGPCKNEYCB2LGEYECQDY">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0.86747787610619465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AWMRJSL2OQ3RELE7YWFY4ZRFAO">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0.99096249435155892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EDPSWDKVNXKJC2YUVRWKFTHSZ6">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0.90588235294117647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DZPYNXGQ3ZPFF2NEBXT52BBDE6">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 val="April 2024"/>
    </sheetNames>
    <sheetDataSet>
      <sheetData sheetId="0">
        <row r="2">
          <cell r="K2">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ASYNSVCRBC4VFJHY4FYYVACJPV">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0.72151898734177211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w_5EpGbZcUGUXh2lGNi7mGtDQvjsqHFAkHcZlFe9KHnb_XIeSN_ER5PT2dlXdg8g" itemId="01PCCGGOEXMXSEJ4PA5BHZKOXTLLRQJME2">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0.96386554621848741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CR6N5E32QLV5B2WF3ZQRI3KMEP">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0.90175670186839985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GACYTFN3NIVRFIXNMVCFTXX2K4">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 val="April 2024"/>
      <sheetName val="May 2024"/>
      <sheetName val="June 2024"/>
      <sheetName val="July 2024"/>
      <sheetName val="Aug 2024"/>
      <sheetName val="Sept 2024"/>
      <sheetName val="Oct 2024"/>
      <sheetName val="Nov 2024"/>
      <sheetName val="Dec 2024"/>
    </sheetNames>
    <sheetDataSet>
      <sheetData sheetId="0">
        <row r="2">
          <cell r="K2">
            <v>0.76388888888888884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HSCOQSOBNFE5EKGP52TOE6IREC">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 val="April 2024"/>
      <sheetName val="May 2024 "/>
      <sheetName val="June 2024"/>
      <sheetName val="July 2024"/>
    </sheetNames>
    <sheetDataSet>
      <sheetData sheetId="0">
        <row r="2">
          <cell r="K2">
            <v>0.82905807732136694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AWJRLNV6UWZZDK2DBJY4QGNDFN">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 val="Sheet1"/>
    </sheetNames>
    <sheetDataSet>
      <sheetData sheetId="0">
        <row r="2">
          <cell r="K2">
            <v>0.90764727804895773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DYHVKHB5JJQFCL4OVMF5G7ERNE">
      <xxl21:absoluteUrl r:id="rId2"/>
    </xxl21:alternateUrls>
    <sheetNames>
      <sheetName val="Dashboard YTD"/>
      <sheetName val="Definitions"/>
      <sheetName val="April 2023"/>
      <sheetName val="May 2023"/>
      <sheetName val="June 2023"/>
      <sheetName val="July 2023"/>
      <sheetName val="Aug 2023"/>
      <sheetName val="Sept 2023"/>
      <sheetName val="Oct 2023"/>
      <sheetName val="Nov 2023"/>
      <sheetName val="Dec 2023"/>
      <sheetName val="Jan 2024"/>
      <sheetName val="Feb 2024"/>
      <sheetName val="March 2024"/>
    </sheetNames>
    <sheetDataSet>
      <sheetData sheetId="0">
        <row r="2">
          <cell r="K2">
            <v>0.91800000000000004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HOHT654O6E2BGLYSKWSSXZZZ52">
      <xxl21:absoluteUrl r:id="rId2"/>
    </xxl21:alternateUrls>
    <sheetNames>
      <sheetName val="Quick Links"/>
      <sheetName val="One-Time Check List"/>
      <sheetName val="Daily Checklist"/>
      <sheetName val="WFH SetUp"/>
      <sheetName val="Class Summary"/>
      <sheetName val="Student Data"/>
      <sheetName val="Day 1 WFH Audit"/>
      <sheetName val="Performance"/>
      <sheetName val="Preprocess Training Report"/>
      <sheetName val="Preprocess SWOT"/>
      <sheetName val="Attendance"/>
      <sheetName val="Perform Tier 2"/>
      <sheetName val="Performance RSA"/>
      <sheetName val="Daily Observation"/>
      <sheetName val="Skill Assessment"/>
      <sheetName val="PCB Nesting QA"/>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0.11764705882352941</v>
          </cell>
          <cell r="I21">
            <v>0.2</v>
          </cell>
        </row>
      </sheetData>
      <sheetData sheetId="5"/>
      <sheetData sheetId="6"/>
      <sheetData sheetId="7">
        <row r="45">
          <cell r="AI45">
            <v>0.87778176470588232</v>
          </cell>
        </row>
      </sheetData>
      <sheetData sheetId="8"/>
      <sheetData sheetId="9"/>
      <sheetData sheetId="10"/>
      <sheetData sheetId="11"/>
      <sheetData sheetId="12"/>
      <sheetData sheetId="13"/>
      <sheetData sheetId="14"/>
      <sheetData sheetId="15">
        <row r="44">
          <cell r="L44">
            <v>0.52968750000000009</v>
          </cell>
        </row>
      </sheetData>
      <sheetData sheetId="16"/>
      <sheetData sheetId="17"/>
      <sheetData sheetId="18"/>
      <sheetData sheetId="19"/>
      <sheetData sheetId="20"/>
      <sheetData sheetId="21"/>
      <sheetData sheetId="2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AKBAVXXKALUNBLTY4UI7VZOKBX">
      <xxl21:absoluteUrl r:id="rId2"/>
    </xxl21:alternateUrls>
    <sheetNames>
      <sheetName val="GradRates - Tier 1"/>
      <sheetName val="GradRates - Tier 2"/>
      <sheetName val="GradRates - RSA"/>
      <sheetName val="Tier 1"/>
      <sheetName val="Tier 2"/>
      <sheetName val="RSA"/>
      <sheetName val="Home Trust"/>
      <sheetName val="Laurentian"/>
      <sheetName val="Tables"/>
    </sheetNames>
    <sheetDataSet>
      <sheetData sheetId="0">
        <row r="138">
          <cell r="S138">
            <v>0.30769230769230771</v>
          </cell>
        </row>
        <row r="139">
          <cell r="S139">
            <v>0.2</v>
          </cell>
        </row>
        <row r="140">
          <cell r="S140">
            <v>0.18181818181818182</v>
          </cell>
        </row>
        <row r="142">
          <cell r="S142">
            <v>0.23529411764705882</v>
          </cell>
        </row>
        <row r="143">
          <cell r="S143">
            <v>0.25</v>
          </cell>
        </row>
        <row r="144">
          <cell r="S144">
            <v>0.26666666666666666</v>
          </cell>
        </row>
        <row r="145">
          <cell r="S145">
            <v>0.25</v>
          </cell>
        </row>
        <row r="146">
          <cell r="S146">
            <v>0.23529411764705882</v>
          </cell>
        </row>
        <row r="147">
          <cell r="S147">
            <v>0.42857142857142855</v>
          </cell>
        </row>
        <row r="149">
          <cell r="S149">
            <v>7.6923076923076927E-2</v>
          </cell>
        </row>
        <row r="150">
          <cell r="S150">
            <v>7.1428571428571425E-2</v>
          </cell>
        </row>
        <row r="151">
          <cell r="S151">
            <v>0.2857142857142857</v>
          </cell>
        </row>
        <row r="152">
          <cell r="S152">
            <v>0.21739130434782608</v>
          </cell>
        </row>
        <row r="154">
          <cell r="S154">
            <v>0.125</v>
          </cell>
        </row>
        <row r="155">
          <cell r="S155">
            <v>0</v>
          </cell>
        </row>
        <row r="156">
          <cell r="S156">
            <v>0.16666666666666666</v>
          </cell>
        </row>
        <row r="161">
          <cell r="S161">
            <v>0.26666666666666666</v>
          </cell>
        </row>
        <row r="162">
          <cell r="S162">
            <v>0</v>
          </cell>
        </row>
        <row r="163">
          <cell r="S163">
            <v>0.13333333333333333</v>
          </cell>
        </row>
        <row r="164">
          <cell r="S164">
            <v>7.6923076923076927E-2</v>
          </cell>
        </row>
        <row r="166">
          <cell r="S166">
            <v>0.23076923076923078</v>
          </cell>
        </row>
        <row r="168">
          <cell r="S168">
            <v>8.3333333333333329E-2</v>
          </cell>
        </row>
        <row r="169">
          <cell r="S169">
            <v>0</v>
          </cell>
        </row>
        <row r="171">
          <cell r="S171">
            <v>0.45454545454545453</v>
          </cell>
        </row>
        <row r="172">
          <cell r="S172">
            <v>9.0909090909090912E-2</v>
          </cell>
        </row>
        <row r="174">
          <cell r="S174">
            <v>0.16666666666666666</v>
          </cell>
        </row>
        <row r="175">
          <cell r="S175">
            <v>0.1</v>
          </cell>
        </row>
        <row r="176">
          <cell r="S176">
            <v>0.16666666666666666</v>
          </cell>
        </row>
        <row r="180">
          <cell r="S180">
            <v>0</v>
          </cell>
        </row>
        <row r="181">
          <cell r="S181">
            <v>0.125</v>
          </cell>
        </row>
        <row r="182">
          <cell r="S182">
            <v>0</v>
          </cell>
        </row>
        <row r="183">
          <cell r="S183">
            <v>0.14285714285714285</v>
          </cell>
        </row>
        <row r="185">
          <cell r="S185">
            <v>0.18181818181818182</v>
          </cell>
        </row>
      </sheetData>
      <sheetData sheetId="1">
        <row r="15">
          <cell r="M15">
            <v>0.93333333333333335</v>
          </cell>
          <cell r="S15">
            <v>0</v>
          </cell>
        </row>
        <row r="16">
          <cell r="M16">
            <v>1</v>
          </cell>
          <cell r="S16">
            <v>0</v>
          </cell>
        </row>
        <row r="17">
          <cell r="I17">
            <v>6</v>
          </cell>
          <cell r="M17">
            <v>1</v>
          </cell>
        </row>
        <row r="18">
          <cell r="I18">
            <v>10</v>
          </cell>
          <cell r="M18">
            <v>1</v>
          </cell>
        </row>
        <row r="22">
          <cell r="M22">
            <v>1</v>
          </cell>
        </row>
      </sheetData>
      <sheetData sheetId="2">
        <row r="25">
          <cell r="L25">
            <v>0.9375</v>
          </cell>
        </row>
      </sheetData>
      <sheetData sheetId="3"/>
      <sheetData sheetId="4"/>
      <sheetData sheetId="5"/>
      <sheetData sheetId="6"/>
      <sheetData sheetId="7"/>
      <sheetData sheetId="8"/>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FE3T5LNB6X3JBI3ER44CLJF5CD">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Attendance"/>
      <sheetName val="Day 1 WFH Audit"/>
      <sheetName val="Performance"/>
      <sheetName val="Perform Tier 2"/>
      <sheetName val="Daily Observation"/>
      <sheetName val="Performance RSA"/>
      <sheetName val="Skill Assessment"/>
      <sheetName val="PCB Nesting QA"/>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0</v>
          </cell>
          <cell r="I21">
            <v>0</v>
          </cell>
        </row>
      </sheetData>
      <sheetData sheetId="5"/>
      <sheetData sheetId="6"/>
      <sheetData sheetId="7"/>
      <sheetData sheetId="8"/>
      <sheetData sheetId="9"/>
      <sheetData sheetId="10"/>
      <sheetData sheetId="11"/>
      <sheetData sheetId="12"/>
      <sheetData sheetId="13"/>
      <sheetData sheetId="14"/>
      <sheetData sheetId="15">
        <row r="24">
          <cell r="H24">
            <v>0.75333333333333319</v>
          </cell>
        </row>
      </sheetData>
      <sheetData sheetId="16"/>
      <sheetData sheetId="17"/>
      <sheetData sheetId="18"/>
      <sheetData sheetId="19"/>
      <sheetData sheetId="20"/>
      <sheetData sheetId="21"/>
      <sheetData sheetId="2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B6ZTJTPSJF5JEIMAI5FFEMPMGW">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Attendance"/>
      <sheetName val="Day 1 WFH Audit"/>
      <sheetName val="Performance"/>
      <sheetName val="Perform Tier 2"/>
      <sheetName val="Performance RSA"/>
      <sheetName val="Skill Assessment"/>
      <sheetName val="Daily Observation"/>
      <sheetName val="PCB Nesting QA"/>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0.375</v>
          </cell>
          <cell r="I21">
            <v>0.2</v>
          </cell>
        </row>
      </sheetData>
      <sheetData sheetId="5"/>
      <sheetData sheetId="6"/>
      <sheetData sheetId="7"/>
      <sheetData sheetId="8"/>
      <sheetData sheetId="9"/>
      <sheetData sheetId="10">
        <row r="45">
          <cell r="AI45">
            <v>0.83844769230769223</v>
          </cell>
        </row>
      </sheetData>
      <sheetData sheetId="11"/>
      <sheetData sheetId="12"/>
      <sheetData sheetId="13"/>
      <sheetData sheetId="14"/>
      <sheetData sheetId="15">
        <row r="44">
          <cell r="L44">
            <v>0.50940972222222236</v>
          </cell>
        </row>
      </sheetData>
      <sheetData sheetId="16"/>
      <sheetData sheetId="17"/>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BS7ZM67M75DJD3EP6ZYSKYZVEH">
      <xxl21:absoluteUrl r:id="rId2"/>
    </xxl21:alternateUrls>
    <sheetNames>
      <sheetName val="Quick Links"/>
      <sheetName val="One-Time Check List"/>
      <sheetName val="Daily Checklist"/>
      <sheetName val="WFH SetUp"/>
      <sheetName val="Student Data"/>
      <sheetName val="Class Summary"/>
      <sheetName val="Preprocess Training Report"/>
      <sheetName val="Preprocess SWOT"/>
      <sheetName val="Attendance"/>
      <sheetName val="Day 1 WFH Audit"/>
      <sheetName val="Performance"/>
      <sheetName val="Perform Tier 2"/>
      <sheetName val="Performance RSA"/>
      <sheetName val="Skill Assessment"/>
      <sheetName val="Daily Observation"/>
      <sheetName val="PCB Nesting QA"/>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sheetData sheetId="5">
        <row r="21">
          <cell r="E21">
            <v>0.26666666666666666</v>
          </cell>
          <cell r="I21">
            <v>0.27272727272727271</v>
          </cell>
        </row>
      </sheetData>
      <sheetData sheetId="6"/>
      <sheetData sheetId="7"/>
      <sheetData sheetId="8"/>
      <sheetData sheetId="9"/>
      <sheetData sheetId="10">
        <row r="21">
          <cell r="AJ21">
            <v>0.8727593406593408</v>
          </cell>
        </row>
      </sheetData>
      <sheetData sheetId="11"/>
      <sheetData sheetId="12"/>
      <sheetData sheetId="13"/>
      <sheetData sheetId="14"/>
      <sheetData sheetId="15">
        <row r="20">
          <cell r="L20">
            <v>0.55972222222222223</v>
          </cell>
        </row>
      </sheetData>
      <sheetData sheetId="16"/>
      <sheetData sheetId="17"/>
      <sheetData sheetId="18"/>
      <sheetData sheetId="19"/>
      <sheetData sheetId="20"/>
      <sheetData sheetId="21"/>
      <sheetData sheetId="2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F7LMM5QEZMHNBYQQ7Q44WB346O">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Attendance"/>
      <sheetName val="Day 1 WFH Audit"/>
      <sheetName val="Perform Tier 2"/>
      <sheetName val="Performance RSA"/>
      <sheetName val="Performance"/>
      <sheetName val="Skill Assessment"/>
      <sheetName val="Daily Observation"/>
      <sheetName val="PCB Nesting QA"/>
      <sheetName val="PCB Nesting Incentiv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0.17647058823529413</v>
          </cell>
          <cell r="I21">
            <v>0.2857142857142857</v>
          </cell>
        </row>
      </sheetData>
      <sheetData sheetId="5"/>
      <sheetData sheetId="6"/>
      <sheetData sheetId="7"/>
      <sheetData sheetId="8"/>
      <sheetData sheetId="9"/>
      <sheetData sheetId="10"/>
      <sheetData sheetId="11"/>
      <sheetData sheetId="12">
        <row r="45">
          <cell r="AH45">
            <v>0.82997652380952391</v>
          </cell>
        </row>
      </sheetData>
      <sheetData sheetId="13"/>
      <sheetData sheetId="14"/>
      <sheetData sheetId="15">
        <row r="44">
          <cell r="L44">
            <v>0.55560897435897438</v>
          </cell>
        </row>
      </sheetData>
      <sheetData sheetId="16"/>
      <sheetData sheetId="17"/>
      <sheetData sheetId="18"/>
      <sheetData sheetId="19"/>
      <sheetData sheetId="20"/>
      <sheetData sheetId="21"/>
      <sheetData sheetId="22"/>
      <sheetData sheetId="23"/>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GORIOAIDHW5RAYSHJLFOYBO72M">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Attendance"/>
      <sheetName val="Day 1 WFH Audit"/>
      <sheetName val="Performance"/>
      <sheetName val="Perform Tier 2"/>
      <sheetName val="Performance RSA"/>
      <sheetName val="Skill Assessment"/>
      <sheetName val="Daily Observation"/>
      <sheetName val="PCB Nesting QA"/>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0.25</v>
          </cell>
          <cell r="I21">
            <v>0</v>
          </cell>
        </row>
      </sheetData>
      <sheetData sheetId="5"/>
      <sheetData sheetId="6"/>
      <sheetData sheetId="7"/>
      <sheetData sheetId="8"/>
      <sheetData sheetId="9"/>
      <sheetData sheetId="10">
        <row r="45">
          <cell r="AI45">
            <v>0.87936071428571427</v>
          </cell>
        </row>
      </sheetData>
      <sheetData sheetId="11"/>
      <sheetData sheetId="12"/>
      <sheetData sheetId="13"/>
      <sheetData sheetId="14"/>
      <sheetData sheetId="15">
        <row r="44">
          <cell r="L44">
            <v>0.77500000000000002</v>
          </cell>
        </row>
      </sheetData>
      <sheetData sheetId="16"/>
      <sheetData sheetId="17"/>
      <sheetData sheetId="18"/>
      <sheetData sheetId="19"/>
      <sheetData sheetId="20"/>
      <sheetData sheetId="21"/>
      <sheetData sheetId="22"/>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FUTW36TLJ5O5C3ZWRV3JM57OX4">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Attendance"/>
      <sheetName val="Day 1 WFH Audit"/>
      <sheetName val="Performance"/>
      <sheetName val="Perform Tier 2"/>
      <sheetName val="Performance RSA"/>
      <sheetName val="Skill Assessment"/>
      <sheetName val="Daily Observation"/>
      <sheetName val="PCB Nesting QA"/>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0.2</v>
          </cell>
          <cell r="I21">
            <v>0</v>
          </cell>
        </row>
      </sheetData>
      <sheetData sheetId="5"/>
      <sheetData sheetId="6"/>
      <sheetData sheetId="7"/>
      <sheetData sheetId="8"/>
      <sheetData sheetId="9"/>
      <sheetData sheetId="10">
        <row r="45">
          <cell r="AI45">
            <v>0.76853631868131866</v>
          </cell>
        </row>
      </sheetData>
      <sheetData sheetId="11"/>
      <sheetData sheetId="12"/>
      <sheetData sheetId="13"/>
      <sheetData sheetId="14"/>
      <sheetData sheetId="15">
        <row r="44">
          <cell r="L44">
            <v>0.63500000000000001</v>
          </cell>
        </row>
      </sheetData>
      <sheetData sheetId="16"/>
      <sheetData sheetId="17"/>
      <sheetData sheetId="18"/>
      <sheetData sheetId="19"/>
      <sheetData sheetId="20"/>
      <sheetData sheetId="21"/>
      <sheetData sheetId="22"/>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HKTE7BKNAHKBHLNDN7SEOYIFGB">
      <xxl21:absoluteUrl r:id="rId2"/>
    </xxl21:alternateUrls>
    <sheetNames>
      <sheetName val="Quick Links"/>
      <sheetName val="One-Time Check List"/>
      <sheetName val="Daily Checklist"/>
      <sheetName val="Class Summary"/>
      <sheetName val="WFH SetUp"/>
      <sheetName val="Student Data"/>
      <sheetName val="Preprocess Training Report"/>
      <sheetName val="Preprocess SWOT"/>
      <sheetName val="Attendance"/>
      <sheetName val="Day 1 WFH Audit"/>
      <sheetName val="Performance"/>
      <sheetName val="Perform Tier 2"/>
      <sheetName val="Performance RSA"/>
      <sheetName val="Skill Assessment"/>
      <sheetName val="Daily Observation"/>
      <sheetName val="PCB Nesting QA"/>
      <sheetName val="Nesting Sales"/>
      <sheetName val="Perf. Mgmnt"/>
      <sheetName val="RSA Fraud Error Summary"/>
      <sheetName val="PCB Handoff Page - (Non-Sales)"/>
      <sheetName val="PCB Handoff Page (Sales)"/>
      <sheetName val="QBR"/>
      <sheetName val="Reporting"/>
    </sheetNames>
    <sheetDataSet>
      <sheetData sheetId="0"/>
      <sheetData sheetId="1"/>
      <sheetData sheetId="2"/>
      <sheetData sheetId="3">
        <row r="21">
          <cell r="E21">
            <v>0.46666666666666667</v>
          </cell>
          <cell r="I21">
            <v>0.125</v>
          </cell>
        </row>
      </sheetData>
      <sheetData sheetId="4"/>
      <sheetData sheetId="5"/>
      <sheetData sheetId="6"/>
      <sheetData sheetId="7"/>
      <sheetData sheetId="8"/>
      <sheetData sheetId="9"/>
      <sheetData sheetId="10">
        <row r="35">
          <cell r="AJ35">
            <v>0.82438717460317457</v>
          </cell>
        </row>
      </sheetData>
      <sheetData sheetId="11"/>
      <sheetData sheetId="12"/>
      <sheetData sheetId="13"/>
      <sheetData sheetId="14"/>
      <sheetData sheetId="15">
        <row r="34">
          <cell r="L34">
            <v>0.51654761904761903</v>
          </cell>
        </row>
      </sheetData>
      <sheetData sheetId="16"/>
      <sheetData sheetId="17"/>
      <sheetData sheetId="18"/>
      <sheetData sheetId="19"/>
      <sheetData sheetId="20"/>
      <sheetData sheetId="21"/>
      <sheetData sheetId="22"/>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EDRXWM4OF5XNEILO4YVIQSOBW6">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Attendance"/>
      <sheetName val="Day 1 WFH Audit"/>
      <sheetName val="Performance"/>
      <sheetName val="Perform Tier 2"/>
      <sheetName val="Performance RSA"/>
      <sheetName val="Skill Assessment"/>
      <sheetName val="Daily Observation"/>
      <sheetName val="PCB Nesting QA"/>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0</v>
          </cell>
          <cell r="I21">
            <v>0</v>
          </cell>
        </row>
      </sheetData>
      <sheetData sheetId="5"/>
      <sheetData sheetId="6"/>
      <sheetData sheetId="7"/>
      <sheetData sheetId="8"/>
      <sheetData sheetId="9"/>
      <sheetData sheetId="10">
        <row r="45">
          <cell r="AI45">
            <v>0.96857142857142864</v>
          </cell>
        </row>
      </sheetData>
      <sheetData sheetId="11"/>
      <sheetData sheetId="12"/>
      <sheetData sheetId="13"/>
      <sheetData sheetId="14"/>
      <sheetData sheetId="15">
        <row r="44">
          <cell r="L44">
            <v>0.7644642857142856</v>
          </cell>
        </row>
      </sheetData>
      <sheetData sheetId="16"/>
      <sheetData sheetId="17"/>
      <sheetData sheetId="18"/>
      <sheetData sheetId="19"/>
      <sheetData sheetId="20"/>
      <sheetData sheetId="21"/>
      <sheetData sheetId="22"/>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ED7DIBITAO5JHKOWQ5Q655O6IB">
      <xxl21:absoluteUrl r:id="rId2"/>
    </xxl21:alternateUrls>
    <sheetNames>
      <sheetName val="Quick Links"/>
      <sheetName val="One-Time Check List"/>
      <sheetName val="Daily Checklist"/>
      <sheetName val="Class Summary"/>
      <sheetName val="WFH SetUp"/>
      <sheetName val="Student Data"/>
      <sheetName val="Preprocess Training Report"/>
      <sheetName val="Preprocess SWOT"/>
      <sheetName val="Attendance"/>
      <sheetName val="Performance"/>
      <sheetName val="Perform Tier 2"/>
      <sheetName val="Performance RSA"/>
      <sheetName val="Day 1 WFH Audit"/>
      <sheetName val="Skill Assessment"/>
      <sheetName val="PCB Nesting QA"/>
      <sheetName val="Daily Observation"/>
      <sheetName val="PCB Nesting Incentiv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row r="21">
          <cell r="E21">
            <v>0</v>
          </cell>
          <cell r="I21">
            <v>0.6</v>
          </cell>
        </row>
      </sheetData>
      <sheetData sheetId="4"/>
      <sheetData sheetId="5"/>
      <sheetData sheetId="6"/>
      <sheetData sheetId="7"/>
      <sheetData sheetId="8"/>
      <sheetData sheetId="9">
        <row r="45">
          <cell r="AI45">
            <v>0.82474154761904761</v>
          </cell>
        </row>
      </sheetData>
      <sheetData sheetId="10"/>
      <sheetData sheetId="11"/>
      <sheetData sheetId="12"/>
      <sheetData sheetId="13"/>
      <sheetData sheetId="14">
        <row r="44">
          <cell r="L44">
            <v>0.73791666666666667</v>
          </cell>
        </row>
      </sheetData>
      <sheetData sheetId="15"/>
      <sheetData sheetId="16"/>
      <sheetData sheetId="17"/>
      <sheetData sheetId="18"/>
      <sheetData sheetId="19"/>
      <sheetData sheetId="20"/>
      <sheetData sheetId="21"/>
      <sheetData sheetId="22"/>
      <sheetData sheetId="23"/>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HZ4TNUI4IYWBH2B5PNWIE5GD5N">
      <xxl21:absoluteUrl r:id="rId2"/>
    </xxl21:alternateUrls>
    <sheetNames>
      <sheetName val="Quick Links"/>
      <sheetName val="One-Time Check List"/>
      <sheetName val="Daily Checklist"/>
      <sheetName val="Class Summary"/>
      <sheetName val="WFH SetUp"/>
      <sheetName val="Student Data"/>
      <sheetName val="Preprocess SWOT"/>
      <sheetName val="Preprocess Training Report"/>
      <sheetName val="Daily Observation"/>
      <sheetName val="Attendance"/>
      <sheetName val="Day 1 WFH Audit"/>
      <sheetName val="Performance"/>
      <sheetName val="Perform Tier 2"/>
      <sheetName val="Performance RSA"/>
      <sheetName val="PCB Nesting QA"/>
      <sheetName val="PCB Nesting Incentive"/>
      <sheetName val="Skill Assessment"/>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row r="21">
          <cell r="E21">
            <v>0.5</v>
          </cell>
          <cell r="I21">
            <v>0</v>
          </cell>
        </row>
      </sheetData>
      <sheetData sheetId="4"/>
      <sheetData sheetId="5"/>
      <sheetData sheetId="6"/>
      <sheetData sheetId="7"/>
      <sheetData sheetId="8"/>
      <sheetData sheetId="9"/>
      <sheetData sheetId="10"/>
      <sheetData sheetId="11">
        <row r="45">
          <cell r="AI45">
            <v>0.84286333333333341</v>
          </cell>
        </row>
      </sheetData>
      <sheetData sheetId="12"/>
      <sheetData sheetId="13"/>
      <sheetData sheetId="14">
        <row r="44">
          <cell r="L44">
            <v>0.88375000000000004</v>
          </cell>
        </row>
      </sheetData>
      <sheetData sheetId="15"/>
      <sheetData sheetId="16"/>
      <sheetData sheetId="17"/>
      <sheetData sheetId="18"/>
      <sheetData sheetId="19"/>
      <sheetData sheetId="20"/>
      <sheetData sheetId="21"/>
      <sheetData sheetId="22"/>
      <sheetData sheetId="23"/>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DPHXQUZ3H4DZE3N5J2BCXUM6JL">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Day 1 WFH Audit"/>
      <sheetName val="Attendance"/>
      <sheetName val="Performance"/>
      <sheetName val="Perform Tier 2"/>
      <sheetName val="Performance RSA"/>
      <sheetName val="Daily Observation"/>
      <sheetName val="Skill Assessment"/>
      <sheetName val="PCB Nesting QA"/>
      <sheetName val="PCB Nesting Incentiv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0.2</v>
          </cell>
          <cell r="I21">
            <v>0.125</v>
          </cell>
        </row>
      </sheetData>
      <sheetData sheetId="5"/>
      <sheetData sheetId="6"/>
      <sheetData sheetId="7"/>
      <sheetData sheetId="8"/>
      <sheetData sheetId="9"/>
      <sheetData sheetId="10">
        <row r="45">
          <cell r="AH45">
            <v>0.90324619047619037</v>
          </cell>
        </row>
      </sheetData>
      <sheetData sheetId="11"/>
      <sheetData sheetId="12"/>
      <sheetData sheetId="13"/>
      <sheetData sheetId="14"/>
      <sheetData sheetId="15">
        <row r="44">
          <cell r="L44">
            <v>0.82381944444444433</v>
          </cell>
        </row>
      </sheetData>
      <sheetData sheetId="16"/>
      <sheetData sheetId="17"/>
      <sheetData sheetId="18"/>
      <sheetData sheetId="19"/>
      <sheetData sheetId="20"/>
      <sheetData sheetId="21"/>
      <sheetData sheetId="22"/>
      <sheetData sheetId="23"/>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FVJACN2YD3KNEJ6QWQCV4M6DGA">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Attendance"/>
      <sheetName val="Day 1 WFH Audit"/>
      <sheetName val="Skill Assessment"/>
      <sheetName val="Performance"/>
      <sheetName val="Perform Tier 2"/>
      <sheetName val="Performance RSA"/>
      <sheetName val="Daily Observation"/>
      <sheetName val="PCB Handoff Page - (Non-Sales)"/>
      <sheetName val="PCB Nesting QA"/>
      <sheetName val="Nesting Sales"/>
      <sheetName val="RSA Fraud Error Summary"/>
      <sheetName val="PCB Handoff Page (Sales)"/>
      <sheetName val="QBR"/>
      <sheetName val="Perf. Mgmnt"/>
      <sheetName val="Reporting"/>
    </sheetNames>
    <sheetDataSet>
      <sheetData sheetId="0"/>
      <sheetData sheetId="1"/>
      <sheetData sheetId="2"/>
      <sheetData sheetId="3"/>
      <sheetData sheetId="4">
        <row r="21">
          <cell r="E21">
            <v>0.61538461538461542</v>
          </cell>
          <cell r="I21">
            <v>0.4</v>
          </cell>
        </row>
      </sheetData>
      <sheetData sheetId="5"/>
      <sheetData sheetId="6"/>
      <sheetData sheetId="7"/>
      <sheetData sheetId="8"/>
      <sheetData sheetId="9"/>
      <sheetData sheetId="10"/>
      <sheetData sheetId="11">
        <row r="45">
          <cell r="AI45">
            <v>0.83741964285714265</v>
          </cell>
        </row>
      </sheetData>
      <sheetData sheetId="12"/>
      <sheetData sheetId="13"/>
      <sheetData sheetId="14"/>
      <sheetData sheetId="15"/>
      <sheetData sheetId="16">
        <row r="44">
          <cell r="L44">
            <v>0.71550925925925923</v>
          </cell>
        </row>
      </sheetData>
      <sheetData sheetId="17"/>
      <sheetData sheetId="18"/>
      <sheetData sheetId="19"/>
      <sheetData sheetId="20"/>
      <sheetData sheetId="21"/>
      <sheetData sheetId="22"/>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CFRAZDZQBIUNFJG3JL3SFW3M7M">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Attendance"/>
      <sheetName val="Day 1 WFH Audit"/>
      <sheetName val="Performance"/>
      <sheetName val="Perform Tier 2"/>
      <sheetName val="Performance RSA"/>
      <sheetName val="Daily Observation"/>
      <sheetName val="Skill Assessment"/>
      <sheetName val="PCB Nesting QA"/>
      <sheetName val="PCB Nesting Incentiv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0</v>
          </cell>
          <cell r="I21">
            <v>0</v>
          </cell>
        </row>
      </sheetData>
      <sheetData sheetId="5"/>
      <sheetData sheetId="6"/>
      <sheetData sheetId="7"/>
      <sheetData sheetId="8"/>
      <sheetData sheetId="9"/>
      <sheetData sheetId="10"/>
      <sheetData sheetId="11">
        <row r="35">
          <cell r="T35">
            <v>0.96549411255411222</v>
          </cell>
        </row>
      </sheetData>
      <sheetData sheetId="12"/>
      <sheetData sheetId="13"/>
      <sheetData sheetId="14"/>
      <sheetData sheetId="15">
        <row r="44">
          <cell r="L44">
            <v>0.75841666666666674</v>
          </cell>
        </row>
      </sheetData>
      <sheetData sheetId="16"/>
      <sheetData sheetId="17"/>
      <sheetData sheetId="18"/>
      <sheetData sheetId="19"/>
      <sheetData sheetId="20"/>
      <sheetData sheetId="21"/>
      <sheetData sheetId="22"/>
      <sheetData sheetId="23"/>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FJQQGV72ZTBVFKXE3VU65FNYK6">
      <xxl21:absoluteUrl r:id="rId2"/>
    </xxl21:alternateUrls>
    <sheetNames>
      <sheetName val="Quick Links"/>
      <sheetName val="One-Time Check List"/>
      <sheetName val="Daily Checklist"/>
      <sheetName val="WFH SetUp"/>
      <sheetName val="Class Summary"/>
      <sheetName val="Preprocess Training Report"/>
      <sheetName val="Preprocess SWOT"/>
      <sheetName val="Student Data"/>
      <sheetName val="Attendance"/>
      <sheetName val="Day 1 WFH Audit"/>
      <sheetName val="Performance"/>
      <sheetName val="Perform Tier 2"/>
      <sheetName val="Performance RSA"/>
      <sheetName val="Skill Assessment"/>
      <sheetName val="Daily Observation"/>
      <sheetName val="PCB Nesting QA"/>
      <sheetName val="PCB Nesting Incentives"/>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0.27272727272727271</v>
          </cell>
          <cell r="I21">
            <v>0.25</v>
          </cell>
        </row>
      </sheetData>
      <sheetData sheetId="5"/>
      <sheetData sheetId="6"/>
      <sheetData sheetId="7"/>
      <sheetData sheetId="8"/>
      <sheetData sheetId="9"/>
      <sheetData sheetId="10">
        <row r="45">
          <cell r="AI45">
            <v>0.92079874999999989</v>
          </cell>
        </row>
      </sheetData>
      <sheetData sheetId="11"/>
      <sheetData sheetId="12"/>
      <sheetData sheetId="13"/>
      <sheetData sheetId="14"/>
      <sheetData sheetId="15">
        <row r="44">
          <cell r="L44">
            <v>0.75026785714285715</v>
          </cell>
        </row>
      </sheetData>
      <sheetData sheetId="16"/>
      <sheetData sheetId="17"/>
      <sheetData sheetId="18"/>
      <sheetData sheetId="19"/>
      <sheetData sheetId="20"/>
      <sheetData sheetId="21"/>
      <sheetData sheetId="22"/>
      <sheetData sheetId="23"/>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HXQ3ISUFL65ZAK7QWCGCA2KGNB">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Attendance"/>
      <sheetName val="Day 1 WFH Audit"/>
      <sheetName val="Performance"/>
      <sheetName val="Performance RSA"/>
      <sheetName val="Perform Tier 2"/>
      <sheetName val="Daily Observation"/>
      <sheetName val="Skill Assessment"/>
      <sheetName val="PCB Nesting Incentive"/>
      <sheetName val="Perf. Mgmnt"/>
      <sheetName val="PCB Nesting QA"/>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0.27777777777777779</v>
          </cell>
          <cell r="I21">
            <v>0</v>
          </cell>
        </row>
      </sheetData>
      <sheetData sheetId="5"/>
      <sheetData sheetId="6"/>
      <sheetData sheetId="7"/>
      <sheetData sheetId="8"/>
      <sheetData sheetId="9"/>
      <sheetData sheetId="10">
        <row r="45">
          <cell r="AH45">
            <v>0.87546523809523824</v>
          </cell>
        </row>
      </sheetData>
      <sheetData sheetId="11"/>
      <sheetData sheetId="12"/>
      <sheetData sheetId="13"/>
      <sheetData sheetId="14"/>
      <sheetData sheetId="15"/>
      <sheetData sheetId="16"/>
      <sheetData sheetId="17">
        <row r="44">
          <cell r="L44">
            <v>0.70857142857142841</v>
          </cell>
        </row>
      </sheetData>
      <sheetData sheetId="18"/>
      <sheetData sheetId="19"/>
      <sheetData sheetId="20"/>
      <sheetData sheetId="21"/>
      <sheetData sheetId="22"/>
      <sheetData sheetId="2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CJAYPAJE7ZF5H2YSEPDCQDCJUL">
      <xxl21:absoluteUrl r:id="rId2"/>
    </xxl21:alternateUrls>
    <sheetNames>
      <sheetName val="Quick Links"/>
      <sheetName val="One-Time Check List"/>
      <sheetName val="Daily Checklist"/>
      <sheetName val="WFH SetUp"/>
      <sheetName val="Class Summary"/>
      <sheetName val="Attendance"/>
      <sheetName val="Preprocess Training Report"/>
      <sheetName val="Preprocess SWOT"/>
      <sheetName val="Student Data"/>
      <sheetName val="Day 1 WFH Audit"/>
      <sheetName val="Performance"/>
      <sheetName val="Perform Tier 2"/>
      <sheetName val="Performance RSA"/>
      <sheetName val="Daily Observation"/>
      <sheetName val="Skill Assessment"/>
      <sheetName val="PCB Nesting QA"/>
      <sheetName val="PCB Nesting Incentiv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0.5</v>
          </cell>
          <cell r="I21">
            <v>0</v>
          </cell>
        </row>
      </sheetData>
      <sheetData sheetId="5"/>
      <sheetData sheetId="6"/>
      <sheetData sheetId="7"/>
      <sheetData sheetId="8"/>
      <sheetData sheetId="9"/>
      <sheetData sheetId="10">
        <row r="45">
          <cell r="AH45">
            <v>0.90997643518518512</v>
          </cell>
        </row>
      </sheetData>
      <sheetData sheetId="11"/>
      <sheetData sheetId="12"/>
      <sheetData sheetId="13"/>
      <sheetData sheetId="14"/>
      <sheetData sheetId="15">
        <row r="44">
          <cell r="L44">
            <v>0.63458333333333339</v>
          </cell>
        </row>
      </sheetData>
      <sheetData sheetId="16"/>
      <sheetData sheetId="17"/>
      <sheetData sheetId="18"/>
      <sheetData sheetId="19"/>
      <sheetData sheetId="20"/>
      <sheetData sheetId="21"/>
      <sheetData sheetId="22"/>
      <sheetData sheetId="2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HHDBDNATFV6VELWHI4V7W5N4AF">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Attendance"/>
      <sheetName val="Perform Tier 2"/>
      <sheetName val="Performance RSA"/>
      <sheetName val="Daily Observation"/>
      <sheetName val="Day 1 WFH Audit"/>
      <sheetName val="Performance"/>
      <sheetName val="Skill Assessment"/>
      <sheetName val="PCB Nesting Incentive"/>
      <sheetName val="PCB Nesting QA"/>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I21">
            <v>0</v>
          </cell>
        </row>
      </sheetData>
      <sheetData sheetId="5"/>
      <sheetData sheetId="6"/>
      <sheetData sheetId="7"/>
      <sheetData sheetId="8"/>
      <sheetData sheetId="9"/>
      <sheetData sheetId="10"/>
      <sheetData sheetId="11"/>
      <sheetData sheetId="12"/>
      <sheetData sheetId="13">
        <row r="45">
          <cell r="AH45">
            <v>0.85958520408163253</v>
          </cell>
        </row>
      </sheetData>
      <sheetData sheetId="14"/>
      <sheetData sheetId="15"/>
      <sheetData sheetId="16">
        <row r="44">
          <cell r="L44">
            <v>0.53839743589743583</v>
          </cell>
        </row>
      </sheetData>
      <sheetData sheetId="17"/>
      <sheetData sheetId="18"/>
      <sheetData sheetId="19"/>
      <sheetData sheetId="20"/>
      <sheetData sheetId="21"/>
      <sheetData sheetId="22"/>
      <sheetData sheetId="23"/>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EVPRZPDCMZ35GIXQEC5NLN4POZ">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Attendance"/>
      <sheetName val="Day 1 WFH Audit"/>
      <sheetName val="Performance"/>
      <sheetName val="Perform Tier 2"/>
      <sheetName val="Daily Observation"/>
      <sheetName val="Performance RSA"/>
      <sheetName val="Skill Assessment"/>
      <sheetName val="PCB Nesting QA"/>
      <sheetName val="PCB Nesting Incentiv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0</v>
          </cell>
          <cell r="I21">
            <v>0</v>
          </cell>
        </row>
      </sheetData>
      <sheetData sheetId="5"/>
      <sheetData sheetId="6"/>
      <sheetData sheetId="7"/>
      <sheetData sheetId="8"/>
      <sheetData sheetId="9"/>
      <sheetData sheetId="10"/>
      <sheetData sheetId="11"/>
      <sheetData sheetId="12"/>
      <sheetData sheetId="13"/>
      <sheetData sheetId="14"/>
      <sheetData sheetId="15">
        <row r="44">
          <cell r="L44">
            <v>0.6163333333333334</v>
          </cell>
        </row>
      </sheetData>
      <sheetData sheetId="16"/>
      <sheetData sheetId="17"/>
      <sheetData sheetId="18"/>
      <sheetData sheetId="19"/>
      <sheetData sheetId="20"/>
      <sheetData sheetId="21"/>
      <sheetData sheetId="22"/>
      <sheetData sheetId="23"/>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EQC524I7CILJCZ54YYSU2JQ5AA">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Attendance"/>
      <sheetName val="Day 1 WFH Audit"/>
      <sheetName val="Perform Tier 2"/>
      <sheetName val="Performance RSA"/>
      <sheetName val="Performance"/>
      <sheetName val="Daily Observation"/>
      <sheetName val="Skill Assessment"/>
      <sheetName val="PCB Nesting QA"/>
      <sheetName val="PCB Nesting Incentiv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7.6923076923076927E-2</v>
          </cell>
          <cell r="I21">
            <v>0</v>
          </cell>
        </row>
      </sheetData>
      <sheetData sheetId="5"/>
      <sheetData sheetId="6"/>
      <sheetData sheetId="7"/>
      <sheetData sheetId="8"/>
      <sheetData sheetId="9"/>
      <sheetData sheetId="10"/>
      <sheetData sheetId="11"/>
      <sheetData sheetId="12">
        <row r="45">
          <cell r="AH45">
            <v>0.73222902777777765</v>
          </cell>
        </row>
      </sheetData>
      <sheetData sheetId="13"/>
      <sheetData sheetId="14"/>
      <sheetData sheetId="15">
        <row r="44">
          <cell r="L44">
            <v>0.74241666666666672</v>
          </cell>
        </row>
      </sheetData>
      <sheetData sheetId="16"/>
      <sheetData sheetId="17"/>
      <sheetData sheetId="18"/>
      <sheetData sheetId="19"/>
      <sheetData sheetId="20"/>
      <sheetData sheetId="21"/>
      <sheetData sheetId="22"/>
      <sheetData sheetId="23"/>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HXEVUFCRXAKBGKRLLJQN7NQWRT">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Attendance"/>
      <sheetName val="Daily Observation"/>
      <sheetName val="Day 1 WFH Audit"/>
      <sheetName val="Performance"/>
      <sheetName val="Perform Tier 2"/>
      <sheetName val="Performance RSA"/>
      <sheetName val="Skill Assessment"/>
      <sheetName val="PCB Nesting QA"/>
      <sheetName val="PCB Nesting Incentiv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0.25</v>
          </cell>
          <cell r="I21">
            <v>0.25</v>
          </cell>
        </row>
      </sheetData>
      <sheetData sheetId="5"/>
      <sheetData sheetId="6"/>
      <sheetData sheetId="7"/>
      <sheetData sheetId="8"/>
      <sheetData sheetId="9"/>
      <sheetData sheetId="10"/>
      <sheetData sheetId="11">
        <row r="45">
          <cell r="AH45">
            <v>0.90267619047619052</v>
          </cell>
        </row>
      </sheetData>
      <sheetData sheetId="12"/>
      <sheetData sheetId="13"/>
      <sheetData sheetId="14"/>
      <sheetData sheetId="15">
        <row r="44">
          <cell r="L44">
            <v>0.64242424242424245</v>
          </cell>
        </row>
      </sheetData>
      <sheetData sheetId="16"/>
      <sheetData sheetId="17"/>
      <sheetData sheetId="18"/>
      <sheetData sheetId="19"/>
      <sheetData sheetId="20"/>
      <sheetData sheetId="21"/>
      <sheetData sheetId="22"/>
      <sheetData sheetId="23"/>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BB7ECLSQONWJD2JB4BJTYWFUE5">
      <xxl21:absoluteUrl r:id="rId2"/>
    </xxl21:alternateUrls>
    <sheetNames>
      <sheetName val="Quick Links"/>
      <sheetName val="One-Time Check List"/>
      <sheetName val="Daily Checklist"/>
      <sheetName val="WFH SetUp"/>
      <sheetName val="Class Summary"/>
      <sheetName val="Preprocess Training Report"/>
      <sheetName val="Preprocess SWOT"/>
      <sheetName val="Student Data"/>
      <sheetName val="Attendance"/>
      <sheetName val="Day 1 WFH Audit"/>
      <sheetName val="Performance"/>
      <sheetName val="Perform Tier 2"/>
      <sheetName val="Performance RSA"/>
      <sheetName val="Daily Observation"/>
      <sheetName val="Skill Assessment"/>
      <sheetName val="PCB Nesting Incentive"/>
      <sheetName val="PCB Nesting QA"/>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0.2</v>
          </cell>
          <cell r="I21">
            <v>0.25</v>
          </cell>
        </row>
      </sheetData>
      <sheetData sheetId="5"/>
      <sheetData sheetId="6"/>
      <sheetData sheetId="7"/>
      <sheetData sheetId="8"/>
      <sheetData sheetId="9"/>
      <sheetData sheetId="10">
        <row r="21">
          <cell r="AH21">
            <v>0.91580777777777778</v>
          </cell>
        </row>
      </sheetData>
      <sheetData sheetId="11"/>
      <sheetData sheetId="12"/>
      <sheetData sheetId="13"/>
      <sheetData sheetId="14"/>
      <sheetData sheetId="15"/>
      <sheetData sheetId="16">
        <row r="20">
          <cell r="L20">
            <v>0.80781249999999993</v>
          </cell>
        </row>
      </sheetData>
      <sheetData sheetId="17"/>
      <sheetData sheetId="18"/>
      <sheetData sheetId="19"/>
      <sheetData sheetId="20"/>
      <sheetData sheetId="21"/>
      <sheetData sheetId="22"/>
      <sheetData sheetId="23"/>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DYEGFZT5TRUVD2ANMPXS3ARLLE">
      <xxl21:absoluteUrl r:id="rId2"/>
    </xxl21:alternateUrls>
    <sheetNames>
      <sheetName val="Quick Links"/>
      <sheetName val="One-Time Check List"/>
      <sheetName val="Daily Checklist"/>
      <sheetName val="WFH SetUp"/>
      <sheetName val="Class Summary"/>
      <sheetName val="Student Data"/>
      <sheetName val="Preprocess SWOT"/>
      <sheetName val="Attendance"/>
      <sheetName val="Preprocess Training Report"/>
      <sheetName val="Day 1 WFH Audit"/>
      <sheetName val="Performance"/>
      <sheetName val="Daily Observation"/>
      <sheetName val="Perform Tier 2"/>
      <sheetName val="Performance RSA"/>
      <sheetName val="Skill Assessment"/>
      <sheetName val="PCB Nesting QA"/>
      <sheetName val="PCB Nesting Incentiv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0.22222222222222221</v>
          </cell>
          <cell r="I21">
            <v>0.14285714285714285</v>
          </cell>
        </row>
      </sheetData>
      <sheetData sheetId="5"/>
      <sheetData sheetId="6"/>
      <sheetData sheetId="7"/>
      <sheetData sheetId="8"/>
      <sheetData sheetId="9"/>
      <sheetData sheetId="10">
        <row r="45">
          <cell r="AH45">
            <v>0.89147083333333343</v>
          </cell>
        </row>
      </sheetData>
      <sheetData sheetId="11"/>
      <sheetData sheetId="12"/>
      <sheetData sheetId="13"/>
      <sheetData sheetId="14"/>
      <sheetData sheetId="15">
        <row r="44">
          <cell r="L44">
            <v>0.70750000000000002</v>
          </cell>
        </row>
      </sheetData>
      <sheetData sheetId="16"/>
      <sheetData sheetId="17"/>
      <sheetData sheetId="18"/>
      <sheetData sheetId="19"/>
      <sheetData sheetId="20"/>
      <sheetData sheetId="21"/>
      <sheetData sheetId="22"/>
      <sheetData sheetId="23"/>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CGZKYI6QE6IFEJS7NMSTCAZ6IJ">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Attendance"/>
      <sheetName val="Skill Assessment"/>
      <sheetName val="Day 1 WFH Audit"/>
      <sheetName val="Performance"/>
      <sheetName val="Daily Observation"/>
      <sheetName val="Performance RSA"/>
      <sheetName val="Perform Tier 2"/>
      <sheetName val="PCB Nesting QA"/>
      <sheetName val="PCB Nesting Incentiv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0.1111111111111111</v>
          </cell>
          <cell r="I21">
            <v>0</v>
          </cell>
        </row>
      </sheetData>
      <sheetData sheetId="5"/>
      <sheetData sheetId="6"/>
      <sheetData sheetId="7"/>
      <sheetData sheetId="8"/>
      <sheetData sheetId="9"/>
      <sheetData sheetId="10"/>
      <sheetData sheetId="11">
        <row r="45">
          <cell r="AH45">
            <v>0.89979722222222236</v>
          </cell>
        </row>
      </sheetData>
      <sheetData sheetId="12"/>
      <sheetData sheetId="13"/>
      <sheetData sheetId="14"/>
      <sheetData sheetId="15">
        <row r="44">
          <cell r="L44">
            <v>0.74906249999999996</v>
          </cell>
        </row>
      </sheetData>
      <sheetData sheetId="16"/>
      <sheetData sheetId="17"/>
      <sheetData sheetId="18"/>
      <sheetData sheetId="19"/>
      <sheetData sheetId="20"/>
      <sheetData sheetId="21"/>
      <sheetData sheetId="22"/>
      <sheetData sheetId="2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DN7AAPX6JKRBFJ2TUAV4TG57IK">
      <xxl21:absoluteUrl r:id="rId2"/>
    </xxl21:alternateUrls>
    <sheetNames>
      <sheetName val="Quick Links"/>
      <sheetName val="One-Time Check List"/>
      <sheetName val="Daily Checklist"/>
      <sheetName val="WFH SetUp"/>
      <sheetName val="Class Summary"/>
      <sheetName val="Preprocess Training Report"/>
      <sheetName val="Preprocess SWOT"/>
      <sheetName val="Student Data"/>
      <sheetName val="Attendance"/>
      <sheetName val="Day 1 WFH Audit"/>
      <sheetName val="Performance"/>
      <sheetName val="Perform Tier 2"/>
      <sheetName val="Performance RSA"/>
      <sheetName val="Daily Observation"/>
      <sheetName val="Skill Assessment"/>
      <sheetName val="PCB Nesting QA"/>
      <sheetName val="PCB Nesting Incentiv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I21">
            <v>0</v>
          </cell>
        </row>
        <row r="22">
          <cell r="E22"/>
        </row>
      </sheetData>
      <sheetData sheetId="5"/>
      <sheetData sheetId="6"/>
      <sheetData sheetId="7"/>
      <sheetData sheetId="8"/>
      <sheetData sheetId="9"/>
      <sheetData sheetId="10"/>
      <sheetData sheetId="11">
        <row r="35">
          <cell r="T35">
            <v>0.96921041666666652</v>
          </cell>
        </row>
      </sheetData>
      <sheetData sheetId="12"/>
      <sheetData sheetId="13"/>
      <sheetData sheetId="14"/>
      <sheetData sheetId="15">
        <row r="44">
          <cell r="L44">
            <v>0.96</v>
          </cell>
        </row>
      </sheetData>
      <sheetData sheetId="16"/>
      <sheetData sheetId="17"/>
      <sheetData sheetId="18"/>
      <sheetData sheetId="19"/>
      <sheetData sheetId="20"/>
      <sheetData sheetId="21"/>
      <sheetData sheetId="22"/>
      <sheetData sheetId="23"/>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BLWCJ4AQLF5BCYOWEI6WDPJJTQ">
      <xxl21:absoluteUrl r:id="rId2"/>
    </xxl21:alternateUrls>
    <sheetNames>
      <sheetName val="Quick Links"/>
      <sheetName val="One-Time Check List"/>
      <sheetName val="Daily Checklist"/>
      <sheetName val="WFH SetUp"/>
      <sheetName val="Class Summary"/>
      <sheetName val="Attendance"/>
      <sheetName val="Preprocess SWOT"/>
      <sheetName val="Day 1 WFH Audit"/>
      <sheetName val="Perform Tier 2"/>
      <sheetName val="Performance RSA"/>
      <sheetName val="Student Data"/>
      <sheetName val="Performance"/>
      <sheetName val="Preprocess Training Report"/>
      <sheetName val="Preprocess Observations"/>
      <sheetName val="Daily Observation"/>
      <sheetName val="Skill Assessment"/>
      <sheetName val="PCB Nesting QA"/>
      <sheetName val="PCB Nesting Incentiv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0.35714285714285715</v>
          </cell>
          <cell r="I21">
            <v>0.1111111111111111</v>
          </cell>
        </row>
      </sheetData>
      <sheetData sheetId="5"/>
      <sheetData sheetId="6"/>
      <sheetData sheetId="7"/>
      <sheetData sheetId="8"/>
      <sheetData sheetId="9"/>
      <sheetData sheetId="10"/>
      <sheetData sheetId="11">
        <row r="22">
          <cell r="AH22">
            <v>0.82283130036630037</v>
          </cell>
        </row>
      </sheetData>
      <sheetData sheetId="12"/>
      <sheetData sheetId="13"/>
      <sheetData sheetId="14"/>
      <sheetData sheetId="15"/>
      <sheetData sheetId="16">
        <row r="21">
          <cell r="L21">
            <v>0.79781249999999992</v>
          </cell>
        </row>
      </sheetData>
      <sheetData sheetId="17"/>
      <sheetData sheetId="18"/>
      <sheetData sheetId="19"/>
      <sheetData sheetId="20"/>
      <sheetData sheetId="21"/>
      <sheetData sheetId="22"/>
      <sheetData sheetId="23"/>
      <sheetData sheetId="24"/>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DIZNU7MZYDUVC2JU35UY46TAGK">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Daily Observation"/>
      <sheetName val="Attendance"/>
      <sheetName val="Day 1 WFH Audit"/>
      <sheetName val="Performance"/>
      <sheetName val="Perform Tier 2"/>
      <sheetName val="Skill Assessment"/>
      <sheetName val="Performance RSA"/>
      <sheetName val="PCB Nesting QA"/>
      <sheetName val="PCB Nesting Incentiv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0</v>
          </cell>
          <cell r="I21">
            <v>0</v>
          </cell>
        </row>
      </sheetData>
      <sheetData sheetId="5"/>
      <sheetData sheetId="6"/>
      <sheetData sheetId="7"/>
      <sheetData sheetId="8"/>
      <sheetData sheetId="9"/>
      <sheetData sheetId="10"/>
      <sheetData sheetId="11"/>
      <sheetData sheetId="12"/>
      <sheetData sheetId="13"/>
      <sheetData sheetId="14"/>
      <sheetData sheetId="15">
        <row r="44">
          <cell r="L44">
            <v>0.72523809523809513</v>
          </cell>
        </row>
      </sheetData>
      <sheetData sheetId="16"/>
      <sheetData sheetId="17"/>
      <sheetData sheetId="18"/>
      <sheetData sheetId="19"/>
      <sheetData sheetId="20"/>
      <sheetData sheetId="21"/>
      <sheetData sheetId="22"/>
      <sheetData sheetId="23"/>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HD7KWQ2LXIHFAJCXVJ2SJ6ZBT6">
      <xxl21:absoluteUrl r:id="rId2"/>
    </xxl21:alternateUrls>
    <sheetNames>
      <sheetName val="Quick Links"/>
      <sheetName val="One-Time Check List"/>
      <sheetName val="Daily Checklist"/>
      <sheetName val="WFH SetUp"/>
      <sheetName val="Class Summary"/>
      <sheetName val="Student Data"/>
      <sheetName val="Preprocess SWOT"/>
      <sheetName val="Attendance"/>
      <sheetName val="Day 1 WFH Audit"/>
      <sheetName val="Perform Tier 2"/>
      <sheetName val="Performance RSA"/>
      <sheetName val="Preprocess Training Report"/>
      <sheetName val="Performance"/>
      <sheetName val="Preprocess Observations"/>
      <sheetName val="Daily Observation"/>
      <sheetName val="Skill Assessment"/>
      <sheetName val="PCB Nesting QA"/>
      <sheetName val="PCB Nesting Incentive Offshore"/>
      <sheetName val="PCB Nesting Incentive Onshor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9.0909090909090912E-2</v>
          </cell>
          <cell r="I21">
            <v>0.2</v>
          </cell>
        </row>
      </sheetData>
      <sheetData sheetId="5"/>
      <sheetData sheetId="6"/>
      <sheetData sheetId="7"/>
      <sheetData sheetId="8"/>
      <sheetData sheetId="9"/>
      <sheetData sheetId="10"/>
      <sheetData sheetId="11"/>
      <sheetData sheetId="12">
        <row r="45">
          <cell r="AH45">
            <v>0.81373958333333318</v>
          </cell>
        </row>
      </sheetData>
      <sheetData sheetId="13"/>
      <sheetData sheetId="14"/>
      <sheetData sheetId="15"/>
      <sheetData sheetId="16">
        <row r="44">
          <cell r="L44">
            <v>0.70954545454545448</v>
          </cell>
        </row>
      </sheetData>
      <sheetData sheetId="17"/>
      <sheetData sheetId="18"/>
      <sheetData sheetId="19"/>
      <sheetData sheetId="20"/>
      <sheetData sheetId="21"/>
      <sheetData sheetId="22"/>
      <sheetData sheetId="23"/>
      <sheetData sheetId="24"/>
      <sheetData sheetId="25"/>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E2LLPZ5CGO6RCIFXETQYNGIZLD">
      <xxl21:absoluteUrl r:id="rId2"/>
    </xxl21:alternateUrls>
    <sheetNames>
      <sheetName val="Quick Links"/>
      <sheetName val="One-Time Check List"/>
      <sheetName val="Daily Checklist"/>
      <sheetName val="Class Summary"/>
      <sheetName val="Student Data"/>
      <sheetName val="Preprocess SWOT"/>
      <sheetName val="Performance"/>
      <sheetName val="Attendance"/>
      <sheetName val="Perform Tier 2"/>
      <sheetName val="Performance RSA"/>
      <sheetName val="Preprocess Training Report"/>
      <sheetName val="Skill Assessment"/>
      <sheetName val="Day 1 WFH Audit"/>
      <sheetName val="Daily Observation"/>
      <sheetName val="PCB Nesting QA"/>
      <sheetName val="PCB Nesting Incentive Offshore"/>
      <sheetName val="PCB Nesting Incentive Onshor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row r="21">
          <cell r="I21">
            <v>0</v>
          </cell>
        </row>
      </sheetData>
      <sheetData sheetId="4"/>
      <sheetData sheetId="5"/>
      <sheetData sheetId="6">
        <row r="45">
          <cell r="AF45">
            <v>0.874</v>
          </cell>
        </row>
      </sheetData>
      <sheetData sheetId="7"/>
      <sheetData sheetId="8"/>
      <sheetData sheetId="9"/>
      <sheetData sheetId="10"/>
      <sheetData sheetId="11"/>
      <sheetData sheetId="12"/>
      <sheetData sheetId="13"/>
      <sheetData sheetId="14">
        <row r="24">
          <cell r="S24">
            <v>0.81202698412698404</v>
          </cell>
        </row>
      </sheetData>
      <sheetData sheetId="15"/>
      <sheetData sheetId="16"/>
      <sheetData sheetId="17"/>
      <sheetData sheetId="18"/>
      <sheetData sheetId="19"/>
      <sheetData sheetId="20"/>
      <sheetData sheetId="21"/>
      <sheetData sheetId="22"/>
      <sheetData sheetId="23"/>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EI3AFUH2HNZVD3V56MHDQOJMCT">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Attendance"/>
      <sheetName val="Day 1 WFH Audit"/>
      <sheetName val="Performance"/>
      <sheetName val="Perform Tier 2"/>
      <sheetName val="Performance RSA"/>
      <sheetName val="Daily Observation"/>
      <sheetName val="Skill Assessment"/>
      <sheetName val="PCB Nesting QA"/>
      <sheetName val="PCB Nesting Incentiv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I21">
            <v>0</v>
          </cell>
        </row>
        <row r="22">
          <cell r="E22"/>
        </row>
      </sheetData>
      <sheetData sheetId="5"/>
      <sheetData sheetId="6"/>
      <sheetData sheetId="7"/>
      <sheetData sheetId="8"/>
      <sheetData sheetId="9"/>
      <sheetData sheetId="10"/>
      <sheetData sheetId="11">
        <row r="35">
          <cell r="T35">
            <v>0.97210668131868128</v>
          </cell>
        </row>
      </sheetData>
      <sheetData sheetId="12"/>
      <sheetData sheetId="13"/>
      <sheetData sheetId="14"/>
      <sheetData sheetId="15">
        <row r="44">
          <cell r="L44">
            <v>0.83399999999999996</v>
          </cell>
        </row>
      </sheetData>
      <sheetData sheetId="16"/>
      <sheetData sheetId="17"/>
      <sheetData sheetId="18"/>
      <sheetData sheetId="19"/>
      <sheetData sheetId="20"/>
      <sheetData sheetId="21"/>
      <sheetData sheetId="22"/>
      <sheetData sheetId="23"/>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H6JEB46SGU2NB3EIBWM7JC566Z">
      <xxl21:absoluteUrl r:id="rId2"/>
    </xxl21:alternateUrls>
    <sheetNames>
      <sheetName val="Quick Links"/>
      <sheetName val="One-Time Check List"/>
      <sheetName val="Daily Checklist"/>
      <sheetName val="Class Summary"/>
      <sheetName val="Student Data"/>
      <sheetName val="Preprocess SWOT"/>
      <sheetName val="Attendance"/>
      <sheetName val="Day 1 WFH Audit"/>
      <sheetName val="Daily Observation"/>
      <sheetName val="Perform Tier 2"/>
      <sheetName val="Performance RSA"/>
      <sheetName val="Preprocess Training Report"/>
      <sheetName val="Skill Assessment"/>
      <sheetName val="Performance"/>
      <sheetName val="PCB Nesting QA"/>
      <sheetName val="PCB Nesting Incentive Onshore"/>
      <sheetName val="Perf. Mgmnt"/>
      <sheetName val="PCB Nesting Incentive Offshore"/>
      <sheetName val="PCB Handoff Page - (Non-Sales)"/>
      <sheetName val="Sheet1"/>
      <sheetName val="Nesting Sales"/>
      <sheetName val="RSA Fraud Error Summary"/>
      <sheetName val="PCB Handoff Page (Sales)"/>
      <sheetName val="QBR"/>
      <sheetName val="Reporting"/>
    </sheetNames>
    <sheetDataSet>
      <sheetData sheetId="0" refreshError="1"/>
      <sheetData sheetId="1" refreshError="1"/>
      <sheetData sheetId="2" refreshError="1"/>
      <sheetData sheetId="3">
        <row r="21">
          <cell r="E21">
            <v>0.18181818181818182</v>
          </cell>
          <cell r="I21">
            <v>0.44444444444444442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45">
          <cell r="AF45">
            <v>0.88393939393939391</v>
          </cell>
        </row>
      </sheetData>
      <sheetData sheetId="14">
        <row r="17">
          <cell r="S17">
            <v>0.83666666666666667</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FT6HY6BAUZSFBLPB2LA4MLR234">
      <xxl21:absoluteUrl r:id="rId2"/>
    </xxl21:alternateUrls>
    <sheetNames>
      <sheetName val="Quick Links"/>
      <sheetName val="One-Time Check List"/>
      <sheetName val="Daily Checklist"/>
      <sheetName val="Class Summary"/>
      <sheetName val="Student Data"/>
      <sheetName val="Preprocess SWOT"/>
      <sheetName val="Day 1 WFH Audit"/>
      <sheetName val="Attendance"/>
      <sheetName val="Performance"/>
      <sheetName val="Perform Tier 2"/>
      <sheetName val="Performance RSA"/>
      <sheetName val="Preprocess Training Report"/>
      <sheetName val="Skill Assessment"/>
      <sheetName val="Daily Observation"/>
      <sheetName val="PCB Nesting QA"/>
      <sheetName val="Perf. Mgmnt"/>
      <sheetName val="PCB Nesting Incentive Offshore"/>
      <sheetName val="PCB Nesting Incentive Onshore"/>
      <sheetName val="PCB Handoff Page - (Non-Sales)"/>
      <sheetName val="Nesting Sales"/>
      <sheetName val="RSA Fraud Error Summary"/>
      <sheetName val="PCB Handoff Page (Sales)"/>
      <sheetName val="QBR"/>
      <sheetName val="Reporting"/>
    </sheetNames>
    <sheetDataSet>
      <sheetData sheetId="0" refreshError="1"/>
      <sheetData sheetId="1" refreshError="1"/>
      <sheetData sheetId="2" refreshError="1"/>
      <sheetData sheetId="3">
        <row r="21">
          <cell r="E21">
            <v>0.25</v>
          </cell>
          <cell r="I21">
            <v>0</v>
          </cell>
        </row>
      </sheetData>
      <sheetData sheetId="4" refreshError="1"/>
      <sheetData sheetId="5" refreshError="1"/>
      <sheetData sheetId="6" refreshError="1"/>
      <sheetData sheetId="7" refreshError="1"/>
      <sheetData sheetId="8">
        <row r="45">
          <cell r="AF45">
            <v>0.89393939393939414</v>
          </cell>
        </row>
      </sheetData>
      <sheetData sheetId="9" refreshError="1"/>
      <sheetData sheetId="10" refreshError="1"/>
      <sheetData sheetId="11" refreshError="1"/>
      <sheetData sheetId="12" refreshError="1"/>
      <sheetData sheetId="13" refreshError="1"/>
      <sheetData sheetId="14">
        <row r="24">
          <cell r="S24">
            <v>0.76842007992007988</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AJ7422FFHK7ZDKLBNN7IYFABOG">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Attendance"/>
      <sheetName val="Day 1 WFH Audit"/>
      <sheetName val="Performance"/>
      <sheetName val="Perform Tier 2"/>
      <sheetName val="Performance RSA"/>
      <sheetName val="Daily Observation"/>
      <sheetName val="Skill Assessment"/>
      <sheetName val="PCB Nesting QA"/>
      <sheetName val="PCB Nesting Incentiv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I21">
            <v>0</v>
          </cell>
        </row>
        <row r="22">
          <cell r="E22"/>
        </row>
      </sheetData>
      <sheetData sheetId="5"/>
      <sheetData sheetId="6"/>
      <sheetData sheetId="7"/>
      <sheetData sheetId="8"/>
      <sheetData sheetId="9"/>
      <sheetData sheetId="10"/>
      <sheetData sheetId="11">
        <row r="35">
          <cell r="T35">
            <v>0.95967743589743582</v>
          </cell>
        </row>
      </sheetData>
      <sheetData sheetId="12"/>
      <sheetData sheetId="13"/>
      <sheetData sheetId="14"/>
      <sheetData sheetId="15">
        <row r="44">
          <cell r="L44">
            <v>0.82006944444444452</v>
          </cell>
        </row>
      </sheetData>
      <sheetData sheetId="16"/>
      <sheetData sheetId="17"/>
      <sheetData sheetId="18"/>
      <sheetData sheetId="19"/>
      <sheetData sheetId="20"/>
      <sheetData sheetId="21"/>
      <sheetData sheetId="22"/>
      <sheetData sheetId="23"/>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HQMGRMYMRZLFFISS44224D2A7C">
      <xxl21:absoluteUrl r:id="rId2"/>
    </xxl21:alternateUrls>
    <sheetNames>
      <sheetName val="Quick Links"/>
      <sheetName val="One-Time Check List"/>
      <sheetName val="Daily Checklist"/>
      <sheetName val="Class Summary"/>
      <sheetName val="Student Data"/>
      <sheetName val="Preprocess SWOT"/>
      <sheetName val="Attendance"/>
      <sheetName val="Day 1 WFH Audit"/>
      <sheetName val="Perform Tier 2"/>
      <sheetName val="Performance RSA"/>
      <sheetName val="Preprocess Training Report"/>
      <sheetName val="Performance"/>
      <sheetName val="Daily Observation"/>
      <sheetName val="Skill Assessment"/>
      <sheetName val="PCB Nesting QA"/>
      <sheetName val="PCB Nesting Incentive Offshore"/>
      <sheetName val="Perf. Mgmnt"/>
      <sheetName val="Nesting Sales"/>
      <sheetName val="RSA Fraud Error Summary"/>
      <sheetName val="PCB Handoff Page (Sales)"/>
      <sheetName val="QBR"/>
      <sheetName val="PCB Handoff Page - (Non-Sales)"/>
      <sheetName val="Reporting"/>
    </sheetNames>
    <sheetDataSet>
      <sheetData sheetId="0"/>
      <sheetData sheetId="1"/>
      <sheetData sheetId="2"/>
      <sheetData sheetId="3">
        <row r="21">
          <cell r="E21">
            <v>0.36363636363636365</v>
          </cell>
          <cell r="I21">
            <v>0</v>
          </cell>
        </row>
      </sheetData>
      <sheetData sheetId="4"/>
      <sheetData sheetId="5"/>
      <sheetData sheetId="6"/>
      <sheetData sheetId="7"/>
      <sheetData sheetId="8"/>
      <sheetData sheetId="9"/>
      <sheetData sheetId="10"/>
      <sheetData sheetId="11">
        <row r="45">
          <cell r="AF45">
            <v>0.92177833333333337</v>
          </cell>
        </row>
      </sheetData>
      <sheetData sheetId="12"/>
      <sheetData sheetId="13"/>
      <sheetData sheetId="14">
        <row r="24">
          <cell r="S24">
            <v>0.7935362554112555</v>
          </cell>
        </row>
      </sheetData>
      <sheetData sheetId="15"/>
      <sheetData sheetId="16"/>
      <sheetData sheetId="17"/>
      <sheetData sheetId="18"/>
      <sheetData sheetId="19"/>
      <sheetData sheetId="20"/>
      <sheetData sheetId="21"/>
      <sheetData sheetId="22"/>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DHLV4ZLEZ3VVHZFT6UDUYZQPTO">
      <xxl21:absoluteUrl r:id="rId2"/>
    </xxl21:alternateUrls>
    <sheetNames>
      <sheetName val="Quick Links"/>
      <sheetName val="One-Time Check List"/>
      <sheetName val="Daily Checklist"/>
      <sheetName val="Class Summary"/>
      <sheetName val="Student Data"/>
      <sheetName val="Preprocess SWOT"/>
      <sheetName val="Attendance"/>
      <sheetName val="Day 1 WFH Audit"/>
      <sheetName val="Daily Observation"/>
      <sheetName val="Performance"/>
      <sheetName val="Perform Tier 2"/>
      <sheetName val="Performance RSA"/>
      <sheetName val="Preprocess Training Report"/>
      <sheetName val="Skill Assessment"/>
      <sheetName val="PCB Nesting QA"/>
      <sheetName val="PCB Nesting Incentive Offshore"/>
      <sheetName val="PCB Nesting Incentive Onshor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row r="6">
          <cell r="B6">
            <v>45265</v>
          </cell>
        </row>
        <row r="21">
          <cell r="E21">
            <v>0.16666666666666666</v>
          </cell>
          <cell r="I21">
            <v>0.1</v>
          </cell>
        </row>
      </sheetData>
      <sheetData sheetId="4">
        <row r="5">
          <cell r="U5">
            <v>3973</v>
          </cell>
        </row>
      </sheetData>
      <sheetData sheetId="5"/>
      <sheetData sheetId="6"/>
      <sheetData sheetId="7"/>
      <sheetData sheetId="8"/>
      <sheetData sheetId="9">
        <row r="45">
          <cell r="AH45">
            <v>0.94041666666666657</v>
          </cell>
        </row>
      </sheetData>
      <sheetData sheetId="10"/>
      <sheetData sheetId="11"/>
      <sheetData sheetId="12"/>
      <sheetData sheetId="13"/>
      <sheetData sheetId="14">
        <row r="24">
          <cell r="S24">
            <v>0.78400595238095239</v>
          </cell>
        </row>
      </sheetData>
      <sheetData sheetId="15"/>
      <sheetData sheetId="16"/>
      <sheetData sheetId="17"/>
      <sheetData sheetId="18"/>
      <sheetData sheetId="19"/>
      <sheetData sheetId="20"/>
      <sheetData sheetId="21"/>
      <sheetData sheetId="22"/>
      <sheetData sheetId="23">
        <row r="4">
          <cell r="C4" t="str">
            <v>Transtion to Production</v>
          </cell>
        </row>
      </sheetData>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FP6TINX2SXANDIED5LRUTVIURJ">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Attendance"/>
      <sheetName val="Day 1 WFH Audit"/>
      <sheetName val="Performance"/>
      <sheetName val="Perform Tier 2"/>
      <sheetName val="Performance RSA"/>
      <sheetName val="Daily Observation"/>
      <sheetName val="Skill Assessment"/>
      <sheetName val="PCB Nesting QA"/>
      <sheetName val="PCB Nesting Incentiv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I21">
            <v>0</v>
          </cell>
        </row>
        <row r="22">
          <cell r="E22"/>
        </row>
      </sheetData>
      <sheetData sheetId="5"/>
      <sheetData sheetId="6"/>
      <sheetData sheetId="7"/>
      <sheetData sheetId="8"/>
      <sheetData sheetId="9"/>
      <sheetData sheetId="10"/>
      <sheetData sheetId="11">
        <row r="35">
          <cell r="T35">
            <v>0.96091770833333323</v>
          </cell>
        </row>
      </sheetData>
      <sheetData sheetId="12"/>
      <sheetData sheetId="13"/>
      <sheetData sheetId="14"/>
      <sheetData sheetId="15">
        <row r="44">
          <cell r="L44">
            <v>0.80833333333333324</v>
          </cell>
        </row>
      </sheetData>
      <sheetData sheetId="16"/>
      <sheetData sheetId="17"/>
      <sheetData sheetId="18"/>
      <sheetData sheetId="19"/>
      <sheetData sheetId="20"/>
      <sheetData sheetId="21"/>
      <sheetData sheetId="22"/>
      <sheetData sheetId="23"/>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AALXDHRDVYFVGL5RMW2KQB22ZC">
      <xxl21:absoluteUrl r:id="rId2"/>
    </xxl21:alternateUrls>
    <sheetNames>
      <sheetName val="Quick Links"/>
      <sheetName val="One-Time Check List"/>
      <sheetName val="Daily Checklist"/>
      <sheetName val="Student Data"/>
      <sheetName val="Preprocess SWOT"/>
      <sheetName val="Class Summary"/>
      <sheetName val="Attendance"/>
      <sheetName val="Day 1 WFH Audit"/>
      <sheetName val="Perform Tier 2"/>
      <sheetName val="Performance RSA"/>
      <sheetName val="Preprocess Training Report"/>
      <sheetName val="Daily Observation"/>
      <sheetName val="Skill Assessment"/>
      <sheetName val="Performance"/>
      <sheetName val="PCB Nesting QA"/>
      <sheetName val="PCB Nesting Incentive Onshore"/>
      <sheetName val="PCB Nesting Incentive Offshore"/>
      <sheetName val="Perf. Mgmnt"/>
      <sheetName val="Nesting Sales"/>
      <sheetName val="RSA Fraud Error Summary"/>
      <sheetName val="PCB Handoff Page (Sales)"/>
      <sheetName val="QBR"/>
      <sheetName val="PCB Handoff Page - (Non-Sales)"/>
      <sheetName val="Reporting"/>
    </sheetNames>
    <sheetDataSet>
      <sheetData sheetId="0"/>
      <sheetData sheetId="1"/>
      <sheetData sheetId="2"/>
      <sheetData sheetId="3"/>
      <sheetData sheetId="4"/>
      <sheetData sheetId="5">
        <row r="21">
          <cell r="E21">
            <v>0.18181818181818182</v>
          </cell>
          <cell r="I21">
            <v>0.55555555555555558</v>
          </cell>
        </row>
      </sheetData>
      <sheetData sheetId="6"/>
      <sheetData sheetId="7"/>
      <sheetData sheetId="8"/>
      <sheetData sheetId="9"/>
      <sheetData sheetId="10"/>
      <sheetData sheetId="11"/>
      <sheetData sheetId="12"/>
      <sheetData sheetId="13">
        <row r="45">
          <cell r="AH45">
            <v>0.95911111111111125</v>
          </cell>
        </row>
      </sheetData>
      <sheetData sheetId="14">
        <row r="24">
          <cell r="D24">
            <v>0.91272727272727261</v>
          </cell>
        </row>
      </sheetData>
      <sheetData sheetId="15"/>
      <sheetData sheetId="16"/>
      <sheetData sheetId="17"/>
      <sheetData sheetId="18"/>
      <sheetData sheetId="19"/>
      <sheetData sheetId="20"/>
      <sheetData sheetId="21"/>
      <sheetData sheetId="22"/>
      <sheetData sheetId="23"/>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CLOPEDUQZRSBCJ2OPWIM2ONERW">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Attendance"/>
      <sheetName val="Day 1 WFH Audit"/>
      <sheetName val="Performance"/>
      <sheetName val="Perform Tier 2"/>
      <sheetName val="Daily Observation"/>
      <sheetName val="Performance RSA"/>
      <sheetName val="Skill Assessment"/>
      <sheetName val="PCB Nesting QA"/>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0</v>
          </cell>
          <cell r="I21">
            <v>0</v>
          </cell>
        </row>
      </sheetData>
      <sheetData sheetId="5"/>
      <sheetData sheetId="6"/>
      <sheetData sheetId="7"/>
      <sheetData sheetId="8"/>
      <sheetData sheetId="9"/>
      <sheetData sheetId="10"/>
      <sheetData sheetId="11"/>
      <sheetData sheetId="12"/>
      <sheetData sheetId="13"/>
      <sheetData sheetId="14"/>
      <sheetData sheetId="15">
        <row r="24">
          <cell r="H24">
            <v>0.75449999999999995</v>
          </cell>
        </row>
      </sheetData>
      <sheetData sheetId="16"/>
      <sheetData sheetId="17"/>
      <sheetData sheetId="18"/>
      <sheetData sheetId="19"/>
      <sheetData sheetId="20"/>
      <sheetData sheetId="21"/>
      <sheetData sheetId="22"/>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GMJ6Q73QP5XNC2227UQDISIGLO">
      <xxl21:absoluteUrl r:id="rId2"/>
    </xxl21:alternateUrls>
    <sheetNames>
      <sheetName val="Quick Links"/>
      <sheetName val="Class Summary"/>
      <sheetName val="One-Time Check List"/>
      <sheetName val="Daily Checklist"/>
      <sheetName val="Tech Day Checklist"/>
      <sheetName val="Tech"/>
      <sheetName val="Student Data"/>
      <sheetName val="Preprocess Training Report"/>
      <sheetName val="Preprocess SWOT"/>
      <sheetName val="Attendance"/>
      <sheetName val="Performance"/>
      <sheetName val="CRC Progress Tracker (P+S)"/>
      <sheetName val="CRC Progress Tracker (Phil)"/>
      <sheetName val="Daily Observation"/>
      <sheetName val="Mock Calls"/>
      <sheetName val="Nesting QA"/>
      <sheetName val="Nesting Sales"/>
      <sheetName val="Perf. Mgmnt"/>
      <sheetName val="Handoff Page - (Non-Sales)"/>
      <sheetName val=" Handoff Page (Sales)"/>
      <sheetName val="QBR"/>
      <sheetName val="Reporting Tab"/>
      <sheetName val="MBR"/>
      <sheetName val="Reporting"/>
    </sheetNames>
    <sheetDataSet>
      <sheetData sheetId="0"/>
      <sheetData sheetId="1">
        <row r="19">
          <cell r="F19">
            <v>0</v>
          </cell>
          <cell r="J19">
            <v>0.66666666666666663</v>
          </cell>
        </row>
      </sheetData>
      <sheetData sheetId="2"/>
      <sheetData sheetId="3"/>
      <sheetData sheetId="4"/>
      <sheetData sheetId="5"/>
      <sheetData sheetId="6"/>
      <sheetData sheetId="7"/>
      <sheetData sheetId="8"/>
      <sheetData sheetId="9"/>
      <sheetData sheetId="10">
        <row r="36">
          <cell r="AF36">
            <v>0.94310000000000016</v>
          </cell>
        </row>
      </sheetData>
      <sheetData sheetId="11"/>
      <sheetData sheetId="12"/>
      <sheetData sheetId="13"/>
      <sheetData sheetId="14"/>
      <sheetData sheetId="15">
        <row r="33">
          <cell r="M33">
            <v>0.60153333333333336</v>
          </cell>
        </row>
      </sheetData>
      <sheetData sheetId="16"/>
      <sheetData sheetId="17"/>
      <sheetData sheetId="18"/>
      <sheetData sheetId="19"/>
      <sheetData sheetId="20"/>
      <sheetData sheetId="21"/>
      <sheetData sheetId="22"/>
      <sheetData sheetId="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EDKZLYEPR6OBHZFYQZPXT33O4J">
      <xxl21:absoluteUrl r:id="rId2"/>
    </xxl21:alternateUrls>
    <sheetNames>
      <sheetName val="Quick Links"/>
      <sheetName val="Class Summary"/>
      <sheetName val="One-Time Check List"/>
      <sheetName val="Daily Checklist"/>
      <sheetName val="Tech Day Checklist"/>
      <sheetName val="Tech"/>
      <sheetName val="Student Data"/>
      <sheetName val="Preprocess Training Report"/>
      <sheetName val="Preprocess SWOT"/>
      <sheetName val="Attendance"/>
      <sheetName val="Performance"/>
      <sheetName val="CRC Progress Tracker (P+S)"/>
      <sheetName val="CRC Progress Tracker (Phil)"/>
      <sheetName val="Daily Observation"/>
      <sheetName val="Mock Calls"/>
      <sheetName val="Nesting QA"/>
      <sheetName val="Nesting Sales"/>
      <sheetName val="Perf. Mgmnt"/>
      <sheetName val="Handoff Page - (Non-Sales)"/>
      <sheetName val=" Handoff Page (Sales)"/>
      <sheetName val="QBR"/>
      <sheetName val="Reporting Tab"/>
      <sheetName val="MBR"/>
    </sheetNames>
    <sheetDataSet>
      <sheetData sheetId="0"/>
      <sheetData sheetId="1">
        <row r="19">
          <cell r="F19">
            <v>0.5</v>
          </cell>
          <cell r="J19">
            <v>0</v>
          </cell>
        </row>
      </sheetData>
      <sheetData sheetId="2"/>
      <sheetData sheetId="3"/>
      <sheetData sheetId="4"/>
      <sheetData sheetId="5"/>
      <sheetData sheetId="6"/>
      <sheetData sheetId="7"/>
      <sheetData sheetId="8"/>
      <sheetData sheetId="9"/>
      <sheetData sheetId="10">
        <row r="36">
          <cell r="AF36">
            <v>0.96414285714285719</v>
          </cell>
        </row>
      </sheetData>
      <sheetData sheetId="11"/>
      <sheetData sheetId="12"/>
      <sheetData sheetId="13"/>
      <sheetData sheetId="14"/>
      <sheetData sheetId="15">
        <row r="33">
          <cell r="M33">
            <v>0.87354999999999994</v>
          </cell>
        </row>
      </sheetData>
      <sheetData sheetId="16"/>
      <sheetData sheetId="17"/>
      <sheetData sheetId="18"/>
      <sheetData sheetId="19"/>
      <sheetData sheetId="20"/>
      <sheetData sheetId="21"/>
      <sheetData sheetId="22"/>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BSWC34BW2RT5A34NBSBVA75BE7">
      <xxl21:absoluteUrl r:id="rId2"/>
    </xxl21:alternateUrls>
    <sheetNames>
      <sheetName val="Quick Links"/>
      <sheetName val="Class Summary"/>
      <sheetName val="One-Time Check List"/>
      <sheetName val="Daily Checklist"/>
      <sheetName val="Tech Day Checklist"/>
      <sheetName val="Tech"/>
      <sheetName val="Student Data"/>
      <sheetName val="Preprocess Training Report"/>
      <sheetName val="Preprocess SWOT"/>
      <sheetName val="Attendance"/>
      <sheetName val="Performance"/>
      <sheetName val="CRC Progress Tracker (P+S)"/>
      <sheetName val="CRC Progress Tracker (Phil)"/>
      <sheetName val="Daily Observation"/>
      <sheetName val="Mock Calls"/>
      <sheetName val="Nesting QA"/>
      <sheetName val="Nesting Sales"/>
      <sheetName val="Perf. Mgmnt"/>
      <sheetName val="Handoff Page - (Non-Sales)"/>
      <sheetName val=" Handoff Page (Sales)"/>
      <sheetName val="QBR"/>
      <sheetName val="Reporting Tab"/>
      <sheetName val="MBR"/>
    </sheetNames>
    <sheetDataSet>
      <sheetData sheetId="0"/>
      <sheetData sheetId="1">
        <row r="19">
          <cell r="F19">
            <v>0</v>
          </cell>
          <cell r="J19">
            <v>0</v>
          </cell>
        </row>
      </sheetData>
      <sheetData sheetId="2"/>
      <sheetData sheetId="3"/>
      <sheetData sheetId="4"/>
      <sheetData sheetId="5"/>
      <sheetData sheetId="6"/>
      <sheetData sheetId="7"/>
      <sheetData sheetId="8"/>
      <sheetData sheetId="9"/>
      <sheetData sheetId="10">
        <row r="36">
          <cell r="AF36">
            <v>0.95036428571428577</v>
          </cell>
        </row>
      </sheetData>
      <sheetData sheetId="11"/>
      <sheetData sheetId="12"/>
      <sheetData sheetId="13"/>
      <sheetData sheetId="14"/>
      <sheetData sheetId="15">
        <row r="33">
          <cell r="M33">
            <v>0.80460000000000009</v>
          </cell>
        </row>
      </sheetData>
      <sheetData sheetId="16"/>
      <sheetData sheetId="17"/>
      <sheetData sheetId="18"/>
      <sheetData sheetId="19"/>
      <sheetData sheetId="20"/>
      <sheetData sheetId="21"/>
      <sheetData sheetId="22"/>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FZ25JCUXS7RREIAECBLOJKWYTA">
      <xxl21:absoluteUrl r:id="rId2"/>
    </xxl21:alternateUrls>
    <sheetNames>
      <sheetName val="Quick Links"/>
      <sheetName val="Class Summary"/>
      <sheetName val="One-Time Check List"/>
      <sheetName val="Daily Checklist"/>
      <sheetName val="Tech Day Checklist"/>
      <sheetName val="Tech"/>
      <sheetName val="Student Data"/>
      <sheetName val="Preprocess Training Report"/>
      <sheetName val="Preprocess SWOT"/>
      <sheetName val="Attendance"/>
      <sheetName val="Performance"/>
      <sheetName val="CRC Progress Tracker (P+S)"/>
      <sheetName val="CRC Progress Tracker (Phil)"/>
      <sheetName val="Daily Observation"/>
      <sheetName val="Mock Calls"/>
      <sheetName val="Nesting QA"/>
      <sheetName val="Nesting Sales"/>
      <sheetName val="Perf. Mgmnt"/>
      <sheetName val="Handoff Page - (Non-Sales)"/>
      <sheetName val=" Handoff Page (Sales)"/>
      <sheetName val="QBR"/>
      <sheetName val="Reporting Tab"/>
      <sheetName val="MBR"/>
    </sheetNames>
    <sheetDataSet>
      <sheetData sheetId="0"/>
      <sheetData sheetId="1">
        <row r="19">
          <cell r="F19">
            <v>0</v>
          </cell>
          <cell r="J19">
            <v>0</v>
          </cell>
        </row>
      </sheetData>
      <sheetData sheetId="2"/>
      <sheetData sheetId="3"/>
      <sheetData sheetId="4"/>
      <sheetData sheetId="5"/>
      <sheetData sheetId="6"/>
      <sheetData sheetId="7"/>
      <sheetData sheetId="8"/>
      <sheetData sheetId="9"/>
      <sheetData sheetId="10">
        <row r="36">
          <cell r="AF36">
            <v>0.94839047619047623</v>
          </cell>
        </row>
      </sheetData>
      <sheetData sheetId="11"/>
      <sheetData sheetId="12"/>
      <sheetData sheetId="13"/>
      <sheetData sheetId="14"/>
      <sheetData sheetId="15">
        <row r="33">
          <cell r="M33">
            <v>0.78927499999999995</v>
          </cell>
        </row>
      </sheetData>
      <sheetData sheetId="16"/>
      <sheetData sheetId="17"/>
      <sheetData sheetId="18"/>
      <sheetData sheetId="19"/>
      <sheetData sheetId="20"/>
      <sheetData sheetId="21"/>
      <sheetData sheetId="22"/>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CY3IZO73LQ6BCZWDEKXETHFKY2">
      <xxl21:absoluteUrl r:id="rId2"/>
    </xxl21:alternateUrls>
    <sheetNames>
      <sheetName val="Quick Links"/>
      <sheetName val="Class Summary"/>
      <sheetName val="One-Time Check List"/>
      <sheetName val="Daily Checklist"/>
      <sheetName val="Tech Day Checklist"/>
      <sheetName val="Tech"/>
      <sheetName val="Student Data"/>
      <sheetName val="Preprocess Training Report"/>
      <sheetName val="Preprocess SWOT"/>
      <sheetName val="Attendance"/>
      <sheetName val="Performance"/>
      <sheetName val="CRC Progress Tracker (P+S)"/>
      <sheetName val="CRC Progress Tracker (Phil)"/>
      <sheetName val="Daily Observation"/>
      <sheetName val="Mock Calls"/>
      <sheetName val="Nesting QA"/>
      <sheetName val="Nesting Sales"/>
      <sheetName val="Perf. Mgmnt"/>
      <sheetName val="Handoff Page - (Non-Sales)"/>
      <sheetName val=" Handoff Page (Sales)"/>
      <sheetName val="QBR"/>
      <sheetName val="Reporting Tab"/>
      <sheetName val="MBR"/>
    </sheetNames>
    <sheetDataSet>
      <sheetData sheetId="0"/>
      <sheetData sheetId="1">
        <row r="19">
          <cell r="F19">
            <v>0</v>
          </cell>
          <cell r="J19">
            <v>0</v>
          </cell>
        </row>
      </sheetData>
      <sheetData sheetId="2"/>
      <sheetData sheetId="3"/>
      <sheetData sheetId="4"/>
      <sheetData sheetId="5"/>
      <sheetData sheetId="6"/>
      <sheetData sheetId="7"/>
      <sheetData sheetId="8"/>
      <sheetData sheetId="9"/>
      <sheetData sheetId="10">
        <row r="36">
          <cell r="AF36">
            <v>0.95194999999999996</v>
          </cell>
        </row>
      </sheetData>
      <sheetData sheetId="11"/>
      <sheetData sheetId="12"/>
      <sheetData sheetId="13"/>
      <sheetData sheetId="14"/>
      <sheetData sheetId="15">
        <row r="33">
          <cell r="M33">
            <v>0.79309999999999992</v>
          </cell>
        </row>
      </sheetData>
      <sheetData sheetId="16"/>
      <sheetData sheetId="17"/>
      <sheetData sheetId="18"/>
      <sheetData sheetId="19"/>
      <sheetData sheetId="20"/>
      <sheetData sheetId="21"/>
      <sheetData sheetId="22"/>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H3OF6ZCLQWSRCY6ALQQHBGAS55">
      <xxl21:absoluteUrl r:id="rId2"/>
    </xxl21:alternateUrls>
    <sheetNames>
      <sheetName val="Quick Links"/>
      <sheetName val="Class Summary"/>
      <sheetName val="One-Time Check List"/>
      <sheetName val="Daily Checklist"/>
      <sheetName val="Tech Day Checklist"/>
      <sheetName val="Tech"/>
      <sheetName val="Student Data"/>
      <sheetName val="Preprocess Training Report"/>
      <sheetName val="Preprocess SWOT"/>
      <sheetName val="Attendance"/>
      <sheetName val="Performance"/>
      <sheetName val="CRC Progress Tracker (P+S)"/>
      <sheetName val="CRC Progress Tracker (Phil)"/>
      <sheetName val="Mock Calls"/>
      <sheetName val="Nesting QA"/>
      <sheetName val="Nesting Sales"/>
      <sheetName val="Perf. Mgmnt"/>
      <sheetName val="QBR"/>
      <sheetName val="MBR"/>
      <sheetName val="Daily Observation"/>
      <sheetName val="Handoff Page - (Non-Sales)"/>
      <sheetName val="Reporting Tab"/>
      <sheetName val="Reporting"/>
    </sheetNames>
    <sheetDataSet>
      <sheetData sheetId="0"/>
      <sheetData sheetId="1">
        <row r="19">
          <cell r="F19">
            <v>0</v>
          </cell>
          <cell r="J19">
            <v>7.6923076923076927E-2</v>
          </cell>
        </row>
      </sheetData>
      <sheetData sheetId="2"/>
      <sheetData sheetId="3"/>
      <sheetData sheetId="4"/>
      <sheetData sheetId="5"/>
      <sheetData sheetId="6"/>
      <sheetData sheetId="7"/>
      <sheetData sheetId="8"/>
      <sheetData sheetId="9"/>
      <sheetData sheetId="10">
        <row r="36">
          <cell r="AD36">
            <v>0.87624999999999986</v>
          </cell>
        </row>
      </sheetData>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CVL2COXLWCOJD3SRQZAJS3ICKQ">
      <xxl21:absoluteUrl r:id="rId2"/>
    </xxl21:alternateUrls>
    <sheetNames>
      <sheetName val="Quick Links"/>
      <sheetName val="Class Summary"/>
      <sheetName val="One-Time Check List"/>
      <sheetName val="Daily Checklist"/>
      <sheetName val="Tech Day Checklist"/>
      <sheetName val="Tech"/>
      <sheetName val="Student Data"/>
      <sheetName val="Preprocess Training Report"/>
      <sheetName val="Attendance"/>
      <sheetName val="Performance"/>
      <sheetName val="CRC Progress Tracker (P+S)"/>
      <sheetName val="CRC Progress Tracker (Phil)"/>
      <sheetName val="Daily Observation"/>
      <sheetName val="Success_Challenge"/>
      <sheetName val="Nesting QA"/>
      <sheetName val="Perf. Mgmnt"/>
      <sheetName val="Handoff Page - (Non-Sales)"/>
      <sheetName val="QBR"/>
      <sheetName val="Reporting Tab"/>
      <sheetName val="MBR"/>
    </sheetNames>
    <sheetDataSet>
      <sheetData sheetId="0"/>
      <sheetData sheetId="1">
        <row r="19">
          <cell r="F19">
            <v>0.29411764705882354</v>
          </cell>
          <cell r="J19">
            <v>0.16666666666666666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DSYVMH5H7IDZDZVBDH7EKD7S5H">
      <xxl21:absoluteUrl r:id="rId2"/>
    </xxl21:alternateUrls>
    <sheetNames>
      <sheetName val="Quick Links"/>
      <sheetName val="Class Summary"/>
      <sheetName val="One-Time Check List"/>
      <sheetName val="Daily Checklist"/>
      <sheetName val="Tech Day Checklist"/>
      <sheetName val="Tech"/>
      <sheetName val="Student Data"/>
      <sheetName val="Preprocess Training Report"/>
      <sheetName val="Preprocess SWOT"/>
      <sheetName val="Attendance"/>
      <sheetName val="CRC Progress Tracker (P+S)"/>
      <sheetName val="CRC Progress Tracker (Phil)"/>
      <sheetName val="Daily Observation"/>
      <sheetName val="Success_Challenges"/>
      <sheetName val="Performance"/>
      <sheetName val="Mock Calls"/>
      <sheetName val="Nesting QA"/>
      <sheetName val="Nesting Sales"/>
      <sheetName val="Perf. Mgmnt"/>
      <sheetName val="Handoff Page - (Non-Sales)"/>
      <sheetName val=" Handoff Page (Sales)"/>
      <sheetName val="QBR"/>
      <sheetName val="Reporting Tab"/>
      <sheetName val="MBR"/>
    </sheetNames>
    <sheetDataSet>
      <sheetData sheetId="0"/>
      <sheetData sheetId="1">
        <row r="19">
          <cell r="F19">
            <v>0.1875</v>
          </cell>
          <cell r="I19">
            <v>0</v>
          </cell>
          <cell r="J19">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33">
          <cell r="M33">
            <v>0.81449999999999989</v>
          </cell>
        </row>
      </sheetData>
      <sheetData sheetId="17"/>
      <sheetData sheetId="18"/>
      <sheetData sheetId="19"/>
      <sheetData sheetId="20"/>
      <sheetData sheetId="21"/>
      <sheetData sheetId="22"/>
      <sheetData sheetId="23"/>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ALXTITJSTJIJH27BAN2MO357FA">
      <xxl21:absoluteUrl r:id="rId2"/>
    </xxl21:alternateUrls>
    <sheetNames>
      <sheetName val="Quick Links"/>
      <sheetName val="Class Summary"/>
      <sheetName val="One-Time Check List"/>
      <sheetName val="Daily Checklist"/>
      <sheetName val="Tech Day Checklist"/>
      <sheetName val="Student Data"/>
      <sheetName val="Tech"/>
      <sheetName val="Preprocess Training Report"/>
      <sheetName val="Preprocess SWOT"/>
      <sheetName val="Attendance"/>
      <sheetName val="Daily Observation"/>
      <sheetName val="Performance"/>
      <sheetName val="CRC Progress Tracker (P+S)"/>
      <sheetName val="CRC Progress Tracker (Phil)"/>
      <sheetName val="Success_Challenges"/>
      <sheetName val="Mock Calls"/>
      <sheetName val="Nesting QA"/>
      <sheetName val="Nesting Sales"/>
      <sheetName val="Perf. Mgmnt"/>
      <sheetName val="Handoff Page - (Non-Sales)"/>
      <sheetName val=" Handoff Page (Sales)"/>
      <sheetName val="QBR"/>
      <sheetName val="Reporting Tab"/>
      <sheetName val="MBR"/>
    </sheetNames>
    <sheetDataSet>
      <sheetData sheetId="0"/>
      <sheetData sheetId="1">
        <row r="19">
          <cell r="F19">
            <v>0.15384615384615385</v>
          </cell>
          <cell r="I19">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33">
          <cell r="M33">
            <v>0.79771428571428582</v>
          </cell>
        </row>
      </sheetData>
      <sheetData sheetId="17"/>
      <sheetData sheetId="18"/>
      <sheetData sheetId="19"/>
      <sheetData sheetId="20"/>
      <sheetData sheetId="21"/>
      <sheetData sheetId="22"/>
      <sheetData sheetId="23"/>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H6AQUQDE367JBLU3NTA5PVPPN5">
      <xxl21:absoluteUrl r:id="rId2"/>
    </xxl21:alternateUrls>
    <sheetNames>
      <sheetName val="Quick Links"/>
      <sheetName val="One-Time Check List"/>
      <sheetName val="Daily Checklist"/>
      <sheetName val="WFH SetUp"/>
      <sheetName val="Class Summary"/>
      <sheetName val="Student Data"/>
      <sheetName val="Preprocess Training Report"/>
      <sheetName val="Preprocess SWOT"/>
      <sheetName val="Attendance"/>
      <sheetName val="Day 1 WFH Audit"/>
      <sheetName val="Performance"/>
      <sheetName val="Perform Tier 2"/>
      <sheetName val="Performance RSA"/>
      <sheetName val="Daily Observation"/>
      <sheetName val="Skill Assessment"/>
      <sheetName val="PCB Nesting QA"/>
      <sheetName val="PCB Nesting Incentiv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I21">
            <v>0</v>
          </cell>
        </row>
        <row r="22">
          <cell r="E22"/>
        </row>
      </sheetData>
      <sheetData sheetId="5"/>
      <sheetData sheetId="6"/>
      <sheetData sheetId="7"/>
      <sheetData sheetId="8"/>
      <sheetData sheetId="9"/>
      <sheetData sheetId="10"/>
      <sheetData sheetId="11">
        <row r="35">
          <cell r="T35">
            <v>0.98791666666666667</v>
          </cell>
        </row>
      </sheetData>
      <sheetData sheetId="12"/>
      <sheetData sheetId="13"/>
      <sheetData sheetId="14"/>
      <sheetData sheetId="15">
        <row r="44">
          <cell r="L44">
            <v>0.91500000000000004</v>
          </cell>
        </row>
      </sheetData>
      <sheetData sheetId="16"/>
      <sheetData sheetId="17"/>
      <sheetData sheetId="18"/>
      <sheetData sheetId="19"/>
      <sheetData sheetId="20"/>
      <sheetData sheetId="21"/>
      <sheetData sheetId="22"/>
      <sheetData sheetId="23"/>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HAJWFUXBIEPBF2AWI26HOG7ICB">
      <xxl21:absoluteUrl r:id="rId2"/>
    </xxl21:alternateUrls>
    <sheetNames>
      <sheetName val="Quick Links"/>
      <sheetName val="One-Time Check List"/>
      <sheetName val="Daily Checklist"/>
      <sheetName val="WFH SetUp"/>
      <sheetName val="Class Summary"/>
      <sheetName val="Preprocess Training Report"/>
      <sheetName val="Preprocess SWOT"/>
      <sheetName val="Student Data"/>
      <sheetName val="Attendance"/>
      <sheetName val="Day 1 WFH Audit"/>
      <sheetName val="Performance"/>
      <sheetName val="Perform Tier 2"/>
      <sheetName val="Daily Observation"/>
      <sheetName val="Performance RSA"/>
      <sheetName val="Skill Assessment"/>
      <sheetName val="PCB Nesting QA"/>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sheetData sheetId="4">
        <row r="21">
          <cell r="E21">
            <v>7.1428571428571425E-2</v>
          </cell>
          <cell r="I21">
            <v>0</v>
          </cell>
        </row>
      </sheetData>
      <sheetData sheetId="5"/>
      <sheetData sheetId="6"/>
      <sheetData sheetId="7"/>
      <sheetData sheetId="8"/>
      <sheetData sheetId="9"/>
      <sheetData sheetId="10"/>
      <sheetData sheetId="11"/>
      <sheetData sheetId="12"/>
      <sheetData sheetId="13"/>
      <sheetData sheetId="14"/>
      <sheetData sheetId="15">
        <row r="24">
          <cell r="H24">
            <v>0.7767857142857143</v>
          </cell>
        </row>
      </sheetData>
      <sheetData sheetId="16"/>
      <sheetData sheetId="17"/>
      <sheetData sheetId="18"/>
      <sheetData sheetId="19"/>
      <sheetData sheetId="20"/>
      <sheetData sheetId="21"/>
      <sheetData sheetId="2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FGD6HB3PZEQ5C2ASTJ3REZ6Y6S">
      <xxl21:absoluteUrl r:id="rId2"/>
    </xxl21:alternateUrls>
    <sheetNames>
      <sheetName val="Quick Links"/>
      <sheetName val="One-Time Check List"/>
      <sheetName val="Daily Checklist"/>
      <sheetName val="Class Summary"/>
      <sheetName val="Student Data"/>
      <sheetName val="Preprocess SWOT"/>
      <sheetName val="Attendance"/>
      <sheetName val="Daily Observation"/>
      <sheetName val="Day 1 WFH Audit"/>
      <sheetName val="Perform Tier 2"/>
      <sheetName val="Performance RSA"/>
      <sheetName val="Preprocess Training Report"/>
      <sheetName val="Skill Assessment"/>
      <sheetName val="Performance"/>
      <sheetName val="PCB Nesting QA"/>
      <sheetName val="PCB Nesting Incentive Offshore"/>
      <sheetName val="PCB Nesting Incentive Onshore"/>
      <sheetName val="Perf. Mgmnt"/>
      <sheetName val="Nesting Sales"/>
      <sheetName val="RSA Fraud Error Summary"/>
      <sheetName val="PCB Handoff Page (Sales)"/>
      <sheetName val="QBR"/>
      <sheetName val="PCB Handoff Page - (Non-Sales)"/>
      <sheetName val="Reporting"/>
    </sheetNames>
    <sheetDataSet>
      <sheetData sheetId="0"/>
      <sheetData sheetId="1"/>
      <sheetData sheetId="2"/>
      <sheetData sheetId="3">
        <row r="21">
          <cell r="E21">
            <v>0.33333333333333331</v>
          </cell>
          <cell r="I21">
            <v>0</v>
          </cell>
        </row>
      </sheetData>
      <sheetData sheetId="4"/>
      <sheetData sheetId="5"/>
      <sheetData sheetId="6"/>
      <sheetData sheetId="7"/>
      <sheetData sheetId="8"/>
      <sheetData sheetId="9"/>
      <sheetData sheetId="10"/>
      <sheetData sheetId="11"/>
      <sheetData sheetId="12"/>
      <sheetData sheetId="13">
        <row r="45">
          <cell r="AH45">
            <v>0.89809523809523806</v>
          </cell>
        </row>
      </sheetData>
      <sheetData sheetId="14">
        <row r="24">
          <cell r="D24">
            <v>0.86166666666666669</v>
          </cell>
        </row>
      </sheetData>
      <sheetData sheetId="15"/>
      <sheetData sheetId="16"/>
      <sheetData sheetId="17"/>
      <sheetData sheetId="18"/>
      <sheetData sheetId="19"/>
      <sheetData sheetId="20"/>
      <sheetData sheetId="21"/>
      <sheetData sheetId="22"/>
      <sheetData sheetId="23"/>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FZDACY5JYTJNCYM55DPIG2LL6R">
      <xxl21:absoluteUrl r:id="rId2"/>
    </xxl21:alternateUrls>
    <sheetNames>
      <sheetName val="Quick Links"/>
      <sheetName val="One-Time Check List"/>
      <sheetName val="Daily Checklist"/>
      <sheetName val="Class Summary"/>
      <sheetName val="Preprocess SWOT"/>
      <sheetName val="Student Data"/>
      <sheetName val="Attendance"/>
      <sheetName val="Day 1 WFH Audit"/>
      <sheetName val="Performance"/>
      <sheetName val="Perform Tier 2"/>
      <sheetName val="Performance RSA"/>
      <sheetName val="Preprocess Training Report"/>
      <sheetName val="Skill Assessment"/>
      <sheetName val="PCB Nesting QA"/>
      <sheetName val="PCB Nesting Incentive Offshore"/>
      <sheetName val="Daily Observation"/>
      <sheetName val="PCB Nesting Incentive Onshor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row r="21">
          <cell r="E21">
            <v>0.125</v>
          </cell>
          <cell r="I21">
            <v>0.14285714285714285</v>
          </cell>
        </row>
      </sheetData>
      <sheetData sheetId="4"/>
      <sheetData sheetId="5"/>
      <sheetData sheetId="6"/>
      <sheetData sheetId="7"/>
      <sheetData sheetId="8">
        <row r="45">
          <cell r="AH45">
            <v>0.79814814814814805</v>
          </cell>
        </row>
      </sheetData>
      <sheetData sheetId="9"/>
      <sheetData sheetId="10"/>
      <sheetData sheetId="11"/>
      <sheetData sheetId="12"/>
      <sheetData sheetId="13">
        <row r="24">
          <cell r="D24">
            <v>0.55142857142857138</v>
          </cell>
        </row>
      </sheetData>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G425VO3DX77BBYWRW5FRV7FPIW">
      <xxl21:absoluteUrl r:id="rId2"/>
    </xxl21:alternateUrls>
    <sheetNames>
      <sheetName val="Quick Links"/>
      <sheetName val="One-Time Check List"/>
      <sheetName val="Daily Checklist"/>
      <sheetName val="Class Summary"/>
      <sheetName val="Preprocess SWOT"/>
      <sheetName val="Student Data"/>
      <sheetName val="Attendance"/>
      <sheetName val="Day 1 WFH Audit"/>
      <sheetName val="Performance"/>
      <sheetName val="Perform Tier 2"/>
      <sheetName val="Performance RSA"/>
      <sheetName val="Preprocess Training Report"/>
      <sheetName val="Skill Assessment"/>
      <sheetName val="PCB Nesting QA"/>
      <sheetName val="Daily Observation"/>
      <sheetName val="PCB Nesting Incentive Offshore"/>
      <sheetName val="PCB Nesting Incentive Onshore"/>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row r="21">
          <cell r="E21">
            <v>0</v>
          </cell>
          <cell r="I21">
            <v>0</v>
          </cell>
        </row>
      </sheetData>
      <sheetData sheetId="4"/>
      <sheetData sheetId="5"/>
      <sheetData sheetId="6"/>
      <sheetData sheetId="7"/>
      <sheetData sheetId="8">
        <row r="45">
          <cell r="AH45">
            <v>0.95897435897435901</v>
          </cell>
        </row>
      </sheetData>
      <sheetData sheetId="9"/>
      <sheetData sheetId="10"/>
      <sheetData sheetId="11"/>
      <sheetData sheetId="12"/>
      <sheetData sheetId="13">
        <row r="24">
          <cell r="D24">
            <v>0.78</v>
          </cell>
        </row>
      </sheetData>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GAR4IJICYETFGYFKW4JULENONB">
      <xxl21:absoluteUrl r:id="rId2"/>
    </xxl21:alternateUrls>
    <sheetNames>
      <sheetName val="Quick Links"/>
      <sheetName val="One-Time Check List"/>
      <sheetName val="Daily Checklist"/>
      <sheetName val="Class Summary"/>
      <sheetName val="Student Data"/>
      <sheetName val="Preprocess SWOT"/>
      <sheetName val="Attendance"/>
      <sheetName val="Day 1 WFH Audit"/>
      <sheetName val="Performance"/>
      <sheetName val="Perform Tier 2"/>
      <sheetName val="Performance RSA"/>
      <sheetName val="Preprocess Training Report"/>
      <sheetName val="Daily Observation"/>
      <sheetName val="Skill Assessment"/>
      <sheetName val="PCB Nesting Incentive Offshore"/>
      <sheetName val="PCB Nesting Incentive Onshore"/>
      <sheetName val="PCB Nesting QA"/>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row r="21">
          <cell r="E21">
            <v>0</v>
          </cell>
          <cell r="I21">
            <v>0</v>
          </cell>
        </row>
      </sheetData>
      <sheetData sheetId="4"/>
      <sheetData sheetId="5"/>
      <sheetData sheetId="6"/>
      <sheetData sheetId="7"/>
      <sheetData sheetId="8">
        <row r="45">
          <cell r="AH45">
            <v>0.91562499999999991</v>
          </cell>
        </row>
      </sheetData>
      <sheetData sheetId="9"/>
      <sheetData sheetId="10"/>
      <sheetData sheetId="11"/>
      <sheetData sheetId="12"/>
      <sheetData sheetId="13"/>
      <sheetData sheetId="14"/>
      <sheetData sheetId="15"/>
      <sheetData sheetId="16">
        <row r="24">
          <cell r="S24">
            <v>0.85200297619047616</v>
          </cell>
        </row>
      </sheetData>
      <sheetData sheetId="17"/>
      <sheetData sheetId="18"/>
      <sheetData sheetId="19"/>
      <sheetData sheetId="20"/>
      <sheetData sheetId="21"/>
      <sheetData sheetId="22"/>
      <sheetData sheetId="23"/>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DEDHRQHXQETNHKCHN2M55DQRMI">
      <xxl21:absoluteUrl r:id="rId2"/>
    </xxl21:alternateUrls>
    <sheetNames>
      <sheetName val="Quick Links"/>
      <sheetName val="One-Time Check List"/>
      <sheetName val="Daily Checklist"/>
      <sheetName val="Class Summary"/>
      <sheetName val="Student Data"/>
      <sheetName val="Attendance"/>
      <sheetName val="Preprocess SWOT"/>
      <sheetName val="Daily Observation"/>
      <sheetName val="Day 1 WFH Audit"/>
      <sheetName val="Performance"/>
      <sheetName val="Perform Tier 2"/>
      <sheetName val="Performance RSA"/>
      <sheetName val="Preprocess Training Report"/>
      <sheetName val="Skill Assessment"/>
      <sheetName val="PCB Nesting QA"/>
      <sheetName val="PCB Nesting Incentive Offshore"/>
      <sheetName val="RSA Nesting Metrics"/>
      <sheetName val="Perf. Mgmnt"/>
      <sheetName val="PCB Handoff Page - (Non-Sales)"/>
      <sheetName val="Nesting Sales"/>
      <sheetName val="RSA Fraud Error Summary"/>
      <sheetName val="PCB Handoff Page (Sales)"/>
      <sheetName val="QBR"/>
      <sheetName val="Reporting"/>
    </sheetNames>
    <sheetDataSet>
      <sheetData sheetId="0"/>
      <sheetData sheetId="1"/>
      <sheetData sheetId="2"/>
      <sheetData sheetId="3">
        <row r="21">
          <cell r="E21">
            <v>0</v>
          </cell>
          <cell r="I21">
            <v>0.16666666666666666</v>
          </cell>
        </row>
      </sheetData>
      <sheetData sheetId="4"/>
      <sheetData sheetId="5"/>
      <sheetData sheetId="6"/>
      <sheetData sheetId="7"/>
      <sheetData sheetId="8"/>
      <sheetData sheetId="9"/>
      <sheetData sheetId="10"/>
      <sheetData sheetId="11"/>
      <sheetData sheetId="12"/>
      <sheetData sheetId="13"/>
      <sheetData sheetId="14">
        <row r="24">
          <cell r="H24">
            <v>0.82666666666666677</v>
          </cell>
        </row>
      </sheetData>
      <sheetData sheetId="15"/>
      <sheetData sheetId="16"/>
      <sheetData sheetId="17"/>
      <sheetData sheetId="18"/>
      <sheetData sheetId="19"/>
      <sheetData sheetId="20"/>
      <sheetData sheetId="21"/>
      <sheetData sheetId="22"/>
      <sheetData sheetId="23"/>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CNCMFHA3RWWRGKVJZJEKP6EP2H">
      <xxl21:absoluteUrl r:id="rId2"/>
    </xxl21:alternateUrls>
    <sheetNames>
      <sheetName val="Quick Links"/>
      <sheetName val="One-Time Check List"/>
      <sheetName val="Daily Checklist"/>
      <sheetName val="Class Summary"/>
      <sheetName val="Student Data"/>
      <sheetName val="Preprocess SWOT"/>
      <sheetName val="Attendance"/>
      <sheetName val="Performance"/>
      <sheetName val="Daily Observation"/>
      <sheetName val="Day 1 WFH Audit"/>
      <sheetName val="Perform Tier 2"/>
      <sheetName val="Performance RSA"/>
      <sheetName val="Preprocess Training Report"/>
      <sheetName val="Skill Assessment"/>
      <sheetName val="PCB Nesting QA"/>
      <sheetName val="PCB Nesting Incentive Offshore"/>
      <sheetName val="PCB Nesting Incentive Onshore"/>
      <sheetName val="Perf. Mgmnt"/>
      <sheetName val="Nesting Sales"/>
      <sheetName val="RSA Fraud Error Summary"/>
      <sheetName val="PCB Handoff Page (Sales)"/>
      <sheetName val="QBR"/>
      <sheetName val="PCB Handoff Page - (Non-Sales)"/>
      <sheetName val="Reporting"/>
    </sheetNames>
    <sheetDataSet>
      <sheetData sheetId="0"/>
      <sheetData sheetId="1"/>
      <sheetData sheetId="2"/>
      <sheetData sheetId="3">
        <row r="21">
          <cell r="E21">
            <v>0</v>
          </cell>
          <cell r="I21">
            <v>0</v>
          </cell>
        </row>
      </sheetData>
      <sheetData sheetId="4"/>
      <sheetData sheetId="5"/>
      <sheetData sheetId="6"/>
      <sheetData sheetId="7">
        <row r="45">
          <cell r="AG45" t="e">
            <v>#REF!</v>
          </cell>
        </row>
      </sheetData>
      <sheetData sheetId="8"/>
      <sheetData sheetId="9"/>
      <sheetData sheetId="10"/>
      <sheetData sheetId="11"/>
      <sheetData sheetId="12"/>
      <sheetData sheetId="13"/>
      <sheetData sheetId="14">
        <row r="24">
          <cell r="D24">
            <v>0.7977777777777777</v>
          </cell>
        </row>
      </sheetData>
      <sheetData sheetId="15"/>
      <sheetData sheetId="16"/>
      <sheetData sheetId="17"/>
      <sheetData sheetId="18"/>
      <sheetData sheetId="19"/>
      <sheetData sheetId="20"/>
      <sheetData sheetId="21"/>
      <sheetData sheetId="22"/>
      <sheetData sheetId="23"/>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CROYJVJBTINZBIJSOJHFHJDIAH">
      <xxl21:absoluteUrl r:id="rId2"/>
    </xxl21:alternateUrls>
    <sheetNames>
      <sheetName val="Quick Links"/>
      <sheetName val="Class Summary"/>
      <sheetName val="One-Time Check List"/>
      <sheetName val="Daily Checklist"/>
      <sheetName val="Tech Day Checklist"/>
      <sheetName val="Tech"/>
      <sheetName val="Student Data"/>
      <sheetName val="Preprocess Training Report"/>
      <sheetName val="Preprocess SWOT"/>
      <sheetName val="Attendance"/>
      <sheetName val="Performance"/>
      <sheetName val="CRC Progress Tracker (P+S)"/>
      <sheetName val="CRC Progress Tracker (Phil)"/>
      <sheetName val="Daily Observation"/>
      <sheetName val="Mock Calls &amp; Skills Assessment"/>
      <sheetName val="Nesting QA"/>
      <sheetName val="Nesting Sales"/>
      <sheetName val="Perf. Mgmnt"/>
      <sheetName val=" Handoff Page"/>
      <sheetName val="QBR"/>
      <sheetName val="Reporting Ta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vdkBaZHJdXSoau8NSZKvKh" itemId="01ZNW7L2EE3MWUFD7TEZBLXXH36GU3QSVE">
      <xxl21:absoluteUrl r:id="rId2"/>
    </xxl21:alternateUrls>
    <sheetNames>
      <sheetName val="Quick Links"/>
      <sheetName val="Class Summary"/>
      <sheetName val="One-Time Check List"/>
      <sheetName val="Daily Checklist"/>
      <sheetName val="Tech Day Checklist"/>
      <sheetName val="Tech"/>
      <sheetName val="Student Data"/>
      <sheetName val="Preprocess Training Report"/>
      <sheetName val="Preprocess SWOT"/>
      <sheetName val="Attendance"/>
      <sheetName val="Performance"/>
      <sheetName val="CRC Progress Tracker (P+S)"/>
      <sheetName val="CRC Progress Tracker (Phil)"/>
      <sheetName val="Daily Observation"/>
      <sheetName val="Mock Calls"/>
      <sheetName val="Nesting QA"/>
      <sheetName val="Nesting Sales"/>
      <sheetName val="Perf. Mgmnt"/>
      <sheetName val="Handoff Page - (Non-Sales)"/>
      <sheetName val=" Handoff Page (Sales)"/>
      <sheetName val="QBR"/>
      <sheetName val="Reporting Tab"/>
      <sheetName val="MBR"/>
    </sheetNames>
    <sheetDataSet>
      <sheetData sheetId="0"/>
      <sheetData sheetId="1">
        <row r="19">
          <cell r="F19">
            <v>0</v>
          </cell>
          <cell r="J19">
            <v>0</v>
          </cell>
        </row>
      </sheetData>
      <sheetData sheetId="2"/>
      <sheetData sheetId="3"/>
      <sheetData sheetId="4"/>
      <sheetData sheetId="5"/>
      <sheetData sheetId="6"/>
      <sheetData sheetId="7"/>
      <sheetData sheetId="8"/>
      <sheetData sheetId="9"/>
      <sheetData sheetId="10">
        <row r="36">
          <cell r="AF36">
            <v>0.96171428571428574</v>
          </cell>
        </row>
      </sheetData>
      <sheetData sheetId="11"/>
      <sheetData sheetId="12"/>
      <sheetData sheetId="13"/>
      <sheetData sheetId="14"/>
      <sheetData sheetId="15">
        <row r="33">
          <cell r="M33">
            <v>0.92340500000000003</v>
          </cell>
        </row>
      </sheetData>
      <sheetData sheetId="16"/>
      <sheetData sheetId="17"/>
      <sheetData sheetId="18"/>
      <sheetData sheetId="19"/>
      <sheetData sheetId="20"/>
      <sheetData sheetId="21"/>
      <sheetData sheetId="22"/>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E6SJ4N3M6W7NEL3DKBABOTK7RG">
      <xxl21:absoluteUrl r:id="rId2"/>
    </xxl21:alternateUrls>
    <sheetNames>
      <sheetName val="Sheet1"/>
      <sheetName val="Q3"/>
      <sheetName val="Q4"/>
      <sheetName val="Dashboard"/>
      <sheetName val="2023 Q1"/>
      <sheetName val="2023 Q2"/>
      <sheetName val="2023 Q3"/>
      <sheetName val="2024 Q4"/>
      <sheetName val="HomeTrust Compliance"/>
      <sheetName val="Laurentian"/>
    </sheetNames>
    <sheetDataSet>
      <sheetData sheetId="0"/>
      <sheetData sheetId="1"/>
      <sheetData sheetId="2"/>
      <sheetData sheetId="3"/>
      <sheetData sheetId="4">
        <row r="2">
          <cell r="A2" t="str">
            <v>4.3.2023</v>
          </cell>
          <cell r="B2" t="str">
            <v>Sneha Menda</v>
          </cell>
          <cell r="E2">
            <v>8</v>
          </cell>
          <cell r="F2">
            <v>8</v>
          </cell>
          <cell r="G2">
            <v>8</v>
          </cell>
          <cell r="H2">
            <v>8</v>
          </cell>
          <cell r="I2">
            <v>8</v>
          </cell>
          <cell r="J2">
            <v>8</v>
          </cell>
          <cell r="K2">
            <v>8</v>
          </cell>
          <cell r="L2">
            <v>8</v>
          </cell>
          <cell r="M2">
            <v>8</v>
          </cell>
          <cell r="N2">
            <v>8</v>
          </cell>
          <cell r="O2">
            <v>8</v>
          </cell>
          <cell r="P2">
            <v>8</v>
          </cell>
          <cell r="Q2">
            <v>8</v>
          </cell>
          <cell r="R2"/>
          <cell r="S2" t="str">
            <v>05.02.2023</v>
          </cell>
        </row>
        <row r="11">
          <cell r="A11" t="str">
            <v>4.10.2023</v>
          </cell>
          <cell r="B11" t="str">
            <v>Dave Lim</v>
          </cell>
          <cell r="E11">
            <v>10</v>
          </cell>
          <cell r="F11">
            <v>10</v>
          </cell>
          <cell r="G11">
            <v>10</v>
          </cell>
          <cell r="H11">
            <v>10</v>
          </cell>
          <cell r="I11">
            <v>10</v>
          </cell>
          <cell r="J11">
            <v>10</v>
          </cell>
          <cell r="K11">
            <v>10</v>
          </cell>
          <cell r="L11">
            <v>10</v>
          </cell>
          <cell r="M11">
            <v>10</v>
          </cell>
          <cell r="N11">
            <v>10</v>
          </cell>
          <cell r="O11">
            <v>10</v>
          </cell>
          <cell r="P11">
            <v>10</v>
          </cell>
          <cell r="Q11">
            <v>10</v>
          </cell>
          <cell r="S11" t="str">
            <v>05.08.2023</v>
          </cell>
        </row>
        <row r="22">
          <cell r="A22" t="str">
            <v>4.17.2023</v>
          </cell>
          <cell r="B22" t="str">
            <v>Hira Umair</v>
          </cell>
          <cell r="E22">
            <v>11</v>
          </cell>
          <cell r="F22">
            <v>11</v>
          </cell>
          <cell r="G22">
            <v>11</v>
          </cell>
          <cell r="H22">
            <v>11</v>
          </cell>
          <cell r="I22">
            <v>11</v>
          </cell>
          <cell r="J22">
            <v>11</v>
          </cell>
          <cell r="K22">
            <v>11</v>
          </cell>
          <cell r="L22">
            <v>11</v>
          </cell>
          <cell r="M22">
            <v>11</v>
          </cell>
          <cell r="N22">
            <v>11</v>
          </cell>
          <cell r="O22">
            <v>11</v>
          </cell>
          <cell r="P22">
            <v>11</v>
          </cell>
          <cell r="Q22">
            <v>11</v>
          </cell>
          <cell r="S22">
            <v>45061</v>
          </cell>
        </row>
        <row r="30">
          <cell r="R30"/>
          <cell r="S30">
            <v>45061</v>
          </cell>
        </row>
        <row r="34">
          <cell r="S34">
            <v>1</v>
          </cell>
        </row>
        <row r="35">
          <cell r="A35" t="str">
            <v>5.1.2023</v>
          </cell>
          <cell r="B35" t="str">
            <v>Kristi Stead</v>
          </cell>
          <cell r="E35">
            <v>14</v>
          </cell>
          <cell r="F35">
            <v>14</v>
          </cell>
          <cell r="G35">
            <v>13</v>
          </cell>
          <cell r="H35">
            <v>13</v>
          </cell>
          <cell r="I35">
            <v>13</v>
          </cell>
          <cell r="J35">
            <v>13</v>
          </cell>
          <cell r="K35">
            <v>13</v>
          </cell>
          <cell r="L35">
            <v>13</v>
          </cell>
          <cell r="M35">
            <v>13</v>
          </cell>
          <cell r="N35">
            <v>13</v>
          </cell>
          <cell r="O35">
            <v>13</v>
          </cell>
          <cell r="P35">
            <v>14</v>
          </cell>
          <cell r="Q35">
            <v>14</v>
          </cell>
          <cell r="S35">
            <v>45075</v>
          </cell>
        </row>
        <row r="37">
          <cell r="S37">
            <v>45072</v>
          </cell>
        </row>
        <row r="40">
          <cell r="S40">
            <v>45072</v>
          </cell>
        </row>
        <row r="44">
          <cell r="S44">
            <v>45072</v>
          </cell>
        </row>
        <row r="50">
          <cell r="A50" t="str">
            <v>5.8.2023</v>
          </cell>
          <cell r="B50" t="str">
            <v>Rowena Lasala</v>
          </cell>
          <cell r="E50">
            <v>3</v>
          </cell>
          <cell r="F50">
            <v>3</v>
          </cell>
          <cell r="G50">
            <v>3</v>
          </cell>
          <cell r="H50">
            <v>3</v>
          </cell>
          <cell r="I50">
            <v>3</v>
          </cell>
          <cell r="J50">
            <v>3</v>
          </cell>
          <cell r="K50">
            <v>3</v>
          </cell>
          <cell r="L50">
            <v>3</v>
          </cell>
          <cell r="M50">
            <v>3</v>
          </cell>
          <cell r="N50">
            <v>3</v>
          </cell>
          <cell r="O50">
            <v>3</v>
          </cell>
          <cell r="P50">
            <v>3</v>
          </cell>
          <cell r="Q50">
            <v>3</v>
          </cell>
          <cell r="S50" t="str">
            <v>06.06.2023</v>
          </cell>
        </row>
        <row r="51">
          <cell r="S51">
            <v>45079</v>
          </cell>
        </row>
        <row r="54">
          <cell r="A54" t="str">
            <v>5.10.2023</v>
          </cell>
          <cell r="B54" t="str">
            <v>Gilisa Roberts</v>
          </cell>
          <cell r="E54">
            <v>10</v>
          </cell>
          <cell r="F54">
            <v>10</v>
          </cell>
          <cell r="G54">
            <v>10</v>
          </cell>
          <cell r="H54">
            <v>10</v>
          </cell>
          <cell r="I54">
            <v>10</v>
          </cell>
          <cell r="J54">
            <v>10</v>
          </cell>
          <cell r="K54">
            <v>10</v>
          </cell>
          <cell r="L54">
            <v>10</v>
          </cell>
          <cell r="M54">
            <v>10</v>
          </cell>
          <cell r="N54">
            <v>10</v>
          </cell>
          <cell r="O54">
            <v>10</v>
          </cell>
          <cell r="P54">
            <v>10</v>
          </cell>
          <cell r="Q54">
            <v>10</v>
          </cell>
          <cell r="S54">
            <v>45085</v>
          </cell>
        </row>
        <row r="65">
          <cell r="A65" t="str">
            <v>5.4.2023</v>
          </cell>
          <cell r="B65" t="str">
            <v>Nancy Price</v>
          </cell>
          <cell r="E65">
            <v>7</v>
          </cell>
          <cell r="F65">
            <v>7</v>
          </cell>
          <cell r="G65">
            <v>7</v>
          </cell>
          <cell r="H65">
            <v>7</v>
          </cell>
          <cell r="I65">
            <v>7</v>
          </cell>
          <cell r="J65">
            <v>7</v>
          </cell>
          <cell r="K65">
            <v>7</v>
          </cell>
          <cell r="L65">
            <v>7</v>
          </cell>
          <cell r="M65">
            <v>7</v>
          </cell>
          <cell r="N65">
            <v>7</v>
          </cell>
          <cell r="O65">
            <v>7</v>
          </cell>
          <cell r="P65">
            <v>7</v>
          </cell>
          <cell r="Q65">
            <v>7</v>
          </cell>
          <cell r="S65">
            <v>0</v>
          </cell>
        </row>
        <row r="73">
          <cell r="A73" t="str">
            <v>5.23.2023</v>
          </cell>
          <cell r="B73" t="str">
            <v>Dave Lim</v>
          </cell>
          <cell r="E73">
            <v>14</v>
          </cell>
          <cell r="F73">
            <v>14</v>
          </cell>
          <cell r="G73">
            <v>14</v>
          </cell>
          <cell r="H73">
            <v>14</v>
          </cell>
          <cell r="I73">
            <v>14</v>
          </cell>
          <cell r="J73">
            <v>14</v>
          </cell>
          <cell r="K73">
            <v>14</v>
          </cell>
          <cell r="L73">
            <v>14</v>
          </cell>
          <cell r="M73">
            <v>14</v>
          </cell>
          <cell r="N73">
            <v>14</v>
          </cell>
          <cell r="O73">
            <v>14</v>
          </cell>
          <cell r="P73">
            <v>14</v>
          </cell>
          <cell r="Q73">
            <v>0</v>
          </cell>
          <cell r="S73" t="str">
            <v>06.20.2023</v>
          </cell>
        </row>
        <row r="88">
          <cell r="A88" t="str">
            <v>5.29.2023</v>
          </cell>
          <cell r="B88" t="str">
            <v>Bib Alli</v>
          </cell>
          <cell r="E88">
            <v>4</v>
          </cell>
          <cell r="F88">
            <v>4</v>
          </cell>
          <cell r="G88">
            <v>4</v>
          </cell>
          <cell r="H88">
            <v>4</v>
          </cell>
          <cell r="I88">
            <v>4</v>
          </cell>
          <cell r="J88">
            <v>4</v>
          </cell>
          <cell r="K88">
            <v>4</v>
          </cell>
          <cell r="L88">
            <v>4</v>
          </cell>
          <cell r="M88">
            <v>4</v>
          </cell>
          <cell r="N88">
            <v>4</v>
          </cell>
          <cell r="O88">
            <v>4</v>
          </cell>
          <cell r="P88">
            <v>4</v>
          </cell>
          <cell r="Q88">
            <v>4</v>
          </cell>
          <cell r="S88" t="str">
            <v>06.26.2023</v>
          </cell>
        </row>
        <row r="94">
          <cell r="A94" t="str">
            <v>6.5.2023</v>
          </cell>
          <cell r="B94" t="str">
            <v>Sneha Menda</v>
          </cell>
          <cell r="E94">
            <v>12</v>
          </cell>
          <cell r="F94">
            <v>12</v>
          </cell>
          <cell r="G94">
            <v>12</v>
          </cell>
          <cell r="H94">
            <v>12</v>
          </cell>
          <cell r="I94">
            <v>12</v>
          </cell>
          <cell r="J94">
            <v>12</v>
          </cell>
          <cell r="K94">
            <v>12</v>
          </cell>
          <cell r="L94">
            <v>12</v>
          </cell>
          <cell r="M94">
            <v>12</v>
          </cell>
          <cell r="N94">
            <v>12</v>
          </cell>
          <cell r="O94">
            <v>12</v>
          </cell>
          <cell r="P94">
            <v>12</v>
          </cell>
          <cell r="Q94">
            <v>12</v>
          </cell>
          <cell r="S94" t="str">
            <v>07.04.2023</v>
          </cell>
        </row>
        <row r="107">
          <cell r="A107" t="str">
            <v>6.12.2023</v>
          </cell>
          <cell r="B107" t="str">
            <v>Nancy Price</v>
          </cell>
          <cell r="E107">
            <v>8</v>
          </cell>
          <cell r="F107">
            <v>8</v>
          </cell>
          <cell r="G107">
            <v>8</v>
          </cell>
          <cell r="H107">
            <v>8</v>
          </cell>
          <cell r="I107">
            <v>8</v>
          </cell>
          <cell r="J107">
            <v>8</v>
          </cell>
          <cell r="K107">
            <v>8</v>
          </cell>
          <cell r="L107">
            <v>8</v>
          </cell>
          <cell r="M107">
            <v>8</v>
          </cell>
          <cell r="N107">
            <v>8</v>
          </cell>
          <cell r="O107">
            <v>8</v>
          </cell>
          <cell r="P107">
            <v>8</v>
          </cell>
          <cell r="Q107">
            <v>8</v>
          </cell>
          <cell r="S107">
            <v>45117</v>
          </cell>
        </row>
        <row r="116">
          <cell r="A116" t="str">
            <v>6.19.2023</v>
          </cell>
          <cell r="B116" t="str">
            <v>Hira Umair</v>
          </cell>
          <cell r="E116">
            <v>14</v>
          </cell>
          <cell r="F116">
            <v>14</v>
          </cell>
          <cell r="G116">
            <v>14</v>
          </cell>
          <cell r="H116">
            <v>14</v>
          </cell>
          <cell r="I116">
            <v>14</v>
          </cell>
          <cell r="J116">
            <v>14</v>
          </cell>
          <cell r="K116">
            <v>14</v>
          </cell>
          <cell r="L116">
            <v>14</v>
          </cell>
          <cell r="M116">
            <v>14</v>
          </cell>
          <cell r="N116">
            <v>14</v>
          </cell>
          <cell r="O116">
            <v>14</v>
          </cell>
          <cell r="P116">
            <v>14</v>
          </cell>
          <cell r="Q116">
            <v>14</v>
          </cell>
          <cell r="S116" t="str">
            <v>July 17, 2023</v>
          </cell>
        </row>
        <row r="131">
          <cell r="A131" t="str">
            <v>6.26.2023</v>
          </cell>
          <cell r="B131" t="str">
            <v>Rowena Lasala</v>
          </cell>
          <cell r="E131">
            <v>13</v>
          </cell>
          <cell r="F131">
            <v>13</v>
          </cell>
          <cell r="G131">
            <v>13</v>
          </cell>
          <cell r="H131">
            <v>13</v>
          </cell>
          <cell r="I131">
            <v>13</v>
          </cell>
          <cell r="J131">
            <v>13</v>
          </cell>
          <cell r="K131">
            <v>13</v>
          </cell>
          <cell r="L131">
            <v>13</v>
          </cell>
          <cell r="M131">
            <v>13</v>
          </cell>
          <cell r="N131">
            <v>13</v>
          </cell>
          <cell r="O131">
            <v>13</v>
          </cell>
          <cell r="P131">
            <v>13</v>
          </cell>
          <cell r="Q131">
            <v>13</v>
          </cell>
          <cell r="S131">
            <v>45132</v>
          </cell>
        </row>
      </sheetData>
      <sheetData sheetId="5">
        <row r="2">
          <cell r="A2" t="str">
            <v>7.4.2023</v>
          </cell>
          <cell r="B2" t="str">
            <v>Jordan Saulnier</v>
          </cell>
          <cell r="E2">
            <v>4</v>
          </cell>
          <cell r="F2">
            <v>4</v>
          </cell>
          <cell r="H2">
            <v>4</v>
          </cell>
          <cell r="J2">
            <v>4</v>
          </cell>
          <cell r="L2">
            <v>4</v>
          </cell>
          <cell r="N2">
            <v>4</v>
          </cell>
          <cell r="P2">
            <v>4</v>
          </cell>
          <cell r="R2">
            <v>4</v>
          </cell>
          <cell r="T2">
            <v>4</v>
          </cell>
          <cell r="V2">
            <v>4</v>
          </cell>
          <cell r="X2">
            <v>4</v>
          </cell>
          <cell r="Z2">
            <v>4</v>
          </cell>
          <cell r="AB2">
            <v>4</v>
          </cell>
          <cell r="AE2" t="str">
            <v>08.01.2023</v>
          </cell>
        </row>
        <row r="7">
          <cell r="A7" t="str">
            <v>7.10.2023</v>
          </cell>
          <cell r="B7" t="str">
            <v>Nancy Price</v>
          </cell>
          <cell r="E7">
            <v>10</v>
          </cell>
          <cell r="F7">
            <v>10</v>
          </cell>
          <cell r="H7">
            <v>10</v>
          </cell>
          <cell r="J7">
            <v>10</v>
          </cell>
          <cell r="L7">
            <v>10</v>
          </cell>
          <cell r="N7">
            <v>10</v>
          </cell>
          <cell r="P7">
            <v>10</v>
          </cell>
          <cell r="R7">
            <v>10</v>
          </cell>
          <cell r="T7">
            <v>10</v>
          </cell>
          <cell r="V7">
            <v>10</v>
          </cell>
          <cell r="X7">
            <v>10</v>
          </cell>
          <cell r="Z7">
            <v>10</v>
          </cell>
          <cell r="AB7">
            <v>10</v>
          </cell>
          <cell r="AE7" t="str">
            <v>August 8th 2023</v>
          </cell>
        </row>
        <row r="18">
          <cell r="A18" t="str">
            <v>7.17.2023</v>
          </cell>
          <cell r="B18" t="str">
            <v>Scott McDonald</v>
          </cell>
          <cell r="E18">
            <v>10</v>
          </cell>
          <cell r="F18">
            <v>10</v>
          </cell>
          <cell r="H18">
            <v>10</v>
          </cell>
          <cell r="J18">
            <v>10</v>
          </cell>
          <cell r="L18">
            <v>10</v>
          </cell>
          <cell r="N18">
            <v>10</v>
          </cell>
          <cell r="P18">
            <v>10</v>
          </cell>
          <cell r="R18">
            <v>10</v>
          </cell>
          <cell r="T18">
            <v>10</v>
          </cell>
          <cell r="V18">
            <v>10</v>
          </cell>
          <cell r="X18">
            <v>10</v>
          </cell>
          <cell r="Z18">
            <v>10</v>
          </cell>
          <cell r="AB18">
            <v>10</v>
          </cell>
          <cell r="AE18" t="str">
            <v>08/15/2023</v>
          </cell>
        </row>
        <row r="29">
          <cell r="A29" t="str">
            <v>7.24.2023</v>
          </cell>
          <cell r="B29" t="str">
            <v>Sneha Menda</v>
          </cell>
          <cell r="E29">
            <v>11</v>
          </cell>
          <cell r="F29">
            <v>11</v>
          </cell>
          <cell r="H29">
            <v>11</v>
          </cell>
          <cell r="J29">
            <v>11</v>
          </cell>
          <cell r="L29">
            <v>11</v>
          </cell>
          <cell r="N29">
            <v>11</v>
          </cell>
          <cell r="P29">
            <v>11</v>
          </cell>
          <cell r="R29">
            <v>11</v>
          </cell>
          <cell r="T29">
            <v>11</v>
          </cell>
          <cell r="V29">
            <v>11</v>
          </cell>
          <cell r="X29">
            <v>11</v>
          </cell>
          <cell r="Z29">
            <v>11</v>
          </cell>
          <cell r="AB29">
            <v>11</v>
          </cell>
          <cell r="AE29">
            <v>45160</v>
          </cell>
        </row>
        <row r="41">
          <cell r="A41" t="str">
            <v>7.31.2023</v>
          </cell>
          <cell r="B41" t="str">
            <v>Hira Umair</v>
          </cell>
          <cell r="E41">
            <v>6</v>
          </cell>
          <cell r="F41">
            <v>6</v>
          </cell>
          <cell r="H41">
            <v>6</v>
          </cell>
          <cell r="J41">
            <v>6</v>
          </cell>
          <cell r="L41">
            <v>6</v>
          </cell>
          <cell r="N41">
            <v>6</v>
          </cell>
          <cell r="P41">
            <v>6</v>
          </cell>
          <cell r="R41">
            <v>6</v>
          </cell>
          <cell r="T41">
            <v>6</v>
          </cell>
          <cell r="V41">
            <v>6</v>
          </cell>
          <cell r="X41">
            <v>6</v>
          </cell>
          <cell r="Z41">
            <v>6</v>
          </cell>
          <cell r="AB41">
            <v>6</v>
          </cell>
          <cell r="AE41">
            <v>45166</v>
          </cell>
        </row>
        <row r="53">
          <cell r="A53" t="str">
            <v>8.8.2023</v>
          </cell>
          <cell r="B53" t="str">
            <v>Dave Lim</v>
          </cell>
          <cell r="E53">
            <v>10</v>
          </cell>
          <cell r="F53">
            <v>10</v>
          </cell>
          <cell r="H53">
            <v>10</v>
          </cell>
          <cell r="J53">
            <v>10</v>
          </cell>
          <cell r="L53">
            <v>10</v>
          </cell>
          <cell r="N53">
            <v>10</v>
          </cell>
          <cell r="P53">
            <v>10</v>
          </cell>
          <cell r="R53">
            <v>10</v>
          </cell>
          <cell r="T53">
            <v>10</v>
          </cell>
          <cell r="V53">
            <v>10</v>
          </cell>
          <cell r="X53">
            <v>10</v>
          </cell>
          <cell r="Z53">
            <v>10</v>
          </cell>
          <cell r="AB53">
            <v>10</v>
          </cell>
          <cell r="AE53">
            <v>45175</v>
          </cell>
        </row>
        <row r="64">
          <cell r="A64" t="str">
            <v>8.14.2023</v>
          </cell>
          <cell r="B64" t="str">
            <v>Rowena Lasala</v>
          </cell>
          <cell r="E64">
            <v>8</v>
          </cell>
          <cell r="F64">
            <v>8</v>
          </cell>
          <cell r="H64">
            <v>8</v>
          </cell>
          <cell r="J64">
            <v>8</v>
          </cell>
          <cell r="L64">
            <v>8</v>
          </cell>
          <cell r="N64">
            <v>8</v>
          </cell>
          <cell r="P64">
            <v>8</v>
          </cell>
          <cell r="R64">
            <v>8</v>
          </cell>
          <cell r="T64">
            <v>8</v>
          </cell>
          <cell r="V64">
            <v>8</v>
          </cell>
          <cell r="X64">
            <v>8</v>
          </cell>
          <cell r="Z64">
            <v>8</v>
          </cell>
          <cell r="AB64">
            <v>8</v>
          </cell>
          <cell r="AE64">
            <v>45152</v>
          </cell>
        </row>
        <row r="73">
          <cell r="A73" t="str">
            <v>8.28.2023</v>
          </cell>
          <cell r="B73" t="str">
            <v>Hira Umair</v>
          </cell>
          <cell r="E73">
            <v>8</v>
          </cell>
          <cell r="F73">
            <v>8</v>
          </cell>
          <cell r="H73">
            <v>8</v>
          </cell>
          <cell r="J73">
            <v>8</v>
          </cell>
          <cell r="L73">
            <v>8</v>
          </cell>
          <cell r="N73">
            <v>8</v>
          </cell>
          <cell r="P73">
            <v>8</v>
          </cell>
          <cell r="R73">
            <v>8</v>
          </cell>
          <cell r="T73">
            <v>8</v>
          </cell>
          <cell r="V73">
            <v>8</v>
          </cell>
          <cell r="X73">
            <v>8</v>
          </cell>
          <cell r="Z73">
            <v>8</v>
          </cell>
          <cell r="AB73">
            <v>8</v>
          </cell>
          <cell r="AE73" t="str">
            <v>09.26.2023</v>
          </cell>
        </row>
        <row r="83">
          <cell r="A83" t="str">
            <v>09.11.2023</v>
          </cell>
          <cell r="B83" t="str">
            <v>Scott McDonald</v>
          </cell>
          <cell r="E83">
            <v>11</v>
          </cell>
          <cell r="F83">
            <v>11</v>
          </cell>
          <cell r="H83">
            <v>11</v>
          </cell>
          <cell r="J83">
            <v>11</v>
          </cell>
          <cell r="L83">
            <v>11</v>
          </cell>
          <cell r="N83">
            <v>11</v>
          </cell>
          <cell r="P83">
            <v>11</v>
          </cell>
          <cell r="R83">
            <v>11</v>
          </cell>
          <cell r="T83">
            <v>11</v>
          </cell>
          <cell r="V83">
            <v>11</v>
          </cell>
          <cell r="X83">
            <v>11</v>
          </cell>
          <cell r="Z83">
            <v>11</v>
          </cell>
          <cell r="AB83">
            <v>11</v>
          </cell>
          <cell r="AE83">
            <v>45202</v>
          </cell>
        </row>
        <row r="95">
          <cell r="A95" t="str">
            <v>09.18.2023</v>
          </cell>
          <cell r="B95" t="str">
            <v>Gilisa Roberts</v>
          </cell>
          <cell r="E95">
            <v>10</v>
          </cell>
          <cell r="F95">
            <v>10</v>
          </cell>
          <cell r="H95">
            <v>10</v>
          </cell>
          <cell r="J95">
            <v>10</v>
          </cell>
          <cell r="L95">
            <v>10</v>
          </cell>
          <cell r="N95">
            <v>10</v>
          </cell>
          <cell r="P95">
            <v>10</v>
          </cell>
          <cell r="R95">
            <v>10</v>
          </cell>
          <cell r="T95">
            <v>10</v>
          </cell>
          <cell r="V95">
            <v>10</v>
          </cell>
          <cell r="X95">
            <v>10</v>
          </cell>
          <cell r="Z95">
            <v>11</v>
          </cell>
          <cell r="AB95">
            <v>10</v>
          </cell>
          <cell r="AE95">
            <v>45203</v>
          </cell>
        </row>
      </sheetData>
      <sheetData sheetId="6">
        <row r="2">
          <cell r="A2" t="str">
            <v>10.02.2023</v>
          </cell>
          <cell r="B2" t="str">
            <v>Jordan Saulnier</v>
          </cell>
          <cell r="E2">
            <v>9</v>
          </cell>
          <cell r="F2">
            <v>9</v>
          </cell>
          <cell r="H2">
            <v>9</v>
          </cell>
          <cell r="J2">
            <v>9</v>
          </cell>
          <cell r="L2">
            <v>9</v>
          </cell>
          <cell r="N2">
            <v>9</v>
          </cell>
          <cell r="P2">
            <v>9</v>
          </cell>
          <cell r="R2"/>
          <cell r="T2">
            <v>9</v>
          </cell>
          <cell r="V2">
            <v>9</v>
          </cell>
          <cell r="X2">
            <v>9</v>
          </cell>
          <cell r="Z2">
            <v>8</v>
          </cell>
          <cell r="AB2">
            <v>8</v>
          </cell>
          <cell r="AD2">
            <v>9</v>
          </cell>
          <cell r="AF2">
            <v>0</v>
          </cell>
          <cell r="AI2">
            <v>45215</v>
          </cell>
        </row>
        <row r="12">
          <cell r="A12" t="str">
            <v>10.16.2023</v>
          </cell>
          <cell r="B12" t="str">
            <v>Ruschel Bartolome</v>
          </cell>
          <cell r="E12">
            <v>8</v>
          </cell>
          <cell r="F12">
            <v>8</v>
          </cell>
          <cell r="H12">
            <v>8</v>
          </cell>
          <cell r="J12">
            <v>8</v>
          </cell>
          <cell r="L12">
            <v>8</v>
          </cell>
          <cell r="N12">
            <v>8</v>
          </cell>
          <cell r="P12">
            <v>8</v>
          </cell>
          <cell r="R12"/>
          <cell r="T12">
            <v>8</v>
          </cell>
          <cell r="V12">
            <v>8</v>
          </cell>
          <cell r="X12">
            <v>8</v>
          </cell>
          <cell r="Z12">
            <v>8</v>
          </cell>
          <cell r="AB12">
            <v>8</v>
          </cell>
          <cell r="AD12">
            <v>8</v>
          </cell>
          <cell r="AF12">
            <v>0</v>
          </cell>
          <cell r="AI12">
            <v>45229</v>
          </cell>
        </row>
        <row r="21">
          <cell r="A21" t="str">
            <v>11.06.2023</v>
          </cell>
          <cell r="B21" t="str">
            <v>Scott McDonald</v>
          </cell>
          <cell r="E21">
            <v>8</v>
          </cell>
          <cell r="F21">
            <v>10</v>
          </cell>
          <cell r="H21">
            <v>10</v>
          </cell>
          <cell r="J21">
            <v>10</v>
          </cell>
          <cell r="L21">
            <v>10</v>
          </cell>
          <cell r="N21">
            <v>10</v>
          </cell>
          <cell r="P21">
            <v>10</v>
          </cell>
          <cell r="R21"/>
          <cell r="T21">
            <v>10</v>
          </cell>
          <cell r="V21">
            <v>10</v>
          </cell>
          <cell r="X21">
            <v>10</v>
          </cell>
          <cell r="Z21">
            <v>10</v>
          </cell>
          <cell r="AB21">
            <v>10</v>
          </cell>
          <cell r="AD21">
            <v>10</v>
          </cell>
          <cell r="AF21">
            <v>0</v>
          </cell>
          <cell r="AI21">
            <v>45250</v>
          </cell>
        </row>
        <row r="32">
          <cell r="A32" t="str">
            <v>11.20.2023</v>
          </cell>
          <cell r="B32" t="str">
            <v>Jordan Saulnier</v>
          </cell>
          <cell r="E32">
            <v>8</v>
          </cell>
          <cell r="F32">
            <v>9</v>
          </cell>
          <cell r="H32">
            <v>9</v>
          </cell>
          <cell r="J32">
            <v>9</v>
          </cell>
          <cell r="L32">
            <v>9</v>
          </cell>
          <cell r="N32">
            <v>9</v>
          </cell>
          <cell r="P32">
            <v>9</v>
          </cell>
          <cell r="R32">
            <v>9</v>
          </cell>
          <cell r="T32">
            <v>9</v>
          </cell>
          <cell r="V32">
            <v>9</v>
          </cell>
          <cell r="X32">
            <v>9</v>
          </cell>
          <cell r="Z32">
            <v>9</v>
          </cell>
          <cell r="AB32">
            <v>9</v>
          </cell>
          <cell r="AD32">
            <v>9</v>
          </cell>
          <cell r="AF32">
            <v>9</v>
          </cell>
          <cell r="AI32">
            <v>45265</v>
          </cell>
        </row>
        <row r="42">
          <cell r="A42" t="str">
            <v>11.27.2023</v>
          </cell>
          <cell r="B42" t="str">
            <v>Ruschel Bartolome</v>
          </cell>
          <cell r="E42">
            <v>10</v>
          </cell>
          <cell r="F42">
            <v>10</v>
          </cell>
          <cell r="H42">
            <v>10</v>
          </cell>
          <cell r="J42">
            <v>10</v>
          </cell>
          <cell r="L42">
            <v>10</v>
          </cell>
          <cell r="N42">
            <v>10</v>
          </cell>
          <cell r="P42">
            <v>10</v>
          </cell>
          <cell r="R42">
            <v>10</v>
          </cell>
          <cell r="T42">
            <v>10</v>
          </cell>
          <cell r="V42">
            <v>10</v>
          </cell>
          <cell r="X42">
            <v>10</v>
          </cell>
          <cell r="Z42">
            <v>10</v>
          </cell>
          <cell r="AB42">
            <v>10</v>
          </cell>
          <cell r="AD42">
            <v>10</v>
          </cell>
          <cell r="AF42">
            <v>10</v>
          </cell>
          <cell r="AI42" t="str">
            <v>12/13/2023</v>
          </cell>
        </row>
      </sheetData>
      <sheetData sheetId="7">
        <row r="2">
          <cell r="A2" t="str">
            <v>01.29.2024</v>
          </cell>
          <cell r="B2" t="str">
            <v>Rowena Lasala</v>
          </cell>
          <cell r="C2" t="str">
            <v>Maria Skubiszewska</v>
          </cell>
          <cell r="E2">
            <v>5</v>
          </cell>
          <cell r="F2">
            <v>7</v>
          </cell>
          <cell r="H2">
            <v>7</v>
          </cell>
          <cell r="J2">
            <v>8</v>
          </cell>
          <cell r="L2">
            <v>8</v>
          </cell>
          <cell r="N2">
            <v>7</v>
          </cell>
          <cell r="P2">
            <v>7</v>
          </cell>
          <cell r="R2">
            <v>7</v>
          </cell>
          <cell r="T2">
            <v>7</v>
          </cell>
          <cell r="V2">
            <v>8</v>
          </cell>
          <cell r="X2">
            <v>6</v>
          </cell>
          <cell r="Z2">
            <v>7</v>
          </cell>
          <cell r="AB2">
            <v>6</v>
          </cell>
          <cell r="AD2">
            <v>7</v>
          </cell>
          <cell r="AF2">
            <v>7</v>
          </cell>
          <cell r="AI2">
            <v>45336</v>
          </cell>
        </row>
        <row r="15">
          <cell r="A15" t="str">
            <v>01.29.2024</v>
          </cell>
          <cell r="B15" t="str">
            <v>Jordan Saulnier</v>
          </cell>
          <cell r="C15" t="str">
            <v>Kristi Stead</v>
          </cell>
          <cell r="E15">
            <v>6</v>
          </cell>
          <cell r="F15">
            <v>8</v>
          </cell>
          <cell r="H15">
            <v>8</v>
          </cell>
          <cell r="J15">
            <v>8</v>
          </cell>
          <cell r="L15">
            <v>8</v>
          </cell>
          <cell r="N15">
            <v>8</v>
          </cell>
          <cell r="P15">
            <v>8</v>
          </cell>
          <cell r="R15">
            <v>8</v>
          </cell>
          <cell r="T15">
            <v>8</v>
          </cell>
          <cell r="V15">
            <v>8</v>
          </cell>
          <cell r="X15">
            <v>7</v>
          </cell>
          <cell r="Z15">
            <v>8</v>
          </cell>
          <cell r="AB15">
            <v>7</v>
          </cell>
          <cell r="AD15">
            <v>7</v>
          </cell>
          <cell r="AF15">
            <v>8</v>
          </cell>
          <cell r="AI15">
            <v>45336</v>
          </cell>
        </row>
        <row r="25">
          <cell r="A25" t="str">
            <v>02.05.2024</v>
          </cell>
          <cell r="B25" t="str">
            <v>Dave Lim</v>
          </cell>
          <cell r="C25" t="str">
            <v>Siya Nugent</v>
          </cell>
          <cell r="E25">
            <v>6</v>
          </cell>
          <cell r="F25">
            <v>9</v>
          </cell>
          <cell r="H25">
            <v>9</v>
          </cell>
          <cell r="J25">
            <v>9</v>
          </cell>
          <cell r="L25">
            <v>9</v>
          </cell>
          <cell r="N25">
            <v>9</v>
          </cell>
          <cell r="P25">
            <v>9</v>
          </cell>
          <cell r="R25">
            <v>9</v>
          </cell>
          <cell r="T25">
            <v>9</v>
          </cell>
          <cell r="V25">
            <v>9</v>
          </cell>
          <cell r="X25">
            <v>9</v>
          </cell>
          <cell r="Z25">
            <v>9</v>
          </cell>
          <cell r="AB25">
            <v>9</v>
          </cell>
          <cell r="AD25">
            <v>9</v>
          </cell>
          <cell r="AF25">
            <v>9</v>
          </cell>
          <cell r="AI25">
            <v>45343</v>
          </cell>
        </row>
        <row r="38">
          <cell r="A38" t="str">
            <v>02.12.2024</v>
          </cell>
          <cell r="B38" t="str">
            <v>Kristi Stead</v>
          </cell>
          <cell r="C38" t="str">
            <v>Catherine Saigo</v>
          </cell>
          <cell r="E38">
            <v>8</v>
          </cell>
          <cell r="F38">
            <v>8</v>
          </cell>
          <cell r="H38">
            <v>8</v>
          </cell>
          <cell r="J38">
            <v>8</v>
          </cell>
          <cell r="L38">
            <v>8</v>
          </cell>
          <cell r="N38">
            <v>8</v>
          </cell>
          <cell r="P38">
            <v>8</v>
          </cell>
          <cell r="R38">
            <v>8</v>
          </cell>
          <cell r="T38">
            <v>8</v>
          </cell>
          <cell r="V38">
            <v>8</v>
          </cell>
          <cell r="X38">
            <v>8</v>
          </cell>
          <cell r="Z38">
            <v>8</v>
          </cell>
          <cell r="AB38">
            <v>8</v>
          </cell>
          <cell r="AD38">
            <v>8</v>
          </cell>
          <cell r="AF38">
            <v>8</v>
          </cell>
          <cell r="AI38">
            <v>45350</v>
          </cell>
        </row>
        <row r="54">
          <cell r="A54" t="str">
            <v>03.04.2024</v>
          </cell>
          <cell r="B54" t="str">
            <v>Gilisa Roberts</v>
          </cell>
          <cell r="C54" t="str">
            <v>Viena Lacena</v>
          </cell>
          <cell r="E54">
            <v>7</v>
          </cell>
          <cell r="F54">
            <v>9</v>
          </cell>
          <cell r="H54">
            <v>6</v>
          </cell>
          <cell r="J54">
            <v>6</v>
          </cell>
          <cell r="L54">
            <v>6</v>
          </cell>
          <cell r="N54">
            <v>6</v>
          </cell>
          <cell r="P54">
            <v>6</v>
          </cell>
          <cell r="T54">
            <v>6</v>
          </cell>
          <cell r="V54">
            <v>6</v>
          </cell>
          <cell r="X54">
            <v>6</v>
          </cell>
          <cell r="Z54">
            <v>6</v>
          </cell>
          <cell r="AB54">
            <v>6</v>
          </cell>
          <cell r="AD54">
            <v>6</v>
          </cell>
          <cell r="AF54">
            <v>6</v>
          </cell>
          <cell r="AI54">
            <v>45371</v>
          </cell>
        </row>
      </sheetData>
      <sheetData sheetId="8">
        <row r="2">
          <cell r="A2" t="str">
            <v>04.03.2023</v>
          </cell>
          <cell r="E2">
            <v>3</v>
          </cell>
          <cell r="F2">
            <v>3</v>
          </cell>
          <cell r="H2">
            <v>3</v>
          </cell>
          <cell r="J2">
            <v>3</v>
          </cell>
          <cell r="L2">
            <v>3</v>
          </cell>
          <cell r="N2">
            <v>3</v>
          </cell>
          <cell r="P2">
            <v>3</v>
          </cell>
          <cell r="R2">
            <v>3</v>
          </cell>
          <cell r="T2">
            <v>3</v>
          </cell>
          <cell r="W2">
            <v>3</v>
          </cell>
        </row>
        <row r="3">
          <cell r="B3" t="str">
            <v>Debbie Anthony</v>
          </cell>
        </row>
        <row r="6">
          <cell r="A6" t="str">
            <v>06.12.2023</v>
          </cell>
          <cell r="E6">
            <v>1</v>
          </cell>
          <cell r="F6">
            <v>2</v>
          </cell>
          <cell r="H6">
            <v>2</v>
          </cell>
          <cell r="J6">
            <v>2</v>
          </cell>
          <cell r="L6">
            <v>2</v>
          </cell>
          <cell r="N6">
            <v>2</v>
          </cell>
          <cell r="P6">
            <v>2</v>
          </cell>
          <cell r="R6">
            <v>2</v>
          </cell>
          <cell r="T6">
            <v>2</v>
          </cell>
          <cell r="W6">
            <v>2</v>
          </cell>
        </row>
        <row r="7">
          <cell r="B7" t="str">
            <v>Debbie Anthony</v>
          </cell>
        </row>
        <row r="9">
          <cell r="A9" t="str">
            <v>08.01.2023</v>
          </cell>
          <cell r="E9">
            <v>1</v>
          </cell>
          <cell r="F9">
            <v>2</v>
          </cell>
          <cell r="H9">
            <v>2</v>
          </cell>
          <cell r="J9">
            <v>2</v>
          </cell>
          <cell r="L9">
            <v>2</v>
          </cell>
          <cell r="N9">
            <v>2</v>
          </cell>
          <cell r="P9">
            <v>2</v>
          </cell>
          <cell r="R9">
            <v>2</v>
          </cell>
          <cell r="T9">
            <v>2</v>
          </cell>
          <cell r="W9">
            <v>2</v>
          </cell>
        </row>
        <row r="10">
          <cell r="B10" t="str">
            <v>Debbie Anthony</v>
          </cell>
        </row>
        <row r="12">
          <cell r="A12" t="str">
            <v>10.02.2023</v>
          </cell>
          <cell r="E12">
            <v>3</v>
          </cell>
          <cell r="F12">
            <v>3</v>
          </cell>
          <cell r="H12">
            <v>3</v>
          </cell>
          <cell r="J12">
            <v>3</v>
          </cell>
          <cell r="L12">
            <v>3</v>
          </cell>
          <cell r="N12">
            <v>3</v>
          </cell>
          <cell r="P12">
            <v>3</v>
          </cell>
          <cell r="R12">
            <v>3</v>
          </cell>
          <cell r="T12">
            <v>3</v>
          </cell>
          <cell r="W12">
            <v>3</v>
          </cell>
        </row>
        <row r="13">
          <cell r="B13" t="str">
            <v>Debbie Anthony</v>
          </cell>
        </row>
        <row r="16">
          <cell r="A16" t="str">
            <v>11.20.2023</v>
          </cell>
          <cell r="E16">
            <v>2</v>
          </cell>
          <cell r="F16">
            <v>2</v>
          </cell>
          <cell r="H16">
            <v>2</v>
          </cell>
          <cell r="J16">
            <v>2</v>
          </cell>
          <cell r="L16">
            <v>2</v>
          </cell>
          <cell r="N16">
            <v>2</v>
          </cell>
          <cell r="P16">
            <v>2</v>
          </cell>
          <cell r="R16">
            <v>2</v>
          </cell>
          <cell r="T16">
            <v>2</v>
          </cell>
          <cell r="W16">
            <v>2</v>
          </cell>
        </row>
        <row r="17">
          <cell r="B17" t="str">
            <v>Debbie Anthony</v>
          </cell>
        </row>
        <row r="19">
          <cell r="A19" t="str">
            <v>02.05.2024</v>
          </cell>
          <cell r="B19" t="str">
            <v>Debbie Anthony</v>
          </cell>
          <cell r="E19">
            <v>5</v>
          </cell>
          <cell r="F19">
            <v>6</v>
          </cell>
          <cell r="H19">
            <v>5</v>
          </cell>
          <cell r="J19">
            <v>5</v>
          </cell>
          <cell r="L19">
            <v>5</v>
          </cell>
          <cell r="N19">
            <v>5</v>
          </cell>
          <cell r="P19">
            <v>6</v>
          </cell>
          <cell r="R19">
            <v>5</v>
          </cell>
          <cell r="S19"/>
          <cell r="T19">
            <v>5</v>
          </cell>
          <cell r="W19">
            <v>6</v>
          </cell>
        </row>
      </sheetData>
      <sheetData sheetId="9">
        <row r="2">
          <cell r="A2" t="str">
            <v>08.10.2023</v>
          </cell>
          <cell r="E2">
            <v>13</v>
          </cell>
          <cell r="F2">
            <v>0</v>
          </cell>
          <cell r="G2">
            <v>0</v>
          </cell>
          <cell r="H2">
            <v>0</v>
          </cell>
          <cell r="I2">
            <v>0</v>
          </cell>
          <cell r="J2">
            <v>0</v>
          </cell>
          <cell r="K2">
            <v>0</v>
          </cell>
          <cell r="L2">
            <v>0</v>
          </cell>
          <cell r="M2">
            <v>0</v>
          </cell>
          <cell r="N2">
            <v>0</v>
          </cell>
        </row>
        <row r="3">
          <cell r="B3" t="str">
            <v>Stephany Chavez</v>
          </cell>
        </row>
        <row r="18">
          <cell r="A18" t="str">
            <v>08.14.2023</v>
          </cell>
          <cell r="E18">
            <v>11</v>
          </cell>
          <cell r="F18">
            <v>8</v>
          </cell>
          <cell r="G18">
            <v>11</v>
          </cell>
          <cell r="H18">
            <v>9</v>
          </cell>
          <cell r="I18">
            <v>9</v>
          </cell>
          <cell r="J18">
            <v>10</v>
          </cell>
          <cell r="K18">
            <v>9</v>
          </cell>
          <cell r="L18">
            <v>0</v>
          </cell>
          <cell r="M18">
            <v>10</v>
          </cell>
          <cell r="N18">
            <v>9</v>
          </cell>
        </row>
        <row r="38">
          <cell r="A38" t="str">
            <v>9.20.2023</v>
          </cell>
          <cell r="E38">
            <v>13</v>
          </cell>
          <cell r="F38">
            <v>3</v>
          </cell>
          <cell r="G38">
            <v>3</v>
          </cell>
          <cell r="H38">
            <v>3</v>
          </cell>
          <cell r="I38">
            <v>3</v>
          </cell>
          <cell r="J38">
            <v>4</v>
          </cell>
          <cell r="K38">
            <v>6</v>
          </cell>
          <cell r="L38"/>
          <cell r="M38">
            <v>3</v>
          </cell>
          <cell r="N38">
            <v>5</v>
          </cell>
        </row>
        <row r="57">
          <cell r="A57" t="str">
            <v>10.16.2023</v>
          </cell>
          <cell r="E57">
            <v>11</v>
          </cell>
          <cell r="F57">
            <v>10</v>
          </cell>
          <cell r="G57">
            <v>10</v>
          </cell>
          <cell r="H57">
            <v>10</v>
          </cell>
          <cell r="I57">
            <v>10</v>
          </cell>
          <cell r="J57">
            <v>10</v>
          </cell>
          <cell r="K57">
            <v>10</v>
          </cell>
          <cell r="L57">
            <v>0</v>
          </cell>
          <cell r="M57">
            <v>10</v>
          </cell>
          <cell r="N57">
            <v>10</v>
          </cell>
        </row>
      </sheetData>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DL3WL3RIICOBAJK7DESZR2BTDX">
      <xxl21:absoluteUrl r:id="rId2"/>
    </xxl21:alternateUrls>
    <sheetNames>
      <sheetName val="Evaluation 1"/>
    </sheetNames>
    <sheetDataSet>
      <sheetData sheetId="0">
        <row r="2">
          <cell r="E2" t="e">
            <v>#DIV/0!</v>
          </cell>
        </row>
      </sheetData>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GZWTMAHOOEABFLAKMB7ZK6CWBL">
      <xxl21:absoluteUrl r:id="rId2"/>
    </xxl21:alternateUrls>
    <sheetNames>
      <sheetName val="Evaluation 1"/>
      <sheetName val="Evaluation 2"/>
      <sheetName val="Evaulation 1"/>
      <sheetName val="2023 Q1"/>
      <sheetName val="Evaluation 3"/>
      <sheetName val="Evaluation 4"/>
      <sheetName val="Evaluation 5"/>
    </sheetNames>
    <sheetDataSet>
      <sheetData sheetId="0">
        <row r="2">
          <cell r="E2">
            <v>0.84761904761904761</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ELP5NXR5A27BH3ISCAZRSALNFO">
      <xxl21:absoluteUrl r:id="rId2"/>
    </xxl21:alternateUrls>
    <sheetNames>
      <sheetName val="Q4"/>
    </sheetNames>
    <sheetDataSet>
      <sheetData sheetId="0">
        <row r="2">
          <cell r="E2">
            <v>0.82857142857142863</v>
          </cell>
        </row>
      </sheetData>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D5WEZQVD2WAZC3BCEIQJUIBRTA">
      <xxl21:absoluteUrl r:id="rId2"/>
    </xxl21:alternateUrls>
    <sheetNames>
      <sheetName val="Q4"/>
    </sheetNames>
    <sheetDataSet>
      <sheetData sheetId="0">
        <row r="2">
          <cell r="E2">
            <v>0.81720430107526887</v>
          </cell>
        </row>
      </sheetData>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DQZN5VGDKTFFGI3LUCAY7XTPHQ">
      <xxl21:absoluteUrl r:id="rId2"/>
    </xxl21:alternateUrls>
    <sheetNames>
      <sheetName val="Evaluation 1"/>
      <sheetName val="CoFactilitor Notes"/>
      <sheetName val="Notes"/>
      <sheetName val="Scorecard"/>
    </sheetNames>
    <sheetDataSet>
      <sheetData sheetId="0">
        <row r="2">
          <cell r="E2">
            <v>0.99411764705882355</v>
          </cell>
        </row>
      </sheetData>
      <sheetData sheetId="1"/>
      <sheetData sheetId="2"/>
      <sheetData sheetId="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BIPY65KYKNFVHJA43VA3367OIY">
      <xxl21:absoluteUrl r:id="rId2"/>
    </xxl21:alternateUrls>
    <sheetNames>
      <sheetName val="Q1"/>
      <sheetName val="Q2"/>
      <sheetName val="Q3"/>
      <sheetName val="Q4"/>
      <sheetName val="Evaluation 1"/>
    </sheetNames>
    <sheetDataSet>
      <sheetData sheetId="0">
        <row r="2">
          <cell r="E2">
            <v>0.78431372549019607</v>
          </cell>
        </row>
      </sheetData>
      <sheetData sheetId="1"/>
      <sheetData sheetId="2"/>
      <sheetData sheetId="3"/>
      <sheetData sheetId="4"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F6IITHZZLVP5GJJO65CRIN7RZO">
      <xxl21:absoluteUrl r:id="rId2"/>
    </xxl21:alternateUrls>
    <sheetNames>
      <sheetName val="Evaluation 1"/>
      <sheetName val="Scorecard"/>
    </sheetNames>
    <sheetDataSet>
      <sheetData sheetId="0">
        <row r="2">
          <cell r="E2">
            <v>0.90666666666666662</v>
          </cell>
        </row>
      </sheetData>
      <sheetData sheetId="1"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D5J7WMYKM2YBC24SAIZ6KMOQXN">
      <xxl21:absoluteUrl r:id="rId2"/>
    </xxl21:alternateUrls>
    <sheetNames>
      <sheetName val="Evaluation 1"/>
      <sheetName val="Evaluation 2"/>
      <sheetName val="Sheet1"/>
    </sheetNames>
    <sheetDataSet>
      <sheetData sheetId="0">
        <row r="2">
          <cell r="E2">
            <v>0.97599999999999998</v>
          </cell>
        </row>
      </sheetData>
      <sheetData sheetId="1">
        <row r="2">
          <cell r="E2">
            <v>0.9</v>
          </cell>
        </row>
      </sheetData>
      <sheetData sheetId="2"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H3SDRMDHVBHRAJWTQSUTVPYJ5G">
      <xxl21:absoluteUrl r:id="rId2"/>
    </xxl21:alternateUrls>
    <sheetNames>
      <sheetName val="Scorecard"/>
    </sheetNames>
    <sheetDataSet>
      <sheetData sheetId="0">
        <row r="2">
          <cell r="E2">
            <v>0.85333333333333339</v>
          </cell>
        </row>
      </sheetData>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HMFPLGGPQ5EFG2BMQ2N5WKX4RC">
      <xxl21:absoluteUrl r:id="rId2"/>
    </xxl21:alternateUrls>
    <sheetNames>
      <sheetName val="Evaluation 1"/>
      <sheetName val="Scorecard"/>
    </sheetNames>
    <sheetDataSet>
      <sheetData sheetId="0">
        <row r="2">
          <cell r="E2">
            <v>0.99310344827586206</v>
          </cell>
        </row>
      </sheetData>
      <sheetData sheetId="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CEGVPGKMNQOJELQSHBEU6J6UNC">
      <xxl21:absoluteUrl r:id="rId2"/>
    </xxl21:alternateUrls>
    <sheetNames>
      <sheetName val="Q1"/>
      <sheetName val="Q2"/>
      <sheetName val="Q3"/>
      <sheetName val="Q4"/>
    </sheetNames>
    <sheetDataSet>
      <sheetData sheetId="0">
        <row r="2">
          <cell r="E2">
            <v>0.792156862745098</v>
          </cell>
        </row>
      </sheetData>
      <sheetData sheetId="1"/>
      <sheetData sheetId="2"/>
      <sheetData sheetId="3"/>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HMRUDVPFSI6ZEYMJIUZXRUAIE7">
      <xxl21:absoluteUrl r:id="rId2"/>
    </xxl21:alternateUrls>
    <sheetNames>
      <sheetName val="Evaluation 1"/>
      <sheetName val="Scorecard"/>
    </sheetNames>
    <sheetDataSet>
      <sheetData sheetId="0">
        <row r="2">
          <cell r="E2">
            <v>0.80919540229885056</v>
          </cell>
        </row>
      </sheetData>
      <sheetData sheetId="1"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G7D7QYODY5BZDLN6A6245EFAQK">
      <xxl21:absoluteUrl r:id="rId2"/>
    </xxl21:alternateUrls>
    <sheetNames>
      <sheetName val="Evaluation 1"/>
    </sheetNames>
    <sheetDataSet>
      <sheetData sheetId="0">
        <row r="2">
          <cell r="E2">
            <v>0.8</v>
          </cell>
        </row>
      </sheetData>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FTTRVBRJDO6VBJAW6PODNSBFFC">
      <xxl21:absoluteUrl r:id="rId2"/>
    </xxl21:alternateUrls>
    <sheetNames>
      <sheetName val="Evaluation 1"/>
      <sheetName val="Evaluation 2"/>
      <sheetName val="Call Flow Module"/>
      <sheetName val="Brand_Client"/>
      <sheetName val="Notes"/>
      <sheetName val="Co-Facilitator Notes"/>
    </sheetNames>
    <sheetDataSet>
      <sheetData sheetId="0">
        <row r="2">
          <cell r="E2">
            <v>1.2784313725490195</v>
          </cell>
        </row>
      </sheetData>
      <sheetData sheetId="1">
        <row r="2">
          <cell r="E2">
            <v>0.92873563218390809</v>
          </cell>
        </row>
      </sheetData>
      <sheetData sheetId="2"/>
      <sheetData sheetId="3"/>
      <sheetData sheetId="4"/>
      <sheetData sheetId="5"/>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HEBX3MHDUK6FCIMR6DADJHXHPQ">
      <xxl21:absoluteUrl r:id="rId2"/>
    </xxl21:alternateUrls>
    <sheetNames>
      <sheetName val="Scorecard"/>
      <sheetName val="Evaluation 1"/>
    </sheetNames>
    <sheetDataSet>
      <sheetData sheetId="0">
        <row r="2">
          <cell r="E2">
            <v>0.88888888888888884</v>
          </cell>
        </row>
      </sheetData>
      <sheetData sheetId="1"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G6X5C4L4VNK5AZM3ZV2M6ET5A5">
      <xxl21:absoluteUrl r:id="rId2"/>
    </xxl21:alternateUrls>
    <sheetNames>
      <sheetName val="Evaluation 1"/>
    </sheetNames>
    <sheetDataSet>
      <sheetData sheetId="0">
        <row r="2">
          <cell r="E2">
            <v>0.8</v>
          </cell>
        </row>
      </sheetData>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D4PJJERYXPBZGKSZ3CDKUFALIX">
      <xxl21:absoluteUrl r:id="rId2"/>
    </xxl21:alternateUrls>
    <sheetNames>
      <sheetName val="Q4"/>
      <sheetName val="Scorecard"/>
    </sheetNames>
    <sheetDataSet>
      <sheetData sheetId="0">
        <row r="2">
          <cell r="E2">
            <v>0.80919540229885056</v>
          </cell>
        </row>
      </sheetData>
      <sheetData sheetId="1"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GPMJ66NBX55VE2IU5BJZYKVC4I">
      <xxl21:absoluteUrl r:id="rId2"/>
    </xxl21:alternateUrls>
    <sheetNames>
      <sheetName val="Scorecard"/>
    </sheetNames>
    <sheetDataSet>
      <sheetData sheetId="0">
        <row r="2">
          <cell r="E2">
            <v>0.7655913978494624</v>
          </cell>
        </row>
      </sheetData>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EKQB3NWZSH5BEZYIZ5QL3FN5SI">
      <xxl21:absoluteUrl r:id="rId2"/>
    </xxl21:alternateUrls>
    <sheetNames>
      <sheetName val="Q4"/>
    </sheetNames>
    <sheetDataSet>
      <sheetData sheetId="0">
        <row r="2">
          <cell r="E2">
            <v>0.8086021505376344</v>
          </cell>
        </row>
      </sheetData>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FILO4Y6EQUUNCZ5KPYZBP6IJK7">
      <xxl21:absoluteUrl r:id="rId2"/>
    </xxl21:alternateUrls>
    <sheetNames>
      <sheetName val="Q1"/>
      <sheetName val="Q2"/>
      <sheetName val="Q3"/>
      <sheetName val="Q4"/>
    </sheetNames>
    <sheetDataSet>
      <sheetData sheetId="0">
        <row r="2">
          <cell r="E2">
            <v>0.79139784946236558</v>
          </cell>
        </row>
      </sheetData>
      <sheetData sheetId="1"/>
      <sheetData sheetId="2"/>
      <sheetData sheetId="3"/>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HSL2GDGOR6LNGZS5VWEJEILLJ4">
      <xxl21:absoluteUrl r:id="rId2"/>
    </xxl21:alternateUrls>
    <sheetNames>
      <sheetName val="Q4"/>
      <sheetName val="Q1"/>
      <sheetName val="Round 2 TS Onboarding"/>
      <sheetName val="Q4 - Round 2 TS Onboarding"/>
    </sheetNames>
    <sheetDataSet>
      <sheetData sheetId="0">
        <row r="2">
          <cell r="E2">
            <v>0.81720430107526887</v>
          </cell>
        </row>
      </sheetData>
      <sheetData sheetId="1" refreshError="1"/>
      <sheetData sheetId="2" refreshError="1"/>
      <sheetData sheetId="3"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HQZYOPVP5MU5HLGZK3FJB4JNQD">
      <xxl21:absoluteUrl r:id="rId2"/>
    </xxl21:alternateUrls>
    <sheetNames>
      <sheetName val="Evaluation 1"/>
    </sheetNames>
    <sheetDataSet>
      <sheetData sheetId="0">
        <row r="2">
          <cell r="E2">
            <v>0.70123456790123462</v>
          </cell>
        </row>
      </sheetData>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TfCS0c2xLkCGCfzvIpiCxdPPHehbuwFMs1lcU19AV1s93xqGEhRCSJNntb3zCj-E" itemId="01ZNW7L2HSTAXTH56ZCBGJZOUQQXM2PSC4">
      <xxl21:absoluteUrl r:id="rId2"/>
    </xxl21:alternateUrls>
    <sheetNames>
      <sheetName val="Q1"/>
      <sheetName val="Q2"/>
      <sheetName val="Q3"/>
      <sheetName val="Q4"/>
    </sheetNames>
    <sheetDataSet>
      <sheetData sheetId="0">
        <row r="2">
          <cell r="E2">
            <v>0.70537634408602146</v>
          </cell>
        </row>
      </sheetData>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372.261131828702" createdVersion="8" refreshedVersion="8" minRefreshableVersion="3" recordCount="22" xr:uid="{340DBEB7-6768-432C-8279-6A81E041505B}">
  <cacheSource type="worksheet">
    <worksheetSource ref="A1:T23" sheet="Compliance Raw Data"/>
  </cacheSource>
  <cacheFields count="20">
    <cacheField name="Class Start Date" numFmtId="0">
      <sharedItems/>
    </cacheField>
    <cacheField name="Trainer Name" numFmtId="0">
      <sharedItems containsMixedTypes="1" containsNumber="1" containsInteger="1" minValue="0" maxValue="0" count="11">
        <s v="Sneha Menda"/>
        <s v="Dave Lim"/>
        <s v="Hira Umair"/>
        <s v="Kristi Stead"/>
        <s v="Rowena Lasala"/>
        <s v="Gilisa Roberts"/>
        <s v="Nancy Price"/>
        <s v="Bib Alli"/>
        <s v="Jordan Saulnier"/>
        <s v="Scott McDonald"/>
        <n v="0" u="1"/>
      </sharedItems>
    </cacheField>
    <cacheField name="Number of Agent Transition to Nesting" numFmtId="0">
      <sharedItems containsSemiMixedTypes="0" containsString="0" containsNumber="1" containsInteger="1" minValue="0" maxValue="32" count="15">
        <n v="8"/>
        <n v="10"/>
        <n v="11"/>
        <n v="14"/>
        <n v="3"/>
        <n v="7"/>
        <n v="4"/>
        <n v="12"/>
        <n v="13"/>
        <n v="6"/>
        <n v="32" u="1"/>
        <n v="22" u="1"/>
        <n v="15" u="1"/>
        <n v="1" u="1"/>
        <n v="0" u="1"/>
      </sharedItems>
    </cacheField>
    <cacheField name="PCB AML" numFmtId="0">
      <sharedItems containsSemiMixedTypes="0" containsString="0" containsNumber="1" containsInteger="1" minValue="3" maxValue="14"/>
    </cacheField>
    <cacheField name="CASL" numFmtId="0">
      <sharedItems containsSemiMixedTypes="0" containsString="0" containsNumber="1" containsInteger="1" minValue="3" maxValue="14"/>
    </cacheField>
    <cacheField name="AODA" numFmtId="0">
      <sharedItems containsSemiMixedTypes="0" containsString="0" containsNumber="1" containsInteger="1" minValue="3" maxValue="14"/>
    </cacheField>
    <cacheField name="Health and Safety" numFmtId="0">
      <sharedItems containsSemiMixedTypes="0" containsString="0" containsNumber="1" containsInteger="1" minValue="3" maxValue="14"/>
    </cacheField>
    <cacheField name="WHMIS" numFmtId="0">
      <sharedItems containsSemiMixedTypes="0" containsString="0" containsNumber="1" containsInteger="1" minValue="3" maxValue="14"/>
    </cacheField>
    <cacheField name="Violence &amp; Harassment" numFmtId="0">
      <sharedItems containsSemiMixedTypes="0" containsString="0" containsNumber="1" containsInteger="1" minValue="3" maxValue="14"/>
    </cacheField>
    <cacheField name="Violence &amp; Harassment Quiz" numFmtId="0">
      <sharedItems containsNonDate="0" containsString="0" containsBlank="1"/>
    </cacheField>
    <cacheField name="Insider Fraud" numFmtId="0">
      <sharedItems containsSemiMixedTypes="0" containsString="0" containsNumber="1" containsInteger="1" minValue="3" maxValue="14"/>
    </cacheField>
    <cacheField name="Privacy &amp; Security" numFmtId="0">
      <sharedItems containsSemiMixedTypes="0" containsString="0" containsNumber="1" containsInteger="1" minValue="3" maxValue="14"/>
    </cacheField>
    <cacheField name="Seniors Fraud" numFmtId="0">
      <sharedItems containsSemiMixedTypes="0" containsString="0" containsNumber="1" containsInteger="1" minValue="3" maxValue="14"/>
    </cacheField>
    <cacheField name="Compliance Coaching" numFmtId="0">
      <sharedItems containsSemiMixedTypes="0" containsString="0" containsNumber="1" containsInteger="1" minValue="3" maxValue="14"/>
    </cacheField>
    <cacheField name="Complaint Management" numFmtId="0">
      <sharedItems containsSemiMixedTypes="0" containsString="0" containsNumber="1" containsInteger="1" minValue="3" maxValue="14"/>
    </cacheField>
    <cacheField name="Corporate Policy" numFmtId="0">
      <sharedItems containsSemiMixedTypes="0" containsString="0" containsNumber="1" containsInteger="1" minValue="0" maxValue="14"/>
    </cacheField>
    <cacheField name="Human Rights" numFmtId="0">
      <sharedItems containsNonDate="0" containsString="0" containsBlank="1"/>
    </cacheField>
    <cacheField name="Total Completed" numFmtId="0">
      <sharedItems containsSemiMixedTypes="0" containsString="0" containsNumber="1" containsInteger="1" minValue="0" maxValue="14"/>
    </cacheField>
    <cacheField name="Notes" numFmtId="0">
      <sharedItems containsSemiMixedTypes="0" containsString="0" containsNumber="1" containsInteger="1" minValue="0" maxValue="0"/>
    </cacheField>
    <cacheField name="Last day in Training" numFmtId="0">
      <sharedItems containsDate="1" containsMixedTypes="1" minDate="1899-12-31T00:00:00" maxDate="2023-06-08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384.502042245367" createdVersion="8" refreshedVersion="8" minRefreshableVersion="3" recordCount="840" xr:uid="{F4DDDFAE-0A52-4AE3-B3B9-75F3038FA167}">
  <cacheSource type="worksheet">
    <worksheetSource ref="F1:V1048576" sheet="Survey Raw Data"/>
  </cacheSource>
  <cacheFields count="17">
    <cacheField name="Attempt Date" numFmtId="0">
      <sharedItems containsDate="1" containsBlank="1" containsMixedTypes="1" minDate="2023-10-31T12:33:28" maxDate="2024-03-20T14:34:17"/>
    </cacheField>
    <cacheField name="Sum of User Score" numFmtId="0">
      <sharedItems containsString="0" containsBlank="1" containsNumber="1" containsInteger="1" minValue="6" maxValue="6"/>
    </cacheField>
    <cacheField name="Sum of Responses" numFmtId="0">
      <sharedItems containsString="0" containsBlank="1" containsNumber="1" containsInteger="1" minValue="0" maxValue="6"/>
    </cacheField>
    <cacheField name="name" numFmtId="0">
      <sharedItems containsBlank="1"/>
    </cacheField>
    <cacheField name="Select your location from the drop-down menu." numFmtId="0">
      <sharedItems containsBlank="1"/>
    </cacheField>
    <cacheField name="What is your training start date?" numFmtId="0">
      <sharedItems containsDate="1" containsBlank="1" containsMixedTypes="1" minDate="2023-10-31T00:00:00" maxDate="2024-03-13T00:00:00"/>
    </cacheField>
    <cacheField name="Select the name of your primary trainer for this course." numFmtId="0">
      <sharedItems containsBlank="1" count="23">
        <s v="Mahalakshmi Ramasubramanian"/>
        <s v="Ankit Vishnoi"/>
        <s v="Scott McDonald"/>
        <s v="Rowena Lasala"/>
        <s v="Hira Umair"/>
        <s v="Anita Bliss-Dias"/>
        <s v="Maida Musse"/>
        <s v="Ruschel Bartolome"/>
        <s v="Sneha Menda"/>
        <s v="Tom Tse"/>
        <s v="Nancy Price"/>
        <s v="Siya Nugent"/>
        <s v="Dave Lim"/>
        <s v="Kristi Stead"/>
        <s v="Gilisa Roberts"/>
        <s v="Jordan Saulnier"/>
        <s v="Bibi Alli"/>
        <s v="Viena Lacena"/>
        <s v="MariaSkubiszewska"/>
        <s v="Debbie Anthony"/>
        <s v="Stephany Chavez"/>
        <s v="Kate Saigo"/>
        <m/>
      </sharedItems>
    </cacheField>
    <cacheField name="If there was a secondary trainer assisting your class, then please select their name or select None." numFmtId="0">
      <sharedItems containsBlank="1"/>
    </cacheField>
    <cacheField name="What is your department? " numFmtId="0">
      <sharedItems containsBlank="1"/>
    </cacheField>
    <cacheField name="It was easy for me to get actively involved during this program." numFmtId="0">
      <sharedItems containsString="0" containsBlank="1" containsNumber="1" containsInteger="1" minValue="2" maxValue="5"/>
    </cacheField>
    <cacheField name="I was comfortable with the pace of this program." numFmtId="0">
      <sharedItems containsString="0" containsBlank="1" containsNumber="1" containsInteger="1" minValue="2" maxValue="5"/>
    </cacheField>
    <cacheField name="I had many opportunities to get answers to my questions." numFmtId="0">
      <sharedItems containsString="0" containsBlank="1" containsNumber="1" containsInteger="1" minValue="2" maxValue="5"/>
    </cacheField>
    <cacheField name="I had opportunities to practice the skills I was asked to learn." numFmtId="0">
      <sharedItems containsString="0" containsBlank="1" containsNumber="1" containsInteger="1" minValue="1" maxValue="5"/>
    </cacheField>
    <cacheField name="My learning was enhanced by the knowledge of the facilitator." numFmtId="0">
      <sharedItems containsString="0" containsBlank="1" containsNumber="1" containsInteger="1" minValue="2" maxValue="5"/>
    </cacheField>
    <cacheField name="My learning was enhanced by the experiences shared by the facilitator." numFmtId="0">
      <sharedItems containsString="0" containsBlank="1" containsNumber="1" containsInteger="1" minValue="1" maxValue="5"/>
    </cacheField>
    <cacheField name="What are three things the facilitator did well that encouraged you?" numFmtId="0">
      <sharedItems containsBlank="1" longText="1"/>
    </cacheField>
    <cacheField name="What are three things that the facilitator could do differently next time?"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385.491124652777" createdVersion="8" refreshedVersion="8" minRefreshableVersion="3" recordCount="332" xr:uid="{812232BF-96DD-4DF6-959E-7F4E4F05A16D}">
  <cacheSource type="worksheet">
    <worksheetSource ref="A1:J1048576" sheet="Scores - Raw Data"/>
  </cacheSource>
  <cacheFields count="10">
    <cacheField name="PR Number" numFmtId="0">
      <sharedItems containsString="0" containsBlank="1" containsNumber="1" containsInteger="1" minValue="1" maxValue="57"/>
    </cacheField>
    <cacheField name="Class Type" numFmtId="0">
      <sharedItems containsBlank="1"/>
    </cacheField>
    <cacheField name="Trainer 1" numFmtId="0">
      <sharedItems containsBlank="1" count="27">
        <s v="Sneha Menda"/>
        <s v="Jill Hirtle"/>
        <s v="Maida Musse"/>
        <s v="Anita Bliss-Dias"/>
        <s v="John David Lim"/>
        <s v="Hira Umair"/>
        <s v="Kristi Stead"/>
        <s v="Rowena Lasala"/>
        <s v="Gilisa Roberts"/>
        <s v="Jordan Saulnier"/>
        <s v="Nancy Price"/>
        <s v="Tom Tse"/>
        <s v="Mahalakshmi Ramasubramanian"/>
        <s v="Bibi Alli"/>
        <s v="Scott McDonald"/>
        <s v="Maria Skubiszewska"/>
        <s v="Ankit Vishnoi"/>
        <s v="Siya Nugent"/>
        <s v="Catherine Saigo"/>
        <s v="Ruschel Bartolome"/>
        <s v="Viena Lacena"/>
        <s v="Debbie Anthony"/>
        <s v="Stephany Chavez"/>
        <s v="Pavasiya Nugent"/>
        <m/>
        <s v="Jean Luzada" u="1"/>
        <s v="Catherine Saige" u="1"/>
      </sharedItems>
    </cacheField>
    <cacheField name="Trainer 2" numFmtId="0">
      <sharedItems containsNonDate="0" containsString="0" containsBlank="1"/>
    </cacheField>
    <cacheField name="Test Avg" numFmtId="0">
      <sharedItems containsString="0" containsBlank="1" containsNumber="1" minValue="0" maxValue="0.98791666666666667"/>
    </cacheField>
    <cacheField name="QA Avg" numFmtId="0">
      <sharedItems containsString="0" containsBlank="1" containsNumber="1" minValue="0" maxValue="0.96"/>
    </cacheField>
    <cacheField name="Attrition Class" numFmtId="0">
      <sharedItems containsString="0" containsBlank="1" containsNumber="1" minValue="0" maxValue="0.61538461538461542"/>
    </cacheField>
    <cacheField name="Attrition Nesting" numFmtId="0">
      <sharedItems containsString="0" containsBlank="1" containsNumber="1" minValue="0" maxValue="0.66666666666666663"/>
    </cacheField>
    <cacheField name="Attrition less Terms" numFmtId="0">
      <sharedItems containsString="0" containsBlank="1" containsNumber="1" minValue="0" maxValue="1"/>
    </cacheField>
    <cacheField name="Grad Rate" numFmtId="0">
      <sharedItems containsString="0" containsBlank="1" containsNumber="1" minValue="0" maxValue="1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385.492967592596" createdVersion="8" refreshedVersion="8" minRefreshableVersion="3" recordCount="55" xr:uid="{C31F17F7-5BBA-4514-AC39-F4A7C497FAF3}">
  <cacheSource type="worksheet">
    <worksheetSource ref="A1:S56" sheet="Compliance Raw Data"/>
  </cacheSource>
  <cacheFields count="19">
    <cacheField name="Class Start Date" numFmtId="0">
      <sharedItems containsBlank="1"/>
    </cacheField>
    <cacheField name="Trainer Name" numFmtId="0">
      <sharedItems containsBlank="1" count="23">
        <s v="Sneha Menda"/>
        <s v="Dave Lim"/>
        <s v="Hira Umair"/>
        <s v="Kristi Stead"/>
        <s v="Rowena Lasala"/>
        <s v="Gilisa Roberts"/>
        <s v="Nancy Price"/>
        <s v="Bib Alli"/>
        <s v="Jordan Saulnier"/>
        <s v="Scott McDonald"/>
        <s v="Ruschel Bartolome"/>
        <s v="Viena Lacena"/>
        <s v="Debbie Anthony"/>
        <s v="Stephany Chavez"/>
        <s v="Maria Skubiszewska"/>
        <s v="Siya Nugent"/>
        <s v="Catherine Saigo"/>
        <s v="Tom Tse"/>
        <s v="Maida Musse"/>
        <m/>
        <s v="Stephany Chavez/Siya Nugent" u="1"/>
        <s v="Jean Luzada" u="1"/>
        <s v="Kate Saigo" u="1"/>
      </sharedItems>
    </cacheField>
    <cacheField name="Number of Agent Transition to Nesting" numFmtId="0">
      <sharedItems containsString="0" containsBlank="1" containsNumber="1" containsInteger="1" minValue="1" maxValue="14"/>
    </cacheField>
    <cacheField name="PCB AML" numFmtId="0">
      <sharedItems containsString="0" containsBlank="1" containsNumber="1" containsInteger="1" minValue="0" maxValue="14"/>
    </cacheField>
    <cacheField name="CASL" numFmtId="0">
      <sharedItems containsString="0" containsBlank="1" containsNumber="1" containsInteger="1" minValue="0" maxValue="14"/>
    </cacheField>
    <cacheField name="AODA" numFmtId="0">
      <sharedItems containsString="0" containsBlank="1" containsNumber="1" containsInteger="1" minValue="0" maxValue="14"/>
    </cacheField>
    <cacheField name="Health and Safety" numFmtId="0">
      <sharedItems containsString="0" containsBlank="1" containsNumber="1" containsInteger="1" minValue="0" maxValue="14"/>
    </cacheField>
    <cacheField name="WHMIS" numFmtId="0">
      <sharedItems containsString="0" containsBlank="1" containsNumber="1" containsInteger="1" minValue="0" maxValue="14"/>
    </cacheField>
    <cacheField name="Violence &amp; Harassment" numFmtId="0">
      <sharedItems containsString="0" containsBlank="1" containsNumber="1" containsInteger="1" minValue="0" maxValue="14"/>
    </cacheField>
    <cacheField name="Violence &amp; Harassment Quiz" numFmtId="0">
      <sharedItems containsString="0" containsBlank="1" containsNumber="1" containsInteger="1" minValue="0" maxValue="10"/>
    </cacheField>
    <cacheField name="Insider Fraud" numFmtId="0">
      <sharedItems containsString="0" containsBlank="1" containsNumber="1" containsInteger="1" minValue="0" maxValue="14"/>
    </cacheField>
    <cacheField name="Privacy &amp; Security" numFmtId="0">
      <sharedItems containsString="0" containsBlank="1" containsNumber="1" containsInteger="1" minValue="0" maxValue="14"/>
    </cacheField>
    <cacheField name="Seniors Fraud" numFmtId="0">
      <sharedItems containsString="0" containsBlank="1" containsNumber="1" containsInteger="1" minValue="3" maxValue="14"/>
    </cacheField>
    <cacheField name="Compliance Coaching" numFmtId="0">
      <sharedItems containsString="0" containsBlank="1" containsNumber="1" containsInteger="1" minValue="3" maxValue="14"/>
    </cacheField>
    <cacheField name="Complaint Management" numFmtId="0">
      <sharedItems containsString="0" containsBlank="1" containsNumber="1" containsInteger="1" minValue="3" maxValue="14"/>
    </cacheField>
    <cacheField name="Corporate Policy" numFmtId="0">
      <sharedItems containsString="0" containsBlank="1" containsNumber="1" containsInteger="1" minValue="0" maxValue="14"/>
    </cacheField>
    <cacheField name="Human Rights" numFmtId="0">
      <sharedItems containsString="0" containsBlank="1" containsNumber="1" containsInteger="1" minValue="0" maxValue="10"/>
    </cacheField>
    <cacheField name="Total" numFmtId="0">
      <sharedItems containsString="0" containsBlank="1" containsNumber="1" containsInteger="1" minValue="0" maxValue="14"/>
    </cacheField>
    <cacheField name="Last day in Training" numFmtId="0">
      <sharedItems containsDate="1" containsBlank="1" containsMixedTypes="1" minDate="1899-12-31T00:00:00" maxDate="2024-03-21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s v="4.3.2023"/>
    <x v="0"/>
    <x v="0"/>
    <n v="8"/>
    <n v="8"/>
    <n v="8"/>
    <n v="8"/>
    <n v="8"/>
    <n v="8"/>
    <m/>
    <n v="8"/>
    <n v="8"/>
    <n v="8"/>
    <n v="8"/>
    <n v="8"/>
    <n v="8"/>
    <m/>
    <n v="8"/>
    <n v="0"/>
    <s v="05.02.2023"/>
  </r>
  <r>
    <s v="4.10.2023"/>
    <x v="1"/>
    <x v="1"/>
    <n v="10"/>
    <n v="10"/>
    <n v="10"/>
    <n v="10"/>
    <n v="10"/>
    <n v="10"/>
    <m/>
    <n v="10"/>
    <n v="10"/>
    <n v="10"/>
    <n v="10"/>
    <n v="10"/>
    <n v="10"/>
    <m/>
    <n v="10"/>
    <n v="0"/>
    <n v="45061"/>
  </r>
  <r>
    <s v="4.17.2023"/>
    <x v="2"/>
    <x v="2"/>
    <n v="11"/>
    <n v="11"/>
    <n v="11"/>
    <n v="11"/>
    <n v="11"/>
    <n v="11"/>
    <m/>
    <n v="11"/>
    <n v="11"/>
    <n v="11"/>
    <n v="11"/>
    <n v="11"/>
    <n v="11"/>
    <m/>
    <n v="11"/>
    <n v="0"/>
    <d v="2023-05-26T00:00:00"/>
  </r>
  <r>
    <s v="5.1.2023"/>
    <x v="3"/>
    <x v="3"/>
    <n v="14"/>
    <n v="13"/>
    <n v="13"/>
    <n v="13"/>
    <n v="13"/>
    <n v="13"/>
    <m/>
    <n v="13"/>
    <n v="13"/>
    <n v="13"/>
    <n v="13"/>
    <n v="14"/>
    <n v="14"/>
    <m/>
    <n v="14"/>
    <n v="0"/>
    <d v="2023-06-07T00:00:00"/>
  </r>
  <r>
    <s v="5.8.2023"/>
    <x v="4"/>
    <x v="4"/>
    <n v="3"/>
    <n v="3"/>
    <n v="3"/>
    <n v="3"/>
    <n v="3"/>
    <n v="3"/>
    <m/>
    <n v="3"/>
    <n v="3"/>
    <n v="3"/>
    <n v="3"/>
    <n v="3"/>
    <n v="3"/>
    <m/>
    <n v="3"/>
    <n v="0"/>
    <n v="0"/>
  </r>
  <r>
    <s v="5.10.2023"/>
    <x v="5"/>
    <x v="1"/>
    <n v="10"/>
    <n v="10"/>
    <n v="10"/>
    <n v="10"/>
    <n v="10"/>
    <n v="10"/>
    <m/>
    <n v="10"/>
    <n v="10"/>
    <n v="10"/>
    <n v="10"/>
    <n v="10"/>
    <n v="10"/>
    <m/>
    <n v="10"/>
    <n v="0"/>
    <s v="06.26.2023"/>
  </r>
  <r>
    <s v="5.4.2023"/>
    <x v="6"/>
    <x v="5"/>
    <n v="7"/>
    <n v="7"/>
    <n v="7"/>
    <n v="7"/>
    <n v="7"/>
    <n v="7"/>
    <m/>
    <n v="7"/>
    <n v="7"/>
    <n v="7"/>
    <n v="7"/>
    <n v="7"/>
    <n v="7"/>
    <m/>
    <n v="7"/>
    <n v="0"/>
    <d v="1899-12-30T00:00:00"/>
  </r>
  <r>
    <s v="5.23.2023"/>
    <x v="1"/>
    <x v="3"/>
    <n v="14"/>
    <n v="14"/>
    <n v="14"/>
    <n v="14"/>
    <n v="14"/>
    <n v="14"/>
    <m/>
    <n v="14"/>
    <n v="14"/>
    <n v="14"/>
    <n v="14"/>
    <n v="14"/>
    <n v="0"/>
    <m/>
    <n v="0"/>
    <n v="0"/>
    <n v="0"/>
  </r>
  <r>
    <s v="5.29.2023"/>
    <x v="7"/>
    <x v="6"/>
    <n v="4"/>
    <n v="4"/>
    <n v="4"/>
    <n v="4"/>
    <n v="4"/>
    <n v="4"/>
    <m/>
    <n v="4"/>
    <n v="4"/>
    <n v="4"/>
    <n v="4"/>
    <n v="4"/>
    <n v="4"/>
    <m/>
    <n v="4"/>
    <n v="0"/>
    <n v="0"/>
  </r>
  <r>
    <s v="6.5.2023"/>
    <x v="0"/>
    <x v="7"/>
    <n v="12"/>
    <n v="12"/>
    <n v="12"/>
    <n v="12"/>
    <n v="12"/>
    <n v="12"/>
    <m/>
    <n v="12"/>
    <n v="12"/>
    <n v="12"/>
    <n v="12"/>
    <n v="12"/>
    <n v="12"/>
    <m/>
    <n v="12"/>
    <n v="0"/>
    <n v="0"/>
  </r>
  <r>
    <s v="6.12.2023"/>
    <x v="6"/>
    <x v="0"/>
    <n v="8"/>
    <n v="8"/>
    <n v="8"/>
    <n v="8"/>
    <n v="8"/>
    <n v="8"/>
    <m/>
    <n v="8"/>
    <n v="8"/>
    <n v="8"/>
    <n v="8"/>
    <n v="8"/>
    <n v="8"/>
    <m/>
    <n v="8"/>
    <n v="0"/>
    <d v="1899-12-30T00:00:00"/>
  </r>
  <r>
    <s v="6.19.2023"/>
    <x v="2"/>
    <x v="3"/>
    <n v="14"/>
    <n v="14"/>
    <n v="14"/>
    <n v="14"/>
    <n v="14"/>
    <n v="14"/>
    <m/>
    <n v="14"/>
    <n v="14"/>
    <n v="14"/>
    <n v="14"/>
    <n v="14"/>
    <n v="14"/>
    <m/>
    <n v="14"/>
    <n v="0"/>
    <n v="0"/>
  </r>
  <r>
    <s v="6.26.2023"/>
    <x v="4"/>
    <x v="8"/>
    <n v="13"/>
    <n v="13"/>
    <n v="13"/>
    <n v="13"/>
    <n v="13"/>
    <n v="13"/>
    <m/>
    <n v="13"/>
    <n v="13"/>
    <n v="13"/>
    <n v="13"/>
    <n v="13"/>
    <n v="13"/>
    <m/>
    <n v="13"/>
    <n v="0"/>
    <d v="1899-12-30T00:00:00"/>
  </r>
  <r>
    <s v="7.4.2023"/>
    <x v="8"/>
    <x v="6"/>
    <n v="4"/>
    <n v="4"/>
    <n v="4"/>
    <n v="4"/>
    <n v="4"/>
    <n v="4"/>
    <m/>
    <n v="4"/>
    <n v="4"/>
    <n v="4"/>
    <n v="4"/>
    <n v="4"/>
    <n v="4"/>
    <m/>
    <n v="4"/>
    <n v="0"/>
    <s v="08.01.2023"/>
  </r>
  <r>
    <s v="7.10.2023"/>
    <x v="6"/>
    <x v="1"/>
    <n v="10"/>
    <n v="10"/>
    <n v="10"/>
    <n v="10"/>
    <n v="10"/>
    <n v="10"/>
    <m/>
    <n v="10"/>
    <n v="10"/>
    <n v="10"/>
    <n v="10"/>
    <n v="10"/>
    <n v="10"/>
    <m/>
    <n v="10"/>
    <n v="0"/>
    <n v="0"/>
  </r>
  <r>
    <s v="7.17.2023"/>
    <x v="9"/>
    <x v="1"/>
    <n v="10"/>
    <n v="10"/>
    <n v="10"/>
    <n v="10"/>
    <n v="10"/>
    <n v="10"/>
    <m/>
    <n v="10"/>
    <n v="10"/>
    <n v="10"/>
    <n v="10"/>
    <n v="10"/>
    <n v="10"/>
    <m/>
    <n v="10"/>
    <n v="0"/>
    <n v="0"/>
  </r>
  <r>
    <s v="7.24.2023"/>
    <x v="0"/>
    <x v="2"/>
    <n v="11"/>
    <n v="11"/>
    <n v="11"/>
    <n v="11"/>
    <n v="11"/>
    <n v="11"/>
    <m/>
    <n v="11"/>
    <n v="11"/>
    <n v="11"/>
    <n v="11"/>
    <n v="11"/>
    <n v="11"/>
    <m/>
    <n v="11"/>
    <n v="0"/>
    <d v="1899-12-31T00:00:00"/>
  </r>
  <r>
    <s v="7.31.2023"/>
    <x v="2"/>
    <x v="9"/>
    <n v="6"/>
    <n v="6"/>
    <n v="6"/>
    <n v="6"/>
    <n v="6"/>
    <n v="6"/>
    <m/>
    <n v="6"/>
    <n v="6"/>
    <n v="6"/>
    <n v="6"/>
    <n v="6"/>
    <n v="6"/>
    <m/>
    <n v="6"/>
    <n v="0"/>
    <d v="1899-12-30T00:00:00"/>
  </r>
  <r>
    <s v="8.8.2023"/>
    <x v="1"/>
    <x v="1"/>
    <n v="10"/>
    <n v="10"/>
    <n v="10"/>
    <n v="10"/>
    <n v="10"/>
    <n v="10"/>
    <m/>
    <n v="10"/>
    <n v="10"/>
    <n v="10"/>
    <n v="10"/>
    <n v="10"/>
    <n v="10"/>
    <m/>
    <n v="10"/>
    <n v="0"/>
    <d v="1899-12-30T00:00:00"/>
  </r>
  <r>
    <s v="8.14.2023"/>
    <x v="4"/>
    <x v="0"/>
    <n v="8"/>
    <n v="8"/>
    <n v="8"/>
    <n v="8"/>
    <n v="8"/>
    <n v="8"/>
    <m/>
    <n v="8"/>
    <n v="8"/>
    <n v="8"/>
    <n v="8"/>
    <n v="8"/>
    <n v="8"/>
    <m/>
    <n v="8"/>
    <n v="0"/>
    <d v="1899-12-30T00:00:00"/>
  </r>
  <r>
    <s v="8.28.2023"/>
    <x v="2"/>
    <x v="0"/>
    <n v="8"/>
    <n v="8"/>
    <n v="8"/>
    <n v="8"/>
    <n v="8"/>
    <n v="8"/>
    <m/>
    <n v="8"/>
    <n v="8"/>
    <n v="8"/>
    <n v="8"/>
    <n v="8"/>
    <n v="8"/>
    <m/>
    <n v="8"/>
    <n v="0"/>
    <n v="0"/>
  </r>
  <r>
    <s v="09.11.2023"/>
    <x v="9"/>
    <x v="2"/>
    <n v="11"/>
    <n v="11"/>
    <n v="11"/>
    <n v="11"/>
    <n v="11"/>
    <n v="11"/>
    <m/>
    <n v="11"/>
    <n v="11"/>
    <n v="11"/>
    <n v="11"/>
    <n v="11"/>
    <n v="11"/>
    <m/>
    <n v="11"/>
    <n v="0"/>
    <d v="1899-12-30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s v="Nov 16, 2023 15:39:56"/>
    <n v="6"/>
    <n v="6"/>
    <s v="Guest"/>
    <s v="Manila, PHL"/>
    <s v="2023-11-16"/>
    <x v="0"/>
    <s v="Ankit Vishnoi"/>
    <s v="Tier 2"/>
    <n v="5"/>
    <n v="5"/>
    <n v="5"/>
    <n v="5"/>
    <n v="5"/>
    <n v="5"/>
    <m/>
    <s v="None. She is perfectly excellent."/>
  </r>
  <r>
    <s v="Nov 16, 2023 13:36:51"/>
    <n v="6"/>
    <n v="6"/>
    <s v="Guest"/>
    <s v="Ottawa"/>
    <s v="2023-09-20"/>
    <x v="0"/>
    <s v="Ankit Vishnoi"/>
    <s v="Tier 2"/>
    <n v="5"/>
    <n v="5"/>
    <n v="5"/>
    <n v="5"/>
    <n v="5"/>
    <n v="5"/>
    <s v="she was available to help , active listening, patient with us"/>
    <s v="nothing to add every thing was perfect for the training."/>
  </r>
  <r>
    <s v="Nov 16, 2023 13:20:35"/>
    <n v="6"/>
    <n v="6"/>
    <s v="Guest"/>
    <s v="Edmundson, NB"/>
    <s v="2023-10-12"/>
    <x v="1"/>
    <s v="Ankit Vishnoi"/>
    <s v="Tier 2"/>
    <n v="5"/>
    <n v="4"/>
    <n v="5"/>
    <n v="5"/>
    <n v="5"/>
    <n v="5"/>
    <s v="Ankit made sure he was always available for our questions, always willing and ready to explain until everyone understood, also when answering our queries he made sure to explain with detail so that we go back to the cardholder and explain in clear terms"/>
    <s v="Everything Ankit did was Great, the only thing that i was bummed about it that not everyone was willing to participate and speak on voice, that makes the training so much more interesting"/>
  </r>
  <r>
    <s v="Nov 16, 2023 11:49:51"/>
    <n v="6"/>
    <n v="6"/>
    <s v="Guest"/>
    <s v="Manila, PHL"/>
    <s v="2023-10-11"/>
    <x v="1"/>
    <s v="Ankit Vishnoi"/>
    <s v="Tier 2"/>
    <n v="4"/>
    <n v="4"/>
    <n v="4"/>
    <n v="4"/>
    <n v="4"/>
    <n v="4"/>
    <s v="Always ask probing questions, always check SOP and always thank the Card holder"/>
    <s v="N/A"/>
  </r>
  <r>
    <s v="Nov 16, 2023 10:38:56"/>
    <n v="6"/>
    <n v="6"/>
    <s v="Guest"/>
    <s v="Manila, PHL"/>
    <s v="2023-10-11"/>
    <x v="1"/>
    <s v="Ankit Vishnoi"/>
    <s v="Tier 2"/>
    <n v="4"/>
    <n v="4"/>
    <n v="5"/>
    <n v="5"/>
    <n v="5"/>
    <n v="5"/>
    <s v="Ankit always do a recap each day regarding the first time calls we encountered. When one of us asked for his help, he make sure that all of us will be able to know that new knowledge as well, so that if where going to encounter it we already have a prior knowledge about that concern. He always takes time to asked us if we\'re able to get the self led module."/>
    <s v="N/A"/>
  </r>
  <r>
    <s v="Oct 10, 2023 18:33:06"/>
    <n v="6"/>
    <n v="5"/>
    <s v="Guest"/>
    <s v="Manila, PHL"/>
    <s v="2023-09-05"/>
    <x v="2"/>
    <s v="Scott McDonald"/>
    <s v="Tier 1"/>
    <n v="3"/>
    <n v="5"/>
    <n v="4"/>
    <n v="4"/>
    <n v="4"/>
    <n v="4"/>
    <s v="learned, correct process,follow instructions"/>
    <s v="more familiarization, sidebarged,and more details"/>
  </r>
  <r>
    <s v="Oct 10, 2023 18:15:53"/>
    <n v="6"/>
    <n v="6"/>
    <s v="Guest"/>
    <s v="Manila, PHL"/>
    <s v="2023-10-10"/>
    <x v="2"/>
    <s v="Scott McDonald"/>
    <s v="Tier 1"/>
    <n v="5"/>
    <n v="5"/>
    <n v="5"/>
    <n v="5"/>
    <n v="5"/>
    <n v="5"/>
    <s v="They\'re lways remind me to use the sop, always be mindful in terms of validation &amp; must do the call flow"/>
    <s v="I think for the future was nothing I can\'t tell right now because they\'re gave more information that we need in diffirent scenario in terms of skills, tools and the flow"/>
  </r>
  <r>
    <s v="Oct 10, 2023 18:11:17"/>
    <n v="6"/>
    <n v="6"/>
    <s v="Guest"/>
    <s v="Manila, PHL"/>
    <s v="2023-09-05"/>
    <x v="2"/>
    <s v="Scott McDonald"/>
    <s v="Tier 1"/>
    <n v="5"/>
    <n v="5"/>
    <n v="5"/>
    <n v="5"/>
    <n v="5"/>
    <n v="5"/>
    <s v="considerate, having long patience, answering accurately the questions i had"/>
    <s v="none"/>
  </r>
  <r>
    <s v="Oct 10, 2023 18:06:18"/>
    <n v="6"/>
    <n v="6"/>
    <s v="Guest"/>
    <s v="Manila, PHL"/>
    <s v="2023-09-05"/>
    <x v="2"/>
    <s v="Scott McDonald"/>
    <s v="Tier 1"/>
    <n v="4"/>
    <n v="4"/>
    <n v="4"/>
    <n v="4"/>
    <n v="4"/>
    <n v="4"/>
    <s v="by explaining how we can handle the call, giving appropriate examples to provide resolution and teaching the concerns that might be encountered."/>
    <s v="none"/>
  </r>
  <r>
    <s v="Oct 10, 2023 18:05:56"/>
    <n v="6"/>
    <n v="6"/>
    <s v="Guest"/>
    <s v="Manila, PHL"/>
    <s v="2023-09-11"/>
    <x v="2"/>
    <s v="Dave Lim"/>
    <s v="Tier 1"/>
    <n v="5"/>
    <n v="5"/>
    <n v="5"/>
    <n v="5"/>
    <n v="5"/>
    <n v="5"/>
    <s v="For me, I had a hard time to find the right SOP for the given concern. \\nHowever, Ate Sheena, told us that we really need to allot time in order for me to understand the SOP easily and also to give the best solution to the given problem. \\n\\nThe second thing was, we always from our mistakes. During the second day of the nesting week, the pressure was lessen and so far I was able to enjoy the call because of how kind the customer is. \\n\\nLastly, the floor support was very hands on even though there are some chances that all of us need them, but then they can still manage their time to rotate from one another to help and cater the concern of the card holder."/>
    <s v="-able to have another floor support \\n-it is way more enjoyable if we can meet the trainer because it is totally different to have a face to face training\\n-I don\'t think that there\'s still a need to improve or give the facilitator an advise because without them, trainees are nothing. \\n\\n\\nTHANK YOU SO MUCH, SCOTT &amp; MS. CATHE! :)"/>
  </r>
  <r>
    <s v="Oct 10, 2023 18:05:03"/>
    <n v="6"/>
    <n v="6"/>
    <s v="Guest"/>
    <s v="Manila, PHL"/>
    <s v="2023-09-05"/>
    <x v="2"/>
    <s v="Scott McDonald"/>
    <s v="Tier 1"/>
    <n v="5"/>
    <n v="4"/>
    <n v="4"/>
    <n v="4"/>
    <n v="4"/>
    <n v="4"/>
    <s v="Mr Scoot and Miss Catherine is very approachable  when asking a question  also they very generosity"/>
    <s v="none so far Mr scoot and Miss Catherine is very professional during our training period"/>
  </r>
  <r>
    <s v="Oct 10, 2023 18:04:01"/>
    <n v="6"/>
    <n v="6"/>
    <s v="Guest"/>
    <s v="Manila, PHL"/>
    <s v="2023-09-11"/>
    <x v="2"/>
    <s v="Scott McDonald"/>
    <s v="Tier 1"/>
    <n v="5"/>
    <n v="5"/>
    <n v="5"/>
    <n v="5"/>
    <n v="5"/>
    <n v="5"/>
    <s v="Patience on discussing, Kindness that we can see every single day of training, Passion that we can feel through the whole training days. :)"/>
    <s v="Nothing, the facilitator did a good job on educating us 8) :)"/>
  </r>
  <r>
    <s v="Oct 10, 2023 18:03:21"/>
    <n v="6"/>
    <n v="3"/>
    <s v="Guest"/>
    <s v="Manila, PHL"/>
    <s v="2023-09-05"/>
    <x v="2"/>
    <s v="Dave Lim"/>
    <s v="Tier 1"/>
    <n v="3"/>
    <n v="3"/>
    <n v="2"/>
    <n v="4"/>
    <n v="4"/>
    <n v="5"/>
    <s v="THEY BOOST OUR CONFIDENT ESP US NEWBIE, GUIDE US WELL TO ENGAGED WELL TO THE ENVIRONMENT, HAVING MORE PATIENCE"/>
    <s v="NONE SO FAR"/>
  </r>
  <r>
    <s v="Oct 10, 2023 18:02:42"/>
    <n v="6"/>
    <n v="6"/>
    <s v="Guest"/>
    <s v="Manila, PHL"/>
    <s v="2023-09-05"/>
    <x v="2"/>
    <s v="Scott McDonald"/>
    <s v="Tier 1"/>
    <n v="5"/>
    <n v="5"/>
    <n v="5"/>
    <n v="5"/>
    <n v="5"/>
    <n v="5"/>
    <s v="Motivates me, Trained me well, and encourage me"/>
    <s v="Nothing, everyday was actually perfect"/>
  </r>
  <r>
    <s v="Oct 10, 2023 18:01:57"/>
    <n v="6"/>
    <n v="6"/>
    <s v="Guest"/>
    <s v="Manila, PHL"/>
    <s v="2023-09-05"/>
    <x v="2"/>
    <s v="Dave Lim"/>
    <s v="Tier 1"/>
    <n v="5"/>
    <n v="5"/>
    <n v="5"/>
    <n v="5"/>
    <n v="5"/>
    <n v="5"/>
    <s v="Helping us to answer our question during training"/>
    <s v="N/A"/>
  </r>
  <r>
    <s v="Oct 10, 2023 17:59:40"/>
    <n v="6"/>
    <n v="6"/>
    <s v="Guest"/>
    <s v="Manila, PHL"/>
    <s v="2023-09-05"/>
    <x v="2"/>
    <s v="Scott McDonald"/>
    <s v="Tier 1"/>
    <n v="4"/>
    <n v="5"/>
    <n v="5"/>
    <n v="5"/>
    <n v="5"/>
    <n v="5"/>
    <s v="the facilitator did well that encourage me would be process and procedure., activate listening"/>
    <s v="N/A"/>
  </r>
  <r>
    <s v="Oct 10, 2023 17:54:48"/>
    <n v="6"/>
    <n v="6"/>
    <s v="Guest"/>
    <s v="Manila, PHL"/>
    <s v="2023-10-10"/>
    <x v="2"/>
    <s v="Scott McDonald"/>
    <s v="Tier 1"/>
    <n v="4"/>
    <n v="4"/>
    <n v="4"/>
    <n v="4"/>
    <n v="4"/>
    <n v="4"/>
    <m/>
    <m/>
  </r>
  <r>
    <s v="Oct 09, 2023 09:53:44"/>
    <n v="6"/>
    <n v="6"/>
    <s v="Guest"/>
    <s v="Manila, PHL"/>
    <s v="2023-10-09"/>
    <x v="3"/>
    <s v="Nancy Price"/>
    <s v="Tier 1"/>
    <n v="5"/>
    <n v="4"/>
    <n v="4"/>
    <n v="5"/>
    <n v="5"/>
    <n v="5"/>
    <m/>
    <m/>
  </r>
  <r>
    <s v="Oct 06, 2023 09:45:21"/>
    <n v="6"/>
    <n v="6"/>
    <s v="Guest"/>
    <s v="Manila, PHL"/>
    <s v="2023-08-08"/>
    <x v="3"/>
    <s v="Rowena Lasala"/>
    <s v="Tier 1"/>
    <n v="5"/>
    <n v="4"/>
    <n v="5"/>
    <n v="5"/>
    <n v="5"/>
    <n v="5"/>
    <s v="provide all information for this account\\n"/>
    <s v="miss rowena is the best"/>
  </r>
  <r>
    <s v="Oct 05, 2023 15:28:45"/>
    <n v="6"/>
    <n v="6"/>
    <s v="Guest"/>
    <s v="Manila, PHL"/>
    <s v="2023-08-08"/>
    <x v="3"/>
    <s v="Nancy Price"/>
    <s v="Tier 1"/>
    <n v="5"/>
    <n v="5"/>
    <n v="5"/>
    <n v="5"/>
    <n v="5"/>
    <n v="5"/>
    <s v="Their positivity towards success, their encouragement, and  willingness to share their knowledge."/>
    <s v="All is well. They are doing great."/>
  </r>
  <r>
    <s v="Oct 05, 2023 12:11:57"/>
    <n v="6"/>
    <n v="6"/>
    <s v="Guest"/>
    <s v="Manila, PHL"/>
    <s v="2023-08-14"/>
    <x v="3"/>
    <s v="Rowena Lasala"/>
    <s v="Tier 1"/>
    <n v="5"/>
    <n v="5"/>
    <n v="5"/>
    <n v="5"/>
    <n v="5"/>
    <n v="5"/>
    <s v="Ms Rowena will always asked each and everyone of us if what questions or topic are we confused about, shes so attentive to each and every detail of every discussion and shes a positive trainor that help us to enggage with all of the lessons."/>
    <s v="N/A"/>
  </r>
  <r>
    <s v="Oct 05, 2023 12:10:47"/>
    <n v="6"/>
    <n v="6"/>
    <s v="Guest"/>
    <s v="Manila, PHL"/>
    <s v="2023-08-08"/>
    <x v="3"/>
    <s v="Rowena Lasala"/>
    <s v="Tier 1"/>
    <n v="5"/>
    <n v="5"/>
    <n v="5"/>
    <n v="5"/>
    <n v="5"/>
    <n v="5"/>
    <s v="How well she discussed the lessons.\\nHow she pursued us to continue.\\nHow he help us with things we do not know yet."/>
    <s v="None\\nNone\\nNone"/>
  </r>
  <r>
    <s v="Sep 25, 2023 17:51:02"/>
    <n v="6"/>
    <n v="6"/>
    <s v="Guest"/>
    <s v="Manila, PHL"/>
    <s v="2023-08-28"/>
    <x v="4"/>
    <s v="Jill Hirtle"/>
    <s v="Tier 1"/>
    <n v="5"/>
    <n v="4"/>
    <n v="4"/>
    <n v="4"/>
    <n v="5"/>
    <n v="4"/>
    <s v="The facilitator will make sure that they will be helping us in every way they can as much as we will help ourselves. The facilitators are knowledgeable about products and even we have differences, they are making that we respect each other."/>
    <s v="The primary trainer could have done better not to be kinda rude when we are asking her because sometimes, we are intimidated to ask since she will always say to look for the SOP which is okay but for me personally, if we asked a questions which means it\'s either we are confused or really can\'t understand the SOP."/>
  </r>
  <r>
    <s v="Sep 25, 2023 17:50:24"/>
    <n v="6"/>
    <n v="6"/>
    <s v="Guest"/>
    <s v="Manila, PHL"/>
    <s v="2023-08-28"/>
    <x v="4"/>
    <s v="Jill Hirtle"/>
    <s v="Tier 1"/>
    <n v="5"/>
    <n v="5"/>
    <n v="5"/>
    <n v="5"/>
    <n v="5"/>
    <n v="5"/>
    <s v="the way they explain the lesson it was very clear and you can easily pick up the things that you need to know....they believe on us even though this is our 1st time handling this kind of account.....the way they are always happy and positive"/>
    <s v="I think none because they are so great,I learned a lot !!!!!!!! Thank you so much Miss Hira and Miss Jill..--K"/>
  </r>
  <r>
    <s v="Sep 25, 2023 17:50:00"/>
    <n v="6"/>
    <n v="6"/>
    <s v="Guest"/>
    <s v="Manila, PHL"/>
    <s v="2023-08-28"/>
    <x v="4"/>
    <s v="Jill Hirtle"/>
    <s v="Tier 1"/>
    <n v="5"/>
    <n v="4"/>
    <n v="5"/>
    <n v="4"/>
    <n v="4"/>
    <n v="4"/>
    <s v="They motivate, encourage and help us to face our fears in taking a call."/>
    <s v="At first, I was not that active in taking all the tools since this is my first time working in BPO company but after a week or more I am motivated to listen more to them. But overall nothing, they are good because they are doing their best to answers all our questions/queries."/>
  </r>
  <r>
    <s v="Sep 25, 2023 17:48:46"/>
    <n v="6"/>
    <n v="6"/>
    <s v="Guest"/>
    <s v="Manila, PHL"/>
    <s v="2023-09-25"/>
    <x v="4"/>
    <s v="Jill Hirtle"/>
    <s v="Tier 1"/>
    <n v="5"/>
    <n v="5"/>
    <n v="5"/>
    <n v="5"/>
    <n v="5"/>
    <n v="5"/>
    <s v="good choices of word, fun learning, friendly\\n"/>
    <s v="be mindful of words, do an example on how to manage the call in lesson,  do not be sarcastic in explaining"/>
  </r>
  <r>
    <s v="Sep 25, 2023 17:47:01"/>
    <n v="6"/>
    <n v="6"/>
    <s v="Guest"/>
    <s v="Manila, PHL"/>
    <s v="2023-08-28"/>
    <x v="4"/>
    <s v="Jill Hirtle"/>
    <s v="Tier 1"/>
    <n v="5"/>
    <n v="5"/>
    <n v="5"/>
    <n v="5"/>
    <n v="5"/>
    <n v="5"/>
    <s v="Since I\'m new in this field I\'m really nervous but the facilitator encouraged me to continue by using materials that are easy to learn, use teaching approach where I can easily understand the knowledge about the process and the atmosphere that she created is very conducive."/>
    <s v="More explanation in some topics."/>
  </r>
  <r>
    <s v="Sep 25, 2023 17:45:59"/>
    <n v="6"/>
    <n v="6"/>
    <s v="Guest"/>
    <s v="Manila, PHL"/>
    <s v="2023-08-28"/>
    <x v="4"/>
    <s v="Jill Hirtle"/>
    <s v="Tier 1"/>
    <n v="5"/>
    <n v="5"/>
    <n v="5"/>
    <n v="5"/>
    <n v="5"/>
    <n v="5"/>
    <s v="They we\'re relatable and very newbie friendly. They encourages us to learn more and to not be afraid to make mistakes because that\'s where you learn. I really liked how they assist us whenever we have questions, just so welcoming and approachable."/>
    <s v="Nothing else other that more interactions, maybe."/>
  </r>
  <r>
    <s v="Sep 25, 2023 17:44:58"/>
    <n v="6"/>
    <n v="6"/>
    <s v="Guest"/>
    <s v="Manila, PHL"/>
    <s v="2023-09-26"/>
    <x v="4"/>
    <s v="Jill Hirtle"/>
    <s v="Tier 1"/>
    <n v="5"/>
    <n v="5"/>
    <n v="5"/>
    <n v="5"/>
    <n v="5"/>
    <n v="5"/>
    <s v="they are very accomodating, easy to approach and understanding"/>
    <s v="more fun activities nothing more"/>
  </r>
  <r>
    <s v="Sep 25, 2023 17:44:54"/>
    <n v="6"/>
    <n v="6"/>
    <s v="Guest"/>
    <s v="Manila, PHL"/>
    <s v="2023-08-28"/>
    <x v="4"/>
    <s v="Jill Hirtle"/>
    <s v="Tier 1"/>
    <n v="5"/>
    <n v="5"/>
    <n v="5"/>
    <n v="5"/>
    <n v="5"/>
    <n v="5"/>
    <s v="-To keep my focus and be attentive and do check &amp; follow the SOP rigidly."/>
    <s v="none"/>
  </r>
  <r>
    <s v="Sep 13, 2023 12:14:26"/>
    <n v="6"/>
    <n v="4"/>
    <s v="Guest"/>
    <s v="Manila, PHL"/>
    <s v="2023-08-15"/>
    <x v="1"/>
    <s v="Ankit Vishnoi"/>
    <s v="Tier 2"/>
    <n v="5"/>
    <n v="5"/>
    <n v="2"/>
    <n v="2"/>
    <n v="5"/>
    <n v="5"/>
    <s v="motivator, patience, efficient"/>
    <s v="none for me\\n"/>
  </r>
  <r>
    <s v="Sep 13, 2023 12:01:32"/>
    <n v="6"/>
    <n v="6"/>
    <s v="Guest"/>
    <s v="Manila, PHL"/>
    <s v="2023-08-14"/>
    <x v="1"/>
    <s v="Ankit Vishnoi"/>
    <s v="Tier 2"/>
    <n v="4"/>
    <n v="4"/>
    <n v="4"/>
    <n v="4"/>
    <n v="4"/>
    <n v="4"/>
    <s v="Ankit is active in asking question and He do his best to explain us any topic that we need clarification\\n \\n"/>
    <s v="More role play if possible"/>
  </r>
  <r>
    <s v="Sep 13, 2023 11:39:39"/>
    <n v="6"/>
    <n v="6"/>
    <s v="Guest"/>
    <s v="Manila, PHL"/>
    <s v="2023-09-13"/>
    <x v="1"/>
    <s v="Ankit Vishnoi"/>
    <s v="Tier 2"/>
    <n v="4"/>
    <n v="4"/>
    <n v="4"/>
    <n v="4"/>
    <n v="4"/>
    <n v="4"/>
    <s v="Ankit is active in asking question"/>
    <s v="More role plays if possible"/>
  </r>
  <r>
    <s v="Sep 13, 2023 11:27:41"/>
    <n v="6"/>
    <n v="6"/>
    <s v="Guest"/>
    <s v="Manila, PHL"/>
    <s v="2023-08-15"/>
    <x v="1"/>
    <s v="Ankit Vishnoi"/>
    <s v="Tier 2"/>
    <n v="5"/>
    <n v="5"/>
    <n v="5"/>
    <n v="5"/>
    <n v="5"/>
    <n v="5"/>
    <s v="real time assistance, always confirm module understanding, give us time to do recaps and SOP reviews"/>
    <s v="none"/>
  </r>
  <r>
    <s v="Sep 12, 2023 18:09:46"/>
    <n v="6"/>
    <n v="0"/>
    <s v="Guest"/>
    <s v="Sudbury, ON"/>
    <s v="2023-08-29"/>
    <x v="5"/>
    <s v="Tom Tse"/>
    <s v="Fraud"/>
    <n v="3"/>
    <n v="3"/>
    <n v="3"/>
    <n v="3"/>
    <n v="3"/>
    <n v="3"/>
    <s v="pushing me forward to talk when I need help"/>
    <s v="just a little more time to revise our notes, other than that I loved the training, it felt a lot more fun than looking at it like it was studying"/>
  </r>
  <r>
    <s v="Sep 12, 2023 17:37:25"/>
    <n v="6"/>
    <n v="5"/>
    <s v="Guest"/>
    <s v="Ottawa"/>
    <s v="2023-09-12"/>
    <x v="6"/>
    <s v="Maida Musse"/>
    <s v="Fraud"/>
    <n v="3"/>
    <n v="4"/>
    <n v="4"/>
    <n v="4"/>
    <n v="4"/>
    <n v="4"/>
    <s v="explain things did provide time to practice know the answers"/>
    <s v="i think there should be more shadowing   with we only get 2 times"/>
  </r>
  <r>
    <s v="Sep 12, 2023 17:35:25"/>
    <n v="6"/>
    <n v="6"/>
    <s v="Guest"/>
    <s v="Ottawa"/>
    <s v="2023-08-29"/>
    <x v="6"/>
    <s v="Maida Musse"/>
    <s v="Fraud"/>
    <n v="4"/>
    <n v="4"/>
    <n v="4"/>
    <n v="4"/>
    <n v="4"/>
    <n v="4"/>
    <s v="gave feedback when needed, explained items thoroughly, good pace"/>
    <s v="spoke in a bit of a monotone, sometimes allowed questions to get far ahead of the item at hand"/>
  </r>
  <r>
    <s v="Sep 12, 2023 17:33:29"/>
    <n v="6"/>
    <n v="6"/>
    <s v="Guest"/>
    <s v="Ottawa"/>
    <s v="2023-08-29"/>
    <x v="6"/>
    <s v="Maida Musse"/>
    <s v="Fraud"/>
    <n v="5"/>
    <n v="4"/>
    <n v="5"/>
    <n v="5"/>
    <n v="5"/>
    <n v="5"/>
    <s v="Clarity, getting positively  involved"/>
    <s v="Can\'t think of any."/>
  </r>
  <r>
    <s v="Sep 12, 2023 17:31:40"/>
    <n v="6"/>
    <n v="6"/>
    <s v="Guest"/>
    <s v="Sudbury, ON"/>
    <s v="2023-08-29"/>
    <x v="6"/>
    <s v="Maida Musse"/>
    <s v="Fraud"/>
    <n v="5"/>
    <n v="5"/>
    <n v="5"/>
    <n v="5"/>
    <n v="5"/>
    <n v="5"/>
    <s v="trained ,asked questions and gave examples from experience"/>
    <s v="Maida was an amazing trainer and she helped us understand things that were confusing by providing examples from her experiences"/>
  </r>
  <r>
    <s v="Sep 12, 2023 17:30:31"/>
    <n v="6"/>
    <n v="6"/>
    <s v="Guest"/>
    <s v="Toronto, ON"/>
    <s v="2023-08-29"/>
    <x v="6"/>
    <s v="Maida Musse"/>
    <s v="Tier 2"/>
    <n v="4"/>
    <n v="4"/>
    <n v="4"/>
    <n v="4"/>
    <n v="4"/>
    <n v="4"/>
    <s v="confident and cool"/>
    <s v="good experienced trainer"/>
  </r>
  <r>
    <s v="Sep 12, 2023 11:38:30"/>
    <n v="6"/>
    <n v="6"/>
    <s v="Guest"/>
    <s v="Bridgewater, NS"/>
    <s v="2023-09-12"/>
    <x v="5"/>
    <s v="Tom Tse"/>
    <s v="Fraud"/>
    <n v="5"/>
    <n v="5"/>
    <n v="5"/>
    <n v="5"/>
    <n v="5"/>
    <n v="5"/>
    <m/>
    <m/>
  </r>
  <r>
    <s v="Sep 12, 2023 11:09:14"/>
    <n v="6"/>
    <n v="6"/>
    <s v="Guest"/>
    <s v="Ottawa"/>
    <s v="2023-09-12"/>
    <x v="5"/>
    <s v="Tom Tse"/>
    <m/>
    <n v="4"/>
    <n v="4"/>
    <n v="5"/>
    <n v="5"/>
    <n v="5"/>
    <n v="5"/>
    <s v="good instructor. willing to answer question. testing the knowledge of the class"/>
    <m/>
  </r>
  <r>
    <s v="Sep 12, 2023 10:51:09"/>
    <n v="6"/>
    <n v="6"/>
    <s v="Guest"/>
    <s v="Ottawa"/>
    <s v="2023-09-12"/>
    <x v="5"/>
    <s v="Tom Tse"/>
    <s v="Fraud"/>
    <n v="4"/>
    <n v="4"/>
    <n v="5"/>
    <n v="4"/>
    <n v="4"/>
    <n v="4"/>
    <s v="facilitator encouraged us to actively listen and ask questions"/>
    <s v="nothing"/>
  </r>
  <r>
    <s v="Sep 12, 2023 10:51:06"/>
    <n v="6"/>
    <n v="6"/>
    <s v="Guest"/>
    <s v="Yarmouth, NS"/>
    <s v="2023-08-29"/>
    <x v="5"/>
    <s v="Tom Tse"/>
    <s v="Fraud"/>
    <n v="4"/>
    <n v="4"/>
    <n v="4"/>
    <n v="4"/>
    <n v="4"/>
    <n v="4"/>
    <m/>
    <m/>
  </r>
  <r>
    <s v="Sep 12, 2023 10:44:54"/>
    <n v="6"/>
    <n v="6"/>
    <s v="Guest"/>
    <s v="Yarmouth, NS"/>
    <s v="2023-08-29"/>
    <x v="5"/>
    <s v="Tom Tse"/>
    <s v="Fraud"/>
    <n v="4"/>
    <n v="4"/>
    <n v="4"/>
    <n v="4"/>
    <n v="4"/>
    <n v="4"/>
    <s v="Explained things very well, used examples, hands on practice with systems"/>
    <s v="Nothing I can think of"/>
  </r>
  <r>
    <s v="Sep 12, 2023 10:32:30"/>
    <n v="6"/>
    <n v="5"/>
    <s v="Guest"/>
    <s v="Ottawa"/>
    <s v="2023-09-12"/>
    <x v="5"/>
    <s v="Tom Tse"/>
    <s v="Fraud"/>
    <n v="4"/>
    <n v="3"/>
    <n v="4"/>
    <n v="4"/>
    <n v="4"/>
    <n v="4"/>
    <s v="Anita explains in detail for the steps and processes required. She did step by step approach. A new step to learn each day"/>
    <s v="The training could be longer so the info can be absorbed better. I feel maybe 2 days per topic instead of one day would be better. Have more job shadowing"/>
  </r>
  <r>
    <s v="Sep 12, 2023 10:25:51"/>
    <n v="6"/>
    <n v="6"/>
    <s v="Guest"/>
    <s v="Bridgewater, NS"/>
    <s v="2023-08-29"/>
    <x v="5"/>
    <s v="Tom Tse"/>
    <s v="Fraud"/>
    <n v="5"/>
    <n v="5"/>
    <n v="5"/>
    <n v="5"/>
    <n v="5"/>
    <n v="5"/>
    <s v="Very knowledgeable, willing to help and explain things again, sometimes differently, patient, always knew what to expect for the day"/>
    <s v="Nothing - I found my training experience to be great."/>
  </r>
  <r>
    <s v="Sep 12, 2023 10:25:08"/>
    <n v="6"/>
    <n v="5"/>
    <s v="Guest"/>
    <s v="Bridgewater, NS"/>
    <s v="2023-09-12"/>
    <x v="5"/>
    <s v="Tom Tse"/>
    <s v="Fraud"/>
    <n v="5"/>
    <n v="4"/>
    <n v="5"/>
    <n v="3"/>
    <n v="5"/>
    <n v="5"/>
    <s v="Encouraged us to ask questions, gave good feedback, provided good information"/>
    <s v="This is not on the trainer but I wish that as we learned each process we had time to practice it several times before moving on to the next segment. When you learn many things at once and then only practice them once before moving on to the next segment it gets forgotten quickly."/>
  </r>
  <r>
    <s v="Aug 25, 2023 14:39:45"/>
    <n v="6"/>
    <n v="6"/>
    <s v="Guest"/>
    <s v="Manila, PHL"/>
    <s v="2023-08-11"/>
    <x v="0"/>
    <s v="Ruschel Bartolome"/>
    <s v="Tier 1"/>
    <n v="5"/>
    <n v="5"/>
    <n v="5"/>
    <n v="5"/>
    <n v="5"/>
    <n v="5"/>
    <s v="Hira Umair - 1. she\'s clear with how she delivers the lesson 2. she\'s engaged 3. - i love how she speaks\\nMahalakshmi Ramasubramanian - 1. she gave some pointers for us to review 2. she was always jolly 3. we enjoy having lessons with her\\nRuschel Bartolome - 1. clear with how she delivers the info that i asked 2. easy to approach 3. i can easily understand what she\'s saying"/>
    <s v="Hira Umair - none\\nMahalakshmi Ramasubramanian - 1. she speaks fast but its okay we can understand her more if she speaks slowly\\nRuschel Bartolome - none"/>
  </r>
  <r>
    <s v="Aug 25, 2023 14:35:13"/>
    <n v="6"/>
    <n v="6"/>
    <s v="Guest"/>
    <s v="Manila, PHL"/>
    <s v="2023-07-31"/>
    <x v="0"/>
    <s v="Ruschel Bartolome"/>
    <s v="Tier 1"/>
    <n v="5"/>
    <n v="5"/>
    <n v="5"/>
    <n v="5"/>
    <n v="5"/>
    <n v="5"/>
    <s v="Maha is very hands on, always positive and she has so much of words of wisdom that she\'s always shares to the whole class. Very approachable and very fun to talk to, class is never boring because she has a lot of stories to share specially about her experiences in work and in life. We\'re really thankful that she became our trainer because she give so much support and effort to us during our training just like Hira. \\n\\nAnd about trainer Ruschel she\'s also approachable, calm and she also shares her best practices to us so, we can do well on our calls. She\'s a big help during our pre-nesting and we enjoy talking to her."/>
    <s v="None. I don\'t see any problem with our trainers."/>
  </r>
  <r>
    <s v="Aug 25, 2023 14:32:32"/>
    <n v="6"/>
    <n v="6"/>
    <s v="Guest"/>
    <s v="Manila, PHL"/>
    <s v="2023-08-11"/>
    <x v="0"/>
    <s v="Ruschel Bartolome"/>
    <s v="Tier 1"/>
    <n v="5"/>
    <n v="5"/>
    <n v="5"/>
    <n v="5"/>
    <n v="5"/>
    <n v="5"/>
    <s v="Mahalakshmi Ramasubramanian - 1. she gave some pointers for us to review 2. she was always jolly 3. we enjoy having lessons with her"/>
    <s v="Mahalakshmi Ramasubramanian - 1. she speaks fast but its okay we can understand her more if she speaks slowly"/>
  </r>
  <r>
    <s v="Aug 25, 2023 14:32:11"/>
    <n v="6"/>
    <n v="6"/>
    <s v="Guest"/>
    <s v="Manila, PHL"/>
    <s v="2023-08-23"/>
    <x v="7"/>
    <s v="Ruschel Bartolome"/>
    <s v="Tier 1"/>
    <n v="5"/>
    <n v="5"/>
    <n v="5"/>
    <n v="5"/>
    <n v="5"/>
    <n v="5"/>
    <s v="I loved the way she explained topics because it was very detailed, she speaks slowly and clearly, she is very accommodating."/>
    <s v="She could have been joined the training earlier, haha. That\'s all I can say."/>
  </r>
  <r>
    <s v="Aug 25, 2023 14:30:02"/>
    <n v="6"/>
    <n v="6"/>
    <s v="Guest"/>
    <s v="Manila, PHL"/>
    <s v="2023-08-23"/>
    <x v="7"/>
    <s v="Ruschel Bartolome"/>
    <s v="Tier 1"/>
    <n v="5"/>
    <n v="5"/>
    <n v="5"/>
    <n v="5"/>
    <n v="5"/>
    <n v="5"/>
    <s v="I liked how she really explains every topic she is very organized. She helps us really to understand how to navigate in TS2."/>
    <m/>
  </r>
  <r>
    <s v="Aug 25, 2023 14:28:57"/>
    <n v="6"/>
    <n v="6"/>
    <s v="Guest"/>
    <s v="Manila, PHL"/>
    <s v="2023-07-31"/>
    <x v="0"/>
    <s v="Ruschel Bartolome"/>
    <s v="Tier 1"/>
    <n v="4"/>
    <n v="4"/>
    <n v="4"/>
    <n v="4"/>
    <n v="4"/>
    <n v="4"/>
    <s v="Maha is very appreciative of our performance in every activity, shares her actual experiences in the production floor which gave us meaningful insights and she always encourage us to be better by telling us our opportunities for further improvement."/>
    <s v="She could have been more straight to the point when explaining things, could have made the discussion more interactive by integrating ice breakers related to the topics, there is a communication barrier but then, it is understandable"/>
  </r>
  <r>
    <s v="Aug 25, 2023 14:25:39"/>
    <n v="6"/>
    <n v="6"/>
    <s v="Guest"/>
    <s v="Manila, PHL"/>
    <s v="2023-07-31"/>
    <x v="0"/>
    <s v="Ruschel Bartolome"/>
    <s v="Tier 1"/>
    <n v="5"/>
    <n v="4"/>
    <n v="5"/>
    <n v="5"/>
    <n v="5"/>
    <n v="5"/>
    <s v="She is informative and knowledgeable. I really learned a  lot. I just wanted to highlight the hard work you\'ve put into this training."/>
    <m/>
  </r>
  <r>
    <s v="Aug 25, 2023 14:25:01"/>
    <n v="6"/>
    <n v="6"/>
    <s v="Guest"/>
    <s v="Manila, PHL"/>
    <s v="2023-07-31"/>
    <x v="0"/>
    <s v="Ruschel Bartolome"/>
    <s v="Tier 1"/>
    <n v="5"/>
    <n v="4"/>
    <n v="5"/>
    <n v="5"/>
    <n v="4"/>
    <n v="4"/>
    <s v="Maha, encouraged me like knowing all the lesson or SOP, she proactively answer questions like adding more information about it, and also she\'s approachable to get in touch with, she\'s very natural in doing this, it just that she\'s spoon feeding the information. Ruschel, thought as well even though it is just a short time, like 4days in our pre-nesting, i understand easily about the ts2, on how to navigate and know different id\'s."/>
    <s v="Maha could do differently by saying too much information about the certain topics, she\'s good at it, its just that i wanted it concise and more direct to the point. The communication barrier is  understandable, and i suggest that add like a small ice breaker."/>
  </r>
  <r>
    <s v="Aug 25, 2023 14:24:30"/>
    <n v="6"/>
    <n v="6"/>
    <s v="Guest"/>
    <s v="Manila, PHL"/>
    <s v="2023-07-31"/>
    <x v="7"/>
    <s v="Ruschel Bartolome"/>
    <s v="Tier 1"/>
    <n v="5"/>
    <n v="5"/>
    <n v="5"/>
    <n v="5"/>
    <n v="5"/>
    <n v="5"/>
    <s v="1.very knowledgeable\\n2.interactive\\n3. Great teaching approach."/>
    <s v="none"/>
  </r>
  <r>
    <s v="Aug 25, 2023 14:23:44"/>
    <n v="6"/>
    <n v="6"/>
    <s v="Guest"/>
    <s v="Manila, PHL"/>
    <s v="2023-07-31"/>
    <x v="4"/>
    <s v="Ruschel Bartolome"/>
    <s v="Tier 1"/>
    <n v="5"/>
    <n v="5"/>
    <n v="5"/>
    <n v="5"/>
    <n v="5"/>
    <n v="5"/>
    <s v="She provides support, praise us when we share our answer and opinions and she always shares her best practices so, we will have a better understanding to our discussions. We\'re really thankful to Hira for guiding us during our training session. She has a lot of patience, very understanding and will be forever grateful to her for teaching us."/>
    <s v="I know Hira is not perfect just like the other trainers but I don\'t see any problem with her during training. She did her best, and we really look up to her."/>
  </r>
  <r>
    <s v="Aug 25, 2023 14:22:58"/>
    <n v="6"/>
    <n v="6"/>
    <s v="Guest"/>
    <s v="Manila, PHL"/>
    <s v="2023-07-31"/>
    <x v="0"/>
    <s v="Ruschel Bartolome"/>
    <s v="Tier 1"/>
    <n v="5"/>
    <n v="5"/>
    <n v="5"/>
    <n v="5"/>
    <n v="5"/>
    <n v="5"/>
    <s v="1. Very active and positive ways of collaborative discussion.\\n2.Very Appreciative and nice person.\\n3. Encourage us to do the right things, always remind us a good possible ways to approach something especially related to the job description."/>
    <s v="1. Highly suggest to open a great conversation online as a medium ,it will be more interactive if we can see you on screen.\\n2. Be more mindful about the peak topic add something unique that can enhance the creative side of teaching. Like presentation or short game.\\n3. I think communication wise,  be more considerate because communication barrier can affect a lot."/>
  </r>
  <r>
    <s v="Aug 25, 2023 14:19:43"/>
    <n v="6"/>
    <n v="6"/>
    <s v="Guest"/>
    <s v="Manila, PHL"/>
    <s v="2023-08-07"/>
    <x v="4"/>
    <s v="Ruschel Bartolome"/>
    <s v="Tier 1"/>
    <n v="4"/>
    <n v="4"/>
    <n v="4"/>
    <n v="4"/>
    <n v="4"/>
    <n v="4"/>
    <s v="Hira always gave us enough time to adjust on the phasing of the topics, she makes the discussion interactive and provides us the knowledge and skills necessary for our role in production floor."/>
    <s v="Give ice breaker like games or brain teaser, provide more navigation experience, detailed discussion in the tools especially in TS2"/>
  </r>
  <r>
    <s v="Aug 25, 2023 14:19:37"/>
    <n v="6"/>
    <n v="6"/>
    <s v="Guest"/>
    <s v="Manila, PHL"/>
    <s v="2023-07-31"/>
    <x v="4"/>
    <s v="Ruschel Bartolome"/>
    <s v="Tier 1"/>
    <n v="5"/>
    <n v="5"/>
    <n v="5"/>
    <n v="5"/>
    <n v="5"/>
    <n v="5"/>
    <s v="She always make sure that we understood the topic or discussion first before we proceed to next lesson. She was approachable and also we\'re engaged during the discussion which help us understand way better."/>
    <s v="Everything was perfect the way it was handled by Hira. I would like also to give credits to Ms. Ruschel Bartolome who is assisting us during pre nesting calls and most especially for facilitating the discussion for TS2. It was a big help as we now understand how TS2 works. Thank you Ms. Ruschel."/>
  </r>
  <r>
    <s v="Aug 25, 2023 14:18:49"/>
    <n v="6"/>
    <n v="6"/>
    <s v="Guest"/>
    <s v="Manila, PHL"/>
    <s v="2023-07-31"/>
    <x v="0"/>
    <s v="Ruschel Bartolome"/>
    <s v="Tier 1"/>
    <n v="5"/>
    <n v="5"/>
    <n v="5"/>
    <n v="5"/>
    <n v="5"/>
    <n v="5"/>
    <s v="co-create an atmosphere that encourages participation, encourages them to speak out, and shared most of her experiences as TIER 1 before"/>
    <s v="So far I\'m good. Most especially when the Trainer Ruschel Bartolome came and provided an assistance on the floor That\'s appreciated as well."/>
  </r>
  <r>
    <s v="Aug 25, 2023 14:17:42"/>
    <n v="6"/>
    <n v="6"/>
    <s v="Guest"/>
    <s v="Manila, PHL"/>
    <s v="2023-08-11"/>
    <x v="4"/>
    <s v="Mahalakshmi Ramasubramanian"/>
    <s v="Tier 1"/>
    <n v="4"/>
    <n v="4"/>
    <n v="4"/>
    <n v="4"/>
    <n v="4"/>
    <n v="4"/>
    <m/>
    <m/>
  </r>
  <r>
    <s v="Aug 25, 2023 14:16:32"/>
    <n v="6"/>
    <n v="6"/>
    <s v="Guest"/>
    <s v="Manila, PHL"/>
    <s v="2023-08-07"/>
    <x v="4"/>
    <s v="Mahalakshmi Ramasubramanian"/>
    <s v="Tier 1"/>
    <n v="5"/>
    <n v="5"/>
    <n v="5"/>
    <n v="5"/>
    <n v="5"/>
    <n v="5"/>
    <s v="SHE WAS ORGANIZED, FOLLOWED THE SCHEDULE IN EVERY AGENDA, AND SHE IS INFORMATIVE."/>
    <s v="MORE ON PRACTICE IN NAVIGATION AND CALLS."/>
  </r>
  <r>
    <s v="Aug 25, 2023 14:15:26"/>
    <n v="6"/>
    <n v="6"/>
    <s v="Guest"/>
    <s v="Manila, PHL"/>
    <s v="2023-08-31"/>
    <x v="4"/>
    <s v="Mahalakshmi Ramasubramanian"/>
    <s v="Tier 1"/>
    <n v="5"/>
    <n v="5"/>
    <n v="5"/>
    <n v="5"/>
    <n v="5"/>
    <n v="5"/>
    <s v="Providing accurate and clear concept of the job description"/>
    <s v="1. Highly suggest to think collective and creative ways of teaching. Do something like icebreaker or short game that is connected to the topic, this is the best way to introduce the certain topic.\\n2. Be more active add some enjoyment to create a good foundation to everyone\\n3. Adjust for the pacing of the topics.\\n"/>
  </r>
  <r>
    <s v="Aug 25, 2023 14:14:53"/>
    <n v="6"/>
    <n v="6"/>
    <s v="Guest"/>
    <s v="Manila, PHL"/>
    <s v="2023-08-07"/>
    <x v="4"/>
    <s v="Hira Umair"/>
    <s v="Tier 1"/>
    <n v="5"/>
    <n v="5"/>
    <n v="5"/>
    <n v="4"/>
    <n v="5"/>
    <n v="5"/>
    <s v="Hira encouraged me by her knowledge, experience, and the way she teach the lesson to be engaged more in the training."/>
    <s v="Hira could do differently by making the trainee to apply immediately what they learned after the lesson. And I think she can be more like ice breaker."/>
  </r>
  <r>
    <s v="Aug 25, 2023 14:14:42"/>
    <n v="6"/>
    <n v="6"/>
    <s v="Guest"/>
    <s v="Manila, PHL"/>
    <s v="2023-08-03"/>
    <x v="0"/>
    <s v="Ruschel Bartolome"/>
    <m/>
    <n v="5"/>
    <n v="5"/>
    <n v="5"/>
    <n v="5"/>
    <n v="5"/>
    <n v="5"/>
    <s v="Very helpful, she always put herself being an agent  whenever she is discussing or giving examples about the topics and encouraged us to do our best"/>
    <s v="none"/>
  </r>
  <r>
    <s v="Aug 25, 2023 14:13:17"/>
    <n v="6"/>
    <n v="6"/>
    <s v="Guest"/>
    <s v="Manila, PHL"/>
    <s v="2023-07-31"/>
    <x v="4"/>
    <s v="Ruschel Bartolome"/>
    <s v="Tier 1"/>
    <n v="5"/>
    <n v="5"/>
    <n v="5"/>
    <n v="5"/>
    <n v="5"/>
    <n v="5"/>
    <s v="N/A"/>
    <s v="N/A"/>
  </r>
  <r>
    <s v="Aug 25, 2023 14:12:56"/>
    <n v="6"/>
    <n v="6"/>
    <s v="Guest"/>
    <s v="Manila, PHL"/>
    <s v="2023-08-03"/>
    <x v="4"/>
    <s v="Ruschel Bartolome"/>
    <s v="Tier 1"/>
    <n v="5"/>
    <n v="5"/>
    <n v="5"/>
    <n v="5"/>
    <n v="5"/>
    <n v="5"/>
    <s v="very accommodating, she motivated us a lot"/>
    <s v="none"/>
  </r>
  <r>
    <s v="Aug 21, 2023 17:57:03"/>
    <n v="6"/>
    <n v="6"/>
    <s v="Guest"/>
    <s v="Manila, PHL"/>
    <s v="2023-07-24"/>
    <x v="8"/>
    <s v="Tom Tse"/>
    <s v="Tier 1"/>
    <n v="5"/>
    <n v="5"/>
    <n v="5"/>
    <n v="5"/>
    <n v="5"/>
    <n v="5"/>
    <s v="Sounds knowledgeable, friendly tone and interesting topics to discuss"/>
    <s v="I guess more fun and interactive topics"/>
  </r>
  <r>
    <s v="Aug 21, 2023 17:56:59"/>
    <n v="6"/>
    <n v="6"/>
    <s v="Guest"/>
    <s v="Manila, PHL"/>
    <s v="2023-07-24"/>
    <x v="8"/>
    <s v="Tom Tse"/>
    <s v="Tier 1"/>
    <n v="5"/>
    <n v="5"/>
    <n v="5"/>
    <n v="5"/>
    <n v="5"/>
    <n v="5"/>
    <s v="Optimistic, Moltivating, Intusiastic"/>
    <s v="ALL GOODS"/>
  </r>
  <r>
    <s v="Aug 21, 2023 17:56:43"/>
    <n v="6"/>
    <n v="6"/>
    <s v="Guest"/>
    <s v="Manila, PHL"/>
    <s v="2023-07-24"/>
    <x v="8"/>
    <s v="Tom Tse"/>
    <s v="Tier 1"/>
    <n v="5"/>
    <n v="5"/>
    <n v="5"/>
    <n v="5"/>
    <n v="4"/>
    <n v="5"/>
    <s v="Always asking about our feelings/mood for the day, Asking any questions, clarifications or any concerns and keep engaged with the Knowledge Center."/>
    <s v="Long patience in product training when it comes in navigation during roleplays/pre-nesting."/>
  </r>
  <r>
    <s v="Aug 21, 2023 17:56:36"/>
    <n v="6"/>
    <n v="6"/>
    <s v="Guest"/>
    <s v="Manila, PHL"/>
    <s v="2023-07-24"/>
    <x v="8"/>
    <s v="Tom Tse"/>
    <s v="Tier 1"/>
    <n v="5"/>
    <n v="5"/>
    <n v="5"/>
    <n v="5"/>
    <n v="5"/>
    <n v="5"/>
    <s v="she doing great, friendly and very hands on trainer"/>
    <s v="nothing"/>
  </r>
  <r>
    <s v="Aug 21, 2023 17:56:28"/>
    <n v="6"/>
    <n v="6"/>
    <s v="Guest"/>
    <s v="Manila, PHL"/>
    <s v="2023-08-21"/>
    <x v="8"/>
    <s v="Tom Tse"/>
    <s v="Tier 1"/>
    <n v="5"/>
    <n v="5"/>
    <n v="5"/>
    <n v="5"/>
    <n v="5"/>
    <n v="5"/>
    <s v="Trainers are  very patient and smart. Kudos"/>
    <s v="none"/>
  </r>
  <r>
    <s v="Aug 21, 2023 17:56:27"/>
    <n v="6"/>
    <n v="6"/>
    <s v="Guest"/>
    <s v="Manila, PHL"/>
    <s v="2023-08-24"/>
    <x v="8"/>
    <s v="Tom Tse"/>
    <s v="Tier 1"/>
    <n v="5"/>
    <n v="5"/>
    <n v="5"/>
    <n v="5"/>
    <n v="5"/>
    <n v="5"/>
    <s v="hands on and she keeps telling not to give up and also she is very kind trainor"/>
    <s v="n/a"/>
  </r>
  <r>
    <s v="Aug 21, 2023 17:56:11"/>
    <n v="6"/>
    <n v="6"/>
    <s v="Guest"/>
    <s v="Manila, PHL"/>
    <s v="2023-07-24"/>
    <x v="8"/>
    <s v="Tom Tse"/>
    <s v="Tier 1"/>
    <n v="5"/>
    <n v="5"/>
    <n v="5"/>
    <n v="5"/>
    <n v="5"/>
    <n v="5"/>
    <s v="knowledgeable, kind, and motivated towards the training"/>
    <s v="none so far, they're all good."/>
  </r>
  <r>
    <s v="Aug 21, 2023 17:55:41"/>
    <n v="6"/>
    <n v="6"/>
    <s v="Guest"/>
    <s v="Manila, PHL"/>
    <s v="2023-07-24"/>
    <x v="8"/>
    <s v="Tom Tse"/>
    <s v="Tier 1"/>
    <n v="5"/>
    <n v="5"/>
    <n v="5"/>
    <n v="5"/>
    <n v="5"/>
    <n v="5"/>
    <s v="Our trainer is always believes in our capability. She was hands on on each of everyone of us and she delivers every lesson in comprehensive way."/>
    <s v="NA"/>
  </r>
  <r>
    <s v="Aug 21, 2023 17:55:28"/>
    <n v="6"/>
    <n v="6"/>
    <s v="Guest"/>
    <s v="Manila, PHL"/>
    <s v="2023-07-24"/>
    <x v="8"/>
    <s v="Tom Tse"/>
    <s v="Tier 1"/>
    <n v="5"/>
    <n v="5"/>
    <n v="5"/>
    <n v="5"/>
    <n v="5"/>
    <n v="5"/>
    <s v="1. She was hands on when it comes to teaching important stuff. 2. The trainer was making sure everyone in the team have the opportunity to speak up. 3. She also asks how our day and cares about us."/>
    <s v="-"/>
  </r>
  <r>
    <s v="Aug 21, 2023 17:55:09"/>
    <n v="6"/>
    <n v="6"/>
    <s v="Guest"/>
    <s v="Manila, PHL"/>
    <s v="2023-07-24"/>
    <x v="8"/>
    <s v="Tom Tse"/>
    <m/>
    <n v="5"/>
    <n v="5"/>
    <n v="5"/>
    <n v="5"/>
    <n v="5"/>
    <n v="5"/>
    <s v="They are very detailed and really encourage you to learn and dig deeper to the lessons."/>
    <s v="I don't see anything, they both did amazing!"/>
  </r>
  <r>
    <s v="Aug 21, 2023 17:55:07"/>
    <n v="6"/>
    <n v="6"/>
    <s v="Guest"/>
    <s v="Manila, PHL"/>
    <s v="2023-07-24"/>
    <x v="8"/>
    <s v="Tom Tse"/>
    <s v="Tier 1"/>
    <n v="5"/>
    <n v="5"/>
    <n v="5"/>
    <n v="5"/>
    <n v="4"/>
    <n v="5"/>
    <s v="Provide good feedback when we did mock calls, Assist very well comes on navigating the tools, Provide some words to encourage me"/>
    <s v="Pacing, More interactions, Feedback to other agents"/>
  </r>
  <r>
    <s v="Aug 21, 2023 17:54:58"/>
    <n v="6"/>
    <n v="5"/>
    <s v="Guest"/>
    <s v="Manila, PHL"/>
    <s v="2023-07-24"/>
    <x v="8"/>
    <s v="Tom Tse"/>
    <s v="Tier 1"/>
    <n v="5"/>
    <n v="5"/>
    <n v="5"/>
    <n v="5"/>
    <n v="5"/>
    <m/>
    <s v="Trainers are  very patient and smart. Kudos"/>
    <s v="none"/>
  </r>
  <r>
    <s v="Aug 16, 2023 16:34:50"/>
    <n v="6"/>
    <n v="4"/>
    <s v="Guest"/>
    <s v="Manila, PHL"/>
    <s v="2023-07-17"/>
    <x v="2"/>
    <s v="Tom Tse"/>
    <s v="Tier 1"/>
    <n v="4"/>
    <n v="3"/>
    <n v="5"/>
    <n v="3"/>
    <n v="5"/>
    <n v="4"/>
    <s v="We can ask question anytime and they did well explaining it to us. They kept motivating us by giving feedback regarding our activities. They made our learning environment and atmosphere comfortable and enjoyable."/>
    <s v="I suggest more hands-on discussion with the tools and more interactive activities."/>
  </r>
  <r>
    <s v="Aug 16, 2023 16:30:39"/>
    <n v="6"/>
    <n v="5"/>
    <s v="Guest"/>
    <s v="Manila, PHL"/>
    <s v="2023-07-17"/>
    <x v="2"/>
    <s v="Tom Tse"/>
    <m/>
    <n v="4"/>
    <n v="4"/>
    <n v="4"/>
    <n v="3"/>
    <n v="4"/>
    <n v="4"/>
    <s v="They answer all our question \nThey gave daily motivation to motivate us in our training."/>
    <s v="Navigate tools while discussion(SF,CSR and TS2)."/>
  </r>
  <r>
    <s v="Aug 16, 2023 11:50:44"/>
    <n v="6"/>
    <n v="2"/>
    <s v="Guest"/>
    <s v="Manila, PHL"/>
    <s v="2023-07-17"/>
    <x v="2"/>
    <s v="Tom Tse"/>
    <s v="Tier 1"/>
    <n v="4"/>
    <n v="3"/>
    <n v="3"/>
    <n v="4"/>
    <n v="3"/>
    <m/>
    <s v="the three things that encouraging me is to be confident,feel free and motivate your self coz no one can help you."/>
    <s v="tom and scoot trained me.he try to remove my shy type and for about sop knowlege center he teach me on how to be a great agent .. scoot practice me a mock call live for two times so that i learned"/>
  </r>
  <r>
    <s v="Aug 16, 2023 11:49:38"/>
    <n v="6"/>
    <n v="6"/>
    <s v="Guest"/>
    <s v="Manila, PHL"/>
    <s v="2023-07-17"/>
    <x v="9"/>
    <s v="Scott McDonald"/>
    <s v="Tier 1"/>
    <n v="5"/>
    <n v="5"/>
    <n v="5"/>
    <n v="4"/>
    <n v="5"/>
    <n v="5"/>
    <s v="The facilitators explained to us the SOPs. There was also activities to hone what we learned. The facilitators created an atmosphere that would encourage us to get involved and participate in the discussions."/>
    <s v="I hope there would be a follow up and hands on activities on navigating the tools. Longer pre-nesting to prepare the agent."/>
  </r>
  <r>
    <s v="Aug 16, 2023 11:49:31"/>
    <n v="6"/>
    <n v="6"/>
    <s v="Guest"/>
    <s v="Manila, PHL"/>
    <s v="2023-07-17"/>
    <x v="2"/>
    <s v="Tom Tse"/>
    <s v="Tier 1"/>
    <n v="4"/>
    <n v="4"/>
    <n v="5"/>
    <n v="5"/>
    <n v="5"/>
    <n v="5"/>
    <s v="As newbie here in BPO they provided me the information I need to enhances my communication skills, they provide ways how to handle the customer the on the right way and they motivate us that we should believe in our self, that we can do it."/>
    <m/>
  </r>
  <r>
    <s v="Aug 16, 2023 11:44:25"/>
    <n v="6"/>
    <n v="6"/>
    <s v="Guest"/>
    <s v="Manila, PHL"/>
    <s v="2023-08-16"/>
    <x v="2"/>
    <s v="Tom Tse"/>
    <s v="Tier 1"/>
    <n v="4"/>
    <n v="4"/>
    <n v="4"/>
    <n v="4"/>
    <n v="4"/>
    <n v="4"/>
    <s v="enhanced my communication skill,,be friendly,, enhanced my knowledge in bpo industry"/>
    <m/>
  </r>
  <r>
    <s v="Aug 16, 2023 11:43:29"/>
    <n v="6"/>
    <n v="6"/>
    <s v="Guest"/>
    <s v="Manila, PHL"/>
    <s v="2023-08-16"/>
    <x v="2"/>
    <s v="Tom Tse"/>
    <s v="Tier 1"/>
    <n v="5"/>
    <n v="5"/>
    <n v="5"/>
    <n v="5"/>
    <n v="5"/>
    <n v="5"/>
    <s v="He encouraged us to participate in every activities and ask questions if we cant understand the topic well"/>
    <s v="To encouraged everyone to participate."/>
  </r>
  <r>
    <s v="Aug 16, 2023 11:42:50"/>
    <n v="6"/>
    <n v="6"/>
    <s v="Guest"/>
    <s v="Manila, PHL"/>
    <s v="2023-07-17"/>
    <x v="2"/>
    <s v="Tom Tse"/>
    <s v="Tier 1"/>
    <n v="4"/>
    <n v="4"/>
    <n v="4"/>
    <n v="4"/>
    <n v="4"/>
    <n v="4"/>
    <s v="enhanced my communication skill,,be friendly,, enhanced my knowledge in bpo industry"/>
    <m/>
  </r>
  <r>
    <s v="Aug 16, 2023 11:41:57"/>
    <n v="6"/>
    <n v="6"/>
    <s v="Guest"/>
    <s v="Manila, PHL"/>
    <s v="2023-07-17"/>
    <x v="9"/>
    <s v="Scott McDonald"/>
    <s v="Tier 1"/>
    <n v="4"/>
    <n v="4"/>
    <n v="5"/>
    <n v="5"/>
    <n v="5"/>
    <n v="5"/>
    <s v="they compliments are strengths and also provides what's things needs improvement. also they're very friendly. they know they product well"/>
    <s v="for me, it would be easier for us to learn navigations of tools we our trainers are physically here with us."/>
  </r>
  <r>
    <s v="Aug 16, 2023 11:36:44"/>
    <n v="6"/>
    <n v="6"/>
    <s v="Guest"/>
    <s v="Manila, PHL"/>
    <s v="2023-07-17"/>
    <x v="2"/>
    <s v="Tom Tse"/>
    <s v="Tier 1"/>
    <n v="5"/>
    <n v="4"/>
    <n v="5"/>
    <n v="5"/>
    <n v="5"/>
    <n v="5"/>
    <m/>
    <m/>
  </r>
  <r>
    <s v="Aug 04, 2023 12:44:19"/>
    <n v="6"/>
    <n v="6"/>
    <s v="Guest"/>
    <s v="Ottawa"/>
    <s v="2023-07-10"/>
    <x v="10"/>
    <s v="Nancy Price"/>
    <s v="Tier 1"/>
    <n v="4"/>
    <n v="5"/>
    <n v="5"/>
    <n v="4"/>
    <n v="5"/>
    <n v="5"/>
    <s v="Nancy was personable and made sure we knew she was always available to help and support us. She did her best to teach within the limitations of the training software available."/>
    <s v="manage the discussions so that one student isn't monopolizing the conversation the whole time making it difficult for others to participate. \nCall on students who aren't participating more to make sure they understand\n--------------------------------------------------------------------------------------------------------------------------------------------------------------------------------------------------------------------------------\nadditional feedback:\nMany of the training videos are difficult to engage with because of the computer voice that reads them. I personally would prefer no narration to that encredibly distracting voice. \nSome french training materials would be beneficial to the bilingual agents, even just some recorded french calls. It feels like the French/english agents are not prioritized because of the lack of materials.\n"/>
  </r>
  <r>
    <s v="Aug 04, 2023 12:42:29"/>
    <n v="6"/>
    <n v="6"/>
    <s v="Guest"/>
    <s v="Bridgewater, NS"/>
    <s v="2023-07-10"/>
    <x v="10"/>
    <s v="Bibi Alli"/>
    <s v="Tier 1"/>
    <n v="4"/>
    <n v="4"/>
    <n v="4"/>
    <n v="5"/>
    <n v="5"/>
    <n v="5"/>
    <s v="compassion,"/>
    <s v="give more time to nesting"/>
  </r>
  <r>
    <s v="Aug 04, 2023 12:37:36"/>
    <n v="6"/>
    <n v="6"/>
    <s v="Guest"/>
    <s v="Ottawa"/>
    <s v="2023-07-10"/>
    <x v="10"/>
    <s v="Bibi Alli"/>
    <s v="Tier 1"/>
    <n v="5"/>
    <n v="5"/>
    <n v="5"/>
    <n v="5"/>
    <n v="5"/>
    <n v="4"/>
    <s v="Patience, repeating the same thing so we understand, give us time to pratic in role play"/>
    <m/>
  </r>
  <r>
    <s v="Aug 04, 2023 12:37:27"/>
    <n v="6"/>
    <n v="4"/>
    <s v="Guest"/>
    <s v="Toronto, ON"/>
    <s v="2023-07-10"/>
    <x v="10"/>
    <s v="Nancy Price"/>
    <s v="Tier 1"/>
    <n v="2"/>
    <n v="3"/>
    <n v="5"/>
    <n v="5"/>
    <n v="5"/>
    <n v="5"/>
    <s v="Listening, make sure everyone understands before she continue, encouraging"/>
    <s v="Go slowly"/>
  </r>
  <r>
    <s v="Aug 04, 2023 12:36:58"/>
    <n v="6"/>
    <n v="6"/>
    <s v="Guest"/>
    <s v="Ottawa"/>
    <s v="2023-07-10"/>
    <x v="10"/>
    <s v="Nancy Price"/>
    <s v="Tier 1"/>
    <n v="4"/>
    <n v="4"/>
    <n v="5"/>
    <n v="4"/>
    <n v="5"/>
    <n v="5"/>
    <s v="Was patient, explained very well , encouraged us"/>
    <m/>
  </r>
  <r>
    <s v="Aug 04, 2023 12:36:07"/>
    <n v="6"/>
    <n v="5"/>
    <s v="Guest"/>
    <s v="Edmundson, NB"/>
    <s v="2023-07-10"/>
    <x v="10"/>
    <s v="Nancy Price"/>
    <s v="Tier 1"/>
    <n v="4"/>
    <n v="4"/>
    <n v="4"/>
    <n v="3"/>
    <n v="4"/>
    <n v="5"/>
    <s v="positive attitude, easy to speak and ask questions too, easy to understand"/>
    <s v="maybe try  having shadow calls a bit earlier in training"/>
  </r>
  <r>
    <s v="Aug 04, 2023 12:36:01"/>
    <n v="6"/>
    <n v="6"/>
    <s v="Guest"/>
    <s v="Toronto, ON"/>
    <s v="2023-07-10"/>
    <x v="10"/>
    <s v="Nancy Price"/>
    <s v="Tier 1"/>
    <n v="5"/>
    <n v="5"/>
    <n v="5"/>
    <n v="5"/>
    <n v="5"/>
    <n v="5"/>
    <s v="Nancy was always very considerate of our needs, and would nudge us along in the right direction if she felt we were going the wrong way. She was always very kind and supportive of us, and gave us lots of anecdotes from her time as an agent, and experience with past classes."/>
    <s v="She could find a way to improve her audio quality, as there were several times where the sound would cut out while she was talking. While this was beyond Nancy's control, it would've been nice to have a more thorough onboarding experience, as there was a lot of confusion when the class was first starting with equipment and links and logins and such, but she handled it to the best of her abilities and it was appreciated that she helped where she could."/>
  </r>
  <r>
    <s v="Aug 04, 2023 12:35:47"/>
    <n v="6"/>
    <n v="6"/>
    <s v="Guest"/>
    <s v="Montreal, QC"/>
    <s v="2023-07-10"/>
    <x v="10"/>
    <s v="Scott McDonald"/>
    <s v="Tier 1"/>
    <n v="5"/>
    <n v="4"/>
    <n v="5"/>
    <n v="4"/>
    <n v="4"/>
    <n v="4"/>
    <s v="The role type and the Web base trainings"/>
    <s v="Maybe the speed of the explanations"/>
  </r>
  <r>
    <s v="Aug 04, 2023 12:35:21"/>
    <n v="6"/>
    <n v="6"/>
    <s v="Guest"/>
    <s v="Ottawa"/>
    <s v="2023-07-10"/>
    <x v="10"/>
    <s v="Nancy Price"/>
    <s v="Tier 1"/>
    <n v="5"/>
    <n v="5"/>
    <n v="5"/>
    <n v="4"/>
    <n v="5"/>
    <n v="5"/>
    <s v="explaining explicitly, encouraging, and actively listing."/>
    <m/>
  </r>
  <r>
    <s v="Aug 04, 2023 12:35:04"/>
    <n v="6"/>
    <n v="6"/>
    <s v="Guest"/>
    <s v="Toronto, ON"/>
    <s v="2023-07-10"/>
    <x v="10"/>
    <s v="Nancy Price"/>
    <s v="Tier 1"/>
    <n v="4"/>
    <n v="5"/>
    <n v="5"/>
    <n v="5"/>
    <n v="5"/>
    <n v="5"/>
    <s v="Her positive attitude, always here to help and her confidence"/>
    <m/>
  </r>
  <r>
    <s v="Aug 04, 2023 12:34:54"/>
    <n v="6"/>
    <n v="6"/>
    <s v="Guest"/>
    <s v="Bridgewater, NS"/>
    <s v="2023-07-10"/>
    <x v="10"/>
    <s v="Nancy Price"/>
    <s v="Tier 1"/>
    <n v="5"/>
    <n v="5"/>
    <n v="5"/>
    <n v="5"/>
    <n v="5"/>
    <n v="5"/>
    <s v="- We had lots of opportunity to roleplay which was very helpful for me\n- She gave clear explanation to all of the question and always follow back to make sure everyone understand"/>
    <m/>
  </r>
  <r>
    <s v="Aug 04, 2023 12:31:50"/>
    <n v="6"/>
    <n v="5"/>
    <s v="Guest"/>
    <s v="Toronto, ON"/>
    <s v="2023-07-10"/>
    <x v="10"/>
    <s v="Nancy Price"/>
    <s v="Tier 1"/>
    <n v="5"/>
    <m/>
    <n v="5"/>
    <n v="5"/>
    <n v="5"/>
    <n v="5"/>
    <s v="encouraging  active participation helping out"/>
    <s v="N/A"/>
  </r>
  <r>
    <s v="Aug 04, 2023 12:31:08"/>
    <n v="6"/>
    <n v="6"/>
    <s v="Guest"/>
    <s v="Ottawa"/>
    <s v="2023-07-10"/>
    <x v="10"/>
    <s v="Bibi Alli"/>
    <s v="Tier 1"/>
    <n v="5"/>
    <n v="5"/>
    <n v="5"/>
    <n v="5"/>
    <n v="5"/>
    <n v="5"/>
    <m/>
    <m/>
  </r>
  <r>
    <s v="Jul 27, 2023 19:51:39"/>
    <n v="6"/>
    <n v="6"/>
    <s v="Guest"/>
    <s v="Manila, PHL"/>
    <s v="2023-07-25"/>
    <x v="3"/>
    <s v="Rowena Lasala"/>
    <s v="Tier 1"/>
    <n v="5"/>
    <n v="5"/>
    <n v="5"/>
    <n v="5"/>
    <n v="5"/>
    <n v="5"/>
    <s v="detailed information"/>
    <s v="giving time to have call shadowing"/>
  </r>
  <r>
    <s v="Jul 27, 2023 18:34:49"/>
    <n v="6"/>
    <n v="6"/>
    <s v="Guest"/>
    <s v="Manila, PHL"/>
    <s v="2023-06-26"/>
    <x v="3"/>
    <s v="Rowena Lasala"/>
    <s v="Tier 1"/>
    <n v="5"/>
    <n v="5"/>
    <n v="5"/>
    <n v="5"/>
    <n v="5"/>
    <n v="5"/>
    <s v="n/a"/>
    <s v="n/a"/>
  </r>
  <r>
    <s v="Jul 27, 2023 13:30:21"/>
    <n v="6"/>
    <n v="6"/>
    <s v="Guest"/>
    <s v="Manila, PHL"/>
    <s v="2023-06-26"/>
    <x v="11"/>
    <s v="Rowena Lasala"/>
    <s v="Tier 1"/>
    <n v="5"/>
    <n v="5"/>
    <n v="5"/>
    <n v="5"/>
    <n v="5"/>
    <n v="5"/>
    <s v="Motivation, Encouragement and Responsible"/>
    <s v="Everything is good!"/>
  </r>
  <r>
    <s v="Jul 27, 2023 12:47:34"/>
    <n v="6"/>
    <n v="6"/>
    <s v="Guest"/>
    <s v="Edmundson, NB"/>
    <s v="2023-06-26"/>
    <x v="3"/>
    <s v="Rowena Lasala"/>
    <s v="Tier 1"/>
    <n v="4"/>
    <n v="4"/>
    <n v="5"/>
    <n v="4"/>
    <n v="4"/>
    <n v="5"/>
    <s v="Both trainers were able to create a very comfortable learning environment, it didn't take long at all for everyone on-shore and off-shore to grow close and learn from each other's mistakes and successes. It's important for me to feel a sense of community within an organization, and our trainers were able to demonstrate that we are a team very well."/>
    <s v="The only thing I would have wanted to change is that rather than spending as much time as we did call-shadowing very capable agents, I think it would have been more beneficial to start taking turns answering real calls sooner so we could learn what the real environment feels like. It also would have been great to learn from watching the others in the class make mistakes so we can note what we should be doing instead. Sometimes it felt like the call-shadow went so fast that I wasn't able to process what had just happened."/>
  </r>
  <r>
    <s v="Jul 27, 2023 12:28:36"/>
    <n v="6"/>
    <n v="6"/>
    <s v="Guest"/>
    <s v="Manila, PHL"/>
    <s v="2023-06-26"/>
    <x v="3"/>
    <s v="Rowena Lasala"/>
    <m/>
    <n v="4"/>
    <n v="4"/>
    <n v="4"/>
    <n v="4"/>
    <n v="4"/>
    <n v="4"/>
    <s v="to read the SOP, you will never go wrong if you refer to the SOP during the call, master the SOP"/>
    <s v="i have not think of any"/>
  </r>
  <r>
    <s v="Jul 27, 2023 12:25:14"/>
    <n v="6"/>
    <n v="6"/>
    <s v="Guest"/>
    <s v="Manila, PHL"/>
    <s v="2023-06-26"/>
    <x v="3"/>
    <s v="Rowena Lasala"/>
    <s v="Tier 1"/>
    <n v="5"/>
    <n v="5"/>
    <n v="5"/>
    <n v="5"/>
    <n v="5"/>
    <n v="5"/>
    <s v="learn more using sop, engage every interaction and always ask if you dont know the answer"/>
    <s v="none everything is fine"/>
  </r>
  <r>
    <s v="Jul 27, 2023 12:24:43"/>
    <n v="6"/>
    <n v="5"/>
    <s v="Guest"/>
    <s v="Bridgewater, NS"/>
    <s v="2023-06-26"/>
    <x v="3"/>
    <s v="Rowena Lasala"/>
    <s v="Tier 1"/>
    <n v="5"/>
    <n v="4"/>
    <n v="4"/>
    <n v="3"/>
    <n v="5"/>
    <n v="5"/>
    <s v="Rowena provided a lot of helpful tips and provided a work environment context for the information provided. I am really grateful for the training and the time we were given to learn everything."/>
    <s v="TS2 is extremely challenging and may require a bit more time to practice. Though the training group was large , maybe some one on one time to go over certain things that individuals are finding difficult. Maybe more simulations to get used to setting up a good workflow."/>
  </r>
  <r>
    <s v="Jul 25, 2023 19:21:52"/>
    <n v="6"/>
    <n v="6"/>
    <s v="Guest"/>
    <s v="Manila, PHL"/>
    <s v="2023-07-24"/>
    <x v="3"/>
    <s v="Dave Lim"/>
    <s v="Tier 1"/>
    <n v="5"/>
    <n v="5"/>
    <n v="5"/>
    <n v="5"/>
    <n v="5"/>
    <n v="5"/>
    <s v="The proper way to position the statements in every concerns"/>
    <s v="actually they're good."/>
  </r>
  <r>
    <s v="Jul 25, 2023 19:14:18"/>
    <n v="6"/>
    <n v="6"/>
    <s v="Guest"/>
    <s v="Manila, PHL"/>
    <s v="2023-06-26"/>
    <x v="3"/>
    <s v="Rowena Lasala"/>
    <s v="Tier 1"/>
    <n v="4"/>
    <n v="4"/>
    <n v="4"/>
    <n v="4"/>
    <n v="4"/>
    <n v="4"/>
    <s v="The tone of the voice, the demeanor and being easy to approach"/>
    <s v="More hands-on experience, more role-playing and more participation from every member."/>
  </r>
  <r>
    <s v="Jul 25, 2023 19:13:07"/>
    <n v="6"/>
    <n v="6"/>
    <s v="Guest"/>
    <s v="Manila, PHL"/>
    <s v="2023-06-26"/>
    <x v="3"/>
    <s v="Rowena Lasala"/>
    <s v="Tier 1"/>
    <n v="5"/>
    <n v="5"/>
    <n v="5"/>
    <n v="5"/>
    <n v="5"/>
    <n v="5"/>
    <s v="Practice on tools, SOP navigation and following the correct process/steps"/>
    <s v="."/>
  </r>
  <r>
    <s v="Jul 25, 2023 19:12:15"/>
    <n v="6"/>
    <n v="6"/>
    <s v="Guest"/>
    <s v="Manila, PHL"/>
    <s v="2023-06-26"/>
    <x v="3"/>
    <s v="Rowena Lasala"/>
    <s v="Tier 1"/>
    <n v="5"/>
    <n v="5"/>
    <n v="5"/>
    <n v="5"/>
    <n v="5"/>
    <n v="5"/>
    <s v="setting proper expectations/giving feedbacks/time to practice on our tools"/>
    <s v="more time on navigating and familiarization about the tools"/>
  </r>
  <r>
    <s v="Jul 25, 2023 19:12:00"/>
    <n v="6"/>
    <n v="6"/>
    <s v="Guest"/>
    <s v="Manila, PHL"/>
    <s v="2023-06-26"/>
    <x v="3"/>
    <s v="Rowena Lasala"/>
    <s v="Tier 1"/>
    <n v="5"/>
    <n v="5"/>
    <n v="5"/>
    <n v="5"/>
    <n v="5"/>
    <n v="5"/>
    <s v="just read the sop, remember everything about the experience during nesting and facilitator engaged us every topic that we have"/>
    <s v="non, just be what she is because its really help the trainees to learn easily"/>
  </r>
  <r>
    <s v="Jul 25, 2023 19:11:18"/>
    <n v="6"/>
    <n v="6"/>
    <s v="Guest"/>
    <s v="Manila, PHL"/>
    <s v="2023-06-26"/>
    <x v="3"/>
    <s v="Rowena Lasala"/>
    <s v="Tier 1"/>
    <n v="5"/>
    <n v="5"/>
    <n v="5"/>
    <n v="5"/>
    <n v="5"/>
    <n v="5"/>
    <s v="hands on\nknowledgeable\nSOP navigation"/>
    <s v="there's none for me"/>
  </r>
  <r>
    <s v="Jul 25, 2023 19:09:34"/>
    <n v="6"/>
    <n v="6"/>
    <s v="Guest"/>
    <s v="Manila, PHL"/>
    <s v="2023-06-26"/>
    <x v="3"/>
    <s v="Rowena Lasala"/>
    <s v="Tier 1"/>
    <n v="5"/>
    <n v="5"/>
    <n v="5"/>
    <n v="5"/>
    <n v="5"/>
    <n v="5"/>
    <s v="train well, assisting while taking calls, coaching"/>
    <s v="N/A"/>
  </r>
  <r>
    <s v="Jul 25, 2023 19:06:18"/>
    <n v="6"/>
    <n v="6"/>
    <s v="Guest"/>
    <s v="Manila, PHL"/>
    <s v="2023-06-20"/>
    <x v="3"/>
    <s v="Ruschel Bartolome"/>
    <s v="Tier 1"/>
    <n v="5"/>
    <n v="5"/>
    <n v="5"/>
    <n v="5"/>
    <n v="5"/>
    <n v="5"/>
    <s v="Motivations, Responsible and Enthusiastic"/>
    <s v="None, just the same"/>
  </r>
  <r>
    <s v="Jul 25, 2023 19:06:04"/>
    <n v="6"/>
    <n v="6"/>
    <s v="Guest"/>
    <s v="Manila, PHL"/>
    <s v="2023-07-25"/>
    <x v="3"/>
    <s v="Gilisa Roberts"/>
    <s v="Tier 1"/>
    <n v="5"/>
    <n v="5"/>
    <n v="5"/>
    <n v="5"/>
    <n v="5"/>
    <n v="5"/>
    <s v="very approachable, highly encouraged to check sop first  and answer questions regarding process"/>
    <m/>
  </r>
  <r>
    <s v="Jul 25, 2023 17:33:55"/>
    <n v="6"/>
    <n v="6"/>
    <s v="Guest"/>
    <s v="Edmundson, NB"/>
    <s v="2023-06-26"/>
    <x v="3"/>
    <s v="Ruschel Bartolome"/>
    <s v="Tier 1"/>
    <n v="5"/>
    <n v="4"/>
    <n v="5"/>
    <n v="4"/>
    <n v="5"/>
    <n v="5"/>
    <s v="She has been very open and willing to answer any and all questions we have, Rowena's patience is seemingly limitless which makes asking questions a very comfortable experience. Rowena has the ability to make learning fun and engaging, and should be considered a valuable training asset for this company."/>
    <s v="The only thing I would have changed is that rather than doing as much call shadowing as we did with an experienced T1 agent, I think it would be more beneficial to take real calls sooner and more often while still training and have the class take turns taking the calls. That way we could gain more experience and also make note of each others mistakes and how to avoid making them ourselves later."/>
  </r>
  <r>
    <s v="Jul 25, 2023 17:14:33"/>
    <n v="6"/>
    <n v="6"/>
    <s v="Guest"/>
    <s v="Bridgewater, NS"/>
    <s v="2023-06-26"/>
    <x v="3"/>
    <s v="Rachel Daury"/>
    <s v="Tier 1"/>
    <n v="5"/>
    <n v="5"/>
    <n v="5"/>
    <n v="4"/>
    <n v="5"/>
    <n v="5"/>
    <s v="Lots of helpful notes and detailed explanations!"/>
    <s v="No complaints really! I'm really grateful for the training."/>
  </r>
  <r>
    <s v="Jul 25, 2023 17:10:25"/>
    <n v="6"/>
    <n v="6"/>
    <s v="Guest"/>
    <s v="Manila, PHL"/>
    <s v="2023-06-20"/>
    <x v="3"/>
    <s v="Ruschel Bartolome"/>
    <s v="Tier 1"/>
    <n v="4"/>
    <n v="4"/>
    <n v="4"/>
    <n v="5"/>
    <n v="5"/>
    <n v="5"/>
    <s v="to read the SOP all the time, to check the status code first before proceeding with the concern, to learn searching for answers by our own by reading the sop"/>
    <s v="she is very detailed oriented and that's helpful for me, I can't think of any improvements"/>
  </r>
  <r>
    <s v="Jul 25, 2023 16:22:35"/>
    <n v="6"/>
    <n v="6"/>
    <s v="Guest"/>
    <s v="Ottawa"/>
    <s v="2023-06-26"/>
    <x v="3"/>
    <s v="Ruschel Bartolome"/>
    <s v="Tier 1"/>
    <n v="5"/>
    <n v="4"/>
    <n v="5"/>
    <n v="5"/>
    <n v="5"/>
    <n v="5"/>
    <s v="Take one case at a time, remember to always refer to the SOPs and not guess the answer, check the blocks on the account"/>
    <s v="I can't think of any"/>
  </r>
  <r>
    <s v="Jul 25, 2023 16:17:35"/>
    <n v="6"/>
    <n v="6"/>
    <s v="Guest"/>
    <s v="Manila, PHL"/>
    <s v="2023-07-25"/>
    <x v="3"/>
    <s v="Gilisa Roberts"/>
    <s v="Tier 1"/>
    <n v="5"/>
    <n v="5"/>
    <n v="5"/>
    <n v="5"/>
    <n v="5"/>
    <n v="5"/>
    <m/>
    <m/>
  </r>
  <r>
    <s v="Jul 21, 2023 17:36:29"/>
    <n v="6"/>
    <n v="6"/>
    <s v="Guest"/>
    <s v="Manila, PHL"/>
    <s v="2023-06-06"/>
    <x v="10"/>
    <s v="Jill Hirtle"/>
    <s v="Tier 1"/>
    <n v="5"/>
    <n v="5"/>
    <n v="5"/>
    <n v="5"/>
    <n v="5"/>
    <n v="5"/>
    <s v="be patience be strong and be knowledgeable"/>
    <s v="none for now"/>
  </r>
  <r>
    <s v="Jul 20, 2023 17:52:53"/>
    <n v="6"/>
    <n v="6"/>
    <s v="Guest"/>
    <s v="Toronto, ON"/>
    <s v="2023-07-05"/>
    <x v="6"/>
    <s v="Maida Musse"/>
    <s v="Disputes"/>
    <n v="4"/>
    <n v="4"/>
    <n v="4"/>
    <n v="4"/>
    <n v="4"/>
    <n v="4"/>
    <s v="explaining the material. supporting us. practicing."/>
    <s v="none. love her!"/>
  </r>
  <r>
    <s v="Jul 20, 2023 12:01:47"/>
    <n v="6"/>
    <n v="5"/>
    <s v="Guest"/>
    <s v="Toronto, ON"/>
    <s v="2023-07-20"/>
    <x v="6"/>
    <s v="Maida Musse"/>
    <s v="Disputes"/>
    <n v="4"/>
    <n v="4"/>
    <n v="4"/>
    <n v="4"/>
    <n v="3"/>
    <n v="5"/>
    <s v="made us interact with pairs, involved us in the simulation , answered to all our question"/>
    <s v="give us more time to read sobs,"/>
  </r>
  <r>
    <s v="Jul 20, 2023 12:01:42"/>
    <n v="6"/>
    <n v="6"/>
    <s v="Guest"/>
    <s v="Sudbury, ON"/>
    <s v="2023-07-05"/>
    <x v="6"/>
    <s v="Maida Musse"/>
    <s v="Disputes"/>
    <n v="5"/>
    <n v="5"/>
    <n v="5"/>
    <n v="5"/>
    <n v="5"/>
    <n v="5"/>
    <s v="Facilitator was clear and concise. She was able to answer questions when given a hypothetical scenario. She also provided examples and transcripts of similar topic scenario."/>
    <s v="To be honest, nothing."/>
  </r>
  <r>
    <s v="Jul 20, 2023 12:00:01"/>
    <n v="6"/>
    <n v="6"/>
    <s v="Guest"/>
    <s v="Bridgewater, NS"/>
    <s v="2023-07-05"/>
    <x v="6"/>
    <s v="Maida Musse"/>
    <s v="Disputes"/>
    <n v="5"/>
    <n v="5"/>
    <n v="5"/>
    <n v="5"/>
    <n v="5"/>
    <n v="5"/>
    <s v="Supportive, Energy level, Clear communication"/>
    <m/>
  </r>
  <r>
    <s v="Jul 20, 2023 11:59:02"/>
    <n v="6"/>
    <n v="6"/>
    <s v="Guest"/>
    <s v="Edmundson, NB"/>
    <s v="2023-07-05"/>
    <x v="6"/>
    <s v="Maida Musse"/>
    <s v="Disputes"/>
    <n v="5"/>
    <n v="5"/>
    <n v="5"/>
    <n v="5"/>
    <n v="5"/>
    <n v="5"/>
    <s v="Gave us positive reinforcement when it came to something we we not to sure of, gave us personal experience examples, always made herself available for any reason."/>
    <s v="I really have nothing to say. She truly knows what she is saying and doing, knows how to read a room and realize maybe what she said was over our heads and broke down the lessons. Maida really is a people person and you can tell she enjoys teaching her people."/>
  </r>
  <r>
    <s v="Jul 20, 2023 11:58:37"/>
    <n v="6"/>
    <n v="6"/>
    <s v="Guest"/>
    <s v="Bridgewater, NS"/>
    <s v="2023-07-05"/>
    <x v="6"/>
    <s v="Nancy Price"/>
    <s v="Disputes"/>
    <n v="4"/>
    <n v="5"/>
    <n v="5"/>
    <n v="5"/>
    <n v="4"/>
    <n v="4"/>
    <s v="pratice role play take good notes"/>
    <s v="everything was good"/>
  </r>
  <r>
    <s v="Jul 19, 2023 22:53:18"/>
    <n v="6"/>
    <n v="6"/>
    <s v="Guest"/>
    <s v="Ottawa"/>
    <s v="2023-07-19"/>
    <x v="1"/>
    <s v="Mahalakshmi Ramasubramanian"/>
    <s v="Tier 2"/>
    <n v="5"/>
    <n v="5"/>
    <n v="5"/>
    <n v="5"/>
    <n v="5"/>
    <n v="5"/>
    <s v="Understanding, Patience and Great teaching"/>
    <m/>
  </r>
  <r>
    <s v="Jul 17, 2023 21:08:24"/>
    <n v="6"/>
    <n v="4"/>
    <s v="Guest"/>
    <s v="Ottawa"/>
    <s v="2023-06-17"/>
    <x v="1"/>
    <s v="Mahalakshmi Ramasubramanian"/>
    <s v="Tier 2"/>
    <n v="4"/>
    <n v="3"/>
    <n v="5"/>
    <n v="3"/>
    <n v="5"/>
    <n v="5"/>
    <m/>
    <m/>
  </r>
  <r>
    <s v="Jul 17, 2023 17:31:19"/>
    <n v="6"/>
    <n v="6"/>
    <s v="Guest"/>
    <s v="Ottawa"/>
    <s v="2023-06-19"/>
    <x v="4"/>
    <s v="Jill Hirtle"/>
    <s v="Tier 1"/>
    <n v="5"/>
    <n v="5"/>
    <n v="5"/>
    <n v="5"/>
    <n v="5"/>
    <n v="4"/>
    <s v="Encouraged the asking of questions, answered questions accurately, gave feedback."/>
    <s v="none"/>
  </r>
  <r>
    <s v="Jul 17, 2023 17:30:32"/>
    <n v="6"/>
    <n v="5"/>
    <s v="Guest"/>
    <s v="Manila, PHL"/>
    <s v="2023-06-19"/>
    <x v="4"/>
    <s v="Jill Hirtle"/>
    <s v="Tier 1"/>
    <n v="5"/>
    <n v="4"/>
    <n v="3"/>
    <n v="4"/>
    <n v="4"/>
    <n v="4"/>
    <s v="Our trainer is kind, confident and  confident"/>
    <s v="The facilitator should elaborate the Sop and she should provide a easiest way on how the trainees can easily understand the specific topic"/>
  </r>
  <r>
    <s v="Jul 17, 2023 16:52:26"/>
    <n v="6"/>
    <n v="6"/>
    <s v="Guest"/>
    <s v="Manila, PHL"/>
    <s v="2023-06-19"/>
    <x v="4"/>
    <s v="Jill Hirtle"/>
    <s v="Tier 1"/>
    <n v="4"/>
    <n v="4"/>
    <n v="4"/>
    <n v="5"/>
    <n v="4"/>
    <n v="4"/>
    <s v="Our trainer was able to answers most of our questions with a nice voice, I didn't feel that I am lacking just because I am asking// She gave us a lot of activities so we can practice."/>
    <s v="Sometimes, she jumped to another topic without discussing it further. // There are lots of self-studies."/>
  </r>
  <r>
    <s v="Jul 17, 2023 16:47:43"/>
    <n v="6"/>
    <n v="4"/>
    <s v="Guest"/>
    <s v="Manila, PHL"/>
    <s v="2023-07-17"/>
    <x v="4"/>
    <s v="Jill Hirtle"/>
    <s v="Tier 1"/>
    <m/>
    <n v="4"/>
    <n v="4"/>
    <n v="3"/>
    <n v="4"/>
    <n v="4"/>
    <m/>
    <m/>
  </r>
  <r>
    <s v="Jul 17, 2023 16:47:34"/>
    <n v="6"/>
    <n v="4"/>
    <s v="Guest"/>
    <s v="Manila, PHL"/>
    <s v="2023-06-19"/>
    <x v="4"/>
    <s v="Jill Hirtle"/>
    <s v="Tier 1"/>
    <n v="5"/>
    <n v="3"/>
    <n v="4"/>
    <n v="4"/>
    <n v="5"/>
    <n v="3"/>
    <s v="able to provide examples on the scenarios, providing the time to read and understand the sop"/>
    <s v="example with the navigation more so that we can able to understand with the scenario"/>
  </r>
  <r>
    <s v="Jul 17, 2023 16:46:29"/>
    <n v="6"/>
    <n v="6"/>
    <s v="Guest"/>
    <s v="Manila, PHL"/>
    <s v="2023-06-19"/>
    <x v="4"/>
    <s v="Jill Hirtle"/>
    <s v="Tier 1"/>
    <n v="4"/>
    <n v="4"/>
    <n v="5"/>
    <n v="5"/>
    <n v="5"/>
    <n v="5"/>
    <s v="The way she positively answers the questions and providing feedbacks and saying the opportunities in a nice way and pushing us beyond our limits is such an amazing experience to have with our trainers"/>
    <s v="They should try being the ch in a roleplay. And Balmannu Acharya was an amazing facilitator for challenging us every meeting with the mind blowing brain teasers."/>
  </r>
  <r>
    <s v="Jul 17, 2023 16:46:17"/>
    <n v="6"/>
    <n v="3"/>
    <s v="Guest"/>
    <s v="Manila, PHL"/>
    <s v="2023-07-17"/>
    <x v="4"/>
    <s v="Jill Hirtle"/>
    <s v="Tier 1"/>
    <n v="3"/>
    <n v="3"/>
    <n v="3"/>
    <n v="4"/>
    <n v="4"/>
    <n v="4"/>
    <s v="Always based your questions on the SOP."/>
    <s v="Try to give an ice breaker."/>
  </r>
  <r>
    <s v="Jul 17, 2023 16:39:38"/>
    <n v="6"/>
    <n v="6"/>
    <s v="Guest"/>
    <s v="Manila, PHL"/>
    <s v="2023-06-13"/>
    <x v="4"/>
    <s v="Jill Hirtle"/>
    <s v="Tier 1"/>
    <n v="5"/>
    <n v="5"/>
    <n v="5"/>
    <n v="5"/>
    <n v="4"/>
    <n v="4"/>
    <s v="explaining the process, asking if we understand the process, answering all of our questions"/>
    <s v="none"/>
  </r>
  <r>
    <s v="Jul 17, 2023 16:38:32"/>
    <n v="6"/>
    <n v="6"/>
    <s v="Guest"/>
    <s v="Manila, PHL"/>
    <s v="2023-07-17"/>
    <x v="4"/>
    <s v="Jill Hirtle"/>
    <s v="Tier 1"/>
    <n v="4"/>
    <n v="5"/>
    <n v="4"/>
    <n v="4"/>
    <n v="4"/>
    <n v="4"/>
    <s v="feedback, answer all the question , patience of teaching"/>
    <s v="n/a"/>
  </r>
  <r>
    <s v="Jul 17, 2023 16:37:33"/>
    <n v="6"/>
    <n v="5"/>
    <s v="Guest"/>
    <s v="Manila, PHL"/>
    <s v="2023-06-13"/>
    <x v="4"/>
    <s v="Jill Hirtle"/>
    <m/>
    <n v="4"/>
    <n v="4"/>
    <n v="4"/>
    <n v="3"/>
    <n v="4"/>
    <n v="4"/>
    <s v="saying we can do it, answering question thoroughly, providing time and understanding by the book."/>
    <s v="none"/>
  </r>
  <r>
    <s v="Jul 17, 2023 16:36:58"/>
    <n v="6"/>
    <n v="6"/>
    <s v="Guest"/>
    <s v="Manila, PHL"/>
    <s v="2023-07-17"/>
    <x v="4"/>
    <s v="Jill Hirtle"/>
    <s v="Tier 1"/>
    <n v="4"/>
    <n v="5"/>
    <n v="4"/>
    <n v="4"/>
    <n v="4"/>
    <n v="4"/>
    <s v="feedback, answer all the question , patience of teaching"/>
    <s v="n/a"/>
  </r>
  <r>
    <s v="Jul 17, 2023 16:36:28"/>
    <n v="6"/>
    <n v="6"/>
    <s v="Guest"/>
    <s v="Manila, PHL"/>
    <s v="2023-06-13"/>
    <x v="4"/>
    <s v="Jill Hirtle"/>
    <s v="Tier 1"/>
    <n v="5"/>
    <n v="4"/>
    <n v="4"/>
    <n v="5"/>
    <n v="5"/>
    <n v="5"/>
    <s v="Professional , very hands on and reliable"/>
    <s v="None"/>
  </r>
  <r>
    <s v="Jul 17, 2023 16:34:09"/>
    <n v="6"/>
    <n v="6"/>
    <s v="Guest"/>
    <s v="Manila, PHL"/>
    <s v="2023-07-17"/>
    <x v="4"/>
    <s v="Jill Hirtle"/>
    <s v="Tier 1"/>
    <n v="5"/>
    <n v="5"/>
    <n v="5"/>
    <n v="5"/>
    <n v="5"/>
    <n v="5"/>
    <s v="Ok"/>
    <s v="Ok"/>
  </r>
  <r>
    <s v="Jul 14, 2023 19:18:53"/>
    <n v="6"/>
    <n v="6"/>
    <s v="Guest"/>
    <s v="Yarmouth, NS"/>
    <s v="2023-06-06"/>
    <x v="1"/>
    <s v="Mahalakshmi Ramasubramanian"/>
    <s v="Tier 2"/>
    <n v="5"/>
    <n v="4"/>
    <n v="5"/>
    <n v="4"/>
    <n v="5"/>
    <n v="5"/>
    <s v="1) Answered each and every doubts of us, 2) did call shadowing for us for complex calls and 3) Put us on the calls of same type for more practice as the modules covered in the training"/>
    <s v="1) may be given more time to practice for each and  every self led modules 2) did some more call shadowing for us."/>
  </r>
  <r>
    <s v="Jul 14, 2023 17:33:45"/>
    <n v="6"/>
    <n v="6"/>
    <s v="Guest"/>
    <s v="Bridgewater, NS"/>
    <s v="2023-06-06"/>
    <x v="1"/>
    <s v="Mahalakshmi Ramasubramanian"/>
    <s v="Tier 2"/>
    <n v="4"/>
    <n v="4"/>
    <n v="4"/>
    <n v="4"/>
    <n v="4"/>
    <n v="4"/>
    <m/>
    <m/>
  </r>
  <r>
    <s v="Jul 14, 2023 14:05:47"/>
    <n v="6"/>
    <n v="6"/>
    <s v="Guest"/>
    <s v="Toronto, ON"/>
    <s v="2023-07-14"/>
    <x v="5"/>
    <s v="Anita Bliss-Dias"/>
    <s v="Disputes"/>
    <n v="5"/>
    <n v="4"/>
    <n v="5"/>
    <n v="5"/>
    <n v="5"/>
    <n v="5"/>
    <s v="answering all my question, and material well prepared and many examples about different seniors was offered"/>
    <s v="everything on training was well arranged"/>
  </r>
  <r>
    <s v="Jul 14, 2023 10:49:23"/>
    <n v="6"/>
    <n v="5"/>
    <s v="Guest"/>
    <s v="Toronto, ON"/>
    <s v="2023-07-14"/>
    <x v="5"/>
    <s v="Anita Bliss-Dias"/>
    <s v="Disputes"/>
    <n v="4"/>
    <n v="5"/>
    <n v="5"/>
    <n v="4"/>
    <n v="4"/>
    <n v="3"/>
    <m/>
    <m/>
  </r>
  <r>
    <s v="Jul 14, 2023 10:43:59"/>
    <n v="6"/>
    <n v="6"/>
    <s v="Guest"/>
    <s v="Edmundson, NB"/>
    <s v="2023-07-05"/>
    <x v="5"/>
    <s v="Anita Bliss-Dias"/>
    <s v="Disputes"/>
    <n v="4"/>
    <n v="4"/>
    <n v="4"/>
    <n v="5"/>
    <n v="4"/>
    <n v="5"/>
    <s v="Facilitator was patient, always willing to answer questions asked and gave helpful scenarios that enabled faster understanding"/>
    <m/>
  </r>
  <r>
    <s v="Jul 14, 2023 10:36:43"/>
    <n v="6"/>
    <n v="6"/>
    <s v="Guest"/>
    <s v="Toronto, ON"/>
    <s v="2023-07-14"/>
    <x v="5"/>
    <s v="Maida Musse"/>
    <s v="Disputes"/>
    <n v="5"/>
    <n v="5"/>
    <n v="5"/>
    <n v="5"/>
    <n v="5"/>
    <n v="5"/>
    <s v="Helpful, Friendly, Have proper knowledge of every material"/>
    <s v="More job shadowing, going little bit more slow, more practice"/>
  </r>
  <r>
    <s v="Jul 13, 2023 12:38:51"/>
    <n v="6"/>
    <n v="0"/>
    <s v="Guest"/>
    <s v="Bridgewater, NS"/>
    <s v="2023-07-13"/>
    <x v="1"/>
    <s v="Mahalakshmi Ramasubramanian"/>
    <s v="Tier 2"/>
    <n v="3"/>
    <n v="3"/>
    <n v="3"/>
    <n v="2"/>
    <n v="3"/>
    <n v="3"/>
    <s v="NA"/>
    <s v="have better listening abilities"/>
  </r>
  <r>
    <s v="Jul 13, 2023 07:41:23"/>
    <n v="6"/>
    <n v="6"/>
    <s v="Guest"/>
    <s v="Edmundson, NB"/>
    <s v="2023-06-06"/>
    <x v="1"/>
    <s v="Ankit Vishnoi"/>
    <s v="Tier 2"/>
    <n v="5"/>
    <n v="5"/>
    <n v="5"/>
    <n v="5"/>
    <n v="5"/>
    <n v="5"/>
    <s v="The trainer Asked and answered our questions, explained and put examples of processes, and took life calls so we would have the opportunity to see in real life how it works. Also pointed the things we needed to improve to get better."/>
    <s v="Not sure, he did a good job and was available to clarify our doubts, and answered all our questions."/>
  </r>
  <r>
    <s v="Jul 12, 2023 17:57:55"/>
    <n v="6"/>
    <n v="6"/>
    <s v="Guest"/>
    <s v="Ottawa"/>
    <s v="2023-07-12"/>
    <x v="1"/>
    <s v="Mahalakshmi Ramasubramanian"/>
    <s v="Tier 2"/>
    <n v="5"/>
    <n v="5"/>
    <n v="5"/>
    <n v="5"/>
    <n v="5"/>
    <n v="5"/>
    <s v="sop, detail instruction and easy to understand the concept"/>
    <s v="more videos, more live calls and more team interaction"/>
  </r>
  <r>
    <s v="Jul 12, 2023 14:59:48"/>
    <n v="6"/>
    <n v="6"/>
    <s v="Guest"/>
    <s v="Toronto, ON"/>
    <s v="2023-06-06"/>
    <x v="1"/>
    <s v="Mahalakshmi Ramasubramanian"/>
    <s v="Tier 2"/>
    <n v="5"/>
    <n v="5"/>
    <n v="5"/>
    <n v="5"/>
    <n v="5"/>
    <n v="5"/>
    <s v="Huddle, Question Answer and Teams group assistance"/>
    <s v="Huddle more same day to discuss his opinion, More Shadowing, and discuss team mates call everyday."/>
  </r>
  <r>
    <s v="Jul 12, 2023 14:15:32"/>
    <n v="6"/>
    <n v="6"/>
    <s v="Guest"/>
    <s v="Ottawa"/>
    <s v="2023-06-13"/>
    <x v="1"/>
    <s v="Mahalakshmi Ramasubramanian"/>
    <s v="Tier 2"/>
    <n v="5"/>
    <n v="5"/>
    <n v="5"/>
    <n v="5"/>
    <n v="4"/>
    <n v="4"/>
    <s v="call shadowing"/>
    <s v="more call shadowing,"/>
  </r>
  <r>
    <s v="Jul 12, 2023 13:54:50"/>
    <n v="6"/>
    <n v="6"/>
    <s v="Guest"/>
    <s v="Ottawa"/>
    <s v="2023-06-06"/>
    <x v="1"/>
    <s v="Mahalakshmi Ramasubramanian"/>
    <s v="Tier 2"/>
    <n v="5"/>
    <n v="4"/>
    <n v="5"/>
    <n v="5"/>
    <n v="5"/>
    <n v="5"/>
    <s v="explain/ shadowing"/>
    <m/>
  </r>
  <r>
    <s v="Jul 12, 2023 13:49:22"/>
    <n v="6"/>
    <n v="6"/>
    <s v="Guest"/>
    <s v="Toronto, ON"/>
    <s v="2023-07-12"/>
    <x v="1"/>
    <s v="Mahalakshmi Ramasubramanian"/>
    <s v="Tier 2"/>
    <n v="5"/>
    <n v="5"/>
    <n v="5"/>
    <n v="5"/>
    <n v="5"/>
    <n v="5"/>
    <s v="He was very supportive and answered all our questions and is a very good trainer . he did some calls for us and did shadowing which enhanced our confidence and let us know how to handle calls and all."/>
    <s v="I dont think anything like that . all was good"/>
  </r>
  <r>
    <s v="Jun 30, 2023 17:55:31"/>
    <n v="6"/>
    <n v="6"/>
    <s v="Guest"/>
    <s v="Ottawa"/>
    <s v="2023-06-05"/>
    <x v="8"/>
    <s v="Sneha Menda"/>
    <s v="Tier 1"/>
    <n v="5"/>
    <n v="5"/>
    <n v="5"/>
    <n v="5"/>
    <n v="5"/>
    <n v="5"/>
    <s v="to believe in ourselves , make sure we understand  the teachings"/>
    <s v="none"/>
  </r>
  <r>
    <s v="Jun 30, 2023 17:53:09"/>
    <n v="6"/>
    <n v="6"/>
    <s v="Guest"/>
    <s v="Ottawa"/>
    <s v="2023-06-05"/>
    <x v="8"/>
    <s v="Sneha Menda"/>
    <s v="Tier 1"/>
    <n v="5"/>
    <n v="5"/>
    <n v="5"/>
    <n v="5"/>
    <n v="5"/>
    <n v="5"/>
    <s v="Sneha was really encouraging and she also took time to explain slowly and with simple word the most complex subject, Mr. Tom Tse was really energetic, and him and Sneha were really listening to us and they always had clear answers to our questions"/>
    <s v="They did really great !"/>
  </r>
  <r>
    <s v="Jun 30, 2023 17:51:42"/>
    <n v="6"/>
    <n v="6"/>
    <s v="Guest"/>
    <s v="Edmundson, NB"/>
    <s v="2023-06-05"/>
    <x v="8"/>
    <s v="Sneha Menda"/>
    <s v="Tier 1"/>
    <n v="4"/>
    <n v="5"/>
    <n v="5"/>
    <n v="4"/>
    <n v="5"/>
    <n v="5"/>
    <s v="encouraged me told me not to worry and the way she explained things really kept it interesting"/>
    <s v="not thinking of anything to improve also tom tse was a good cofacilitator as well really showed up tip and tricks"/>
  </r>
  <r>
    <s v="Jun 30, 2023 17:51:40"/>
    <n v="6"/>
    <n v="6"/>
    <s v="Guest"/>
    <s v="Manila, PHL"/>
    <s v="2023-06-05"/>
    <x v="8"/>
    <s v="Sneha Menda"/>
    <s v="Tier 1"/>
    <n v="4"/>
    <n v="4"/>
    <n v="4"/>
    <n v="4"/>
    <n v="4"/>
    <n v="4"/>
    <s v="encourangement"/>
    <s v="kinda lessen reading the sops and make actual examples so that the new trainees will understand it much better."/>
  </r>
  <r>
    <s v="Jun 30, 2023 17:51:34"/>
    <n v="6"/>
    <n v="6"/>
    <s v="Guest"/>
    <s v="Manila, PHL"/>
    <s v="2023-06-05"/>
    <x v="8"/>
    <s v="Ruschel Bartolome"/>
    <s v="Tier 1"/>
    <n v="5"/>
    <n v="5"/>
    <n v="5"/>
    <n v="5"/>
    <n v="5"/>
    <n v="5"/>
    <s v="They motivate us everyday, they giving us an opportunity to explore more and speak more to practice our communication skills."/>
    <s v="For me, none so far. Because they really good mentors for us."/>
  </r>
  <r>
    <s v="Jun 30, 2023 17:51:11"/>
    <n v="6"/>
    <n v="6"/>
    <s v="Guest"/>
    <s v="Manila, PHL"/>
    <s v="2023-06-05"/>
    <x v="8"/>
    <s v="Sneha Menda"/>
    <s v="Tier 1"/>
    <n v="5"/>
    <n v="5"/>
    <n v="5"/>
    <n v="5"/>
    <n v="5"/>
    <n v="5"/>
    <s v="she is very nice, kind, and very good mentor."/>
    <s v="for me i think they did they're  very well. we learned a lot."/>
  </r>
  <r>
    <s v="Jun 30, 2023 17:50:57"/>
    <n v="6"/>
    <n v="6"/>
    <s v="Guest"/>
    <s v="Manila, PHL"/>
    <s v="2023-06-05"/>
    <x v="8"/>
    <s v="Sneha Menda"/>
    <s v="Tier 1"/>
    <n v="5"/>
    <n v="5"/>
    <n v="5"/>
    <n v="5"/>
    <n v="5"/>
    <n v="5"/>
    <s v="1. They were informative in answering the questions that bothers me after lecture\n2. Encouraging words that boost my confidence when I'm in doubt\n3. Voices are empowering and makes me comfortable"/>
    <s v="1. I guess when discussing they should try to do role play after if its possible \n2. Instead of reading the whole text there should be an actual navigation in using the tools if needed\n3. Let us read the text instead of their selves the whole time so their would be a interaction between all of us"/>
  </r>
  <r>
    <s v="Jun 30, 2023 17:50:52"/>
    <n v="6"/>
    <n v="6"/>
    <s v="Guest"/>
    <s v="Manila, PHL"/>
    <s v="2023-06-05"/>
    <x v="8"/>
    <s v="Sneha Menda"/>
    <s v="Tier 1"/>
    <n v="5"/>
    <n v="5"/>
    <n v="5"/>
    <n v="5"/>
    <n v="5"/>
    <n v="5"/>
    <s v="kind , patience, and very understanding facilitator and also enough knowledge  to teach"/>
    <s v="none i think bc facilitator did a great job and also thank you tom for all the knowledge and effort"/>
  </r>
  <r>
    <s v="Jun 30, 2023 17:50:50"/>
    <n v="6"/>
    <n v="5"/>
    <s v="Guest"/>
    <s v="Ottawa"/>
    <s v="2023-06-05"/>
    <x v="8"/>
    <s v="Sneha Menda"/>
    <s v="Tier 1"/>
    <n v="5"/>
    <n v="3"/>
    <n v="5"/>
    <n v="4"/>
    <n v="5"/>
    <n v="5"/>
    <s v="Sneha was very patient, understanding and good at training. Tom is good at explaining and making points clear as well"/>
    <m/>
  </r>
  <r>
    <s v="Jun 30, 2023 17:49:15"/>
    <n v="6"/>
    <n v="6"/>
    <s v="Guest"/>
    <s v="Manila, PHL"/>
    <s v="2023-06-05"/>
    <x v="8"/>
    <s v="Sneha Menda"/>
    <s v="Tier 1"/>
    <n v="4"/>
    <n v="4"/>
    <n v="5"/>
    <n v="5"/>
    <n v="5"/>
    <n v="5"/>
    <s v="Keep providing the necessary steps of the module, hands on when it comes to the topic and very enthusiastic when it comes to the teaching"/>
    <s v="Give at least an ice breaker just to spice up the mood of the listener"/>
  </r>
  <r>
    <s v="Jun 30, 2023 17:49:01"/>
    <n v="6"/>
    <n v="6"/>
    <s v="Guest"/>
    <s v="Ottawa"/>
    <s v="2023-06-05"/>
    <x v="8"/>
    <s v="Sneha Menda"/>
    <s v="Tier 1"/>
    <n v="5"/>
    <n v="5"/>
    <n v="5"/>
    <n v="5"/>
    <n v="5"/>
    <n v="5"/>
    <s v="They would us the chance to find information on our own, they were patient, and would give very good suggestions"/>
    <s v="Give us more activities as a group, more time to do call shadowings, and more practice rounds with Live customers"/>
  </r>
  <r>
    <s v="Jun 30, 2023 17:49:01"/>
    <n v="6"/>
    <n v="6"/>
    <s v="Guest"/>
    <s v="Manila, PHL"/>
    <s v="2023-06-30"/>
    <x v="8"/>
    <s v="Sneha Menda"/>
    <s v="Tier 1"/>
    <n v="4"/>
    <n v="4"/>
    <n v="4"/>
    <n v="4"/>
    <n v="4"/>
    <n v="4"/>
    <m/>
    <m/>
  </r>
  <r>
    <s v="Jun 23, 2023 13:57:12"/>
    <n v="6"/>
    <n v="6"/>
    <s v="Guest"/>
    <s v="Manila, PHL"/>
    <s v="2023-05-29"/>
    <x v="2"/>
    <s v="Bibi Alli"/>
    <s v="Tier 1"/>
    <n v="5"/>
    <n v="5"/>
    <n v="4"/>
    <n v="5"/>
    <n v="4"/>
    <n v="4"/>
    <s v="maybe on how you can i communicate with the cardholder just like on how comfortable  to each other"/>
    <s v="about the mock call practice"/>
  </r>
  <r>
    <s v="Jun 23, 2023 13:53:07"/>
    <n v="6"/>
    <n v="6"/>
    <s v="Guest"/>
    <s v="Manila, PHL"/>
    <s v="2023-06-29"/>
    <x v="2"/>
    <s v="Bibi Alli"/>
    <s v="Tier 1"/>
    <n v="4"/>
    <n v="4"/>
    <n v="4"/>
    <n v="4"/>
    <n v="4"/>
    <n v="4"/>
    <s v="they are knowledegeable in process and also they motivate and encourage us to learn new things"/>
    <s v="None"/>
  </r>
  <r>
    <s v="Jun 23, 2023 13:52:27"/>
    <n v="6"/>
    <n v="3"/>
    <s v="Guest"/>
    <s v="Manila, PHL"/>
    <s v="2023-05-29"/>
    <x v="2"/>
    <s v="Bibi Alli"/>
    <s v="Tier 1"/>
    <n v="3"/>
    <n v="3"/>
    <n v="4"/>
    <n v="3"/>
    <n v="4"/>
    <n v="4"/>
    <s v="Don't give up, Learning is a process and that If i have questions I can ask them."/>
    <s v="They're good"/>
  </r>
  <r>
    <s v="Jun 23, 2023 13:51:20"/>
    <n v="6"/>
    <n v="6"/>
    <s v="Guest"/>
    <s v="Manila, PHL"/>
    <s v="2023-05-29"/>
    <x v="2"/>
    <s v="Bibi Alli"/>
    <s v="Tier 1"/>
    <n v="5"/>
    <n v="5"/>
    <n v="5"/>
    <n v="4"/>
    <n v="5"/>
    <n v="5"/>
    <s v="they keep on complimenting us whenever we asked or answer their questions they keep on saying very good question/answer."/>
    <s v="They could have allow us to make mock call every after the lesson so we could practice."/>
  </r>
  <r>
    <s v="Jun 23, 2023 13:50:41"/>
    <n v="6"/>
    <n v="6"/>
    <s v="Guest"/>
    <s v="Ottawa"/>
    <s v="2023-05-29"/>
    <x v="2"/>
    <s v="Bibi Alli"/>
    <s v="Tier 1"/>
    <n v="5"/>
    <n v="5"/>
    <n v="5"/>
    <n v="5"/>
    <n v="5"/>
    <n v="5"/>
    <s v="They were easy to talk to, elaborated when questions were asked, very positive, and patient."/>
    <s v="They were actually amazing, there's nothing I can think of. I felt supported in a way that was customized for me."/>
  </r>
  <r>
    <s v="Jun 21, 2023 18:13:31"/>
    <n v="6"/>
    <n v="5"/>
    <s v="Guest"/>
    <s v="Ottawa"/>
    <s v="2023-06-21"/>
    <x v="0"/>
    <s v="Jill Hirtle"/>
    <s v="Tier 2"/>
    <n v="5"/>
    <n v="3"/>
    <n v="5"/>
    <n v="4"/>
    <n v="5"/>
    <n v="5"/>
    <s v="Always made sure we understood and did not mind repeating when you could not fully comprehend"/>
    <s v="If we had time to do practice calls within the group/class i feel like it would have been great but i understand the schedule was fixed a certain way. Thats the only thing i mainly wish was different"/>
  </r>
  <r>
    <s v="Jun 19, 2023 17:32:26"/>
    <n v="6"/>
    <n v="6"/>
    <s v="Guest"/>
    <s v="Ottawa"/>
    <s v="2023-05-23"/>
    <x v="12"/>
    <s v="Anita Bliss-Dias"/>
    <s v="Tier 1"/>
    <n v="5"/>
    <n v="5"/>
    <n v="5"/>
    <n v="4"/>
    <n v="5"/>
    <n v="5"/>
    <s v="He made sure to take the time to answer everyone's questions and would go over things if we felt we needed it. He was always in a pleasant mood and was so patient even if we went off track a bit. He was great at keeping us directed (or getting us back on direction). He gave little words of encouragement, or would relate to us. He was extremely knowledgeable and gave us the information very clearly. He was awesome for making things more visual or showing us examples when we were struggling at following."/>
    <s v="We need more time in training with the tools. It's hard because we need to review so much so I'm not sure how they could do it better... maybe more breakout sessions, or more time with the one on one calls we did this last day. I felt a lot of time that there was a lot of information that we didn't need to review as it would be something we can only relate when we're doing it firsthand. I'm an extremely visual person so it was a lot of auditory information for me. I think a lot of it will come in handy as we're actually working so it may have been all the info dump we needed just maybe a little more hands on practice time with the tools."/>
  </r>
  <r>
    <s v="Jun 19, 2023 17:32:03"/>
    <n v="6"/>
    <n v="4"/>
    <s v="Guest"/>
    <s v="Bridgewater, NS"/>
    <s v="2023-05-23"/>
    <x v="12"/>
    <s v="Anita Bliss-Dias"/>
    <s v="Tier 1"/>
    <n v="4"/>
    <n v="3"/>
    <n v="4"/>
    <n v="1"/>
    <n v="4"/>
    <n v="4"/>
    <s v="Explaining their answers. Listening to my questions. Patience and Kindness."/>
    <s v="Control the class. More opportunities to practice what I learned. Setting the right expectations for the next day."/>
  </r>
  <r>
    <s v="Jun 19, 2023 17:28:07"/>
    <n v="6"/>
    <n v="6"/>
    <s v="Guest"/>
    <s v="Manila, PHL"/>
    <s v="2023-05-23"/>
    <x v="12"/>
    <s v="Anita Bliss-Dias"/>
    <s v="Tier 1"/>
    <n v="5"/>
    <n v="5"/>
    <n v="5"/>
    <n v="5"/>
    <n v="5"/>
    <n v="5"/>
    <s v="well explained, patience, and acknowledgement"/>
    <s v="none"/>
  </r>
  <r>
    <s v="Jun 19, 2023 17:24:01"/>
    <n v="6"/>
    <n v="6"/>
    <s v="Guest"/>
    <s v="Ottawa"/>
    <s v="2023-05-23"/>
    <x v="12"/>
    <s v="Anita Bliss-Dias"/>
    <s v="Tier 1"/>
    <n v="5"/>
    <n v="4"/>
    <n v="5"/>
    <n v="4"/>
    <n v="4"/>
    <n v="4"/>
    <s v="Reading the SOP's, Doing the Quizzes and Taking our time to understand"/>
    <s v="Giving more training with TS2 and more breakout sessions more training with MAC GUI"/>
  </r>
  <r>
    <s v="Jun 19, 2023 17:23:59"/>
    <n v="6"/>
    <n v="6"/>
    <s v="Guest"/>
    <s v="Manila, PHL"/>
    <s v="2023-05-23"/>
    <x v="12"/>
    <s v="Anita Bliss-Dias"/>
    <s v="Tier 1"/>
    <n v="4"/>
    <n v="4"/>
    <n v="4"/>
    <n v="5"/>
    <n v="4"/>
    <n v="4"/>
    <s v="Our facilitator always motivate us that we can do the task, He is so very nice to us and he always help us to understand everything, Lastly he always make the lesson simple so we can always understand his lessons."/>
    <m/>
  </r>
  <r>
    <s v="Jun 19, 2023 17:23:33"/>
    <n v="6"/>
    <n v="6"/>
    <s v="Guest"/>
    <s v="Edmundson, NB"/>
    <s v="2023-05-23"/>
    <x v="12"/>
    <s v="Anita Bliss-Dias"/>
    <s v="Tier 1"/>
    <n v="5"/>
    <n v="4"/>
    <n v="5"/>
    <n v="5"/>
    <n v="4"/>
    <n v="5"/>
    <s v="Sharing own experience, giving extra time if need for practice, always ready to help"/>
    <s v="None"/>
  </r>
  <r>
    <s v="Jun 19, 2023 17:22:50"/>
    <n v="6"/>
    <n v="6"/>
    <s v="Guest"/>
    <s v="Manila, PHL"/>
    <s v="2023-05-23"/>
    <x v="12"/>
    <s v="Anita Bliss-Dias"/>
    <s v="Tier 1"/>
    <n v="5"/>
    <n v="5"/>
    <n v="4"/>
    <n v="5"/>
    <n v="5"/>
    <n v="5"/>
    <s v="guide/help/clear things out for us one by one just to make us understand the process."/>
    <s v="for me much more on screenshots/examples during presentation pictures that their sharing since each in every year or so the system is updating so the new agents needs new access and information but all in all I am so grateful and happy bout the training it beyonds my expectations on my first day of training ."/>
  </r>
  <r>
    <s v="Jun 19, 2023 17:22:15"/>
    <n v="6"/>
    <n v="6"/>
    <s v="Guest"/>
    <s v="Manila, PHL"/>
    <s v="2023-05-23"/>
    <x v="12"/>
    <s v="Anita Bliss-Dias"/>
    <s v="Tier 1"/>
    <n v="5"/>
    <n v="5"/>
    <n v="5"/>
    <n v="5"/>
    <n v="5"/>
    <n v="5"/>
    <s v="Always appreciate each students\nAlways checking up on his students and spread joy\nAlways make the lesson fun but we will learned"/>
    <s v="More role plays"/>
  </r>
  <r>
    <s v="Jun 19, 2023 17:21:52"/>
    <n v="6"/>
    <n v="6"/>
    <s v="Guest"/>
    <s v="Manila, PHL"/>
    <s v="2023-05-23"/>
    <x v="12"/>
    <s v="Anita Bliss-Dias"/>
    <s v="Tier 1"/>
    <n v="5"/>
    <n v="5"/>
    <n v="5"/>
    <n v="5"/>
    <n v="5"/>
    <n v="5"/>
    <s v="appreciation and encouragement"/>
    <s v="All of those are very good, I don't have any idea what is needed to be change"/>
  </r>
  <r>
    <s v="Jun 19, 2023 17:21:34"/>
    <n v="6"/>
    <n v="5"/>
    <s v="Guest"/>
    <s v="Manila, PHL"/>
    <s v="2023-05-23"/>
    <x v="12"/>
    <s v="Anita Bliss-Dias"/>
    <s v="Tier 1"/>
    <n v="4"/>
    <n v="3"/>
    <n v="5"/>
    <n v="4"/>
    <n v="4"/>
    <n v="4"/>
    <s v="He encouraged me to speak clearly during calls, listen carefully and ask probing questions if we can't understand."/>
    <s v="In every lesson, there is a mock call practice so we can familiarized the process during calls."/>
  </r>
  <r>
    <s v="Jun 19, 2023 17:20:06"/>
    <n v="6"/>
    <n v="6"/>
    <s v="Guest"/>
    <s v="Manila, PHL"/>
    <s v="2023-05-23"/>
    <x v="12"/>
    <s v="Anita Bliss-Dias"/>
    <s v="Tier 1"/>
    <n v="5"/>
    <n v="5"/>
    <n v="5"/>
    <n v="5"/>
    <n v="5"/>
    <n v="5"/>
    <s v="He is very clear explaining things out. He's very patient and he's very approachable."/>
    <s v="None."/>
  </r>
  <r>
    <s v="Jun 19, 2023 17:19:49"/>
    <n v="6"/>
    <n v="6"/>
    <s v="Guest"/>
    <s v="Sudbury, ON"/>
    <s v="2023-05-23"/>
    <x v="12"/>
    <s v="Anita Bliss-Dias"/>
    <s v="Tier 1"/>
    <n v="4"/>
    <n v="4"/>
    <n v="4"/>
    <n v="4"/>
    <n v="4"/>
    <n v="4"/>
    <s v="Tone of voice, pacing, lessons"/>
    <s v="More practice sessions, More role plays, More call shadowing"/>
  </r>
  <r>
    <s v="Jun 19, 2023 08:28:12"/>
    <n v="6"/>
    <n v="6"/>
    <s v="Guest"/>
    <s v="Toronto, ON"/>
    <s v="2023-05-10"/>
    <x v="0"/>
    <s v="Ankit Vishnoi"/>
    <s v="Tier 2"/>
    <n v="5"/>
    <n v="5"/>
    <n v="5"/>
    <n v="5"/>
    <n v="5"/>
    <n v="5"/>
    <s v="her way of teaching.....how to handle different situation on real based experience and she always mention yes you can do it..."/>
    <s v="all good..!! she will find it by herself because she know how and when to improve."/>
  </r>
  <r>
    <s v="Jun 16, 2023 18:57:52"/>
    <n v="6"/>
    <n v="6"/>
    <s v="Guest"/>
    <s v="Ottawa"/>
    <s v="2023-05-10"/>
    <x v="0"/>
    <s v="Anita Bliss-Dias"/>
    <s v="Tier 2"/>
    <n v="5"/>
    <n v="4"/>
    <n v="5"/>
    <n v="4"/>
    <n v="5"/>
    <n v="5"/>
    <s v="She communuicated effetively and was very Engaging/Interactive and Encouraging."/>
    <s v="She did great and may improve on the above listed."/>
  </r>
  <r>
    <s v="Jun 15, 2023 23:54:14"/>
    <n v="6"/>
    <n v="5"/>
    <s v="Guest"/>
    <s v="Toronto, ON"/>
    <s v="2023-05-10"/>
    <x v="0"/>
    <s v="Jill Hirtle"/>
    <s v="Tier 2"/>
    <n v="4"/>
    <n v="3"/>
    <n v="5"/>
    <n v="4"/>
    <n v="5"/>
    <n v="5"/>
    <s v="She always sends us reckoner notes, When you ask a question, she makes sure she explains until you understand, Shared some call experiences she had with us and we learnt from them"/>
    <s v="N/A"/>
  </r>
  <r>
    <s v="Jun 15, 2023 18:00:20"/>
    <n v="6"/>
    <n v="6"/>
    <s v="Guest"/>
    <s v="Ottawa"/>
    <s v="2023-06-15"/>
    <x v="0"/>
    <s v="Ankit Vishnoi"/>
    <s v="Tier 2"/>
    <n v="5"/>
    <n v="5"/>
    <n v="4"/>
    <n v="5"/>
    <n v="5"/>
    <n v="5"/>
    <s v="she is kind and understanding"/>
    <s v="nothing everything is perfect"/>
  </r>
  <r>
    <s v="Jun 15, 2023 14:47:03"/>
    <n v="6"/>
    <n v="5"/>
    <s v="Guest"/>
    <s v="Bridgewater, NS"/>
    <s v="2023-06-15"/>
    <x v="0"/>
    <s v="Jill Hirtle"/>
    <s v="Tier 2"/>
    <n v="3"/>
    <n v="4"/>
    <n v="5"/>
    <n v="4"/>
    <n v="5"/>
    <n v="4"/>
    <m/>
    <m/>
  </r>
  <r>
    <s v="Jun 15, 2023 12:46:23"/>
    <n v="6"/>
    <n v="4"/>
    <s v="Guest"/>
    <s v="Bridgewater, NS"/>
    <s v="2023-05-10"/>
    <x v="0"/>
    <s v="Jill Hirtle"/>
    <s v="Tier 2"/>
    <n v="5"/>
    <n v="3"/>
    <n v="5"/>
    <n v="3"/>
    <n v="5"/>
    <n v="4"/>
    <s v="explaining, demostration and assisting throught the training"/>
    <s v="while nesting focus on taking calls of the specific module without mixing it with the previous one like a week of focusing only on one specific module in order to learn a lot on that module without mixing it to another one"/>
  </r>
  <r>
    <s v="Jun 15, 2023 10:34:18"/>
    <n v="6"/>
    <n v="6"/>
    <s v="Guest"/>
    <s v="Bridgewater, NS"/>
    <s v="2023-05-10"/>
    <x v="0"/>
    <s v="Jill Hirtle"/>
    <s v="Tier 2"/>
    <n v="4"/>
    <n v="4"/>
    <n v="5"/>
    <n v="5"/>
    <n v="4"/>
    <n v="4"/>
    <m/>
    <m/>
  </r>
  <r>
    <s v="Jun 15, 2023 10:11:17"/>
    <n v="6"/>
    <n v="6"/>
    <s v="Guest"/>
    <s v="Sudbury, ON"/>
    <s v="2023-05-15"/>
    <x v="0"/>
    <s v="Ankit Vishnoi"/>
    <s v="Tier 2"/>
    <n v="5"/>
    <n v="4"/>
    <n v="5"/>
    <n v="5"/>
    <n v="5"/>
    <n v="5"/>
    <s v="Assistance was on point, encouragement , understanding"/>
    <s v="None"/>
  </r>
  <r>
    <s v="Jun 14, 2023 19:38:45"/>
    <n v="6"/>
    <n v="6"/>
    <s v="Guest"/>
    <s v="Ottawa"/>
    <s v="2023-05-10"/>
    <x v="0"/>
    <s v="Jill Hirtle"/>
    <s v="Tier 2"/>
    <n v="4"/>
    <n v="5"/>
    <n v="5"/>
    <n v="5"/>
    <n v="5"/>
    <n v="4"/>
    <s v="- She was very accommodating regarding my unusual schedule and made a clear effort to make sure I could succeed despite not being online for the majority of the time that she was with the rest of the class.\n- She went above and beyond to make sure to get the right answers to my questions if she did not know them right away, including staying late and involving other people to get the right answers.\n- I appreciated how she elaborated in lots of detail on her QAs so that I could really understand how she came to that score and how I could improve from there on out."/>
    <s v="Pertaining to my specific set of unusual circumstances, it would have been helpful if job shadowing was set at a specific time, planned ahead so that I could see about making it to those sessions since I was not online at that time on training days. Otherwise, I thoroughly enjoyed this style and pace of self-led training and I think that Mahalakshmi did a very good job."/>
  </r>
  <r>
    <s v="Jun 12, 2023 19:00:53"/>
    <n v="6"/>
    <n v="5"/>
    <s v="Guest"/>
    <s v="Bridgewater, NS"/>
    <s v="2023-05-01"/>
    <x v="13"/>
    <s v="Kristi Stead"/>
    <s v="Tier 1"/>
    <n v="4"/>
    <n v="3"/>
    <n v="5"/>
    <n v="4"/>
    <n v="5"/>
    <n v="4"/>
    <s v="breakout sessions, call on us for answers,"/>
    <s v="better flow,"/>
  </r>
  <r>
    <s v="Jun 12, 2023 18:59:52"/>
    <n v="6"/>
    <n v="2"/>
    <s v="Guest"/>
    <s v="Ottawa"/>
    <s v="2023-05-01"/>
    <x v="13"/>
    <s v="Kristi Stead"/>
    <s v="Tier 1"/>
    <n v="4"/>
    <n v="4"/>
    <n v="3"/>
    <n v="2"/>
    <n v="3"/>
    <n v="3"/>
    <s v="the team"/>
    <s v="Explain more to the slower learner"/>
  </r>
  <r>
    <s v="Jun 12, 2023 18:59:32"/>
    <n v="6"/>
    <n v="6"/>
    <s v="Guest"/>
    <s v="Bridgewater, NS"/>
    <s v="2023-05-01"/>
    <x v="13"/>
    <s v="Kristi Stead"/>
    <s v="Tier 1"/>
    <n v="5"/>
    <n v="4"/>
    <n v="5"/>
    <n v="5"/>
    <n v="5"/>
    <n v="5"/>
    <s v="Kristi was I believe one of the best trainers I've ever had from any company. And I've worked at many different places. She was engaging, helpful, kind, thoughtful and very intelligent. It was really hard for her to keep us engaged, but she did a fantastic job!"/>
    <s v="Nothing, shes great!"/>
  </r>
  <r>
    <s v="Jun 12, 2023 18:57:40"/>
    <n v="6"/>
    <n v="6"/>
    <s v="Guest"/>
    <s v="Bridgewater, NS"/>
    <s v="2023-05-11"/>
    <x v="13"/>
    <s v="Kristi Stead"/>
    <s v="Tier 1"/>
    <n v="4"/>
    <n v="5"/>
    <n v="5"/>
    <n v="4"/>
    <n v="5"/>
    <n v="5"/>
    <s v="she got us involved with group discussions, we practiced what was taught in class under her supervision, she asked questions regularly in class and also had tests set up to be sure we understood the training"/>
    <s v="none"/>
  </r>
  <r>
    <s v="Jun 12, 2023 11:56:11"/>
    <n v="6"/>
    <n v="5"/>
    <s v="Guest"/>
    <s v="Toronto, ON"/>
    <s v="2023-05-01"/>
    <x v="13"/>
    <s v="Bibi Alli"/>
    <s v="Tier 1"/>
    <n v="4"/>
    <n v="3"/>
    <n v="4"/>
    <n v="4"/>
    <n v="4"/>
    <n v="4"/>
    <s v="Proper coordination\nGreat communication \nPerfect equality"/>
    <s v="Covering less material per day\n"/>
  </r>
  <r>
    <s v="Jun 12, 2023 10:49:49"/>
    <n v="6"/>
    <n v="6"/>
    <s v="Guest"/>
    <s v="Bridgewater, NS"/>
    <s v="2023-05-01"/>
    <x v="13"/>
    <s v="Kristi Stead"/>
    <s v="Tier 1"/>
    <n v="5"/>
    <n v="5"/>
    <n v="5"/>
    <n v="5"/>
    <n v="5"/>
    <n v="5"/>
    <s v="Active Participation, Prompt chat responses, Sufficient time provided with each learning exercises"/>
    <s v="More detailed practice on SF, CSR Portal and other Internal tools"/>
  </r>
  <r>
    <s v="Jun 12, 2023 10:23:51"/>
    <n v="6"/>
    <n v="6"/>
    <s v="Guest"/>
    <s v="Bridgewater, NS"/>
    <s v="2023-05-01"/>
    <x v="13"/>
    <s v="Kristi Stead"/>
    <s v="Tier 1"/>
    <n v="5"/>
    <n v="4"/>
    <n v="5"/>
    <n v="4"/>
    <n v="5"/>
    <n v="5"/>
    <s v="Kristi patient, always available and even went over the modules again if asked by the class."/>
    <s v="Everything was fine but may be more call shadowing could have helped the class even better."/>
  </r>
  <r>
    <s v="Jun 08, 2023 11:21:20"/>
    <n v="6"/>
    <n v="6"/>
    <s v="Guest"/>
    <s v="Manila, PHL"/>
    <s v="2023-05-08"/>
    <x v="3"/>
    <s v="Ruschel Bartolome"/>
    <s v="Tier 1"/>
    <n v="5"/>
    <n v="5"/>
    <n v="5"/>
    <n v="5"/>
    <n v="5"/>
    <n v="5"/>
    <s v="explained the lessons clearly\nmade sure that every end of each discussion topics are well understood,\ngives knowledge check early shift or before the shift ends to make sure that lessons are remembered"/>
    <s v="none, She did a good job!"/>
  </r>
  <r>
    <s v="Jun 08, 2023 11:21:11"/>
    <n v="6"/>
    <n v="6"/>
    <s v="Guest"/>
    <s v="Manila, PHL"/>
    <s v="2023-05-08"/>
    <x v="3"/>
    <s v="Ruschel Bartolome"/>
    <s v="Tier 1"/>
    <n v="5"/>
    <n v="5"/>
    <n v="5"/>
    <n v="5"/>
    <n v="5"/>
    <n v="5"/>
    <s v="the three things  facilitator  encourage me is how to be  confident,  how to be strong, and always be positive"/>
    <s v="None because they did a great job and I'm learned from them a lot"/>
  </r>
  <r>
    <s v="Jun 08, 2023 11:20:28"/>
    <n v="6"/>
    <n v="6"/>
    <s v="Guest"/>
    <s v="Manila, PHL"/>
    <s v="2023-05-08"/>
    <x v="3"/>
    <s v="Ruschel Bartolome"/>
    <s v="Tier 1"/>
    <n v="5"/>
    <n v="5"/>
    <n v="5"/>
    <n v="5"/>
    <n v="5"/>
    <n v="5"/>
    <s v="Our facilitator always comes over to our stations to ensure that no one is getting left behind during discussion. She gives feedbacks with great value."/>
    <s v="None."/>
  </r>
  <r>
    <s v="Jun 07, 2023 17:51:24"/>
    <n v="6"/>
    <n v="6"/>
    <s v="Guest"/>
    <s v="Ottawa"/>
    <s v="2023-05-04"/>
    <x v="10"/>
    <s v="Anita Bliss-Dias"/>
    <s v="Tier 1"/>
    <n v="4"/>
    <n v="4"/>
    <n v="4"/>
    <n v="4"/>
    <n v="4"/>
    <n v="4"/>
    <s v="kind, clear explanations, help when needed"/>
    <s v="continue to improve"/>
  </r>
  <r>
    <s v="Jun 07, 2023 17:44:00"/>
    <n v="6"/>
    <n v="6"/>
    <s v="Guest"/>
    <s v="Toronto, ON"/>
    <s v="2023-05-17"/>
    <x v="10"/>
    <s v="Nancy Price"/>
    <s v="Tier 1"/>
    <n v="5"/>
    <n v="5"/>
    <n v="5"/>
    <n v="5"/>
    <n v="5"/>
    <n v="5"/>
    <s v="she was there for me for any question i had, well prepared program , answering all the question"/>
    <s v="everything on my end was ok"/>
  </r>
  <r>
    <s v="Jun 07, 2023 17:41:11"/>
    <n v="6"/>
    <n v="6"/>
    <s v="Guest"/>
    <s v="Ottawa"/>
    <s v="2023-06-10"/>
    <x v="14"/>
    <s v="Jordan Saulnier"/>
    <s v="Tier 1"/>
    <n v="5"/>
    <n v="5"/>
    <n v="5"/>
    <n v="4"/>
    <n v="5"/>
    <n v="5"/>
    <s v="Positive, kind and generous"/>
    <s v="nothing much"/>
  </r>
  <r>
    <s v="Jun 07, 2023 17:39:55"/>
    <n v="6"/>
    <n v="6"/>
    <s v="Guest"/>
    <s v="Ottawa"/>
    <s v="2023-05-10"/>
    <x v="14"/>
    <s v="Jordan Saulnier"/>
    <s v="Tier 1"/>
    <n v="5"/>
    <n v="5"/>
    <n v="5"/>
    <n v="5"/>
    <n v="5"/>
    <n v="5"/>
    <s v="They were good listenner, kind and they mastered their topic, they always had a good energy and kind of bring everyone in that joy and energy and too many other things that make us feeling better ... They were just Great"/>
    <s v="Gilisa has sometimes showed sign of impatience when we were asking her to repeat something that she already said, beside that , she's great"/>
  </r>
  <r>
    <s v="Jun 07, 2023 17:38:55"/>
    <n v="6"/>
    <n v="5"/>
    <s v="Guest"/>
    <s v="Sudbury, ON"/>
    <s v="2023-05-10"/>
    <x v="14"/>
    <s v="Jordan Saulnier"/>
    <s v="Tier 1"/>
    <n v="5"/>
    <n v="4"/>
    <n v="4"/>
    <n v="2"/>
    <n v="5"/>
    <n v="5"/>
    <s v="Asked a lot of engaging questions, kept the training classes fun and interesting, made sure that other class members were being proactive in participating"/>
    <s v="Less waiting time, I felt the time between asking and answering questions took too long on occasion when waiting on answers. Provide more one-on-one training time, as I felt like practicing with other team members did not allow me to practice properly or in a way that felt helpful most of the time. Otherwise, Gilisa and Jordan were amazing trainers and exceptionally knowledgeable and very helpful throughout training. One of the best training classes I've been a part of :)"/>
  </r>
  <r>
    <s v="Jun 07, 2023 17:37:05"/>
    <n v="6"/>
    <n v="3"/>
    <s v="Guest"/>
    <s v="Sudbury, ON"/>
    <s v="2023-05-10"/>
    <x v="14"/>
    <s v="Jordan Saulnier"/>
    <s v="Tier 1"/>
    <n v="5"/>
    <n v="3"/>
    <n v="4"/>
    <n v="2"/>
    <n v="4"/>
    <n v="3"/>
    <s v="Very knowledgeable, pleasant and positive each and every day"/>
    <s v="Focus more on programs and learning to navigate in between them. Explain how to use Webex Training and Teams on day one"/>
  </r>
  <r>
    <s v="Jun 07, 2023 17:36:03"/>
    <n v="6"/>
    <n v="5"/>
    <s v="Guest"/>
    <s v="Ottawa"/>
    <s v="2023-05-10"/>
    <x v="14"/>
    <s v="Jordan Saulnier"/>
    <s v="Tier 1"/>
    <n v="4"/>
    <n v="5"/>
    <n v="5"/>
    <n v="3"/>
    <n v="5"/>
    <n v="5"/>
    <s v="Helped us find the answers instead of just giving them to us, guided us through live calls, was always very optomistic."/>
    <s v="More physical practice, more explanation by example instead of using online videos, less small breakout rooms."/>
  </r>
  <r>
    <s v="Jun 07, 2023 17:35:32"/>
    <n v="6"/>
    <n v="6"/>
    <s v="Guest"/>
    <s v="Ottawa"/>
    <s v="2023-05-10"/>
    <x v="14"/>
    <s v="Jordan Saulnier"/>
    <s v="Tier 1"/>
    <n v="5"/>
    <n v="5"/>
    <n v="5"/>
    <n v="5"/>
    <n v="5"/>
    <n v="5"/>
    <s v="Breakouts and Class practice having volunteers read in order to be involved and all learn at same pace! The call shadowing was much needed and the presentation on how to stay organized was clutch! Thanks to you all!"/>
    <s v="Nothing! I actually loved training safe place to learn and get better everyday!"/>
  </r>
  <r>
    <s v="Jun 07, 2023 17:34:56"/>
    <n v="6"/>
    <n v="6"/>
    <s v="Guest"/>
    <s v="Ottawa"/>
    <s v="2023-05-10"/>
    <x v="14"/>
    <s v="Jordan Saulnier"/>
    <s v="Tier 1"/>
    <n v="5"/>
    <n v="5"/>
    <n v="5"/>
    <n v="5"/>
    <n v="5"/>
    <n v="5"/>
    <s v="Our trainers were very patient with us, friendly and answered every question we had. I will miss them for sure"/>
    <s v="On my end everything was good"/>
  </r>
  <r>
    <s v="Jun 07, 2023 17:34:08"/>
    <n v="6"/>
    <n v="6"/>
    <s v="Guest"/>
    <s v="Edmundson, NB"/>
    <s v="2023-05-10"/>
    <x v="14"/>
    <s v="Jordan Saulnier"/>
    <s v="Tier 1"/>
    <n v="5"/>
    <n v="4"/>
    <n v="5"/>
    <n v="5"/>
    <n v="4"/>
    <n v="5"/>
    <m/>
    <m/>
  </r>
  <r>
    <s v="Jun 07, 2023 17:33:57"/>
    <n v="6"/>
    <n v="5"/>
    <s v="Guest"/>
    <s v="Ottawa"/>
    <s v="2023-05-10"/>
    <x v="15"/>
    <s v="Gilisa Roberts"/>
    <s v="Tier 1"/>
    <n v="4"/>
    <n v="4"/>
    <n v="4"/>
    <n v="3"/>
    <n v="4"/>
    <n v="4"/>
    <s v="Give me advice, teling me that I was doing a good job and saying that I will get better"/>
    <m/>
  </r>
  <r>
    <s v="Jun 07, 2023 17:33:56"/>
    <n v="6"/>
    <n v="5"/>
    <s v="Guest"/>
    <s v="Ottawa"/>
    <s v="2023-05-10"/>
    <x v="14"/>
    <s v="Jordan Saulnier"/>
    <s v="Tier 1"/>
    <n v="4"/>
    <n v="3"/>
    <n v="5"/>
    <n v="5"/>
    <n v="5"/>
    <n v="4"/>
    <s v="Explore the programs, participate, practice."/>
    <s v="Let us get to know eachother in training more, thats it!"/>
  </r>
  <r>
    <s v="May 12, 2023 16:30:08"/>
    <n v="6"/>
    <n v="6"/>
    <s v="Guest"/>
    <s v="Bridgewater, NS"/>
    <s v="2023-04-17"/>
    <x v="4"/>
    <s v="Hira Umair"/>
    <s v="Tier 1"/>
    <n v="4"/>
    <n v="5"/>
    <n v="5"/>
    <n v="5"/>
    <n v="5"/>
    <n v="5"/>
    <s v="She encouraged us for share our ideas with the team, practice active listening, practice Empathy, focus on communication, and be proactive.\n"/>
    <s v="Thank you so much Hira for your Hard work and your dedication towards us."/>
  </r>
  <r>
    <s v="May 12, 2023 15:27:30"/>
    <n v="6"/>
    <n v="6"/>
    <s v="Guest"/>
    <s v="Edmundson, NB"/>
    <s v="2023-04-17"/>
    <x v="4"/>
    <s v="Ruschel Bartolome"/>
    <s v="Tier 1"/>
    <n v="5"/>
    <n v="5"/>
    <n v="5"/>
    <n v="5"/>
    <n v="5"/>
    <n v="5"/>
    <s v="asked us a lot of questions to push us to participate, break out session in webex and quizes"/>
    <m/>
  </r>
  <r>
    <s v="May 12, 2023 15:18:55"/>
    <n v="6"/>
    <n v="6"/>
    <s v="Guest"/>
    <s v="Sudbury, ON"/>
    <s v="2023-04-17"/>
    <x v="4"/>
    <s v="Ruschel Bartolome"/>
    <s v="Tier 1"/>
    <n v="4"/>
    <n v="5"/>
    <n v="5"/>
    <n v="5"/>
    <n v="5"/>
    <n v="5"/>
    <s v="Carried everyone along, She was patient and always responded to questions"/>
    <s v="Nothing I can think of, She did great"/>
  </r>
  <r>
    <s v="May 12, 2023 15:12:08"/>
    <n v="6"/>
    <n v="6"/>
    <s v="Guest"/>
    <s v="Bridgewater, NS"/>
    <s v="2023-04-17"/>
    <x v="4"/>
    <s v="Hira Umair"/>
    <s v="Tier 1"/>
    <n v="5"/>
    <n v="5"/>
    <n v="5"/>
    <n v="5"/>
    <n v="5"/>
    <n v="5"/>
    <s v="role play, support,"/>
    <m/>
  </r>
  <r>
    <s v="May 12, 2023 15:10:57"/>
    <n v="6"/>
    <n v="6"/>
    <s v="Guest"/>
    <s v="Bridgewater, NS"/>
    <s v="2023-04-17"/>
    <x v="4"/>
    <s v="Hira Umair"/>
    <s v="Tier 1"/>
    <n v="5"/>
    <n v="5"/>
    <n v="5"/>
    <n v="5"/>
    <n v="5"/>
    <n v="5"/>
    <m/>
    <m/>
  </r>
  <r>
    <s v="May 12, 2023 15:10:53"/>
    <n v="6"/>
    <n v="4"/>
    <s v="Guest"/>
    <s v="Ottawa"/>
    <s v="2023-04-17"/>
    <x v="4"/>
    <s v="Ruschel Bartolome"/>
    <s v="Tier 1"/>
    <n v="4"/>
    <n v="2"/>
    <n v="4"/>
    <n v="4"/>
    <n v="4"/>
    <n v="3"/>
    <m/>
    <m/>
  </r>
  <r>
    <s v="May 12, 2023 15:10:41"/>
    <n v="6"/>
    <n v="6"/>
    <s v="Guest"/>
    <s v="Bridgewater, NS"/>
    <s v="2023-04-17"/>
    <x v="4"/>
    <s v="Hira Umair"/>
    <s v="Tier 1"/>
    <n v="5"/>
    <n v="5"/>
    <n v="4"/>
    <n v="4"/>
    <n v="5"/>
    <n v="5"/>
    <s v="activities,clear understanding and discussion"/>
    <s v="revice,knowledge pole and daily tasks"/>
  </r>
  <r>
    <s v="May 12, 2023 15:08:33"/>
    <n v="6"/>
    <n v="6"/>
    <s v="Guest"/>
    <s v="Toronto, ON"/>
    <s v="2023-04-17"/>
    <x v="4"/>
    <s v="Ruschel Bartolome"/>
    <s v="Tier 1"/>
    <n v="5"/>
    <n v="4"/>
    <n v="5"/>
    <n v="4"/>
    <n v="4"/>
    <n v="4"/>
    <s v="Explained well, Covered all the topics needed for the role, Walked us through the real time cases, took live calls for us to understand the environment"/>
    <s v="It was all good."/>
  </r>
  <r>
    <s v="May 12, 2023 13:44:53"/>
    <n v="6"/>
    <n v="6"/>
    <s v="Guest"/>
    <s v="Ottawa"/>
    <s v="2023-04-17"/>
    <x v="4"/>
    <s v="Hira Umair"/>
    <s v="Tier 1"/>
    <n v="5"/>
    <n v="5"/>
    <n v="5"/>
    <n v="5"/>
    <n v="5"/>
    <n v="5"/>
    <s v="Explain well, help whit tools"/>
    <s v="nothing"/>
  </r>
  <r>
    <s v="May 12, 2023 13:37:11"/>
    <n v="6"/>
    <n v="6"/>
    <s v="Guest"/>
    <s v="Toronto, ON"/>
    <s v="2023-04-17"/>
    <x v="4"/>
    <s v="Hira Umair"/>
    <s v="Tier 1"/>
    <n v="5"/>
    <n v="4"/>
    <n v="5"/>
    <n v="4"/>
    <n v="4"/>
    <n v="4"/>
    <s v="Always answered my questions in a detailed way, was very patient, Managed time quite well"/>
    <m/>
  </r>
  <r>
    <s v="May 12, 2023 13:35:19"/>
    <n v="6"/>
    <n v="6"/>
    <s v="Guest"/>
    <s v="Ottawa"/>
    <s v="2023-04-17"/>
    <x v="4"/>
    <s v="Ruschel Bartolome"/>
    <s v="Tier 1"/>
    <n v="5"/>
    <n v="4"/>
    <n v="5"/>
    <n v="5"/>
    <n v="5"/>
    <n v="4"/>
    <m/>
    <m/>
  </r>
  <r>
    <s v="May 12, 2023 13:32:21"/>
    <n v="6"/>
    <n v="6"/>
    <s v="Guest"/>
    <s v="Toronto, ON"/>
    <s v="2023-04-17"/>
    <x v="4"/>
    <s v="Kristi Stead"/>
    <s v="Tier 1"/>
    <n v="4"/>
    <n v="4"/>
    <n v="4"/>
    <n v="5"/>
    <n v="4"/>
    <n v="5"/>
    <m/>
    <m/>
  </r>
  <r>
    <s v="May 05, 2023 17:36:05"/>
    <n v="6"/>
    <n v="6"/>
    <s v="Guest"/>
    <s v="Toronto, ON"/>
    <s v="2023-04-10"/>
    <x v="12"/>
    <s v="Gilisa Roberts"/>
    <s v="Tier 1"/>
    <n v="4"/>
    <n v="5"/>
    <n v="5"/>
    <n v="4"/>
    <n v="4"/>
    <n v="4"/>
    <s v="clear communication, creating focus amongst the group, managing the group decision process"/>
    <s v="none keep up the same"/>
  </r>
  <r>
    <s v="May 05, 2023 17:34:55"/>
    <n v="6"/>
    <n v="6"/>
    <s v="Guest"/>
    <s v="Toronto, ON"/>
    <s v="2023-04-10"/>
    <x v="12"/>
    <s v="Gilisa Roberts"/>
    <s v="Tier 1"/>
    <n v="5"/>
    <n v="5"/>
    <n v="5"/>
    <n v="5"/>
    <n v="5"/>
    <n v="5"/>
    <s v="supported - acknowledged my concerns - helped me to understand"/>
    <s v="he did well. nothing comes to my mind"/>
  </r>
  <r>
    <s v="May 05, 2023 17:34:07"/>
    <n v="6"/>
    <n v="6"/>
    <s v="Guest"/>
    <s v="Toronto, ON"/>
    <s v="2023-04-10"/>
    <x v="12"/>
    <s v="Gilisa Roberts"/>
    <s v="Tier 1"/>
    <n v="5"/>
    <n v="5"/>
    <n v="5"/>
    <n v="4"/>
    <n v="5"/>
    <n v="5"/>
    <s v="He was a good listener to my questions- he went into deep details to get me understand the tools of the course- he simplified learning professionally"/>
    <s v="He was given short time to train the team, He needed more time by the company to deliver comfortably"/>
  </r>
  <r>
    <s v="May 05, 2023 17:33:41"/>
    <n v="6"/>
    <n v="6"/>
    <s v="Guest"/>
    <s v="Ottawa"/>
    <s v="2023-04-10"/>
    <x v="12"/>
    <s v="Gilisa Roberts"/>
    <s v="Tier 1"/>
    <n v="4"/>
    <n v="4"/>
    <n v="5"/>
    <n v="4"/>
    <n v="5"/>
    <n v="5"/>
    <s v="pleasant, clear, knows how to explain......."/>
    <s v="nothing"/>
  </r>
  <r>
    <s v="May 05, 2023 17:32:25"/>
    <n v="6"/>
    <n v="6"/>
    <s v="Guest"/>
    <s v="Toronto, ON"/>
    <s v="2023-04-10"/>
    <x v="12"/>
    <s v="Gilisa Roberts"/>
    <s v="Tier 1"/>
    <n v="5"/>
    <n v="5"/>
    <n v="5"/>
    <n v="4"/>
    <n v="5"/>
    <n v="5"/>
    <s v="answered all my question, help with any problem we had during training, gave us time to practice"/>
    <s v="More roll play"/>
  </r>
  <r>
    <s v="May 05, 2023 17:31:20"/>
    <n v="6"/>
    <n v="6"/>
    <s v="Guest"/>
    <s v="Bridgewater, NS"/>
    <s v="2023-04-10"/>
    <x v="12"/>
    <s v="Gilisa Roberts"/>
    <s v="Tier 1"/>
    <n v="5"/>
    <n v="5"/>
    <n v="5"/>
    <n v="5"/>
    <n v="5"/>
    <n v="5"/>
    <s v="explained things very well, made sure we understood and was patient"/>
    <s v="NA"/>
  </r>
  <r>
    <s v="May 05, 2023 17:31:10"/>
    <n v="6"/>
    <n v="6"/>
    <s v="Guest"/>
    <s v="Toronto, ON"/>
    <s v="2023-04-10"/>
    <x v="12"/>
    <s v="Gilisa Roberts"/>
    <s v="Tier 1"/>
    <n v="5"/>
    <n v="5"/>
    <n v="5"/>
    <n v="5"/>
    <n v="5"/>
    <n v="5"/>
    <s v="He stayed calm in all circumstances, lead the learning at a really good pace, started the day with a smile."/>
    <s v="Not sure what could have been done to improve, but perhaps someone to help him move along when people hit a wall with their tech."/>
  </r>
  <r>
    <s v="May 05, 2023 17:30:54"/>
    <n v="6"/>
    <n v="6"/>
    <s v="Guest"/>
    <s v="Edmundson, NB"/>
    <s v="2023-04-10"/>
    <x v="12"/>
    <s v="Jill Hirtle"/>
    <s v="Tier 1"/>
    <n v="5"/>
    <n v="5"/>
    <n v="5"/>
    <n v="5"/>
    <n v="5"/>
    <n v="5"/>
    <s v="take his time whit us explained everything and answer every question"/>
    <s v="i have no complainte i loved my training"/>
  </r>
  <r>
    <s v="May 05, 2023 17:30:53"/>
    <n v="6"/>
    <n v="5"/>
    <s v="Guest"/>
    <s v="Toronto, ON"/>
    <s v="2023-04-10"/>
    <x v="12"/>
    <s v="Gilisa Roberts"/>
    <s v="Tier 1"/>
    <n v="4"/>
    <n v="3"/>
    <n v="5"/>
    <n v="5"/>
    <n v="5"/>
    <n v="5"/>
    <s v="Explained quite well, was confident in his abilities and really helpful the entire time."/>
    <s v="i dont think he could have done anything to make it better, it was good training."/>
  </r>
  <r>
    <s v="May 05, 2023 17:30:10"/>
    <n v="6"/>
    <n v="6"/>
    <s v="Guest"/>
    <s v="Ottawa"/>
    <s v="2023-04-10"/>
    <x v="12"/>
    <s v="Dave Lim"/>
    <s v="Tier 1"/>
    <n v="5"/>
    <n v="5"/>
    <n v="5"/>
    <n v="5"/>
    <n v="5"/>
    <n v="5"/>
    <s v="communication, gentle, very understanding"/>
    <s v="nothing"/>
  </r>
  <r>
    <s v="May 05, 2023 17:29:25"/>
    <n v="6"/>
    <n v="6"/>
    <s v="Guest"/>
    <s v="Toronto, ON"/>
    <s v="2023-04-10"/>
    <x v="12"/>
    <s v="Gilisa Roberts"/>
    <s v="Tier 1"/>
    <n v="5"/>
    <n v="5"/>
    <n v="5"/>
    <n v="5"/>
    <n v="5"/>
    <n v="5"/>
    <s v="motivating, being patient, kind.!"/>
    <s v="i think job shadowing was not enough for us we should have took more job shadowing sessions but for me I am ok since I already have the call center experience job."/>
  </r>
  <r>
    <s v="May 02, 2023 11:19:58"/>
    <n v="6"/>
    <n v="4"/>
    <s v="Guest"/>
    <s v="Ottawa"/>
    <s v="2023-04-03"/>
    <x v="8"/>
    <s v="Jill Hirtle"/>
    <s v="Tier 1"/>
    <n v="5"/>
    <n v="3"/>
    <n v="5"/>
    <n v="2"/>
    <n v="5"/>
    <n v="5"/>
    <s v="She was always telling us to ask questions,She always told us not to stress everything will be fine and she explained everything for everyone"/>
    <s v="she is perfect for me"/>
  </r>
  <r>
    <s v="May 02, 2023 11:18:49"/>
    <n v="6"/>
    <n v="6"/>
    <s v="Guest"/>
    <s v="Toronto, ON"/>
    <s v="2023-05-01"/>
    <x v="8"/>
    <s v="Jill Hirtle"/>
    <s v="Tier 1"/>
    <n v="5"/>
    <n v="5"/>
    <n v="5"/>
    <n v="5"/>
    <n v="5"/>
    <n v="5"/>
    <s v="encouraged me to speak ask questions, always listen, and give examples of scenario"/>
    <s v="great the way it is"/>
  </r>
  <r>
    <s v="May 02, 2023 11:15:38"/>
    <n v="6"/>
    <n v="6"/>
    <s v="Guest"/>
    <s v="Bridgewater, NS"/>
    <s v="2023-04-03"/>
    <x v="8"/>
    <s v="Jill Hirtle"/>
    <s v="Tier 1"/>
    <n v="4"/>
    <n v="4"/>
    <n v="5"/>
    <n v="4"/>
    <n v="5"/>
    <n v="5"/>
    <s v="Motivated, explained till the time we understood the process, practicing."/>
    <s v="NA"/>
  </r>
  <r>
    <s v="May 02, 2023 11:15:30"/>
    <n v="6"/>
    <n v="4"/>
    <s v="Guest"/>
    <s v="Bridgewater, NS"/>
    <s v="2023-04-03"/>
    <x v="8"/>
    <s v="Jill Hirtle"/>
    <s v="Tier 1"/>
    <n v="4"/>
    <n v="3"/>
    <n v="4"/>
    <n v="3"/>
    <n v="4"/>
    <n v="4"/>
    <s v="1) engaging properly, 2 ) answering the questions, 3) explaining the concept"/>
    <s v="Give more time to practice and understand, ask frequent questions"/>
  </r>
  <r>
    <s v="May 02, 2023 11:15:11"/>
    <n v="6"/>
    <n v="6"/>
    <s v="Guest"/>
    <s v="Edmundson, NB"/>
    <s v="2023-04-03"/>
    <x v="8"/>
    <s v="Jill Hirtle"/>
    <s v="Tier 1"/>
    <n v="5"/>
    <n v="5"/>
    <n v="5"/>
    <n v="4"/>
    <n v="5"/>
    <n v="4"/>
    <s v="she made sure that i understood how to navigate the systems and that i understood the information before proceeding she went above and beyond."/>
    <s v="honestly i think we should have had more hands on practice with the system while on a call and doing one live call isn't enough for any training class other then that it went very well i was very involved and Sneha did a great job at letting us know where we could make small improvements and what not. overall great experience."/>
  </r>
  <r>
    <s v="May 02, 2023 11:15:11"/>
    <n v="6"/>
    <n v="3"/>
    <s v="Guest"/>
    <s v="Bridgewater, NS"/>
    <s v="2023-04-03"/>
    <x v="8"/>
    <s v="Jill Hirtle"/>
    <s v="Tier 1"/>
    <n v="4"/>
    <n v="2"/>
    <n v="3"/>
    <n v="3"/>
    <n v="4"/>
    <n v="4"/>
    <s v="very positive, happy to help"/>
    <s v="less time spent on WBT, no rushing to get all objectives done in the day, less class time spent on repeating"/>
  </r>
  <r>
    <s v="May 02, 2023 11:14:50"/>
    <n v="6"/>
    <n v="6"/>
    <s v="Guest"/>
    <s v="Ottawa"/>
    <s v="2023-04-03"/>
    <x v="8"/>
    <s v="Jill Hirtle"/>
    <s v="Tier 1"/>
    <n v="4"/>
    <n v="4"/>
    <n v="5"/>
    <n v="4"/>
    <n v="4"/>
    <n v="4"/>
    <s v="giving time to practice what we learned, detail explanation on what was not well understood, went a good pace to understand the course."/>
    <s v="nothing because she was amazing."/>
  </r>
  <r>
    <s v="May 02, 2023 11:13:59"/>
    <n v="6"/>
    <n v="3"/>
    <s v="Guest"/>
    <s v="Sudbury, ON"/>
    <s v="2023-04-03"/>
    <x v="8"/>
    <s v="Jill Hirtle"/>
    <s v="Tier 1"/>
    <n v="3"/>
    <n v="4"/>
    <n v="4"/>
    <n v="3"/>
    <n v="5"/>
    <n v="3"/>
    <s v="good communication when having a question, making sure we were all paying attention by asking for reactions when asked something, constant check-ins."/>
    <s v="i sometimes felt like there was a sense of impatience when not understanding something quick enough, incorporate more role-play and shadowing before nesting."/>
  </r>
  <r>
    <s v="May 02, 2023 11:13:57"/>
    <n v="6"/>
    <n v="6"/>
    <s v="Guest"/>
    <s v="Ottawa"/>
    <s v="2023-04-03"/>
    <x v="8"/>
    <s v="Jill Hirtle"/>
    <s v="Tier 1"/>
    <n v="5"/>
    <n v="4"/>
    <n v="5"/>
    <n v="4"/>
    <n v="5"/>
    <n v="5"/>
    <s v="explaining, practice, she always ask if we have question"/>
    <s v="she tried her best."/>
  </r>
  <r>
    <s v="May 02, 2023 11:13:57"/>
    <n v="6"/>
    <n v="3"/>
    <s v="Guest"/>
    <s v="Ottawa"/>
    <s v="2023-04-03"/>
    <x v="8"/>
    <s v="Jill Hirtle"/>
    <s v="Tier 1"/>
    <n v="4"/>
    <n v="3"/>
    <n v="4"/>
    <n v="2"/>
    <n v="4"/>
    <n v="3"/>
    <s v="reviewed readings to make sure it was understood"/>
    <s v="more guided time for program navigation"/>
  </r>
  <r>
    <s v="May 02, 2023 11:13:43"/>
    <n v="6"/>
    <n v="6"/>
    <s v="Guest"/>
    <s v="Bridgewater, NS"/>
    <s v="2023-04-03"/>
    <x v="8"/>
    <s v="Jill Hirtle"/>
    <s v="Tier 1"/>
    <n v="4"/>
    <n v="4"/>
    <n v="4"/>
    <n v="4"/>
    <n v="4"/>
    <n v="4"/>
    <s v="Polite , patience"/>
    <s v="NOTHING"/>
  </r>
  <r>
    <s v="May 02, 2023 11:12:41"/>
    <n v="6"/>
    <n v="6"/>
    <s v="Guest"/>
    <s v="Toronto, ON"/>
    <s v="2023-05-01"/>
    <x v="8"/>
    <s v="Jill Hirtle"/>
    <s v="Tier 1"/>
    <n v="5"/>
    <n v="5"/>
    <n v="5"/>
    <n v="5"/>
    <n v="5"/>
    <n v="5"/>
    <s v="Explained everything properly, caring, friendly"/>
    <s v="more roleplays and calls"/>
  </r>
  <r>
    <s v="May 02, 2023 11:11:58"/>
    <n v="6"/>
    <n v="5"/>
    <s v="Guest"/>
    <s v="Ottawa"/>
    <s v="2023-04-03"/>
    <x v="8"/>
    <s v="Jill Hirtle"/>
    <s v="Tier 1"/>
    <n v="3"/>
    <n v="4"/>
    <n v="4"/>
    <n v="4"/>
    <n v="4"/>
    <n v="4"/>
    <s v="Skill assesments and supervised, polls and quiz"/>
    <s v="longer period of call shadowing, letting us take supervised call a lot more then just a few minutes,"/>
  </r>
  <r>
    <s v="May 02, 2023 11:10:56"/>
    <n v="6"/>
    <n v="6"/>
    <s v="Guest"/>
    <s v="Bridgewater, NS"/>
    <s v="2023-04-03"/>
    <x v="8"/>
    <s v="Jill Hirtle"/>
    <s v="Tier 1"/>
    <n v="5"/>
    <n v="5"/>
    <n v="5"/>
    <n v="5"/>
    <n v="5"/>
    <n v="5"/>
    <m/>
    <m/>
  </r>
  <r>
    <s v="Apr 24, 2023 14:12:10"/>
    <n v="6"/>
    <n v="6"/>
    <s v="Guest"/>
    <s v="Ottawa"/>
    <s v="2023-03-27"/>
    <x v="16"/>
    <s v="Jordan Saulnier"/>
    <s v="Tier 1"/>
    <n v="5"/>
    <n v="5"/>
    <n v="5"/>
    <n v="5"/>
    <n v="5"/>
    <n v="5"/>
    <s v="DETAILED TEACHING\nEXPLANATION\nFRIENDY"/>
    <s v="NONE\nNONE\nNONE"/>
  </r>
  <r>
    <s v="Apr 24, 2023 14:07:25"/>
    <n v="6"/>
    <n v="6"/>
    <s v="Guest"/>
    <s v="Toronto, ON"/>
    <s v="2023-03-27"/>
    <x v="16"/>
    <s v="Bibi Alli"/>
    <s v="Tier 1"/>
    <n v="5"/>
    <n v="5"/>
    <n v="5"/>
    <n v="5"/>
    <n v="5"/>
    <n v="5"/>
    <s v="make it easy to understand, friendly working environment, motivate, work recognition"/>
    <s v="nothing in specific"/>
  </r>
  <r>
    <s v="Apr 24, 2023 14:04:04"/>
    <n v="6"/>
    <n v="6"/>
    <s v="Guest"/>
    <s v="Bridgewater, NS"/>
    <s v="2023-04-24"/>
    <x v="15"/>
    <s v="Bibi Alli"/>
    <s v="Tier 1"/>
    <n v="5"/>
    <n v="5"/>
    <n v="4"/>
    <n v="5"/>
    <n v="5"/>
    <n v="5"/>
    <m/>
    <m/>
  </r>
  <r>
    <s v="Apr 24, 2023 14:02:38"/>
    <n v="6"/>
    <n v="6"/>
    <s v="Guest"/>
    <s v="Ottawa"/>
    <s v="2023-03-27"/>
    <x v="16"/>
    <s v="Bibi Alli"/>
    <s v="Tier 1"/>
    <n v="5"/>
    <n v="5"/>
    <n v="5"/>
    <n v="5"/>
    <n v="5"/>
    <n v="5"/>
    <s v="repeat and made sure we all understood"/>
    <s v="Just do it the same way"/>
  </r>
  <r>
    <s v="Apr 24, 2023 14:01:57"/>
    <n v="6"/>
    <n v="6"/>
    <s v="Guest"/>
    <s v="Ottawa"/>
    <s v="2023-03-27"/>
    <x v="16"/>
    <s v="Bibi Alli"/>
    <s v="Tier 1"/>
    <n v="5"/>
    <n v="5"/>
    <n v="5"/>
    <n v="5"/>
    <n v="5"/>
    <n v="5"/>
    <s v="Great explanation, patience and believing in me."/>
    <s v="I would say nothing as they were great all through"/>
  </r>
  <r>
    <s v="Apr 24, 2023 14:01:20"/>
    <n v="6"/>
    <n v="6"/>
    <s v="Guest"/>
    <s v="Yarmouth, NS"/>
    <s v="2023-04-27"/>
    <x v="16"/>
    <s v="Bibi Alli"/>
    <s v="Tier 1"/>
    <n v="5"/>
    <n v="5"/>
    <n v="5"/>
    <n v="5"/>
    <n v="5"/>
    <n v="5"/>
    <s v="Provided with all the knowledge that is required, have some good practice &amp; given ample support &amp; confidence."/>
    <s v="Nothing much, everything is good."/>
  </r>
  <r>
    <s v="Apr 24, 2023 14:01:05"/>
    <n v="6"/>
    <n v="6"/>
    <s v="Guest"/>
    <s v="Bridgewater, NS"/>
    <s v="2023-03-27"/>
    <x v="16"/>
    <s v="Bibi Alli"/>
    <s v="Tier 1"/>
    <n v="5"/>
    <n v="5"/>
    <n v="5"/>
    <n v="5"/>
    <n v="5"/>
    <n v="5"/>
    <s v="Learning process,  encouraging and feedback"/>
    <m/>
  </r>
  <r>
    <s v="Apr 24, 2023 14:00:51"/>
    <n v="6"/>
    <n v="6"/>
    <s v="Guest"/>
    <s v="Yarmouth, NS"/>
    <s v="2023-03-27"/>
    <x v="16"/>
    <s v="Bibi Alli"/>
    <s v="Tier 1"/>
    <n v="4"/>
    <n v="5"/>
    <n v="5"/>
    <n v="5"/>
    <n v="5"/>
    <n v="5"/>
    <s v="Explain everything in detail, demo about every tool and maintain friendly comfortable learning environment"/>
    <s v="they are awesome nothing to change."/>
  </r>
  <r>
    <s v="Apr 21, 2023 16:30:27"/>
    <n v="6"/>
    <n v="6"/>
    <s v="Guest"/>
    <s v="Ottawa"/>
    <s v="2023-04-18"/>
    <x v="13"/>
    <s v="Nancy Price"/>
    <s v="Tier 1"/>
    <n v="4"/>
    <n v="4"/>
    <n v="4"/>
    <n v="4"/>
    <n v="4"/>
    <n v="4"/>
    <m/>
    <m/>
  </r>
  <r>
    <s v="Apr 21, 2023 10:44:49"/>
    <n v="6"/>
    <n v="5"/>
    <s v="Guest"/>
    <s v="Toronto, ON"/>
    <s v="2023-03-20"/>
    <x v="13"/>
    <s v="Nancy Price"/>
    <s v="Tier 1"/>
    <n v="5"/>
    <n v="2"/>
    <n v="4"/>
    <n v="4"/>
    <n v="4"/>
    <n v="4"/>
    <s v="She explained everything well if we did not understand, answered all questions"/>
    <s v="patience - i understand it can be stressful to train however i think if she was more patient with all of us it would  be a better training experience. everyone could tell when she was loosing her patience which made me very nervous during the process"/>
  </r>
  <r>
    <s v="Apr 20, 2023 18:45:12"/>
    <n v="6"/>
    <n v="6"/>
    <s v="Guest"/>
    <s v="Toronto, ON"/>
    <s v="2023-04-20"/>
    <x v="13"/>
    <s v="Nancy Price"/>
    <s v="Tier 1"/>
    <n v="5"/>
    <n v="5"/>
    <n v="5"/>
    <n v="5"/>
    <n v="5"/>
    <n v="5"/>
    <s v="everything."/>
    <s v="everything looks good"/>
  </r>
  <r>
    <s v="Apr 20, 2023 18:44:36"/>
    <n v="6"/>
    <n v="6"/>
    <s v="Guest"/>
    <s v="Toronto, ON"/>
    <s v="2023-04-20"/>
    <x v="13"/>
    <s v="Nancy Price"/>
    <s v="Tier 1"/>
    <n v="5"/>
    <n v="5"/>
    <n v="5"/>
    <n v="5"/>
    <n v="5"/>
    <n v="5"/>
    <s v="Breakout session, Hot seat, Class test"/>
    <s v="Software usage, class on how to manage calls, tips on call escalation."/>
  </r>
  <r>
    <s v="Apr 20, 2023 18:09:03"/>
    <n v="6"/>
    <n v="2"/>
    <s v="Guest"/>
    <s v="Toronto, ON"/>
    <s v="2023-03-20"/>
    <x v="13"/>
    <s v="Nancy Price"/>
    <s v="Tier 1"/>
    <n v="4"/>
    <n v="3"/>
    <n v="4"/>
    <n v="3"/>
    <n v="3"/>
    <n v="3"/>
    <s v="Appreciated for tasks well done, helped to correct mistakes and showed how to handle situations."/>
    <s v="rather than giving break out sessions show us each SOPs and where to find what, rather than making us calls one from those days try to shadow someone with us on their work calls."/>
  </r>
  <r>
    <s v="Apr 20, 2023 16:38:09"/>
    <n v="6"/>
    <n v="6"/>
    <s v="Guest"/>
    <s v="Toronto, ON"/>
    <s v="2023-04-20"/>
    <x v="13"/>
    <s v="Nancy Price"/>
    <s v="Tier 1"/>
    <n v="5"/>
    <n v="5"/>
    <n v="4"/>
    <n v="5"/>
    <n v="4"/>
    <n v="4"/>
    <s v="practice time, good trainer, get my all questions' answer"/>
    <s v="Use demo MAC GUI next time for better knowledge"/>
  </r>
  <r>
    <s v="Apr 20, 2023 15:33:30"/>
    <n v="6"/>
    <n v="6"/>
    <s v="Guest"/>
    <s v="Toronto, ON"/>
    <s v="2023-03-20"/>
    <x v="13"/>
    <s v="Nancy Price"/>
    <s v="Tier 1"/>
    <n v="5"/>
    <n v="5"/>
    <n v="5"/>
    <n v="5"/>
    <n v="5"/>
    <n v="5"/>
    <m/>
    <m/>
  </r>
  <r>
    <s v="Apr 19, 2023 18:11:09"/>
    <n v="6"/>
    <n v="6"/>
    <s v="Guest"/>
    <s v="Bridgewater, NS"/>
    <s v="2023-04-05"/>
    <x v="6"/>
    <s v="Anita Bliss-Dias"/>
    <s v="Fraud"/>
    <n v="4"/>
    <n v="4"/>
    <n v="4"/>
    <n v="4"/>
    <n v="4"/>
    <n v="4"/>
    <m/>
    <m/>
  </r>
  <r>
    <s v="Apr 19, 2023 18:00:49"/>
    <n v="6"/>
    <n v="6"/>
    <s v="Guest"/>
    <s v="Yarmouth, NS"/>
    <s v="2023-04-05"/>
    <x v="5"/>
    <s v="Maida Musse"/>
    <s v="Fraud"/>
    <n v="4"/>
    <n v="4"/>
    <n v="4"/>
    <n v="4"/>
    <n v="4"/>
    <n v="4"/>
    <m/>
    <m/>
  </r>
  <r>
    <s v="Apr 19, 2023 11:32:08"/>
    <n v="6"/>
    <n v="6"/>
    <s v="Guest"/>
    <s v="Bridgewater, NS"/>
    <s v="2023-04-05"/>
    <x v="6"/>
    <s v="Anita Bliss-Dias"/>
    <s v="Fraud"/>
    <n v="5"/>
    <n v="5"/>
    <n v="5"/>
    <n v="5"/>
    <n v="5"/>
    <n v="5"/>
    <s v="They Said us to be Perfect Not to be fast and making mistakes"/>
    <s v="1. They could have give us more Training 2. They could have gave us more System Practice 3. They are so fast teaching"/>
  </r>
  <r>
    <s v="Apr 19, 2023 11:20:39"/>
    <n v="6"/>
    <n v="6"/>
    <s v="Guest"/>
    <s v="Toronto, ON"/>
    <s v="2023-04-06"/>
    <x v="6"/>
    <s v="Anita Bliss-Dias"/>
    <s v="Fraud"/>
    <n v="5"/>
    <n v="5"/>
    <n v="5"/>
    <n v="5"/>
    <n v="5"/>
    <n v="5"/>
    <s v="The Facilitator made sure ensured everyone was carried along all through the training process, The use of Emoji's."/>
    <s v="Display time of break and lunch periods."/>
  </r>
  <r>
    <s v="Apr 19, 2023 11:19:32"/>
    <n v="6"/>
    <n v="6"/>
    <s v="Guest"/>
    <s v="Bridgewater, NS"/>
    <s v="2023-04-05"/>
    <x v="6"/>
    <s v="Anita Bliss-Dias"/>
    <s v="Fraud"/>
    <n v="5"/>
    <n v="4"/>
    <n v="5"/>
    <n v="4"/>
    <n v="5"/>
    <n v="5"/>
    <s v="my facilitator make sure she take real life example, make sure i am clear about the concept, making sure my systems are working fine"/>
    <s v="n/a"/>
  </r>
  <r>
    <s v="Apr 19, 2023 11:18:38"/>
    <n v="6"/>
    <n v="2"/>
    <s v="Guest"/>
    <s v="Ottawa"/>
    <s v="2023-04-05"/>
    <x v="6"/>
    <s v="Anita Bliss-Dias"/>
    <s v="Fraud"/>
    <n v="4"/>
    <n v="3"/>
    <n v="4"/>
    <n v="3"/>
    <n v="2"/>
    <n v="2"/>
    <m/>
    <m/>
  </r>
  <r>
    <s v="Apr 19, 2023 11:18:08"/>
    <n v="6"/>
    <n v="2"/>
    <s v="Guest"/>
    <s v="Edmundson, NB"/>
    <s v="2023-04-05"/>
    <x v="6"/>
    <s v="Anita Bliss-Dias"/>
    <s v="Fraud"/>
    <n v="3"/>
    <n v="4"/>
    <n v="3"/>
    <n v="4"/>
    <n v="3"/>
    <n v="3"/>
    <s v="Nothing that I can think of at this moment  Anita was more upbeat and willing to help"/>
    <s v="Been a little more polite with some of the agents when they were having issues \n"/>
  </r>
  <r>
    <s v="Apr 19, 2023 11:18:05"/>
    <n v="6"/>
    <n v="6"/>
    <s v="Guest"/>
    <s v="Bridgewater, NS"/>
    <s v="2023-04-05"/>
    <x v="6"/>
    <s v="Anita Bliss-Dias"/>
    <s v="Fraud"/>
    <n v="5"/>
    <n v="5"/>
    <n v="5"/>
    <n v="5"/>
    <n v="5"/>
    <n v="5"/>
    <s v="after every single topic get the chance to ask question, both trainers was really patient, explained each topic well. i can say that it was a good training than what i get for tier1"/>
    <s v="they both are doing really well"/>
  </r>
  <r>
    <s v="Apr 19, 2023 11:18:02"/>
    <n v="6"/>
    <n v="6"/>
    <s v="Guest"/>
    <s v="Edmundson, NB"/>
    <s v="2023-04-05"/>
    <x v="6"/>
    <s v="Anita Bliss-Dias"/>
    <s v="Fraud"/>
    <n v="4"/>
    <n v="4"/>
    <n v="4"/>
    <n v="5"/>
    <n v="5"/>
    <n v="5"/>
    <s v="active listening // answer all our questions // re-explain if requested"/>
    <s v="---"/>
  </r>
  <r>
    <s v="Apr 19, 2023 11:17:09"/>
    <n v="6"/>
    <n v="4"/>
    <s v="Guest"/>
    <s v="Bridgewater, NS"/>
    <s v="2023-04-05"/>
    <x v="6"/>
    <s v="Anita Bliss-Dias"/>
    <m/>
    <n v="5"/>
    <n v="3"/>
    <n v="5"/>
    <n v="3"/>
    <n v="5"/>
    <n v="5"/>
    <s v="They wanted us to learn well, they gave us a lot of training that we needed, they didn't waste time"/>
    <s v="More practice, though they did give us time, we couldn't get answers to our problems easily,   Can't think of 2 others"/>
  </r>
  <r>
    <s v="Apr 19, 2023 11:16:05"/>
    <n v="6"/>
    <n v="5"/>
    <s v="Guest"/>
    <s v="Toronto, ON"/>
    <s v="2023-04-05"/>
    <x v="6"/>
    <s v="Anita Bliss-Dias"/>
    <s v="Fraud"/>
    <n v="5"/>
    <n v="4"/>
    <n v="5"/>
    <n v="3"/>
    <n v="5"/>
    <n v="5"/>
    <s v="Trainer encouraged questions and answered clearly, Their Knowledge of the SOPS and system was great.  Really explained TS2 in a way that was not trained previously and I am no longer intimidated by it."/>
    <s v="Nothing they were saints with a lot of patience with people who were struggling."/>
  </r>
  <r>
    <s v="Apr 19, 2023 11:15:02"/>
    <n v="6"/>
    <n v="5"/>
    <s v="Guest"/>
    <s v="Bridgewater, NS"/>
    <s v="2023-04-05"/>
    <x v="5"/>
    <s v="Maida Musse"/>
    <s v="Fraud"/>
    <n v="5"/>
    <n v="3"/>
    <n v="4"/>
    <n v="5"/>
    <n v="5"/>
    <n v="5"/>
    <s v="Lots of patience listen to Q &amp; A and helped so much to learn and grasp the info"/>
    <s v="At the end of each day have a quiz to make sure we show what we have learned is understood"/>
  </r>
  <r>
    <s v="Apr 19, 2023 11:13:26"/>
    <n v="6"/>
    <n v="6"/>
    <s v="Guest"/>
    <s v="Edmundson, NB"/>
    <s v="2023-04-05"/>
    <x v="6"/>
    <s v="Anita Bliss-Dias"/>
    <s v="Fraud"/>
    <n v="5"/>
    <n v="5"/>
    <n v="5"/>
    <n v="5"/>
    <n v="5"/>
    <n v="5"/>
    <s v="kind, cooperative, understanding"/>
    <s v="they were great"/>
  </r>
  <r>
    <s v="Apr 14, 2023 10:03:48"/>
    <n v="6"/>
    <n v="6"/>
    <s v="Guest"/>
    <s v="Ottawa"/>
    <s v="2023-04-13"/>
    <x v="3"/>
    <s v="Rowena Lasala"/>
    <s v="Tier 1"/>
    <n v="4"/>
    <n v="4"/>
    <n v="4"/>
    <n v="4"/>
    <n v="4"/>
    <n v="4"/>
    <s v="ready to answer all questions at any given time. 2. good in explanation 3. practically showed me all that i needed"/>
    <s v="more practiced"/>
  </r>
  <r>
    <s v="Apr 13, 2023 12:39:59"/>
    <n v="6"/>
    <n v="6"/>
    <s v="Guest"/>
    <s v="Toronto, ON"/>
    <s v="2023-03-13"/>
    <x v="3"/>
    <s v="Rowena Lasala"/>
    <s v="Tier 1"/>
    <n v="5"/>
    <n v="4"/>
    <n v="4"/>
    <n v="4"/>
    <n v="5"/>
    <n v="4"/>
    <s v="(1.) She was so opened to questions. (2) So accomodating (3) She is well versed in the training"/>
    <s v="She did really great, put in her best to ensure that we get the training well. She can just do an overview of what will be learnt in the training ahead of time (she can have this as her personal tool for the training)."/>
  </r>
  <r>
    <s v="Apr 12, 2023 18:04:27"/>
    <n v="6"/>
    <n v="6"/>
    <s v="Guest"/>
    <s v="Bridgewater, NS"/>
    <s v="2023-03-13"/>
    <x v="3"/>
    <s v="Rowena Lasala"/>
    <s v="Tier 1"/>
    <n v="5"/>
    <n v="5"/>
    <n v="5"/>
    <n v="5"/>
    <n v="5"/>
    <n v="5"/>
    <s v="Actively Encouraged class participation"/>
    <s v="na"/>
  </r>
  <r>
    <s v="Apr 12, 2023 17:42:17"/>
    <n v="6"/>
    <n v="5"/>
    <s v="Guest"/>
    <s v="Edmundson, NB"/>
    <s v="2023-03-13"/>
    <x v="3"/>
    <s v="Rowena Lasala"/>
    <s v="Tier 1"/>
    <n v="4"/>
    <n v="3"/>
    <n v="4"/>
    <n v="4"/>
    <n v="5"/>
    <n v="4"/>
    <s v="Daily Quiz to catch up with class topics, always encouraging us, connecting us to call shadowing to understudy experienced agents"/>
    <s v="more time for the training, more practices and simulations on IceBar and Genesys, more time to study SOP and training materials"/>
  </r>
  <r>
    <s v="Apr 12, 2023 17:38:09"/>
    <n v="6"/>
    <n v="6"/>
    <s v="Guest"/>
    <s v="Bridgewater, NS"/>
    <s v="2023-03-13"/>
    <x v="3"/>
    <s v="Rowena Lasala"/>
    <s v="Tier 1"/>
    <n v="5"/>
    <n v="5"/>
    <n v="5"/>
    <n v="5"/>
    <n v="5"/>
    <n v="5"/>
    <s v="She is always motivating us &amp; provide all the tools to handling the customers."/>
    <s v="She is to active, motivated, punchual."/>
  </r>
  <r>
    <s v="Apr 12, 2023 17:36:09"/>
    <n v="6"/>
    <n v="6"/>
    <s v="Guest"/>
    <s v="Ottawa"/>
    <s v="2023-03-13"/>
    <x v="3"/>
    <s v="Rowena Lasala"/>
    <s v="Tier 1"/>
    <n v="5"/>
    <n v="5"/>
    <n v="5"/>
    <n v="5"/>
    <n v="5"/>
    <n v="5"/>
    <s v="supporting, allowing us to ask questions, supporting role play"/>
    <m/>
  </r>
  <r>
    <s v="Apr 12, 2023 17:35:54"/>
    <n v="6"/>
    <n v="5"/>
    <s v="Guest"/>
    <s v="Edmundson, NB"/>
    <s v="2023-03-13"/>
    <x v="3"/>
    <s v="Rowena Lasala"/>
    <s v="Tier 1"/>
    <n v="4"/>
    <n v="3"/>
    <n v="4"/>
    <n v="5"/>
    <n v="5"/>
    <n v="4"/>
    <s v="she was very informative and understanding. Also very patient."/>
    <s v="Nothing the facilitator was great. Maybe more time for training. Like 6 weeks training and then 2 week nesting."/>
  </r>
  <r>
    <s v="Apr 12, 2023 17:34:26"/>
    <n v="6"/>
    <n v="6"/>
    <s v="Guest"/>
    <s v="Toronto, ON"/>
    <s v="2023-03-13"/>
    <x v="3"/>
    <s v="Rowena Lasala"/>
    <s v="Tier 1"/>
    <n v="5"/>
    <n v="5"/>
    <n v="5"/>
    <n v="5"/>
    <n v="5"/>
    <n v="5"/>
    <s v="Very supportive and provided hands on work and activities for us to get familiar"/>
    <s v="Nothing for me, personally I think Rowena did an amazing job! THANK YOU ROWENA! :D"/>
  </r>
  <r>
    <s v="Apr 12, 2023 17:32:38"/>
    <n v="6"/>
    <n v="4"/>
    <s v="Guest"/>
    <s v="Bridgewater, NS"/>
    <s v="2023-03-13"/>
    <x v="3"/>
    <s v="Rowena Lasala"/>
    <s v="Tier 1"/>
    <n v="4"/>
    <n v="3"/>
    <n v="4"/>
    <n v="3"/>
    <n v="5"/>
    <n v="4"/>
    <s v="answered questions, kind and encouraging"/>
    <s v="share screen to show where in SOP to find things"/>
  </r>
  <r>
    <s v="Nov 24, 2023 19:34:02"/>
    <n v="6"/>
    <n v="4"/>
    <s v="Guest"/>
    <s v="Manila, PHL"/>
    <s v="2023-10-10"/>
    <x v="7"/>
    <m/>
    <m/>
    <n v="5"/>
    <n v="5"/>
    <n v="3"/>
    <n v="3"/>
    <n v="5"/>
    <n v="5"/>
    <s v="She\'s knowledgable to the process, Has a long patience with us and very accommodating"/>
    <s v="Nothing. She\'s doing great throughout the training for me."/>
  </r>
  <r>
    <s v="Nov 24, 2023 19:32:01"/>
    <n v="6"/>
    <n v="4"/>
    <s v="Guest"/>
    <s v="Manila, PHL"/>
    <s v="2023-10-10"/>
    <x v="17"/>
    <m/>
    <m/>
    <n v="5"/>
    <n v="4"/>
    <n v="3"/>
    <n v="3"/>
    <n v="4"/>
    <n v="5"/>
    <s v="She\'s knowledgable about the process, Caring and has a long patience to us"/>
    <s v="Nothing. She\'s doing great throughout the training for me."/>
  </r>
  <r>
    <s v="Nov 24, 2023 19:31:04"/>
    <n v="6"/>
    <n v="6"/>
    <s v="Guest"/>
    <s v="Manila, PHL"/>
    <s v="2023-10-10"/>
    <x v="17"/>
    <m/>
    <m/>
    <n v="4"/>
    <n v="4"/>
    <n v="4"/>
    <n v="4"/>
    <n v="4"/>
    <n v="4"/>
    <s v="patience to teach, always motivate to do better and informing the areas of my improvements"/>
    <s v="none"/>
  </r>
  <r>
    <s v="Nov 24, 2023 19:30:54"/>
    <n v="6"/>
    <n v="6"/>
    <s v="Guest"/>
    <s v="Manila, PHL"/>
    <s v="2023-10-10"/>
    <x v="17"/>
    <m/>
    <m/>
    <n v="4"/>
    <n v="4"/>
    <n v="4"/>
    <n v="4"/>
    <n v="4"/>
    <n v="4"/>
    <s v="knowledgeable"/>
    <m/>
  </r>
  <r>
    <s v="Nov 24, 2023 19:30:26"/>
    <n v="6"/>
    <n v="6"/>
    <s v="Guest"/>
    <s v="Manila, PHL"/>
    <s v="2023-10-10"/>
    <x v="7"/>
    <m/>
    <m/>
    <n v="5"/>
    <n v="5"/>
    <n v="5"/>
    <n v="5"/>
    <n v="5"/>
    <n v="5"/>
    <s v="patience to teach, always motivate to do better and informing the areas of my improvements"/>
    <s v="none"/>
  </r>
  <r>
    <s v="Nov 24, 2023 19:30:11"/>
    <n v="6"/>
    <n v="6"/>
    <s v="Guest"/>
    <s v="Manila, PHL"/>
    <s v="2023-11-10"/>
    <x v="7"/>
    <m/>
    <m/>
    <n v="5"/>
    <n v="5"/>
    <n v="5"/>
    <n v="4"/>
    <n v="4"/>
    <n v="4"/>
    <s v="motivate, opportunities"/>
    <m/>
  </r>
  <r>
    <s v="Nov 24, 2023 19:30:02"/>
    <n v="6"/>
    <n v="6"/>
    <s v="Guest"/>
    <s v="Manila, PHL"/>
    <s v="2023-10-10"/>
    <x v="7"/>
    <m/>
    <m/>
    <n v="4"/>
    <n v="4"/>
    <n v="4"/>
    <n v="4"/>
    <n v="5"/>
    <n v="4"/>
    <s v="knowledgeable"/>
    <m/>
  </r>
  <r>
    <s v="Nov 24, 2023 19:29:41"/>
    <n v="6"/>
    <n v="6"/>
    <s v="Guest"/>
    <s v="Manila, PHL"/>
    <s v="2023-11-24"/>
    <x v="17"/>
    <m/>
    <m/>
    <n v="5"/>
    <n v="5"/>
    <n v="5"/>
    <n v="5"/>
    <n v="5"/>
    <n v="5"/>
    <m/>
    <s v="NONE"/>
  </r>
  <r>
    <s v="Nov 24, 2023 19:29:24"/>
    <n v="6"/>
    <n v="6"/>
    <s v="Guest"/>
    <s v="Manila, PHL"/>
    <s v="2023-10-10"/>
    <x v="12"/>
    <m/>
    <m/>
    <n v="4"/>
    <n v="4"/>
    <n v="4"/>
    <n v="4"/>
    <n v="4"/>
    <n v="4"/>
    <s v="patience to teach, always motivate to do better and informing the areas of my improvements"/>
    <s v="none"/>
  </r>
  <r>
    <s v="Nov 24, 2023 19:27:26"/>
    <n v="6"/>
    <n v="4"/>
    <s v="Guest"/>
    <s v="Manila, PHL"/>
    <s v="2023-10-10"/>
    <x v="12"/>
    <m/>
    <m/>
    <n v="4"/>
    <n v="5"/>
    <n v="3"/>
    <n v="3"/>
    <n v="5"/>
    <n v="5"/>
    <s v="He\'s Very Caring, Keen to Details &amp; Lively"/>
    <s v="Nothing. Honestly,  he\'s totally fine throughout the training."/>
  </r>
  <r>
    <s v="Nov 24, 2023 19:27:18"/>
    <n v="6"/>
    <n v="6"/>
    <s v="Guest"/>
    <s v="Manila, PHL"/>
    <s v="2023-10-10"/>
    <x v="12"/>
    <m/>
    <m/>
    <n v="4"/>
    <n v="4"/>
    <n v="4"/>
    <n v="4"/>
    <n v="4"/>
    <n v="4"/>
    <s v="knowledgeable"/>
    <m/>
  </r>
  <r>
    <s v="Nov 24, 2023 19:27:09"/>
    <n v="6"/>
    <n v="6"/>
    <s v="Guest"/>
    <s v="Manila, PHL"/>
    <s v="2023-10-10"/>
    <x v="7"/>
    <m/>
    <m/>
    <n v="5"/>
    <n v="5"/>
    <n v="5"/>
    <n v="5"/>
    <n v="5"/>
    <n v="5"/>
    <s v="KNOWLEDGEABLE, APPRECIABLE, AND UNDERSTANDABLE"/>
    <s v="PROVIDING PAPER REVIEWERS"/>
  </r>
  <r>
    <s v="Nov 24, 2023 19:27:07"/>
    <n v="6"/>
    <n v="6"/>
    <s v="Guest"/>
    <s v="Manila, PHL"/>
    <s v="2023-10-10"/>
    <x v="7"/>
    <m/>
    <m/>
    <n v="5"/>
    <n v="5"/>
    <n v="5"/>
    <n v="5"/>
    <n v="5"/>
    <n v="5"/>
    <s v="Always be thankful for opportunities"/>
    <s v="NONE"/>
  </r>
  <r>
    <s v="Nov 24, 2023 19:26:34"/>
    <n v="6"/>
    <n v="6"/>
    <s v="Guest"/>
    <s v="Manila, PHL"/>
    <s v="2023-10-10"/>
    <x v="17"/>
    <m/>
    <m/>
    <n v="5"/>
    <n v="5"/>
    <n v="5"/>
    <n v="5"/>
    <n v="5"/>
    <n v="5"/>
    <s v="Explained very well and more very good all in all."/>
    <s v="Nothing to say."/>
  </r>
  <r>
    <s v="Nov 24, 2023 19:25:56"/>
    <n v="6"/>
    <n v="2"/>
    <s v="Guest"/>
    <s v="Manila, PHL"/>
    <s v="2023-10-10"/>
    <x v="17"/>
    <m/>
    <m/>
    <n v="3"/>
    <n v="3"/>
    <n v="3"/>
    <n v="4"/>
    <n v="4"/>
    <n v="3"/>
    <m/>
    <m/>
  </r>
  <r>
    <s v="Nov 24, 2023 19:25:53"/>
    <n v="6"/>
    <n v="6"/>
    <s v="Guest"/>
    <s v="Manila, PHL"/>
    <s v="2023-10-10"/>
    <x v="12"/>
    <m/>
    <m/>
    <n v="5"/>
    <n v="5"/>
    <n v="5"/>
    <n v="5"/>
    <n v="5"/>
    <n v="5"/>
    <s v="Explained very well and more very good all in all."/>
    <s v="Nothing to say."/>
  </r>
  <r>
    <s v="Nov 24, 2023 19:25:51"/>
    <n v="6"/>
    <n v="6"/>
    <s v="Guest"/>
    <s v="Manila, PHL"/>
    <s v="2023-10-10"/>
    <x v="17"/>
    <m/>
    <m/>
    <n v="5"/>
    <n v="5"/>
    <n v="5"/>
    <n v="5"/>
    <n v="5"/>
    <n v="5"/>
    <s v="KNOWLEDGEABLE, APPRECIABLE, AND UNDERSTANDABLE"/>
    <s v="PROVIDING PAPERS REVIEWER"/>
  </r>
  <r>
    <s v="Nov 24, 2023 19:25:13"/>
    <n v="6"/>
    <n v="6"/>
    <s v="Guest"/>
    <s v="Manila, PHL"/>
    <s v="2023-10-10"/>
    <x v="17"/>
    <m/>
    <m/>
    <n v="5"/>
    <n v="5"/>
    <n v="5"/>
    <n v="5"/>
    <n v="5"/>
    <n v="5"/>
    <s v="Providing oppurtunity so that we can improve"/>
    <s v="None"/>
  </r>
  <r>
    <s v="Nov 24, 2023 19:24:59"/>
    <n v="6"/>
    <n v="1"/>
    <s v="Guest"/>
    <s v="Manila, PHL"/>
    <s v="2023-10-10"/>
    <x v="7"/>
    <m/>
    <m/>
    <n v="4"/>
    <n v="3"/>
    <n v="3"/>
    <n v="3"/>
    <n v="3"/>
    <n v="3"/>
    <m/>
    <m/>
  </r>
  <r>
    <s v="Nov 24, 2023 19:24:17"/>
    <n v="6"/>
    <n v="6"/>
    <s v="Guest"/>
    <s v="Manila, PHL"/>
    <s v="2023-10-10"/>
    <x v="12"/>
    <m/>
    <m/>
    <n v="5"/>
    <n v="5"/>
    <n v="5"/>
    <n v="5"/>
    <n v="5"/>
    <n v="5"/>
    <s v="KNOWLEDGEABLE, APPRECIABLE, AND UNDERSTANDABLE"/>
    <s v="PROVIDING PAPER REVIEWERS"/>
  </r>
  <r>
    <s v="Nov 24, 2023 19:24:10"/>
    <n v="6"/>
    <n v="3"/>
    <s v="Guest"/>
    <s v="Manila, PHL"/>
    <s v="2023-10-10"/>
    <x v="12"/>
    <m/>
    <m/>
    <n v="5"/>
    <n v="3"/>
    <n v="3"/>
    <n v="4"/>
    <n v="4"/>
    <n v="3"/>
    <s v="motivation, open opportunities"/>
    <m/>
  </r>
  <r>
    <s v="Nov 24, 2023 19:24:05"/>
    <n v="6"/>
    <n v="6"/>
    <s v="Guest"/>
    <s v="Manila, PHL"/>
    <s v="2023-10-10"/>
    <x v="17"/>
    <m/>
    <m/>
    <n v="4"/>
    <n v="4"/>
    <n v="5"/>
    <n v="5"/>
    <n v="5"/>
    <n v="5"/>
    <m/>
    <m/>
  </r>
  <r>
    <s v="Nov 24, 2023 19:23:43"/>
    <n v="6"/>
    <n v="6"/>
    <s v="Guest"/>
    <s v="Manila, PHL"/>
    <s v="2023-10-10"/>
    <x v="7"/>
    <m/>
    <m/>
    <n v="5"/>
    <n v="5"/>
    <n v="5"/>
    <n v="5"/>
    <n v="5"/>
    <n v="5"/>
    <m/>
    <m/>
  </r>
  <r>
    <s v="Nov 24, 2023 19:23:17"/>
    <n v="6"/>
    <n v="6"/>
    <s v="Guest"/>
    <s v="Manila, PHL"/>
    <s v="2023-10-10"/>
    <x v="12"/>
    <m/>
    <m/>
    <n v="5"/>
    <n v="5"/>
    <n v="5"/>
    <n v="5"/>
    <n v="5"/>
    <n v="5"/>
    <m/>
    <m/>
  </r>
  <r>
    <s v="Nov 24, 2023 19:23:11"/>
    <n v="6"/>
    <n v="5"/>
    <s v="Guest"/>
    <s v="Manila, PHL"/>
    <s v="2023-10-10"/>
    <x v="12"/>
    <m/>
    <m/>
    <n v="4"/>
    <n v="4"/>
    <n v="3"/>
    <n v="4"/>
    <n v="4"/>
    <n v="4"/>
    <s v="Giving a motivation"/>
    <m/>
  </r>
  <r>
    <s v="Nov 24, 2023 19:22:43"/>
    <n v="6"/>
    <n v="6"/>
    <s v="Guest"/>
    <s v="Manila, PHL"/>
    <s v="2023-10-10"/>
    <x v="7"/>
    <m/>
    <m/>
    <n v="5"/>
    <n v="5"/>
    <n v="5"/>
    <n v="5"/>
    <n v="5"/>
    <n v="5"/>
    <s v="The way she approach, the way she spoke with and explained the processes."/>
    <s v="I don\'t have anything to say as Ma\'am Ruschel is very approachable and very kind. ^_^"/>
  </r>
  <r>
    <s v="Nov 24, 2023 19:22:39"/>
    <n v="6"/>
    <n v="6"/>
    <s v="Guest"/>
    <s v="Manila, PHL"/>
    <s v="2023-10-10"/>
    <x v="7"/>
    <m/>
    <m/>
    <n v="5"/>
    <n v="5"/>
    <n v="5"/>
    <n v="5"/>
    <n v="5"/>
    <n v="5"/>
    <s v="Explaining the complicated topics"/>
    <s v="None"/>
  </r>
  <r>
    <s v="Nov 24, 2023 19:22:34"/>
    <n v="6"/>
    <n v="6"/>
    <s v="Guest"/>
    <s v="Manila, PHL"/>
    <s v="2023-10-10"/>
    <x v="17"/>
    <m/>
    <m/>
    <n v="4"/>
    <n v="5"/>
    <n v="5"/>
    <n v="5"/>
    <n v="5"/>
    <n v="4"/>
    <m/>
    <m/>
  </r>
  <r>
    <s v="Nov 24, 2023 19:22:22"/>
    <n v="6"/>
    <n v="6"/>
    <s v="Guest"/>
    <s v="Manila, PHL"/>
    <s v="2023-10-10"/>
    <x v="12"/>
    <m/>
    <m/>
    <n v="5"/>
    <n v="5"/>
    <n v="5"/>
    <n v="5"/>
    <n v="5"/>
    <n v="5"/>
    <s v="Always be on time."/>
    <s v="NONE"/>
  </r>
  <r>
    <s v="Nov 24, 2023 19:20:50"/>
    <n v="6"/>
    <n v="6"/>
    <s v="Guest"/>
    <s v="Manila, PHL"/>
    <s v="2023-11-24"/>
    <x v="12"/>
    <m/>
    <m/>
    <n v="5"/>
    <n v="5"/>
    <n v="5"/>
    <n v="5"/>
    <n v="5"/>
    <n v="5"/>
    <s v="Sharing experience related to the topic"/>
    <s v="None"/>
  </r>
  <r>
    <s v="Nov 23, 2023 19:42:45"/>
    <n v="6"/>
    <n v="6"/>
    <s v="Guest"/>
    <s v="Manila, PHL"/>
    <s v="2023-10-02"/>
    <x v="3"/>
    <m/>
    <m/>
    <n v="5"/>
    <n v="5"/>
    <n v="5"/>
    <n v="5"/>
    <n v="5"/>
    <n v="5"/>
    <s v="They made sure that we know as much as we can about the process. They provided their own experience. They discussed beyond what is in the learning material."/>
    <s v="None"/>
  </r>
  <r>
    <s v="Nov 23, 2023 19:17:55"/>
    <n v="6"/>
    <n v="6"/>
    <s v="Guest"/>
    <s v="Manila, PHL"/>
    <s v="2023-10-02"/>
    <x v="6"/>
    <m/>
    <m/>
    <n v="4"/>
    <n v="4"/>
    <n v="5"/>
    <n v="4"/>
    <n v="5"/>
    <n v="5"/>
    <s v="They were very informative. Made sure we understood the topics. Approachable."/>
    <s v="It would be nice if they can be more engaged with the trainees and do more part on discussions because they are good at training :)"/>
  </r>
  <r>
    <s v="Nov 23, 2023 18:53:20"/>
    <n v="6"/>
    <n v="6"/>
    <s v="Guest"/>
    <s v="Manila, PHL"/>
    <s v="2023-10-02"/>
    <x v="15"/>
    <m/>
    <m/>
    <n v="4"/>
    <n v="4"/>
    <n v="5"/>
    <n v="4"/>
    <n v="4"/>
    <n v="4"/>
    <s v="My facilitator was very attentive, they were clear with their explanations and they always provided us support."/>
    <s v="They can deepen their discussions further by providing info that is not in the learning material or share their own experience more, they are clear and quick with the discussion which is nice however it would be more helpful if they gave more time to explore the topics more with the trainees. Other than that everything else is good."/>
  </r>
  <r>
    <s v="Nov 23, 2023 18:33:17"/>
    <n v="6"/>
    <n v="6"/>
    <s v="Guest"/>
    <s v="Manila, PHL"/>
    <s v="2023-09-26"/>
    <x v="3"/>
    <m/>
    <m/>
    <n v="4"/>
    <n v="4"/>
    <n v="4"/>
    <n v="4"/>
    <n v="4"/>
    <n v="4"/>
    <m/>
    <m/>
  </r>
  <r>
    <s v="Nov 23, 2023 18:32:27"/>
    <n v="6"/>
    <n v="6"/>
    <s v="Guest"/>
    <s v="Manila, PHL"/>
    <s v="2023-09-26"/>
    <x v="6"/>
    <m/>
    <m/>
    <n v="4"/>
    <n v="4"/>
    <n v="4"/>
    <n v="4"/>
    <n v="4"/>
    <n v="4"/>
    <m/>
    <m/>
  </r>
  <r>
    <s v="Nov 23, 2023 18:31:51"/>
    <n v="6"/>
    <n v="6"/>
    <s v="Guest"/>
    <s v="Manila, PHL"/>
    <s v="2023-09-26"/>
    <x v="15"/>
    <m/>
    <m/>
    <n v="4"/>
    <n v="4"/>
    <n v="4"/>
    <n v="4"/>
    <n v="4"/>
    <n v="4"/>
    <m/>
    <m/>
  </r>
  <r>
    <s v="Nov 23, 2023 18:26:28"/>
    <n v="6"/>
    <n v="6"/>
    <s v="Guest"/>
    <s v="Manila, PHL"/>
    <s v="2023-10-02"/>
    <x v="6"/>
    <m/>
    <m/>
    <n v="5"/>
    <n v="5"/>
    <n v="5"/>
    <n v="5"/>
    <n v="5"/>
    <n v="5"/>
    <s v="sharing helpful tips, reminding of possible opportunities, optimistic\\n"/>
    <s v="nothing, everything is fine"/>
  </r>
  <r>
    <s v="Nov 23, 2023 18:24:58"/>
    <n v="6"/>
    <n v="6"/>
    <s v="Guest"/>
    <s v="Manila, PHL"/>
    <s v="2023-10-02"/>
    <x v="15"/>
    <m/>
    <m/>
    <n v="5"/>
    <n v="5"/>
    <n v="5"/>
    <n v="5"/>
    <n v="5"/>
    <n v="5"/>
    <s v="cheerful and positive during coaching, reminding of possible opportunities, sharing techniques\\n"/>
    <s v="nothing, everything is fine\\n"/>
  </r>
  <r>
    <s v="Nov 23, 2023 18:23:28"/>
    <n v="6"/>
    <n v="6"/>
    <s v="Guest"/>
    <s v="Manila, PHL"/>
    <s v="2023-10-02"/>
    <x v="3"/>
    <m/>
    <m/>
    <n v="5"/>
    <n v="5"/>
    <n v="5"/>
    <n v="5"/>
    <n v="5"/>
    <n v="5"/>
    <s v="addressing our confusion, reminding of possible opportunities, sharing techniques"/>
    <s v="nothing, everything is fine"/>
  </r>
  <r>
    <s v="Nov 10, 2023 18:14:02"/>
    <n v="6"/>
    <n v="6"/>
    <s v="Guest"/>
    <s v="Manila, PHL"/>
    <s v="2023-10-18"/>
    <x v="8"/>
    <m/>
    <m/>
    <n v="5"/>
    <n v="5"/>
    <n v="5"/>
    <n v="5"/>
    <n v="5"/>
    <n v="5"/>
    <s v="Sneha is very informative as well, very nice. I love how she&amp;#92;\'s so patient with us whenever we don&amp;#92;\'t speak. Also, she&amp;#92;\'s a liitle bit strict which is great because it makes us do better. Hardworking and is very cool as well &gt;,&lt; always laugh and smiling~"/>
    <s v="She\'s great!"/>
  </r>
  <r>
    <s v="Nov 10, 2023 17:54:37"/>
    <n v="6"/>
    <n v="6"/>
    <s v="Guest"/>
    <s v="Manila, PHL"/>
    <s v="2023-09-18"/>
    <x v="18"/>
    <m/>
    <m/>
    <n v="5"/>
    <n v="5"/>
    <n v="5"/>
    <n v="5"/>
    <n v="5"/>
    <n v="5"/>
    <s v="Oh Maria is my favorite trainer!! I love how she always laugh and do exercise and is very very kind to all of us. She also makes the environment feels light that encourages me to participate and go to work. Second, Maria is always there whenever we have questions, she always answer all of it and is very informative as well!! Lastly, Maria is always patient and coool. Very cool trainer, I love it."/>
    <s v="SHE DID GREAT, THERE\'S NOTHING SHE COULD DO BETTER!!"/>
  </r>
  <r>
    <s v="Nov 10, 2023 17:51:14"/>
    <n v="6"/>
    <n v="6"/>
    <s v="Guest"/>
    <s v="Manila, PHL"/>
    <s v="2023-09-18"/>
    <x v="14"/>
    <m/>
    <m/>
    <n v="5"/>
    <n v="5"/>
    <n v="5"/>
    <n v="5"/>
    <n v="5"/>
    <n v="5"/>
    <s v="She\'s also quite strict, but it was still good because it will encourage you to do more, very approachable and caring."/>
    <s v="No comments, because she\'s already good."/>
  </r>
  <r>
    <s v="Nov 10, 2023 17:50:25"/>
    <n v="6"/>
    <n v="6"/>
    <s v="Guest"/>
    <s v="Manila, PHL"/>
    <s v="2023-09-18"/>
    <x v="18"/>
    <m/>
    <m/>
    <n v="5"/>
    <n v="5"/>
    <n v="5"/>
    <n v="5"/>
    <n v="5"/>
    <n v="5"/>
    <s v="WHAT I LOVE MARIA IS THAT SHE IS BEING HERSELF, IT MAKES ME HAPPY WHEN SHE IS PRESENT. SHE IS JOYFUL AND GOOD AT ENTERTAINING US TO AVOID BEING BORED IN THIS PROCESS. SHE MOTIVATE ME ALWAYS, SPECIALLY TO MY QA\'S. SHE APPROACH ME WHEN I AM NOT FEELING WELL. SHE ALSO LOVE TAYLOR SWIFT"/>
    <m/>
  </r>
  <r>
    <s v="Nov 10, 2023 17:50:18"/>
    <n v="6"/>
    <n v="6"/>
    <s v="Guest"/>
    <s v="Manila, PHL"/>
    <s v="2023-09-18"/>
    <x v="8"/>
    <m/>
    <m/>
    <n v="5"/>
    <n v="4"/>
    <n v="5"/>
    <n v="5"/>
    <n v="5"/>
    <n v="5"/>
    <s v="Really knows what her doing. Good support. Answer all inquiries."/>
    <s v="be patient to the manila folks since we really have slow internet connection and we are thinking of answers when we are asked. Aside from that, no issues. Visit us."/>
  </r>
  <r>
    <s v="Nov 10, 2023 17:50:00"/>
    <n v="6"/>
    <n v="6"/>
    <s v="Guest"/>
    <s v="Manila, PHL"/>
    <s v="2023-09-18"/>
    <x v="8"/>
    <m/>
    <m/>
    <n v="5"/>
    <n v="5"/>
    <n v="5"/>
    <n v="5"/>
    <n v="5"/>
    <n v="5"/>
    <s v="She encourage me to how I can handle the call effectively, provide advises on how I can manage customer\'s concern and help me to manage my metrics (QA Score, AHT, Hold time)."/>
    <s v="She could improve on how she provide information to agents/newbies."/>
  </r>
  <r>
    <s v="Nov 10, 2023 17:49:17"/>
    <n v="6"/>
    <n v="6"/>
    <s v="Guest"/>
    <s v="Manila, PHL"/>
    <s v="2023-09-18"/>
    <x v="8"/>
    <m/>
    <m/>
    <n v="5"/>
    <n v="5"/>
    <n v="5"/>
    <n v="5"/>
    <n v="5"/>
    <n v="5"/>
    <s v="Quite strict for my own perspective, but that was good because it will make you do more and go beyond your knowledge, she\'s also approachable and very caring."/>
    <s v="She\'s already good, no comments."/>
  </r>
  <r>
    <s v="Nov 10, 2023 17:49:17"/>
    <n v="6"/>
    <n v="6"/>
    <s v="Guest"/>
    <s v="Manila, PHL"/>
    <s v="2023-09-18"/>
    <x v="8"/>
    <m/>
    <m/>
    <n v="5"/>
    <n v="5"/>
    <n v="5"/>
    <n v="5"/>
    <n v="5"/>
    <n v="5"/>
    <s v="always smile , be professional , do your best"/>
    <s v="none , she give me a lot of tips to be better on the call."/>
  </r>
  <r>
    <s v="Nov 10, 2023 17:48:51"/>
    <n v="6"/>
    <n v="6"/>
    <s v="Guest"/>
    <s v="Manila, PHL"/>
    <s v="2023-09-18"/>
    <x v="8"/>
    <m/>
    <m/>
    <n v="5"/>
    <n v="5"/>
    <n v="5"/>
    <n v="5"/>
    <n v="5"/>
    <n v="5"/>
    <s v="Motivate, Engage, and help me passed the metrics"/>
    <s v="Visit the Philippines :D"/>
  </r>
  <r>
    <s v="Nov 10, 2023 17:48:40"/>
    <n v="6"/>
    <n v="6"/>
    <s v="Guest"/>
    <s v="Manila, PHL"/>
    <s v="2023-09-18"/>
    <x v="18"/>
    <m/>
    <m/>
    <n v="5"/>
    <n v="5"/>
    <n v="5"/>
    <n v="5"/>
    <n v="5"/>
    <n v="5"/>
    <s v="She encourage me to how I can handle the call effectively, provide advises on how I can manage customer\'s concern and help me to manage my metrics (QA Score, AHT, Hold time)."/>
    <s v="She could improve on how she provide information to agents/newbies."/>
  </r>
  <r>
    <s v="Nov 10, 2023 17:48:36"/>
    <n v="6"/>
    <n v="6"/>
    <s v="Guest"/>
    <s v="Manila, PHL"/>
    <s v="2023-09-18"/>
    <x v="14"/>
    <m/>
    <m/>
    <n v="5"/>
    <n v="5"/>
    <n v="5"/>
    <n v="5"/>
    <n v="5"/>
    <n v="5"/>
    <s v="First Gilisa always approach us in the most kindest and gentle way but enough for us to do better whenever we are doing something wrong or on coaching which encouraged me to do my best so reciprocate. Second, Gilisa always smiles and laugh that makes the environment feels light and actually encouraged me to go to work everyday. Lastly, very informative whenever we are asking something we do not know or is not clear, she always explains it in a way that we are going to understand it better which I honestly like the most when it comes to Gilisa."/>
    <s v="I think she did everything well :&gt;"/>
  </r>
  <r>
    <s v="Nov 10, 2023 17:48:11"/>
    <n v="6"/>
    <n v="6"/>
    <s v="Guest"/>
    <s v="Manila, PHL"/>
    <s v="2023-09-18"/>
    <x v="18"/>
    <m/>
    <m/>
    <n v="5"/>
    <n v="5"/>
    <n v="5"/>
    <n v="5"/>
    <n v="5"/>
    <n v="5"/>
    <s v="always smile , be professional , do your best"/>
    <s v="none , she give me a lot of tips to be better on the call."/>
  </r>
  <r>
    <s v="Nov 10, 2023 17:47:44"/>
    <n v="6"/>
    <n v="6"/>
    <s v="Guest"/>
    <s v="Manila, PHL"/>
    <s v="2023-09-18"/>
    <x v="18"/>
    <m/>
    <m/>
    <n v="5"/>
    <n v="5"/>
    <n v="5"/>
    <n v="5"/>
    <n v="5"/>
    <n v="5"/>
    <s v="She is a great facilitator especially in giving feedback and make the training more interactive"/>
    <s v="Longer time for role play\\nVisit Philippines\\nThat\'s all"/>
  </r>
  <r>
    <s v="Nov 10, 2023 17:47:35"/>
    <n v="6"/>
    <n v="6"/>
    <s v="Guest"/>
    <s v="Manila, PHL"/>
    <s v="2023-09-18"/>
    <x v="18"/>
    <m/>
    <m/>
    <n v="5"/>
    <n v="5"/>
    <n v="5"/>
    <n v="5"/>
    <n v="5"/>
    <n v="5"/>
    <s v="provide a really good support. Very encouraging. Answer all the inquiries. Really patient"/>
    <s v="Visit us here in the Philippines. Stay strong with the ice breaker. I can\'t think of anything that the facilitator can do differently next time."/>
  </r>
  <r>
    <s v="Nov 10, 2023 17:47:29"/>
    <n v="6"/>
    <n v="6"/>
    <s v="Guest"/>
    <s v="Manila, PHL"/>
    <s v="2023-09-18"/>
    <x v="14"/>
    <m/>
    <m/>
    <n v="5"/>
    <n v="5"/>
    <n v="5"/>
    <n v="5"/>
    <n v="5"/>
    <n v="5"/>
    <s v="She encourage me to how I can handle the call effectively, provide advises on how I can manage customer\'s concern and help me to manage my metrics (QA Score, AHT, Hold time)."/>
    <s v="She could improve on how she provide information to agents/newbies."/>
  </r>
  <r>
    <s v="Nov 10, 2023 17:47:28"/>
    <n v="6"/>
    <n v="6"/>
    <s v="Guest"/>
    <s v="Manila, PHL"/>
    <s v="2023-09-18"/>
    <x v="18"/>
    <m/>
    <m/>
    <n v="5"/>
    <n v="5"/>
    <n v="5"/>
    <n v="5"/>
    <n v="5"/>
    <n v="5"/>
    <s v="Motivate, Engage, and help me passed the metrics"/>
    <s v="Visit the Philippines :D"/>
  </r>
  <r>
    <s v="Nov 10, 2023 17:46:51"/>
    <n v="6"/>
    <n v="6"/>
    <s v="Guest"/>
    <s v="Manila, PHL"/>
    <s v="2023-09-18"/>
    <x v="8"/>
    <m/>
    <m/>
    <n v="4"/>
    <n v="5"/>
    <n v="5"/>
    <n v="5"/>
    <n v="5"/>
    <n v="5"/>
    <s v="SHE SHARED HER TECHNIQUES, SHE IS EAGER  TO TEACH US EVEN IN THE MIDST OF  PROBLEM AND I REALLY LIKE ABOUT HER IS SHE IS ALWAYS PRESENT. i ALSO LOVE ABOUT HER IS SHE TALK ABOUT HER CULTURE , SUCH WHAT SHE LIKES , WHERE SHE GO AND WHAT SHE DID AND SO ON"/>
    <s v="PLEASE SPEAK SLOWER SNEHA."/>
  </r>
  <r>
    <s v="Nov 10, 2023 17:46:29"/>
    <n v="6"/>
    <n v="6"/>
    <s v="Guest"/>
    <s v="Manila, PHL"/>
    <s v="2023-09-18"/>
    <x v="18"/>
    <m/>
    <m/>
    <n v="5"/>
    <n v="5"/>
    <n v="5"/>
    <n v="5"/>
    <n v="5"/>
    <n v="5"/>
    <s v="Advices like used the mistakes as strength for you to do more be better, not all days are for you but always do your best despite the difficulties, always encourage us that even do we made a mistake today there\'s a room for improvement."/>
    <s v="None, because she\'s already the best and good for her position."/>
  </r>
  <r>
    <s v="Nov 10, 2023 17:46:28"/>
    <n v="6"/>
    <n v="6"/>
    <s v="Guest"/>
    <s v="Manila, PHL"/>
    <s v="2023-09-18"/>
    <x v="14"/>
    <m/>
    <m/>
    <n v="5"/>
    <n v="5"/>
    <n v="5"/>
    <n v="5"/>
    <n v="5"/>
    <n v="5"/>
    <s v="always smile , be professional , do your best."/>
    <s v="none , she give me a lot of tips to be better on the call."/>
  </r>
  <r>
    <s v="Nov 10, 2023 17:45:59"/>
    <n v="6"/>
    <n v="6"/>
    <s v="Guest"/>
    <s v="Manila, PHL"/>
    <s v="2023-09-18"/>
    <x v="14"/>
    <m/>
    <m/>
    <n v="5"/>
    <n v="5"/>
    <n v="5"/>
    <n v="5"/>
    <n v="5"/>
    <n v="5"/>
    <s v="She is a great facilitator especially in giving feedback and make the training more interactive"/>
    <s v="Longer time for role play\\nVisit Philippines\\nthat\'s all"/>
  </r>
  <r>
    <s v="Nov 10, 2023 17:45:49"/>
    <n v="6"/>
    <n v="6"/>
    <s v="Guest"/>
    <s v="Manila, PHL"/>
    <s v="2023-09-18"/>
    <x v="14"/>
    <m/>
    <m/>
    <n v="5"/>
    <n v="5"/>
    <n v="5"/>
    <n v="5"/>
    <n v="5"/>
    <n v="5"/>
    <s v="Motivate, Engage, and help me passed the metrics"/>
    <s v="Go to the Philippines :D"/>
  </r>
  <r>
    <s v="Nov 10, 2023 17:45:22"/>
    <n v="6"/>
    <n v="6"/>
    <s v="Guest"/>
    <s v="Manila, PHL"/>
    <s v="2023-11-10"/>
    <x v="8"/>
    <m/>
    <m/>
    <n v="5"/>
    <n v="5"/>
    <n v="5"/>
    <n v="5"/>
    <n v="5"/>
    <n v="5"/>
    <s v="she was great, very helpful, and she make sure that, they are there to help you."/>
    <s v="Its all perfect!"/>
  </r>
  <r>
    <s v="Nov 10, 2023 17:44:48"/>
    <n v="6"/>
    <n v="6"/>
    <s v="Guest"/>
    <s v="Manila, PHL"/>
    <s v="2023-09-18"/>
    <x v="14"/>
    <m/>
    <m/>
    <n v="5"/>
    <n v="5"/>
    <n v="5"/>
    <n v="5"/>
    <n v="5"/>
    <n v="5"/>
    <s v="the facilitator was really engaging. Smiles a lot. Provide answers to inquiries."/>
    <s v="For me, the facilitator a did a great job. I can\'t think of anything that the facilitator can do differently next time."/>
  </r>
  <r>
    <s v="Nov 10, 2023 17:44:44"/>
    <n v="6"/>
    <n v="6"/>
    <s v="Guest"/>
    <s v="Manila, PHL"/>
    <s v="2023-11-10"/>
    <x v="18"/>
    <m/>
    <m/>
    <n v="5"/>
    <n v="5"/>
    <n v="5"/>
    <n v="5"/>
    <n v="5"/>
    <n v="5"/>
    <s v="she was great, very helpful, and she make sure that, they are there to help you."/>
    <s v="Its all perfect!"/>
  </r>
  <r>
    <s v="Nov 10, 2023 17:43:45"/>
    <n v="6"/>
    <n v="6"/>
    <s v="Guest"/>
    <s v="Manila, PHL"/>
    <s v="2023-11-10"/>
    <x v="14"/>
    <m/>
    <m/>
    <n v="5"/>
    <n v="4"/>
    <n v="5"/>
    <n v="5"/>
    <n v="5"/>
    <n v="5"/>
    <s v="she was great, very helpful, and she make sure that, they are there to help you."/>
    <s v="Its all perfect!"/>
  </r>
  <r>
    <s v="Nov 10, 2023 17:43:35"/>
    <n v="6"/>
    <n v="6"/>
    <s v="Guest"/>
    <s v="Manila, PHL"/>
    <s v="2023-09-18"/>
    <x v="14"/>
    <m/>
    <m/>
    <n v="5"/>
    <n v="5"/>
    <n v="5"/>
    <n v="5"/>
    <n v="5"/>
    <n v="5"/>
    <s v="ENTERTAINING US , MOTIVATING US AND TEACH US THE PROPER WAY.  WHAT I LIIKE ABOUT GILISA , ASIDE FROM HER HAIR IS THE WAY SHE TEACH US, SHE\'S JOLLY AND EACH TO UNDERSTAND WITH."/>
    <m/>
  </r>
  <r>
    <s v="Oct 31, 2023 12:33:28"/>
    <n v="6"/>
    <n v="5"/>
    <s v="Guest"/>
    <s v="Ottawa, ON"/>
    <s v="2023-10-31"/>
    <x v="11"/>
    <m/>
    <m/>
    <n v="5"/>
    <n v="4"/>
    <n v="4"/>
    <n v="3"/>
    <n v="5"/>
    <n v="4"/>
    <s v="1- share her own experiences with is\\n2- answer all questions\\n3- Take time to explain and do revisions of the previous day every morning"/>
    <s v="Make sure learners do more practice and learn about the system they will be working with before going to the field."/>
  </r>
  <r>
    <s v="Dec 01, 2023 15:18:17"/>
    <n v="6"/>
    <n v="6"/>
    <s v="Guest"/>
    <s v="Yarmouth, NS"/>
    <s v="2023-11-20"/>
    <x v="19"/>
    <m/>
    <m/>
    <n v="5"/>
    <n v="5"/>
    <n v="5"/>
    <n v="5"/>
    <n v="5"/>
    <n v="5"/>
    <s v="patience, deep understanding about HomeTrust systems and great instruction methods,"/>
    <s v="more call shadowing time, better training materials and better IT infrastructure."/>
  </r>
  <r>
    <s v="Dec 01, 2023 14:45:54"/>
    <n v="6"/>
    <n v="6"/>
    <s v="Guest"/>
    <s v="Bridgewater, NS"/>
    <s v="2023-11-20"/>
    <x v="19"/>
    <m/>
    <m/>
    <n v="5"/>
    <n v="4"/>
    <n v="5"/>
    <n v="4"/>
    <n v="5"/>
    <n v="5"/>
    <s v="Shared experiences, given important tips and given motivation for doing well in future."/>
    <s v="Divide the material into manageable small portions over the entire training period so that we don\'t feel overwhelmed by the amount of information given to us."/>
  </r>
  <r>
    <s v="Oct 13, 2023 14:53:24"/>
    <n v="6"/>
    <n v="6"/>
    <s v="Guest"/>
    <s v="Edmundson, NB"/>
    <s v="2023-10-02"/>
    <x v="19"/>
    <m/>
    <m/>
    <n v="5"/>
    <n v="5"/>
    <n v="5"/>
    <n v="4"/>
    <n v="5"/>
    <n v="5"/>
    <s v="listen, answer, deliver"/>
    <s v="There is not really a anything that she should change!!!"/>
  </r>
  <r>
    <s v="Oct 13, 2023 14:53:02"/>
    <n v="6"/>
    <n v="5"/>
    <s v="Guest"/>
    <s v="Other"/>
    <s v="2023-10-02"/>
    <x v="19"/>
    <m/>
    <m/>
    <n v="5"/>
    <n v="5"/>
    <n v="5"/>
    <n v="3"/>
    <n v="4"/>
    <n v="4"/>
    <s v="Engagement, interaction with the class throughout course, clarifying when needed and making sure we understand concepts before moving on to the next."/>
    <s v="I think she did extremely well. She met everyone at the level they were on and worked with us all to prepare us for the position!"/>
  </r>
  <r>
    <s v="Oct 13, 2023 14:53:02"/>
    <n v="6"/>
    <n v="5"/>
    <s v="Guest"/>
    <s v="Bridgewater, NS"/>
    <s v="2023-10-13"/>
    <x v="19"/>
    <m/>
    <m/>
    <n v="5"/>
    <n v="4"/>
    <n v="4"/>
    <n v="3"/>
    <n v="4"/>
    <n v="4"/>
    <s v="provided plenty of opportunities to ask questions, was very receptive and approachable"/>
    <s v="no complaints - facilitator was great. My hardware however has been a bit of a circus. We are at the end of second week and I have yet to receive everything needed to operate"/>
  </r>
  <r>
    <s v="Aug 11, 2023 10:32:40"/>
    <n v="6"/>
    <n v="2"/>
    <s v="Guest"/>
    <s v="Bridgewater, NS"/>
    <s v="2023-08-01"/>
    <x v="19"/>
    <m/>
    <m/>
    <n v="4"/>
    <n v="3"/>
    <n v="4"/>
    <n v="3"/>
    <n v="3"/>
    <n v="3"/>
    <s v="Debbie is very kind, easy to speak to and also advises that no question is stupid."/>
    <s v="More visual aides, slowing down on her slides. MORE hand outs. I am a very visual person and learn better with more hands on. Maybe have us read the slides and material ourselves and then when we are done, she could have a discussion with us on the material."/>
  </r>
  <r>
    <s v="Aug 11, 2023 10:32:15"/>
    <n v="6"/>
    <n v="2"/>
    <s v="Guest"/>
    <s v="Yarmouth, NS"/>
    <s v="2023-08-01"/>
    <x v="19"/>
    <m/>
    <m/>
    <n v="3"/>
    <n v="2"/>
    <n v="4"/>
    <n v="3"/>
    <n v="3"/>
    <n v="4"/>
    <s v="she was willing to answer questions"/>
    <s v="slower, talk less, let us speak to other agent when shadowing calls rather than chatting most of the time about personal things, also the training was so scattered that we had a very hard time retaining anything. Also notice we didnt follow our training breaks and instead were going 2 hours or more at a time without breaks, during training I find that to be hard mentally. We had a super lack of visual aides (screenshots of steps during her slides). Overall it wasn't one of my favorite training programs at all. She was kind though."/>
  </r>
  <r>
    <s v="Jun 23, 2023 13:42:11"/>
    <n v="6"/>
    <n v="6"/>
    <s v="Guest"/>
    <s v="Bridgewater, NS"/>
    <s v="2023-06-12"/>
    <x v="19"/>
    <m/>
    <m/>
    <n v="4"/>
    <n v="4"/>
    <n v="5"/>
    <n v="4"/>
    <n v="4"/>
    <n v="5"/>
    <s v="Freedom to ask any questions; good communication, well organized"/>
    <s v="more practice with the materiel and the system"/>
  </r>
  <r>
    <s v="Jun 23, 2023 13:40:19"/>
    <n v="6"/>
    <n v="6"/>
    <s v="Guest"/>
    <s v="Bridgewater, NS"/>
    <s v="2023-06-12"/>
    <x v="19"/>
    <m/>
    <m/>
    <n v="5"/>
    <n v="5"/>
    <n v="5"/>
    <n v="4"/>
    <n v="5"/>
    <n v="5"/>
    <s v="kept checking in with us to make sure we understood the material. encouraged asking any and all questions. was warm and friendly which made training fun and welcoming."/>
    <s v="Nothing. I thought she was excellent. One of the best trainers I've had. Excellent training flow and excellent Home Trust knowledge!!!"/>
  </r>
  <r>
    <s v="Apr 17, 2023 09:21:14"/>
    <n v="6"/>
    <n v="5"/>
    <s v="Guest"/>
    <s v="Bridgewater, NS"/>
    <s v="2023-04-03"/>
    <x v="19"/>
    <m/>
    <m/>
    <n v="3"/>
    <n v="4"/>
    <n v="5"/>
    <n v="4"/>
    <n v="5"/>
    <n v="5"/>
    <s v="Motivated us. \nEquipped us with information and made sure we had answers to all our questions.\nMade sure we were comfortable with the pace and understood."/>
    <m/>
  </r>
  <r>
    <s v="Apr 17, 2023 09:17:27"/>
    <n v="6"/>
    <n v="5"/>
    <s v="Guest"/>
    <s v="Bridgewater, NS"/>
    <s v="2023-04-03"/>
    <x v="19"/>
    <m/>
    <m/>
    <n v="4"/>
    <n v="3"/>
    <n v="4"/>
    <n v="4"/>
    <n v="4"/>
    <n v="4"/>
    <m/>
    <s v="more practice less theory"/>
  </r>
  <r>
    <s v="Apr 14, 2023 16:11:37"/>
    <n v="6"/>
    <n v="6"/>
    <s v="Guest"/>
    <s v="Bridgewater, NS"/>
    <s v="2023-04-03"/>
    <x v="19"/>
    <m/>
    <m/>
    <n v="5"/>
    <n v="5"/>
    <n v="5"/>
    <n v="4"/>
    <n v="5"/>
    <n v="4"/>
    <s v="Not giving up, checking in on me and listening to my concerns without holding it against me."/>
    <s v="Lingo for PC related things (not a big problem but did question some terms she used being a PC user that confused me. EX: She said page &quot;flipped&quot; but it &quot;refreshed/reloaded&quot;. Adding a ton of things on at the end of the day which might seem like minor things to her but for a new person are VERY overwhelming because it is end of the day and we're exhausted and finally just mixing names up haha Sometimes she would call a fellow trainee my name and vice versa which caused some confusion when it came to things being available and requested for each of us."/>
  </r>
  <r>
    <d v="2024-03-12T17:43:26"/>
    <n v="6"/>
    <n v="6"/>
    <s v="Guest"/>
    <s v="Bridgewater, NS"/>
    <d v="2024-03-12T00:00:00"/>
    <x v="20"/>
    <m/>
    <m/>
    <n v="5"/>
    <n v="4"/>
    <n v="5"/>
    <n v="5"/>
    <n v="5"/>
    <n v="5"/>
    <s v="Good listener, answered all my questions and gave me space to present my doughts.\\nUsed good visuals and real case scenarios."/>
    <s v="Have more reallife case practice,\\nThis one is not for the trainer but for the line- system could be updated/ have more information."/>
  </r>
  <r>
    <d v="2024-03-12T17:43:11"/>
    <n v="6"/>
    <n v="6"/>
    <s v="Guest"/>
    <s v="Bridgewater, NS"/>
    <d v="2024-02-26T00:00:00"/>
    <x v="20"/>
    <m/>
    <m/>
    <n v="5"/>
    <n v="4"/>
    <n v="5"/>
    <n v="5"/>
    <n v="5"/>
    <n v="5"/>
    <s v="Good listener, answered all my questions and gave me space to present my doughts.\\nUsed good visuals and real case scenarios."/>
    <s v="Have more reallife case practice,\\nThis one is not for the trainer but for the line- system could be updated/ have more information."/>
  </r>
  <r>
    <d v="2024-03-12T12:08:44"/>
    <n v="6"/>
    <n v="3"/>
    <s v="Guest"/>
    <s v="Toronto, ON"/>
    <d v="2024-02-26T00:00:00"/>
    <x v="20"/>
    <m/>
    <m/>
    <n v="4"/>
    <n v="3"/>
    <n v="5"/>
    <n v="3"/>
    <n v="4"/>
    <n v="2"/>
    <s v="explain to us the documentation is continuously been updated. so the course was easier to understand cause it was also meaning what we are been told might also change in the next day."/>
    <s v="Maybe understanding not everyone have been using the same tool for other contract. some where equiped while some other not."/>
  </r>
  <r>
    <d v="2024-03-11T18:06:00"/>
    <n v="6"/>
    <n v="6"/>
    <s v="Guest"/>
    <s v="Toronto, ON"/>
    <d v="2024-02-26T00:00:00"/>
    <x v="20"/>
    <m/>
    <m/>
    <n v="4"/>
    <n v="5"/>
    <n v="5"/>
    <n v="4"/>
    <n v="5"/>
    <n v="5"/>
    <s v="Scavenger hunt\\nGive scenarios\\nAsk questions back."/>
    <s v="More hands on material with more visuals to display what operating on a call live is like."/>
  </r>
  <r>
    <d v="2023-10-31T12:33:28"/>
    <n v="6"/>
    <n v="5"/>
    <s v="Guest"/>
    <s v="Ottawa, ON"/>
    <d v="2023-10-31T00:00:00"/>
    <x v="11"/>
    <m/>
    <m/>
    <n v="5"/>
    <n v="4"/>
    <n v="4"/>
    <n v="3"/>
    <n v="5"/>
    <n v="4"/>
    <s v="1- share her own experiences with is\\n2- answer all questions\\n3- Take time to explain and do revisions of the previous day every morning"/>
    <s v="Make sure learners do more practice and learn about the system they will be working with before going to the field."/>
  </r>
  <r>
    <d v="2024-03-20T14:34:17"/>
    <n v="6"/>
    <n v="6"/>
    <s v="Guest"/>
    <s v="Manila, PHL"/>
    <d v="2024-02-06T00:00:00"/>
    <x v="21"/>
    <m/>
    <m/>
    <n v="5"/>
    <n v="5"/>
    <n v="5"/>
    <n v="5"/>
    <n v="4"/>
    <n v="5"/>
    <s v="SHE MOTIVATES ME , SHE BELIEVES ON ME , AND LASTLY SHE WANT ME TO FEEL THAT NO MATTER HOW HARD IT IS SHE IS HERE TO ASSIST ME"/>
    <s v="MS.KATE IS THE BEST , SHE DO WELL"/>
  </r>
  <r>
    <d v="2024-03-20T14:31:56"/>
    <n v="6"/>
    <n v="6"/>
    <s v="Guest"/>
    <s v="Manila, PHL"/>
    <d v="2024-02-06T00:00:00"/>
    <x v="13"/>
    <m/>
    <m/>
    <n v="4"/>
    <n v="5"/>
    <n v="5"/>
    <n v="4"/>
    <n v="4"/>
    <n v="4"/>
    <s v="THE FACILITATOR GIVE ME A TIME TO UNDERSTAND EVERY CONCERN OF THE PCH , SHE ALWAYS PROVIDES BETTER UNDERSTANDING AND MOTIVATING ME TO WORK HARD TO  THE THINGS THAT I CAN , SHE MOTIVATE ME IN EVERYDAY BASIS"/>
    <s v="NOTHING , MS KRISTI IS SUCH A GOOD TRAINER , SHE IS THE BEST"/>
  </r>
  <r>
    <d v="2024-03-20T12:12:57"/>
    <n v="6"/>
    <n v="6"/>
    <s v="Guest"/>
    <s v="Manila, PHL"/>
    <d v="2024-02-06T00:00:00"/>
    <x v="21"/>
    <m/>
    <m/>
    <n v="5"/>
    <n v="5"/>
    <n v="5"/>
    <n v="5"/>
    <n v="5"/>
    <n v="5"/>
    <s v="she\'s telling us feedback what are the things we can do to improve what we learned during training process and also during our nesting period."/>
    <s v="overall she did a great job thank you for teaching us."/>
  </r>
  <r>
    <d v="2024-03-20T12:06:08"/>
    <n v="6"/>
    <n v="5"/>
    <s v="Guest"/>
    <s v="Manila, PHL"/>
    <d v="2024-02-06T00:00:00"/>
    <x v="13"/>
    <m/>
    <m/>
    <n v="5"/>
    <n v="4"/>
    <n v="5"/>
    <n v="5"/>
    <n v="5"/>
    <n v="1"/>
    <s v="she\'s helping me to have a confidence in myself , she\'s also trying to elaborate the topics for us so that we can also understand  better ,"/>
    <s v="maybe just for the pace of the topic it might be little fast but overall she did a great job and we appreciate a lot."/>
  </r>
  <r>
    <d v="2024-03-20T11:59:10"/>
    <n v="6"/>
    <n v="6"/>
    <s v="Guest"/>
    <s v="Manila, PHL"/>
    <d v="2024-02-06T00:00:00"/>
    <x v="13"/>
    <m/>
    <m/>
    <n v="5"/>
    <n v="5"/>
    <n v="4"/>
    <n v="5"/>
    <n v="5"/>
    <n v="4"/>
    <s v="always giving me time to think first. boosting my confidence. always says that i can do it."/>
    <s v="make sure that all the trainees can participate."/>
  </r>
  <r>
    <d v="2024-03-20T11:53:30"/>
    <n v="6"/>
    <n v="6"/>
    <s v="Guest"/>
    <s v="Manila, PHL"/>
    <d v="2024-02-06T00:00:00"/>
    <x v="21"/>
    <m/>
    <m/>
    <n v="5"/>
    <n v="5"/>
    <n v="5"/>
    <n v="5"/>
    <n v="5"/>
    <n v="5"/>
    <s v="always ready to answer the questions i have. boosting my confidence. giving me the chance to prove myself that i can."/>
    <s v="should handle the first impression better next time :p"/>
  </r>
  <r>
    <d v="2024-03-20T11:52:29"/>
    <n v="6"/>
    <n v="6"/>
    <s v="Guest"/>
    <s v="Manila, PHL"/>
    <d v="2024-02-06T00:00:00"/>
    <x v="21"/>
    <m/>
    <m/>
    <n v="5"/>
    <n v="5"/>
    <n v="5"/>
    <n v="5"/>
    <n v="5"/>
    <n v="5"/>
    <s v="She makes sure that everyone already understand the topic before proceeding with the next one.\\nShe always makes sure that all our question will be answered.\\nShe\'s very patient with us."/>
    <s v="She\'s already doing great........."/>
  </r>
  <r>
    <d v="2024-03-20T11:50:21"/>
    <n v="6"/>
    <n v="6"/>
    <s v="Guest"/>
    <s v="Manila, PHL"/>
    <d v="2024-02-06T00:00:00"/>
    <x v="13"/>
    <m/>
    <m/>
    <n v="5"/>
    <n v="5"/>
    <n v="5"/>
    <n v="5"/>
    <n v="5"/>
    <n v="5"/>
    <s v="She\'s always making sure that all of our questions will be answered before we proceed with the next topic."/>
    <s v="They can do some engagement like a little game so that the agents will not sleepy during training."/>
  </r>
  <r>
    <d v="2024-03-07T10:24:31"/>
    <n v="6"/>
    <n v="6"/>
    <s v="Guest"/>
    <s v="Ottawa, ON"/>
    <d v="2024-02-21T00:00:00"/>
    <x v="5"/>
    <m/>
    <m/>
    <n v="4"/>
    <n v="4"/>
    <n v="4"/>
    <n v="4"/>
    <n v="4"/>
    <n v="4"/>
    <s v="mock calls, taking a call with the teacher helping me in class, job shadowing - teacher was very understanding and encouraging"/>
    <s v="go at a slower pace with more complicated topics"/>
  </r>
  <r>
    <d v="2024-03-07T10:07:10"/>
    <n v="6"/>
    <n v="6"/>
    <s v="Guest"/>
    <s v="Sudbury, ON"/>
    <d v="2024-02-21T00:00:00"/>
    <x v="5"/>
    <m/>
    <m/>
    <n v="4"/>
    <n v="4"/>
    <n v="5"/>
    <n v="4"/>
    <n v="5"/>
    <n v="5"/>
    <s v="very supportive,and also clarifying all the doubts."/>
    <m/>
  </r>
  <r>
    <d v="2024-03-07T10:02:38"/>
    <n v="6"/>
    <n v="6"/>
    <s v="Guest"/>
    <s v="Toronto, ON"/>
    <d v="2024-02-21T00:00:00"/>
    <x v="5"/>
    <m/>
    <m/>
    <n v="5"/>
    <n v="4"/>
    <n v="5"/>
    <n v="4"/>
    <n v="4"/>
    <n v="4"/>
    <s v="Overcome Fear , going above and beyond to explain thoroughly , super friendly"/>
    <s v="more practical knowledge is required rather than just theoretical sessions"/>
  </r>
  <r>
    <d v="2024-03-07T10:01:31"/>
    <n v="6"/>
    <n v="6"/>
    <s v="Guest"/>
    <s v="Yarmouth, NS"/>
    <d v="2024-02-21T00:00:00"/>
    <x v="5"/>
    <m/>
    <m/>
    <n v="5"/>
    <n v="4"/>
    <n v="4"/>
    <n v="4"/>
    <n v="4"/>
    <n v="4"/>
    <m/>
    <m/>
  </r>
  <r>
    <d v="2024-01-31T13:40:41"/>
    <n v="6"/>
    <n v="6"/>
    <s v="Guest"/>
    <s v="Bridgewater, NS"/>
    <d v="2024-01-18T00:00:00"/>
    <x v="6"/>
    <m/>
    <m/>
    <n v="5"/>
    <n v="4"/>
    <n v="5"/>
    <n v="4"/>
    <n v="5"/>
    <n v="4"/>
    <s v="more activities"/>
    <s v="everything good"/>
  </r>
  <r>
    <d v="2024-01-31T13:38:48"/>
    <n v="6"/>
    <n v="6"/>
    <s v="Guest"/>
    <s v="Bridgewater, NS"/>
    <d v="2024-01-18T00:00:00"/>
    <x v="6"/>
    <m/>
    <m/>
    <n v="5"/>
    <n v="5"/>
    <n v="5"/>
    <n v="5"/>
    <n v="5"/>
    <n v="5"/>
    <s v="Created positive environment to ask questions\\nEncouraged to ask questions\\n"/>
    <s v="NA"/>
  </r>
  <r>
    <d v="2024-01-31T13:38:28"/>
    <n v="6"/>
    <n v="5"/>
    <s v="Guest"/>
    <s v="Ottawa, ON"/>
    <d v="2024-01-18T00:00:00"/>
    <x v="6"/>
    <m/>
    <m/>
    <n v="5"/>
    <n v="3"/>
    <n v="4"/>
    <n v="4"/>
    <n v="4"/>
    <n v="4"/>
    <s v="encouragement, tried to answer questions to the best of her abilities, patient to an extent."/>
    <s v="Nothing to do with the facilitator, but this is a lot of information to take in."/>
  </r>
  <r>
    <d v="2024-01-31T13:37:47"/>
    <n v="6"/>
    <n v="6"/>
    <s v="Guest"/>
    <s v="Ottawa, ON"/>
    <d v="2024-01-31T00:00:00"/>
    <x v="6"/>
    <m/>
    <m/>
    <n v="4"/>
    <n v="4"/>
    <n v="5"/>
    <n v="4"/>
    <n v="4"/>
    <n v="4"/>
    <s v="encouraged us, ask as many question as we can, to follow sobs"/>
    <s v="give us more time, material is heavy it require more time, give more call shadowing"/>
  </r>
  <r>
    <d v="2024-01-31T13:36:42"/>
    <n v="6"/>
    <n v="5"/>
    <s v="Guest"/>
    <s v="Ottawa, ON"/>
    <d v="2024-01-18T00:00:00"/>
    <x v="6"/>
    <m/>
    <m/>
    <n v="4"/>
    <n v="3"/>
    <n v="4"/>
    <n v="4"/>
    <n v="4"/>
    <n v="4"/>
    <s v="Maida is knowledgeable and kind. She explained things clearly, and provided us with a good knowledge base to move into FSA."/>
    <s v="Try and involve the more quiet people in the group. Get a better handle on managing the class, some participants took over and really made it difficult to stay on track."/>
  </r>
  <r>
    <d v="2024-01-31T13:35:55"/>
    <n v="6"/>
    <n v="6"/>
    <s v="Guest"/>
    <s v="Bridgewater, NS"/>
    <d v="2024-01-18T00:00:00"/>
    <x v="6"/>
    <m/>
    <m/>
    <n v="5"/>
    <n v="5"/>
    <n v="5"/>
    <n v="5"/>
    <n v="5"/>
    <n v="5"/>
    <s v="She is very knowledgeable and provided activities for practice and time for questions.  She gave demonstrations to help enhance the training experience, and again answered question for better understanding.  She gave the opportunity for the class to shadow a seasoned member on real time calls - very helpful.  Lots of notes provided to assist when going into nesting."/>
    <s v="1. Possibly more scenarios to practice, good for more hands-on learners. 2. Some fun game activities related to the curriculum, get everyone engaged and have a little fun as there is a lot of information to take in.  3.  I cannot think of a third thing!"/>
  </r>
  <r>
    <d v="2024-01-31T13:35:45"/>
    <n v="6"/>
    <n v="6"/>
    <s v="Guest"/>
    <s v="Toronto, ON"/>
    <d v="2024-01-18T00:00:00"/>
    <x v="6"/>
    <m/>
    <m/>
    <n v="5"/>
    <n v="5"/>
    <n v="5"/>
    <n v="5"/>
    <n v="5"/>
    <n v="5"/>
    <s v="went over everything, explained it well and made sure to answer any and all questions we had."/>
    <s v="nothing that I can think of, honestly I know 10 days seems a lot but it\'s just a lot of new information to take in. Otherwise Maida was a great trainer! :)"/>
  </r>
  <r>
    <d v="2024-01-31T13:35:18"/>
    <n v="6"/>
    <n v="6"/>
    <s v="Guest"/>
    <s v="Ottawa, ON"/>
    <d v="2024-01-18T00:00:00"/>
    <x v="6"/>
    <m/>
    <m/>
    <n v="4"/>
    <n v="4"/>
    <n v="4"/>
    <n v="4"/>
    <n v="4"/>
    <n v="4"/>
    <s v="Debriefs after the self-learning modules, sharing her screen and taking us through the different steps, feedback on our work (breakout sessions)"/>
    <s v="Nothing. However, my comment is for the training organizers. The Training was too condensed for the number of days allocated, a lot of the topics were new and complex. It could have been a few days longer (2-3 days) before Nesting."/>
  </r>
  <r>
    <d v="2024-01-31T13:33:49"/>
    <n v="6"/>
    <n v="6"/>
    <s v="Guest"/>
    <s v="Ottawa, ON"/>
    <d v="2024-01-18T00:00:00"/>
    <x v="6"/>
    <m/>
    <m/>
    <n v="4"/>
    <n v="4"/>
    <n v="5"/>
    <n v="4"/>
    <n v="4"/>
    <n v="4"/>
    <m/>
    <s v="More hands on experience"/>
  </r>
  <r>
    <d v="2024-01-31T13:33:37"/>
    <n v="6"/>
    <n v="4"/>
    <s v="Guest"/>
    <s v="Bridgewater, NS"/>
    <d v="2024-01-18T00:00:00"/>
    <x v="6"/>
    <m/>
    <m/>
    <n v="3"/>
    <n v="4"/>
    <n v="3"/>
    <n v="4"/>
    <n v="5"/>
    <n v="4"/>
    <s v="Training should be little bit lenthier so participant can do more practice and get more confortable"/>
    <s v="Streach the programme if you can  , you were already very helpful that is good i feel that only"/>
  </r>
  <r>
    <d v="2024-01-31T13:32:59"/>
    <n v="6"/>
    <n v="6"/>
    <s v="Guest"/>
    <s v="Bridgewater, NS"/>
    <d v="2024-01-18T00:00:00"/>
    <x v="6"/>
    <m/>
    <m/>
    <n v="5"/>
    <n v="4"/>
    <n v="5"/>
    <n v="5"/>
    <n v="5"/>
    <n v="5"/>
    <s v="Maida is a great trainer! She went over the material well, answered all questions asked &amp; made us feel comfortable during training."/>
    <s v="Maybe slow the pace down a bit.....But other then that I cannot think of anything else."/>
  </r>
  <r>
    <d v="2024-01-31T13:32:47"/>
    <n v="6"/>
    <n v="6"/>
    <s v="Guest"/>
    <s v="Bridgewater, NS"/>
    <d v="2024-01-18T00:00:00"/>
    <x v="6"/>
    <m/>
    <m/>
    <n v="5"/>
    <n v="5"/>
    <n v="5"/>
    <n v="5"/>
    <n v="5"/>
    <n v="5"/>
    <s v="Provides activities which helped a lot to understand the codes related to fraud"/>
    <m/>
  </r>
  <r>
    <d v="2024-01-31T13:32:44"/>
    <n v="6"/>
    <n v="6"/>
    <s v="Guest"/>
    <s v="Toronto, ON"/>
    <d v="2024-01-18T00:00:00"/>
    <x v="6"/>
    <m/>
    <m/>
    <n v="4"/>
    <n v="4"/>
    <n v="4"/>
    <n v="4"/>
    <n v="4"/>
    <n v="4"/>
    <s v="she was friendly, very informative, well educated."/>
    <s v="try to get us more time to practice but because we were a big group so many tech issues happened during the period of training.."/>
  </r>
  <r>
    <d v="2024-01-31T13:31:35"/>
    <n v="6"/>
    <n v="6"/>
    <s v="Guest"/>
    <s v="Ottawa, ON"/>
    <d v="2024-01-18T00:00:00"/>
    <x v="6"/>
    <m/>
    <m/>
    <n v="4"/>
    <n v="4"/>
    <n v="4"/>
    <n v="4"/>
    <n v="4"/>
    <n v="4"/>
    <s v="answered all questions"/>
    <s v="group mock calls, thats it"/>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n v="0"/>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r>
    <m/>
    <m/>
    <m/>
    <m/>
    <m/>
    <m/>
    <x v="22"/>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2">
  <r>
    <n v="20"/>
    <s v="Tier 1"/>
    <x v="0"/>
    <m/>
    <n v="0.87778176470588232"/>
    <n v="0.52968750000000009"/>
    <n v="0.11764705882352941"/>
    <n v="0.2"/>
    <n v="0.30769230769230771"/>
    <m/>
  </r>
  <r>
    <n v="20"/>
    <s v="Tier 1"/>
    <x v="1"/>
    <m/>
    <n v="0.87778176470588232"/>
    <n v="0.52968750000000009"/>
    <n v="0.11764705882352941"/>
    <n v="0.2"/>
    <n v="0.30769230769230771"/>
    <m/>
  </r>
  <r>
    <n v="21"/>
    <s v="FSA"/>
    <x v="2"/>
    <m/>
    <m/>
    <n v="0.75333333333333319"/>
    <n v="0"/>
    <n v="0"/>
    <n v="0"/>
    <n v="0.9375"/>
  </r>
  <r>
    <n v="21"/>
    <s v="FSA"/>
    <x v="3"/>
    <m/>
    <m/>
    <n v="0.75333333333333319"/>
    <n v="0"/>
    <n v="0"/>
    <n v="0"/>
    <n v="0.9375"/>
  </r>
  <r>
    <n v="22"/>
    <s v="Tier 1"/>
    <x v="4"/>
    <m/>
    <n v="0.83844769230769223"/>
    <n v="0.50940972222222236"/>
    <n v="0.375"/>
    <n v="0.2"/>
    <n v="0.2"/>
    <m/>
  </r>
  <r>
    <n v="22"/>
    <s v="Tier 1"/>
    <x v="1"/>
    <m/>
    <n v="0.83844769230769223"/>
    <n v="0.50940972222222236"/>
    <n v="0.375"/>
    <n v="0.2"/>
    <n v="0.2"/>
    <m/>
  </r>
  <r>
    <n v="23"/>
    <s v="Tier 1"/>
    <x v="5"/>
    <m/>
    <n v="0.8727593406593408"/>
    <n v="0.55972222222222223"/>
    <n v="0.26666666666666666"/>
    <n v="0.27272727272727271"/>
    <n v="0.18181818181818182"/>
    <m/>
  </r>
  <r>
    <n v="24"/>
    <s v="Tier 1"/>
    <x v="6"/>
    <m/>
    <n v="0.82997652380952391"/>
    <n v="0.55560897435897438"/>
    <n v="0.17647058823529413"/>
    <n v="0.2857142857142857"/>
    <n v="0.23529411764705882"/>
    <m/>
  </r>
  <r>
    <n v="25"/>
    <s v="Tier 1"/>
    <x v="7"/>
    <m/>
    <n v="0.87936071428571427"/>
    <n v="0.77500000000000002"/>
    <n v="0.25"/>
    <n v="0"/>
    <n v="0.26666666666666666"/>
    <m/>
  </r>
  <r>
    <n v="26"/>
    <s v="Tier 1"/>
    <x v="8"/>
    <m/>
    <n v="0.76853631868131866"/>
    <n v="0.63500000000000001"/>
    <n v="0.2"/>
    <n v="0"/>
    <n v="0.25"/>
    <m/>
  </r>
  <r>
    <n v="26"/>
    <s v="Tier 1"/>
    <x v="9"/>
    <m/>
    <n v="0.76853631868131866"/>
    <n v="0.63500000000000001"/>
    <n v="0.2"/>
    <n v="0"/>
    <n v="0.25"/>
    <m/>
  </r>
  <r>
    <n v="27"/>
    <s v="Tier 1"/>
    <x v="10"/>
    <m/>
    <n v="0.82438717460317457"/>
    <n v="0.51654761904761903"/>
    <n v="0.46666666666666667"/>
    <n v="0.125"/>
    <n v="0.25"/>
    <m/>
  </r>
  <r>
    <n v="27"/>
    <s v="Tier 1"/>
    <x v="11"/>
    <m/>
    <n v="0.82438717460317457"/>
    <n v="0.51654761904761903"/>
    <n v="0.46666666666666667"/>
    <n v="0.125"/>
    <n v="0.25"/>
    <m/>
  </r>
  <r>
    <n v="28"/>
    <s v="Tier 2 SLP"/>
    <x v="12"/>
    <m/>
    <n v="0.96857142857142864"/>
    <n v="0.7644642857142856"/>
    <n v="0"/>
    <n v="0"/>
    <n v="0"/>
    <n v="0.93333333333333335"/>
  </r>
  <r>
    <n v="29"/>
    <s v="Tier 1"/>
    <x v="4"/>
    <m/>
    <n v="0.82474154761904761"/>
    <n v="0.73791666666666667"/>
    <n v="0"/>
    <n v="0.6"/>
    <n v="0.23529411764705882"/>
    <m/>
  </r>
  <r>
    <n v="29"/>
    <s v="Tier 1"/>
    <x v="3"/>
    <m/>
    <n v="0.82474154761904761"/>
    <n v="0.73791666666666667"/>
    <n v="0"/>
    <n v="0.6"/>
    <n v="0.23529411764705882"/>
    <m/>
  </r>
  <r>
    <n v="30"/>
    <s v="Tier 1"/>
    <x v="13"/>
    <m/>
    <n v="0.84286333333333341"/>
    <n v="0.88375000000000004"/>
    <n v="0.5"/>
    <n v="0"/>
    <n v="0.42857142857142855"/>
    <m/>
  </r>
  <r>
    <n v="30"/>
    <s v="Tier 1"/>
    <x v="14"/>
    <m/>
    <n v="0.84286333333333341"/>
    <n v="0.88375000000000004"/>
    <n v="0.5"/>
    <n v="0"/>
    <n v="0.42857142857142855"/>
    <m/>
  </r>
  <r>
    <n v="31"/>
    <s v="Tier 1"/>
    <x v="0"/>
    <m/>
    <n v="0.90324619047619037"/>
    <n v="0.82381944444444433"/>
    <n v="0.2"/>
    <n v="0.125"/>
    <n v="7.6923076923076927E-2"/>
    <m/>
  </r>
  <r>
    <n v="31"/>
    <s v="Tier 1"/>
    <x v="11"/>
    <m/>
    <n v="0.90324619047619037"/>
    <n v="0.82381944444444433"/>
    <n v="0.2"/>
    <n v="0.125"/>
    <n v="7.6923076923076927E-2"/>
    <m/>
  </r>
  <r>
    <n v="32"/>
    <s v="Tier 1"/>
    <x v="10"/>
    <m/>
    <n v="0.83741964285714265"/>
    <n v="0.71550925925925923"/>
    <n v="0.61538461538461542"/>
    <n v="0.4"/>
    <n v="7.1428571428571425E-2"/>
    <m/>
  </r>
  <r>
    <n v="32"/>
    <s v="Tier 1"/>
    <x v="15"/>
    <m/>
    <n v="0.83741964285714265"/>
    <n v="0.71550925925925923"/>
    <n v="0.61538461538461542"/>
    <n v="0.4"/>
    <n v="7.1428571428571425E-2"/>
    <m/>
  </r>
  <r>
    <n v="33"/>
    <s v="Tier 2 SLP"/>
    <x v="16"/>
    <m/>
    <n v="0.96549411255411222"/>
    <n v="0.75841666666666674"/>
    <n v="0"/>
    <n v="0"/>
    <n v="0"/>
    <n v="1"/>
  </r>
  <r>
    <n v="34"/>
    <s v="Tier 1"/>
    <x v="5"/>
    <m/>
    <n v="0.92079874999999989"/>
    <n v="0.75026785714285715"/>
    <n v="0.27272727272727271"/>
    <n v="0.25"/>
    <n v="0.2857142857142857"/>
    <m/>
  </r>
  <r>
    <n v="34"/>
    <s v="Tier 1"/>
    <x v="1"/>
    <m/>
    <n v="0.92079874999999989"/>
    <n v="0.75026785714285715"/>
    <n v="0.27272727272727271"/>
    <n v="0.25"/>
    <n v="0.2857142857142857"/>
    <m/>
  </r>
  <r>
    <n v="35"/>
    <s v="Tier 1"/>
    <x v="7"/>
    <m/>
    <n v="0.87546523809523824"/>
    <n v="0.70857142857142841"/>
    <n v="0.27777777777777779"/>
    <n v="0"/>
    <n v="0.21739130434782608"/>
    <m/>
  </r>
  <r>
    <n v="35"/>
    <s v="Tier 1"/>
    <x v="17"/>
    <m/>
    <n v="0.87546523809523824"/>
    <n v="0.70857142857142841"/>
    <n v="0.27777777777777779"/>
    <n v="0"/>
    <n v="0.21739130434782608"/>
    <m/>
  </r>
  <r>
    <n v="36"/>
    <s v="Tier 1"/>
    <x v="9"/>
    <m/>
    <n v="0.90997643518518512"/>
    <n v="0.63458333333333339"/>
    <n v="0.5"/>
    <n v="0"/>
    <n v="0.125"/>
    <m/>
  </r>
  <r>
    <n v="36"/>
    <s v="Tier 1"/>
    <x v="8"/>
    <m/>
    <n v="0.90997643518518512"/>
    <n v="0.63458333333333339"/>
    <n v="0.5"/>
    <n v="0"/>
    <n v="0.125"/>
    <m/>
  </r>
  <r>
    <n v="37"/>
    <s v="Tier 1"/>
    <x v="10"/>
    <m/>
    <n v="0.85958520408163253"/>
    <n v="0.53839743589743583"/>
    <n v="0.27777777777777779"/>
    <n v="0"/>
    <n v="0"/>
    <m/>
  </r>
  <r>
    <n v="38"/>
    <s v="DSA"/>
    <x v="2"/>
    <m/>
    <m/>
    <n v="0.6163333333333334"/>
    <n v="0"/>
    <n v="0"/>
    <n v="0"/>
    <m/>
  </r>
  <r>
    <n v="38"/>
    <s v="DSA"/>
    <x v="3"/>
    <m/>
    <m/>
    <n v="0.6163333333333334"/>
    <n v="0"/>
    <n v="0"/>
    <n v="0"/>
    <m/>
  </r>
  <r>
    <n v="39"/>
    <s v="Tier 1"/>
    <x v="14"/>
    <m/>
    <n v="0.73222902777777765"/>
    <n v="0.74241666666666672"/>
    <n v="7.6923076923076927E-2"/>
    <n v="0"/>
    <n v="0.16666666666666666"/>
    <m/>
  </r>
  <r>
    <n v="39"/>
    <s v="Tier 1"/>
    <x v="11"/>
    <m/>
    <n v="0.73222902777777765"/>
    <n v="0.74241666666666672"/>
    <n v="7.6923076923076927E-2"/>
    <n v="0"/>
    <n v="0.16666666666666666"/>
    <m/>
  </r>
  <r>
    <n v="40"/>
    <s v="Tier 1"/>
    <x v="0"/>
    <m/>
    <n v="0.90267619047619052"/>
    <n v="0.64242424242424245"/>
    <n v="0.25"/>
    <n v="0.25"/>
    <n v="0.26666666666666666"/>
    <m/>
  </r>
  <r>
    <n v="41"/>
    <s v="Tier 1"/>
    <x v="5"/>
    <m/>
    <n v="0.91580777777777778"/>
    <n v="0.80781249999999993"/>
    <n v="0.2"/>
    <n v="0.25"/>
    <n v="0"/>
    <m/>
  </r>
  <r>
    <n v="41"/>
    <s v="Tier 1"/>
    <x v="12"/>
    <m/>
    <n v="0.91580777777777778"/>
    <n v="0.80781249999999993"/>
    <n v="0.2"/>
    <n v="0.25"/>
    <n v="0"/>
    <m/>
  </r>
  <r>
    <n v="42"/>
    <s v="Tier 1"/>
    <x v="4"/>
    <m/>
    <n v="0.89147083333333343"/>
    <n v="0.70750000000000002"/>
    <n v="0.22222222222222221"/>
    <n v="0.14285714285714285"/>
    <n v="0.13333333333333333"/>
    <m/>
  </r>
  <r>
    <n v="42"/>
    <s v="Tier 1"/>
    <x v="9"/>
    <m/>
    <n v="0.89147083333333343"/>
    <n v="0.70750000000000002"/>
    <n v="0.22222222222222221"/>
    <n v="0.14285714285714285"/>
    <n v="0.13333333333333333"/>
    <m/>
  </r>
  <r>
    <n v="43"/>
    <s v="Tier 1"/>
    <x v="7"/>
    <m/>
    <n v="0.89979722222222236"/>
    <n v="0.74906249999999996"/>
    <n v="0.1111111111111111"/>
    <n v="0"/>
    <n v="7.6923076923076927E-2"/>
    <m/>
  </r>
  <r>
    <n v="44"/>
    <s v="Tier 2 SLP"/>
    <x v="16"/>
    <m/>
    <n v="0.96921041666666652"/>
    <n v="0.96"/>
    <n v="0"/>
    <n v="0"/>
    <n v="1"/>
    <n v="6"/>
  </r>
  <r>
    <n v="45"/>
    <s v="Tier 1"/>
    <x v="5"/>
    <m/>
    <n v="0.82283130036630037"/>
    <n v="0.79781249999999992"/>
    <n v="0.35714285714285715"/>
    <n v="0.1111111111111111"/>
    <n v="0.23076923076923078"/>
    <m/>
  </r>
  <r>
    <n v="45"/>
    <s v="Tier 1"/>
    <x v="1"/>
    <m/>
    <n v="0.82283130036630037"/>
    <n v="0.79781249999999992"/>
    <n v="0.35714285714285715"/>
    <n v="0.1111111111111111"/>
    <n v="0.23076923076923078"/>
    <m/>
  </r>
  <r>
    <n v="46"/>
    <s v="FSA"/>
    <x v="2"/>
    <m/>
    <m/>
    <n v="0.72523809523809513"/>
    <n v="0"/>
    <n v="0"/>
    <n v="0"/>
    <m/>
  </r>
  <r>
    <n v="46"/>
    <s v="FSA"/>
    <x v="3"/>
    <m/>
    <m/>
    <n v="0.72523809523809513"/>
    <n v="0"/>
    <n v="0"/>
    <n v="0"/>
    <m/>
  </r>
  <r>
    <n v="47"/>
    <s v="Tier 1"/>
    <x v="14"/>
    <m/>
    <n v="0.81373958333333318"/>
    <n v="0.70954545454545448"/>
    <n v="9.0909090909090912E-2"/>
    <n v="0.2"/>
    <n v="8.3333333333333329E-2"/>
    <m/>
  </r>
  <r>
    <n v="47"/>
    <s v="Tier 1"/>
    <x v="18"/>
    <m/>
    <n v="0.81373958333333318"/>
    <n v="0.70954545454545448"/>
    <n v="9.0909090909090912E-2"/>
    <n v="0.2"/>
    <n v="8.3333333333333329E-2"/>
    <m/>
  </r>
  <r>
    <n v="48"/>
    <s v="Tier 1"/>
    <x v="8"/>
    <m/>
    <n v="0.874"/>
    <n v="0.81202698412698404"/>
    <n v="0"/>
    <n v="0"/>
    <n v="0"/>
    <m/>
  </r>
  <r>
    <n v="48"/>
    <s v="Tier 1"/>
    <x v="0"/>
    <m/>
    <n v="0.874"/>
    <n v="0.81202698412698404"/>
    <n v="0"/>
    <n v="0"/>
    <n v="0"/>
    <m/>
  </r>
  <r>
    <n v="49"/>
    <s v="Tier 2 SLP"/>
    <x v="12"/>
    <m/>
    <n v="0.97210668131868128"/>
    <n v="0.83399999999999996"/>
    <n v="0"/>
    <n v="0"/>
    <n v="1"/>
    <n v="10"/>
  </r>
  <r>
    <n v="50"/>
    <s v="Tier 1"/>
    <x v="7"/>
    <m/>
    <n v="0.88393939393939391"/>
    <n v="0.83666666666666667"/>
    <n v="0.18181818181818182"/>
    <n v="0.44444444444444442"/>
    <n v="0.45454545454545453"/>
    <m/>
  </r>
  <r>
    <n v="50"/>
    <s v="Tier 1"/>
    <x v="9"/>
    <m/>
    <n v="0.88393939393939391"/>
    <n v="0.83666666666666667"/>
    <n v="0.18181818181818182"/>
    <n v="0.44444444444444442"/>
    <n v="0.45454545454545453"/>
    <m/>
  </r>
  <r>
    <n v="51"/>
    <s v="Tier 1"/>
    <x v="19"/>
    <m/>
    <n v="0.89393939393939414"/>
    <n v="0.76842007992007988"/>
    <n v="0.25"/>
    <n v="0"/>
    <n v="9.0909090909090912E-2"/>
    <m/>
  </r>
  <r>
    <n v="51"/>
    <s v="Tier 1"/>
    <x v="4"/>
    <m/>
    <n v="0.89393939393939414"/>
    <n v="0.76842007992007988"/>
    <n v="0.25"/>
    <n v="0"/>
    <n v="9.0909090909090912E-2"/>
    <m/>
  </r>
  <r>
    <n v="51"/>
    <s v="Tier 1"/>
    <x v="20"/>
    <m/>
    <n v="0.89393939393939414"/>
    <n v="0.76842007992007988"/>
    <n v="0.25"/>
    <n v="0"/>
    <n v="9.0909090909090912E-2"/>
    <m/>
  </r>
  <r>
    <n v="52"/>
    <s v="Tier 2 SLP"/>
    <x v="16"/>
    <m/>
    <n v="0.95967743589743582"/>
    <n v="0.82006944444444452"/>
    <n v="0"/>
    <n v="0"/>
    <n v="1"/>
    <n v="0"/>
  </r>
  <r>
    <n v="53"/>
    <s v="Tier 1"/>
    <x v="14"/>
    <m/>
    <n v="0.92177833333333337"/>
    <n v="0.7935362554112555"/>
    <n v="0.36363636363636365"/>
    <n v="0"/>
    <n v="0.16666666666666666"/>
    <m/>
  </r>
  <r>
    <n v="53"/>
    <s v="Tier 1"/>
    <x v="1"/>
    <m/>
    <n v="0.92177833333333337"/>
    <n v="0.7935362554112555"/>
    <n v="0.36363636363636365"/>
    <n v="0"/>
    <n v="0.16666666666666666"/>
    <m/>
  </r>
  <r>
    <n v="53"/>
    <s v="Tier 1"/>
    <x v="10"/>
    <m/>
    <n v="0.92177833333333337"/>
    <n v="0.7935362554112555"/>
    <n v="0.36363636363636365"/>
    <n v="0"/>
    <n v="0.16666666666666666"/>
    <m/>
  </r>
  <r>
    <n v="54"/>
    <s v="Tier 1"/>
    <x v="9"/>
    <m/>
    <n v="0.94041666666666657"/>
    <n v="0.78400595238095239"/>
    <n v="0.16666666666666666"/>
    <n v="0.1"/>
    <n v="0.1"/>
    <m/>
  </r>
  <r>
    <n v="54"/>
    <s v="Tier 1"/>
    <x v="15"/>
    <m/>
    <n v="0.94041666666666657"/>
    <n v="0.78400595238095239"/>
    <n v="0.16666666666666666"/>
    <n v="0.1"/>
    <n v="0.1"/>
    <m/>
  </r>
  <r>
    <n v="55"/>
    <s v="Tier 2 SLP"/>
    <x v="12"/>
    <m/>
    <n v="0.96091770833333323"/>
    <n v="0.80833333333333324"/>
    <n v="0"/>
    <n v="0"/>
    <n v="1"/>
    <n v="0"/>
  </r>
  <r>
    <n v="56"/>
    <s v="Tier 1"/>
    <x v="19"/>
    <m/>
    <n v="0.95911111111111125"/>
    <n v="0.91272727272727261"/>
    <n v="0.18181818181818182"/>
    <n v="0.55555555555555558"/>
    <n v="0.16666666666666666"/>
    <m/>
  </r>
  <r>
    <n v="56"/>
    <s v="Tier 1"/>
    <x v="2"/>
    <m/>
    <n v="0.95911111111111125"/>
    <n v="0.91272727272727261"/>
    <n v="0.18181818181818182"/>
    <n v="0.55555555555555558"/>
    <n v="0.16666666666666666"/>
    <m/>
  </r>
  <r>
    <n v="56"/>
    <s v="Tier 1"/>
    <x v="4"/>
    <m/>
    <n v="0.95911111111111125"/>
    <n v="0.91272727272727261"/>
    <n v="0.18181818181818182"/>
    <n v="0.55555555555555558"/>
    <n v="0.16666666666666666"/>
    <m/>
  </r>
  <r>
    <n v="57"/>
    <s v="DSA"/>
    <x v="3"/>
    <m/>
    <m/>
    <n v="0.75449999999999995"/>
    <n v="0"/>
    <n v="0"/>
    <n v="0"/>
    <m/>
  </r>
  <r>
    <n v="1"/>
    <s v="HTC"/>
    <x v="21"/>
    <m/>
    <n v="0.94310000000000016"/>
    <n v="0.60153333333333336"/>
    <n v="0"/>
    <n v="0.66666666666666663"/>
    <n v="0.66666666666666663"/>
    <m/>
  </r>
  <r>
    <n v="2"/>
    <s v="HTC"/>
    <x v="21"/>
    <m/>
    <n v="0.96414285714285719"/>
    <n v="0.87354999999999994"/>
    <n v="0.5"/>
    <n v="0"/>
    <n v="0.5"/>
    <m/>
  </r>
  <r>
    <n v="3"/>
    <s v="HTC"/>
    <x v="21"/>
    <m/>
    <n v="0.95036428571428577"/>
    <n v="0.80460000000000009"/>
    <n v="0"/>
    <n v="0"/>
    <n v="0"/>
    <m/>
  </r>
  <r>
    <n v="4"/>
    <s v="HTC"/>
    <x v="21"/>
    <m/>
    <n v="0.94839047619047623"/>
    <n v="0.78927499999999995"/>
    <n v="0"/>
    <n v="0"/>
    <n v="0"/>
    <m/>
  </r>
  <r>
    <n v="5"/>
    <s v="HTC"/>
    <x v="21"/>
    <m/>
    <n v="0.95194999999999996"/>
    <n v="0.79309999999999992"/>
    <n v="0"/>
    <n v="0"/>
    <n v="0"/>
    <m/>
  </r>
  <r>
    <n v="1"/>
    <s v="Laurentian"/>
    <x v="22"/>
    <m/>
    <n v="0.87624999999999986"/>
    <m/>
    <n v="0"/>
    <n v="7.6923076923076927E-2"/>
    <n v="7.6923076923076927E-2"/>
    <m/>
  </r>
  <r>
    <n v="1"/>
    <s v="Laurentian"/>
    <x v="17"/>
    <m/>
    <n v="0.87624999999999986"/>
    <n v="0"/>
    <n v="0"/>
    <n v="7.6923076923076927E-2"/>
    <n v="7.6923076923076927E-2"/>
    <m/>
  </r>
  <r>
    <n v="2"/>
    <s v="Laurentian"/>
    <x v="17"/>
    <m/>
    <m/>
    <n v="0"/>
    <n v="0.29411764705882354"/>
    <n v="0.16666666666666666"/>
    <n v="0.46078431372549022"/>
    <m/>
  </r>
  <r>
    <n v="3"/>
    <s v="Laurentian"/>
    <x v="17"/>
    <m/>
    <m/>
    <n v="0.69704545454545452"/>
    <n v="0.1875"/>
    <n v="0"/>
    <n v="0.1875"/>
    <m/>
  </r>
  <r>
    <n v="3"/>
    <s v="Laurentian"/>
    <x v="22"/>
    <m/>
    <m/>
    <n v="0.69704545454545452"/>
    <n v="0.1875"/>
    <n v="0"/>
    <n v="0.1875"/>
    <m/>
  </r>
  <r>
    <n v="4"/>
    <s v="Laurentian"/>
    <x v="17"/>
    <m/>
    <m/>
    <n v="0.93333333333333324"/>
    <n v="0.15384615384615385"/>
    <n v="0"/>
    <n v="0.15384615384615385"/>
    <m/>
  </r>
  <r>
    <n v="4"/>
    <s v="Laurentian"/>
    <x v="22"/>
    <m/>
    <m/>
    <n v="0.93333333333333324"/>
    <n v="0.15384615384615385"/>
    <n v="0"/>
    <n v="0.15384615384615385"/>
    <m/>
  </r>
  <r>
    <n v="1"/>
    <s v="Tier 2 SLP"/>
    <x v="16"/>
    <m/>
    <n v="0.98791666666666667"/>
    <n v="0.91500000000000004"/>
    <n v="0"/>
    <n v="0"/>
    <n v="0"/>
    <n v="1"/>
  </r>
  <r>
    <n v="2"/>
    <s v="FSA"/>
    <x v="2"/>
    <m/>
    <m/>
    <n v="0.7767857142857143"/>
    <n v="7.1428571428571425E-2"/>
    <n v="0"/>
    <n v="7.1428571428571425E-2"/>
    <m/>
  </r>
  <r>
    <n v="3"/>
    <s v="Tier 1"/>
    <x v="7"/>
    <m/>
    <n v="0.89809523809523806"/>
    <n v="0.86166666666666669"/>
    <n v="0.33333333333333331"/>
    <n v="0"/>
    <n v="0"/>
    <m/>
  </r>
  <r>
    <n v="3"/>
    <s v="Tier 1"/>
    <x v="15"/>
    <m/>
    <n v="0.89809523809523806"/>
    <n v="0.86166666666666669"/>
    <n v="0.33333333333333331"/>
    <n v="0"/>
    <n v="0"/>
    <m/>
  </r>
  <r>
    <n v="4"/>
    <s v="Tier 1"/>
    <x v="9"/>
    <m/>
    <n v="0.79814814814814805"/>
    <n v="0.55142857142857138"/>
    <n v="0.125"/>
    <n v="0.14285714285714285"/>
    <n v="0.125"/>
    <m/>
  </r>
  <r>
    <n v="4"/>
    <s v="Tier 1"/>
    <x v="10"/>
    <m/>
    <n v="0.79814814814814805"/>
    <n v="0.55142857142857138"/>
    <n v="0.125"/>
    <n v="0.14285714285714285"/>
    <n v="0.125"/>
    <m/>
  </r>
  <r>
    <n v="5"/>
    <s v="Tier 1"/>
    <x v="4"/>
    <m/>
    <n v="0.95897435897435901"/>
    <n v="0.78"/>
    <n v="0"/>
    <n v="0"/>
    <n v="0"/>
    <m/>
  </r>
  <r>
    <n v="5"/>
    <s v="Tier 1"/>
    <x v="23"/>
    <m/>
    <n v="0.95897435897435901"/>
    <n v="0.78"/>
    <n v="0"/>
    <n v="0"/>
    <n v="0"/>
    <m/>
  </r>
  <r>
    <n v="6"/>
    <s v="Tier 1"/>
    <x v="6"/>
    <m/>
    <n v="0.91562499999999991"/>
    <n v="0.85827840909090913"/>
    <n v="0"/>
    <n v="0"/>
    <n v="0.14285714285714285"/>
    <m/>
  </r>
  <r>
    <n v="6"/>
    <s v="Tier 1"/>
    <x v="18"/>
    <m/>
    <n v="0.91562499999999991"/>
    <n v="0.85827840909090913"/>
    <n v="0"/>
    <n v="0"/>
    <n v="0.14285714285714285"/>
    <m/>
  </r>
  <r>
    <n v="7"/>
    <s v="FSA"/>
    <x v="3"/>
    <m/>
    <m/>
    <n v="0.82666666666666677"/>
    <n v="0"/>
    <n v="0.16666666666666666"/>
    <n v="0.16666666666666666"/>
    <m/>
  </r>
  <r>
    <n v="8"/>
    <s v="Tier 1"/>
    <x v="8"/>
    <m/>
    <n v="0.93074074074074076"/>
    <n v="0.7977777777777777"/>
    <n v="0.1"/>
    <n v="0"/>
    <n v="0.18181818181818182"/>
    <m/>
  </r>
  <r>
    <n v="8"/>
    <s v="Tier 1"/>
    <x v="20"/>
    <m/>
    <n v="0"/>
    <n v="0.7977777777777777"/>
    <n v="0.1"/>
    <n v="0"/>
    <n v="0.18181818181818182"/>
    <m/>
  </r>
  <r>
    <n v="5"/>
    <s v="Laurentian"/>
    <x v="22"/>
    <m/>
    <m/>
    <m/>
    <n v="0"/>
    <n v="0"/>
    <n v="0"/>
    <m/>
  </r>
  <r>
    <n v="1"/>
    <s v="HTC"/>
    <x v="21"/>
    <m/>
    <n v="0.96171428571428574"/>
    <n v="0.92340500000000003"/>
    <n v="0"/>
    <n v="0"/>
    <n v="0"/>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r>
    <m/>
    <m/>
    <x v="24"/>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s v="4.3.2023"/>
    <x v="0"/>
    <n v="8"/>
    <n v="8"/>
    <n v="8"/>
    <n v="8"/>
    <n v="8"/>
    <n v="8"/>
    <n v="8"/>
    <m/>
    <n v="8"/>
    <n v="8"/>
    <n v="8"/>
    <n v="8"/>
    <n v="8"/>
    <n v="8"/>
    <n v="0"/>
    <n v="8"/>
    <s v="05.02.2023"/>
  </r>
  <r>
    <s v="4.10.2023"/>
    <x v="1"/>
    <n v="10"/>
    <n v="10"/>
    <n v="10"/>
    <n v="10"/>
    <n v="10"/>
    <n v="10"/>
    <n v="10"/>
    <m/>
    <n v="10"/>
    <n v="10"/>
    <n v="10"/>
    <n v="10"/>
    <n v="10"/>
    <n v="10"/>
    <m/>
    <n v="10"/>
    <s v="05.08.2023"/>
  </r>
  <r>
    <s v="4.17.2023"/>
    <x v="2"/>
    <n v="11"/>
    <n v="11"/>
    <n v="11"/>
    <n v="11"/>
    <n v="11"/>
    <n v="11"/>
    <n v="11"/>
    <m/>
    <n v="11"/>
    <n v="11"/>
    <n v="11"/>
    <n v="11"/>
    <n v="11"/>
    <n v="11"/>
    <m/>
    <n v="11"/>
    <d v="2023-05-15T00:00:00"/>
  </r>
  <r>
    <s v="5.1.2023"/>
    <x v="3"/>
    <n v="14"/>
    <n v="14"/>
    <n v="13"/>
    <n v="13"/>
    <n v="13"/>
    <n v="13"/>
    <n v="13"/>
    <m/>
    <n v="13"/>
    <n v="13"/>
    <n v="13"/>
    <n v="13"/>
    <n v="14"/>
    <n v="14"/>
    <m/>
    <n v="13"/>
    <d v="2023-05-29T00:00:00"/>
  </r>
  <r>
    <s v="5.8.2023"/>
    <x v="4"/>
    <n v="3"/>
    <n v="3"/>
    <n v="3"/>
    <n v="3"/>
    <n v="3"/>
    <n v="3"/>
    <n v="3"/>
    <m/>
    <n v="3"/>
    <n v="3"/>
    <n v="3"/>
    <n v="3"/>
    <n v="3"/>
    <n v="3"/>
    <m/>
    <n v="3"/>
    <s v="06.06.2023"/>
  </r>
  <r>
    <s v="5.10.2023"/>
    <x v="5"/>
    <n v="10"/>
    <n v="10"/>
    <n v="10"/>
    <n v="10"/>
    <n v="10"/>
    <n v="10"/>
    <n v="10"/>
    <m/>
    <n v="10"/>
    <n v="10"/>
    <n v="10"/>
    <n v="10"/>
    <n v="10"/>
    <n v="10"/>
    <m/>
    <n v="10"/>
    <d v="2023-06-08T00:00:00"/>
  </r>
  <r>
    <s v="5.4.2023"/>
    <x v="6"/>
    <n v="7"/>
    <n v="7"/>
    <n v="7"/>
    <n v="7"/>
    <n v="7"/>
    <n v="7"/>
    <n v="7"/>
    <m/>
    <n v="7"/>
    <n v="7"/>
    <n v="7"/>
    <n v="7"/>
    <n v="7"/>
    <n v="7"/>
    <m/>
    <n v="7"/>
    <d v="1899-12-30T00:00:00"/>
  </r>
  <r>
    <s v="5.23.2023"/>
    <x v="1"/>
    <n v="14"/>
    <n v="14"/>
    <n v="14"/>
    <n v="14"/>
    <n v="14"/>
    <n v="14"/>
    <n v="14"/>
    <m/>
    <n v="14"/>
    <n v="14"/>
    <n v="14"/>
    <n v="14"/>
    <n v="14"/>
    <n v="0"/>
    <m/>
    <n v="0"/>
    <s v="06.20.2023"/>
  </r>
  <r>
    <s v="5.29.2023"/>
    <x v="7"/>
    <n v="4"/>
    <n v="4"/>
    <n v="4"/>
    <n v="4"/>
    <n v="4"/>
    <n v="4"/>
    <n v="4"/>
    <m/>
    <n v="4"/>
    <n v="4"/>
    <n v="4"/>
    <n v="4"/>
    <n v="4"/>
    <n v="4"/>
    <m/>
    <n v="4"/>
    <s v="06.26.2023"/>
  </r>
  <r>
    <s v="6.5.2023"/>
    <x v="0"/>
    <n v="12"/>
    <n v="12"/>
    <n v="12"/>
    <n v="12"/>
    <n v="12"/>
    <n v="12"/>
    <n v="12"/>
    <m/>
    <n v="12"/>
    <n v="12"/>
    <n v="12"/>
    <n v="12"/>
    <n v="12"/>
    <n v="12"/>
    <m/>
    <n v="12"/>
    <s v="07.04.2023"/>
  </r>
  <r>
    <s v="6.12.2023"/>
    <x v="6"/>
    <n v="8"/>
    <n v="8"/>
    <n v="8"/>
    <n v="8"/>
    <n v="8"/>
    <n v="8"/>
    <n v="8"/>
    <m/>
    <n v="8"/>
    <n v="8"/>
    <n v="8"/>
    <n v="8"/>
    <n v="8"/>
    <n v="8"/>
    <m/>
    <n v="8"/>
    <d v="2023-07-10T00:00:00"/>
  </r>
  <r>
    <s v="6.19.2023"/>
    <x v="2"/>
    <n v="14"/>
    <n v="14"/>
    <n v="14"/>
    <n v="14"/>
    <n v="14"/>
    <n v="14"/>
    <n v="14"/>
    <m/>
    <n v="14"/>
    <n v="14"/>
    <n v="14"/>
    <n v="14"/>
    <n v="14"/>
    <n v="14"/>
    <m/>
    <n v="14"/>
    <s v="July 17, 2023"/>
  </r>
  <r>
    <s v="6.26.2023"/>
    <x v="4"/>
    <n v="13"/>
    <n v="13"/>
    <n v="13"/>
    <n v="13"/>
    <n v="13"/>
    <n v="13"/>
    <n v="13"/>
    <m/>
    <n v="13"/>
    <n v="13"/>
    <n v="13"/>
    <n v="13"/>
    <n v="13"/>
    <n v="13"/>
    <m/>
    <n v="13"/>
    <d v="2023-07-25T00:00:00"/>
  </r>
  <r>
    <s v="7.4.2023"/>
    <x v="8"/>
    <n v="4"/>
    <n v="4"/>
    <n v="4"/>
    <n v="4"/>
    <n v="4"/>
    <n v="4"/>
    <n v="4"/>
    <m/>
    <n v="4"/>
    <n v="4"/>
    <n v="4"/>
    <n v="4"/>
    <n v="4"/>
    <n v="4"/>
    <m/>
    <n v="4"/>
    <s v="08.01.2023"/>
  </r>
  <r>
    <s v="7.10.2023"/>
    <x v="6"/>
    <n v="10"/>
    <n v="10"/>
    <n v="10"/>
    <n v="10"/>
    <n v="10"/>
    <n v="10"/>
    <n v="10"/>
    <m/>
    <n v="10"/>
    <n v="10"/>
    <n v="10"/>
    <n v="10"/>
    <n v="10"/>
    <n v="10"/>
    <m/>
    <n v="10"/>
    <s v="August 8th 2023"/>
  </r>
  <r>
    <s v="7.17.2023"/>
    <x v="9"/>
    <n v="10"/>
    <n v="10"/>
    <n v="10"/>
    <n v="10"/>
    <n v="10"/>
    <n v="10"/>
    <n v="10"/>
    <m/>
    <n v="10"/>
    <n v="10"/>
    <n v="10"/>
    <n v="10"/>
    <n v="10"/>
    <n v="10"/>
    <m/>
    <n v="10"/>
    <s v="08/15/2023"/>
  </r>
  <r>
    <s v="7.24.2023"/>
    <x v="0"/>
    <n v="11"/>
    <n v="11"/>
    <n v="11"/>
    <n v="11"/>
    <n v="11"/>
    <n v="11"/>
    <n v="11"/>
    <m/>
    <n v="11"/>
    <n v="11"/>
    <n v="11"/>
    <n v="11"/>
    <n v="11"/>
    <n v="11"/>
    <m/>
    <n v="11"/>
    <d v="2023-08-22T00:00:00"/>
  </r>
  <r>
    <s v="7.31.2023"/>
    <x v="2"/>
    <n v="6"/>
    <n v="6"/>
    <n v="6"/>
    <n v="6"/>
    <n v="6"/>
    <n v="6"/>
    <n v="6"/>
    <m/>
    <n v="6"/>
    <n v="6"/>
    <n v="6"/>
    <n v="6"/>
    <n v="6"/>
    <n v="6"/>
    <m/>
    <n v="6"/>
    <d v="2023-08-28T00:00:00"/>
  </r>
  <r>
    <s v="8.8.2023"/>
    <x v="1"/>
    <n v="10"/>
    <n v="10"/>
    <n v="10"/>
    <n v="10"/>
    <n v="10"/>
    <n v="10"/>
    <n v="10"/>
    <m/>
    <n v="10"/>
    <n v="10"/>
    <n v="10"/>
    <n v="10"/>
    <n v="10"/>
    <n v="10"/>
    <m/>
    <n v="10"/>
    <d v="2023-09-06T00:00:00"/>
  </r>
  <r>
    <s v="8.14.2023"/>
    <x v="4"/>
    <n v="8"/>
    <n v="8"/>
    <n v="8"/>
    <n v="8"/>
    <n v="8"/>
    <n v="8"/>
    <n v="8"/>
    <m/>
    <n v="8"/>
    <n v="8"/>
    <n v="8"/>
    <n v="8"/>
    <n v="8"/>
    <n v="8"/>
    <m/>
    <n v="8"/>
    <d v="2023-08-14T00:00:00"/>
  </r>
  <r>
    <s v="8.28.2023"/>
    <x v="2"/>
    <n v="8"/>
    <n v="8"/>
    <n v="8"/>
    <n v="8"/>
    <n v="8"/>
    <n v="8"/>
    <n v="8"/>
    <m/>
    <n v="8"/>
    <n v="8"/>
    <n v="8"/>
    <n v="8"/>
    <n v="8"/>
    <n v="8"/>
    <m/>
    <n v="8"/>
    <s v="09.26.2023"/>
  </r>
  <r>
    <s v="09.11.2023"/>
    <x v="9"/>
    <n v="11"/>
    <n v="11"/>
    <n v="11"/>
    <n v="11"/>
    <n v="11"/>
    <n v="11"/>
    <n v="11"/>
    <m/>
    <n v="11"/>
    <n v="11"/>
    <n v="11"/>
    <n v="11"/>
    <n v="11"/>
    <n v="11"/>
    <m/>
    <n v="11"/>
    <d v="2023-10-03T00:00:00"/>
  </r>
  <r>
    <s v="09.18.2023"/>
    <x v="5"/>
    <n v="10"/>
    <n v="10"/>
    <n v="10"/>
    <n v="10"/>
    <n v="10"/>
    <n v="10"/>
    <n v="10"/>
    <m/>
    <n v="10"/>
    <n v="10"/>
    <n v="10"/>
    <n v="10"/>
    <n v="11"/>
    <n v="10"/>
    <m/>
    <n v="10"/>
    <d v="2023-10-04T00:00:00"/>
  </r>
  <r>
    <s v="10.02.2023"/>
    <x v="8"/>
    <n v="9"/>
    <n v="9"/>
    <n v="9"/>
    <n v="9"/>
    <n v="9"/>
    <n v="9"/>
    <n v="9"/>
    <n v="0"/>
    <n v="9"/>
    <n v="9"/>
    <n v="9"/>
    <n v="8"/>
    <n v="8"/>
    <n v="9"/>
    <n v="0"/>
    <n v="0"/>
    <d v="2023-10-16T00:00:00"/>
  </r>
  <r>
    <s v="10.16.2023"/>
    <x v="10"/>
    <n v="8"/>
    <n v="8"/>
    <n v="8"/>
    <n v="8"/>
    <n v="8"/>
    <n v="8"/>
    <n v="8"/>
    <n v="0"/>
    <n v="8"/>
    <n v="8"/>
    <n v="8"/>
    <n v="8"/>
    <n v="8"/>
    <n v="8"/>
    <n v="0"/>
    <n v="0"/>
    <d v="2023-10-30T00:00:00"/>
  </r>
  <r>
    <s v="11.06.2023"/>
    <x v="9"/>
    <n v="8"/>
    <n v="10"/>
    <n v="10"/>
    <n v="10"/>
    <n v="10"/>
    <n v="10"/>
    <n v="10"/>
    <n v="0"/>
    <n v="10"/>
    <n v="10"/>
    <n v="10"/>
    <n v="10"/>
    <n v="10"/>
    <n v="10"/>
    <n v="0"/>
    <n v="0"/>
    <d v="2023-11-20T00:00:00"/>
  </r>
  <r>
    <s v="11.20.2023"/>
    <x v="8"/>
    <n v="8"/>
    <n v="9"/>
    <n v="9"/>
    <n v="9"/>
    <n v="9"/>
    <n v="9"/>
    <n v="9"/>
    <n v="9"/>
    <n v="9"/>
    <n v="9"/>
    <n v="9"/>
    <n v="9"/>
    <n v="9"/>
    <n v="9"/>
    <n v="9"/>
    <n v="9"/>
    <d v="2023-12-05T00:00:00"/>
  </r>
  <r>
    <s v="11.20.2023"/>
    <x v="11"/>
    <n v="8"/>
    <n v="9"/>
    <n v="9"/>
    <n v="9"/>
    <n v="9"/>
    <n v="9"/>
    <n v="9"/>
    <n v="9"/>
    <n v="9"/>
    <n v="9"/>
    <n v="9"/>
    <n v="9"/>
    <n v="9"/>
    <n v="9"/>
    <n v="9"/>
    <n v="9"/>
    <d v="2023-12-05T00:00:00"/>
  </r>
  <r>
    <s v="11.27.2023"/>
    <x v="10"/>
    <n v="10"/>
    <n v="10"/>
    <n v="10"/>
    <n v="10"/>
    <n v="10"/>
    <n v="10"/>
    <n v="10"/>
    <n v="10"/>
    <n v="10"/>
    <n v="10"/>
    <n v="10"/>
    <n v="10"/>
    <n v="10"/>
    <n v="10"/>
    <n v="10"/>
    <n v="10"/>
    <s v="12/13/2023"/>
  </r>
  <r>
    <s v="04.03.2023"/>
    <x v="12"/>
    <n v="3"/>
    <n v="3"/>
    <n v="3"/>
    <n v="3"/>
    <n v="3"/>
    <n v="3"/>
    <n v="3"/>
    <m/>
    <n v="3"/>
    <n v="3"/>
    <m/>
    <m/>
    <m/>
    <n v="3"/>
    <n v="0"/>
    <n v="3"/>
    <d v="2023-05-15T00:00:00"/>
  </r>
  <r>
    <s v="06.12.2023"/>
    <x v="12"/>
    <n v="1"/>
    <n v="2"/>
    <n v="2"/>
    <n v="2"/>
    <n v="2"/>
    <n v="2"/>
    <n v="2"/>
    <m/>
    <n v="2"/>
    <n v="2"/>
    <m/>
    <m/>
    <m/>
    <n v="2"/>
    <m/>
    <n v="2"/>
    <d v="1899-12-31T00:00:00"/>
  </r>
  <r>
    <s v="08.01.2023"/>
    <x v="12"/>
    <n v="1"/>
    <n v="2"/>
    <n v="2"/>
    <n v="2"/>
    <n v="2"/>
    <n v="2"/>
    <n v="2"/>
    <m/>
    <n v="2"/>
    <n v="2"/>
    <m/>
    <m/>
    <m/>
    <n v="2"/>
    <m/>
    <n v="2"/>
    <d v="2023-05-26T00:00:00"/>
  </r>
  <r>
    <s v="10.02.2023"/>
    <x v="12"/>
    <n v="3"/>
    <n v="3"/>
    <n v="3"/>
    <n v="3"/>
    <n v="3"/>
    <n v="3"/>
    <n v="3"/>
    <m/>
    <n v="3"/>
    <n v="3"/>
    <m/>
    <m/>
    <m/>
    <n v="3"/>
    <m/>
    <n v="3"/>
    <d v="2023-05-26T00:00:00"/>
  </r>
  <r>
    <s v="11.20.2023"/>
    <x v="12"/>
    <n v="2"/>
    <n v="2"/>
    <n v="2"/>
    <n v="2"/>
    <n v="2"/>
    <n v="2"/>
    <n v="2"/>
    <m/>
    <n v="2"/>
    <n v="2"/>
    <m/>
    <m/>
    <m/>
    <n v="2"/>
    <m/>
    <n v="2"/>
    <d v="2023-05-26T00:00:00"/>
  </r>
  <r>
    <s v="08.10.2023"/>
    <x v="13"/>
    <n v="13"/>
    <n v="0"/>
    <n v="0"/>
    <n v="0"/>
    <n v="0"/>
    <n v="0"/>
    <n v="0"/>
    <m/>
    <n v="0"/>
    <n v="0"/>
    <m/>
    <m/>
    <m/>
    <n v="0"/>
    <m/>
    <n v="0"/>
    <d v="2023-05-29T00:00:00"/>
  </r>
  <r>
    <s v="08.14.2023"/>
    <x v="13"/>
    <n v="11"/>
    <n v="8"/>
    <n v="11"/>
    <n v="9"/>
    <n v="9"/>
    <n v="10"/>
    <n v="9"/>
    <m/>
    <n v="0"/>
    <n v="10"/>
    <m/>
    <m/>
    <m/>
    <n v="9"/>
    <m/>
    <n v="0"/>
    <d v="2023-06-02T00:00:00"/>
  </r>
  <r>
    <s v="9.20.2023"/>
    <x v="13"/>
    <n v="13"/>
    <n v="3"/>
    <n v="3"/>
    <n v="3"/>
    <n v="3"/>
    <n v="4"/>
    <n v="6"/>
    <m/>
    <n v="0"/>
    <n v="3"/>
    <m/>
    <m/>
    <m/>
    <n v="5"/>
    <m/>
    <n v="0"/>
    <m/>
  </r>
  <r>
    <s v="10.16.2023"/>
    <x v="13"/>
    <n v="11"/>
    <n v="10"/>
    <n v="10"/>
    <n v="10"/>
    <n v="10"/>
    <n v="10"/>
    <n v="10"/>
    <m/>
    <n v="0"/>
    <n v="10"/>
    <m/>
    <m/>
    <m/>
    <n v="10"/>
    <m/>
    <n v="0"/>
    <m/>
  </r>
  <r>
    <s v="01.29.2024"/>
    <x v="4"/>
    <n v="5"/>
    <n v="7"/>
    <n v="7"/>
    <n v="8"/>
    <n v="8"/>
    <n v="7"/>
    <n v="7"/>
    <n v="7"/>
    <n v="7"/>
    <n v="8"/>
    <n v="6"/>
    <n v="7"/>
    <n v="6"/>
    <n v="7"/>
    <n v="7"/>
    <n v="6"/>
    <d v="2024-02-14T00:00:00"/>
  </r>
  <r>
    <s v="01.29.2024"/>
    <x v="14"/>
    <n v="5"/>
    <n v="7"/>
    <n v="7"/>
    <n v="8"/>
    <n v="8"/>
    <n v="7"/>
    <n v="7"/>
    <n v="7"/>
    <n v="7"/>
    <n v="8"/>
    <n v="6"/>
    <n v="7"/>
    <n v="6"/>
    <n v="7"/>
    <n v="7"/>
    <n v="6"/>
    <d v="2024-02-14T00:00:00"/>
  </r>
  <r>
    <s v="01.29.2024"/>
    <x v="8"/>
    <n v="6"/>
    <n v="8"/>
    <n v="8"/>
    <n v="8"/>
    <n v="8"/>
    <n v="8"/>
    <n v="8"/>
    <n v="8"/>
    <n v="8"/>
    <n v="8"/>
    <n v="7"/>
    <n v="8"/>
    <n v="7"/>
    <n v="7"/>
    <n v="8"/>
    <n v="7"/>
    <d v="2024-02-14T00:00:00"/>
  </r>
  <r>
    <s v="01.29.2024"/>
    <x v="3"/>
    <n v="6"/>
    <n v="8"/>
    <n v="8"/>
    <n v="8"/>
    <n v="8"/>
    <n v="8"/>
    <n v="8"/>
    <n v="8"/>
    <n v="8"/>
    <n v="8"/>
    <n v="7"/>
    <n v="8"/>
    <n v="7"/>
    <n v="7"/>
    <n v="8"/>
    <n v="7"/>
    <d v="2024-02-14T00:00:00"/>
  </r>
  <r>
    <s v="02.05.2024"/>
    <x v="1"/>
    <n v="6"/>
    <n v="9"/>
    <n v="9"/>
    <n v="9"/>
    <n v="9"/>
    <n v="9"/>
    <n v="9"/>
    <n v="9"/>
    <n v="9"/>
    <n v="9"/>
    <n v="9"/>
    <n v="9"/>
    <n v="9"/>
    <n v="9"/>
    <n v="9"/>
    <n v="9"/>
    <d v="2024-02-21T00:00:00"/>
  </r>
  <r>
    <s v="02.05.2024"/>
    <x v="15"/>
    <n v="6"/>
    <n v="9"/>
    <n v="9"/>
    <n v="9"/>
    <n v="9"/>
    <n v="9"/>
    <n v="9"/>
    <n v="9"/>
    <n v="9"/>
    <n v="9"/>
    <n v="9"/>
    <n v="9"/>
    <n v="9"/>
    <n v="9"/>
    <n v="9"/>
    <n v="9"/>
    <d v="2024-02-21T00:00:00"/>
  </r>
  <r>
    <s v="02.12.2024"/>
    <x v="3"/>
    <n v="8"/>
    <n v="8"/>
    <n v="8"/>
    <n v="8"/>
    <n v="8"/>
    <n v="8"/>
    <n v="8"/>
    <n v="8"/>
    <n v="8"/>
    <n v="8"/>
    <n v="8"/>
    <n v="8"/>
    <n v="8"/>
    <n v="8"/>
    <n v="8"/>
    <n v="8"/>
    <d v="2024-02-28T00:00:00"/>
  </r>
  <r>
    <s v="02.12.2024"/>
    <x v="16"/>
    <n v="8"/>
    <n v="8"/>
    <n v="8"/>
    <n v="8"/>
    <n v="8"/>
    <n v="8"/>
    <n v="8"/>
    <n v="8"/>
    <n v="8"/>
    <n v="8"/>
    <n v="8"/>
    <n v="8"/>
    <n v="8"/>
    <n v="8"/>
    <n v="8"/>
    <n v="8"/>
    <d v="2024-02-28T00:00:00"/>
  </r>
  <r>
    <s v="03.04.2024"/>
    <x v="5"/>
    <n v="7"/>
    <n v="9"/>
    <n v="6"/>
    <n v="6"/>
    <n v="6"/>
    <n v="6"/>
    <n v="6"/>
    <m/>
    <n v="6"/>
    <n v="6"/>
    <n v="6"/>
    <n v="6"/>
    <n v="6"/>
    <n v="6"/>
    <n v="6"/>
    <n v="6"/>
    <d v="2024-03-20T00:00:00"/>
  </r>
  <r>
    <s v="03.04.2024"/>
    <x v="11"/>
    <n v="7"/>
    <n v="9"/>
    <n v="6"/>
    <n v="6"/>
    <n v="6"/>
    <n v="6"/>
    <n v="6"/>
    <m/>
    <n v="6"/>
    <n v="6"/>
    <n v="6"/>
    <n v="6"/>
    <n v="6"/>
    <n v="6"/>
    <n v="6"/>
    <n v="6"/>
    <d v="2024-03-20T00:00:00"/>
  </r>
  <r>
    <s v="02.05.2024"/>
    <x v="12"/>
    <n v="5"/>
    <n v="6"/>
    <n v="5"/>
    <n v="5"/>
    <n v="5"/>
    <n v="5"/>
    <n v="6"/>
    <m/>
    <n v="5"/>
    <n v="5"/>
    <m/>
    <m/>
    <m/>
    <n v="6"/>
    <m/>
    <n v="5"/>
    <n v="0"/>
  </r>
  <r>
    <s v="7.17.2023"/>
    <x v="17"/>
    <n v="10"/>
    <n v="10"/>
    <n v="10"/>
    <n v="10"/>
    <n v="10"/>
    <n v="10"/>
    <n v="10"/>
    <m/>
    <n v="10"/>
    <n v="10"/>
    <n v="10"/>
    <n v="10"/>
    <n v="10"/>
    <n v="10"/>
    <m/>
    <n v="10"/>
    <s v="08/15/2023"/>
  </r>
  <r>
    <s v="9.20.2023"/>
    <x v="15"/>
    <n v="13"/>
    <n v="3"/>
    <n v="3"/>
    <n v="3"/>
    <n v="3"/>
    <n v="4"/>
    <n v="6"/>
    <m/>
    <n v="0"/>
    <n v="3"/>
    <m/>
    <m/>
    <m/>
    <n v="5"/>
    <m/>
    <n v="0"/>
    <m/>
  </r>
  <r>
    <s v="10.16.2023"/>
    <x v="15"/>
    <n v="11"/>
    <n v="10"/>
    <n v="10"/>
    <n v="10"/>
    <n v="10"/>
    <n v="10"/>
    <n v="10"/>
    <m/>
    <n v="0"/>
    <n v="10"/>
    <m/>
    <m/>
    <m/>
    <n v="10"/>
    <m/>
    <n v="0"/>
    <m/>
  </r>
  <r>
    <s v="5.4.2023"/>
    <x v="17"/>
    <n v="7"/>
    <n v="7"/>
    <n v="7"/>
    <n v="7"/>
    <n v="7"/>
    <n v="7"/>
    <n v="7"/>
    <m/>
    <n v="7"/>
    <n v="7"/>
    <n v="7"/>
    <n v="7"/>
    <n v="7"/>
    <n v="7"/>
    <m/>
    <n v="7"/>
    <n v="0"/>
  </r>
  <r>
    <s v="11.27.2023"/>
    <x v="18"/>
    <n v="10"/>
    <n v="10"/>
    <n v="10"/>
    <n v="10"/>
    <n v="10"/>
    <n v="10"/>
    <n v="10"/>
    <n v="10"/>
    <n v="10"/>
    <n v="10"/>
    <n v="10"/>
    <n v="10"/>
    <n v="10"/>
    <n v="10"/>
    <n v="10"/>
    <n v="10"/>
    <s v="12/13/2023"/>
  </r>
  <r>
    <m/>
    <x v="19"/>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78FBA0-3993-4D5F-9A94-F5FDC0174CEC}" name="PivotTable1" cacheId="1125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C25" firstHeaderRow="0" firstDataRow="1" firstDataCol="1"/>
  <pivotFields count="17">
    <pivotField compact="0" outline="0" showAll="0"/>
    <pivotField dataField="1" compact="0" outline="0" showAll="0"/>
    <pivotField dataField="1" compact="0" outline="0" showAll="0"/>
    <pivotField compact="0" outline="0" showAll="0"/>
    <pivotField compact="0" outline="0" showAll="0"/>
    <pivotField compact="0" outline="0" showAll="0"/>
    <pivotField axis="axisRow" compact="0" outline="0" showAll="0">
      <items count="24">
        <item x="5"/>
        <item x="1"/>
        <item x="16"/>
        <item x="12"/>
        <item x="19"/>
        <item x="14"/>
        <item x="4"/>
        <item x="15"/>
        <item x="21"/>
        <item x="13"/>
        <item x="0"/>
        <item x="6"/>
        <item x="18"/>
        <item x="10"/>
        <item x="3"/>
        <item x="7"/>
        <item x="2"/>
        <item x="11"/>
        <item x="8"/>
        <item x="20"/>
        <item x="9"/>
        <item x="17"/>
        <item x="2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Sum of Sum of User Score" fld="1" baseField="0" baseItem="0"/>
    <dataField name="Sum of Sum of Respons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CC270E-C066-45F6-8AD6-6E95164CFEC7}" name="PivotTable1" cacheId="1125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24" firstHeaderRow="0" firstDataRow="1" firstDataCol="1"/>
  <pivotFields count="19">
    <pivotField compact="0" outline="0" showAll="0"/>
    <pivotField axis="axisRow" compact="0" outline="0" showAll="0">
      <items count="24">
        <item sd="0" x="7"/>
        <item x="1"/>
        <item x="5"/>
        <item x="2"/>
        <item x="3"/>
        <item x="6"/>
        <item x="4"/>
        <item x="0"/>
        <item x="8"/>
        <item x="9"/>
        <item x="10"/>
        <item x="14"/>
        <item x="11"/>
        <item n="Catherine Saigo" m="1" x="22"/>
        <item x="12"/>
        <item x="13"/>
        <item x="15"/>
        <item m="1" x="20"/>
        <item m="1" x="21"/>
        <item x="19"/>
        <item n="Catherine Saigo2" x="16"/>
        <item x="17"/>
        <item x="18"/>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1"/>
  </rowFields>
  <rowItems count="21">
    <i>
      <x/>
    </i>
    <i>
      <x v="1"/>
    </i>
    <i>
      <x v="2"/>
    </i>
    <i>
      <x v="3"/>
    </i>
    <i>
      <x v="4"/>
    </i>
    <i>
      <x v="5"/>
    </i>
    <i>
      <x v="6"/>
    </i>
    <i>
      <x v="7"/>
    </i>
    <i>
      <x v="8"/>
    </i>
    <i>
      <x v="9"/>
    </i>
    <i>
      <x v="10"/>
    </i>
    <i>
      <x v="11"/>
    </i>
    <i>
      <x v="12"/>
    </i>
    <i>
      <x v="14"/>
    </i>
    <i>
      <x v="15"/>
    </i>
    <i>
      <x v="16"/>
    </i>
    <i>
      <x v="19"/>
    </i>
    <i>
      <x v="20"/>
    </i>
    <i>
      <x v="21"/>
    </i>
    <i>
      <x v="22"/>
    </i>
    <i t="grand">
      <x/>
    </i>
  </rowItems>
  <colFields count="1">
    <field x="-2"/>
  </colFields>
  <colItems count="2">
    <i>
      <x/>
    </i>
    <i i="1">
      <x v="1"/>
    </i>
  </colItems>
  <dataFields count="2">
    <dataField name="Sum of Number of Agent Transition to Nesting" fld="2" baseField="0" baseItem="0"/>
    <dataField name="Sum of Total"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CC1CC4-FE13-4A75-A8E9-5CACF2E2F8B6}" name="PivotTable6" cacheId="112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27" firstHeaderRow="0" firstDataRow="1" firstDataCol="1"/>
  <pivotFields count="10">
    <pivotField showAll="0"/>
    <pivotField showAll="0"/>
    <pivotField axis="axisRow" showAll="0">
      <items count="28">
        <item x="3"/>
        <item x="16"/>
        <item x="13"/>
        <item x="8"/>
        <item x="5"/>
        <item x="1"/>
        <item x="4"/>
        <item x="9"/>
        <item x="6"/>
        <item x="12"/>
        <item x="2"/>
        <item x="10"/>
        <item x="7"/>
        <item x="19"/>
        <item x="14"/>
        <item x="0"/>
        <item x="24"/>
        <item x="11"/>
        <item x="15"/>
        <item x="17"/>
        <item n="Catherine Saigo" m="1" x="26"/>
        <item x="20"/>
        <item x="21"/>
        <item x="22"/>
        <item x="23"/>
        <item n="Catherine Saigo2" x="18"/>
        <item m="1" x="25"/>
        <item t="default"/>
      </items>
    </pivotField>
    <pivotField showAll="0"/>
    <pivotField dataField="1" showAll="0"/>
    <pivotField dataField="1" showAll="0"/>
    <pivotField dataField="1" showAll="0"/>
    <pivotField dataField="1" showAll="0"/>
    <pivotField dataField="1" showAll="0"/>
    <pivotField showAll="0"/>
  </pivotFields>
  <rowFields count="1">
    <field x="2"/>
  </rowFields>
  <rowItems count="26">
    <i>
      <x/>
    </i>
    <i>
      <x v="1"/>
    </i>
    <i>
      <x v="2"/>
    </i>
    <i>
      <x v="3"/>
    </i>
    <i>
      <x v="4"/>
    </i>
    <i>
      <x v="5"/>
    </i>
    <i>
      <x v="6"/>
    </i>
    <i>
      <x v="7"/>
    </i>
    <i>
      <x v="8"/>
    </i>
    <i>
      <x v="9"/>
    </i>
    <i>
      <x v="10"/>
    </i>
    <i>
      <x v="11"/>
    </i>
    <i>
      <x v="12"/>
    </i>
    <i>
      <x v="13"/>
    </i>
    <i>
      <x v="14"/>
    </i>
    <i>
      <x v="15"/>
    </i>
    <i>
      <x v="16"/>
    </i>
    <i>
      <x v="17"/>
    </i>
    <i>
      <x v="18"/>
    </i>
    <i>
      <x v="19"/>
    </i>
    <i>
      <x v="21"/>
    </i>
    <i>
      <x v="22"/>
    </i>
    <i>
      <x v="23"/>
    </i>
    <i>
      <x v="24"/>
    </i>
    <i>
      <x v="25"/>
    </i>
    <i t="grand">
      <x/>
    </i>
  </rowItems>
  <colFields count="1">
    <field x="-2"/>
  </colFields>
  <colItems count="5">
    <i>
      <x/>
    </i>
    <i i="1">
      <x v="1"/>
    </i>
    <i i="2">
      <x v="2"/>
    </i>
    <i i="3">
      <x v="3"/>
    </i>
    <i i="4">
      <x v="4"/>
    </i>
  </colItems>
  <dataFields count="5">
    <dataField name="Average of Test Avg" fld="4" subtotal="average" baseField="2" baseItem="0" numFmtId="10"/>
    <dataField name="Average of Attrition Class" fld="6" subtotal="average" baseField="2" baseItem="0"/>
    <dataField name="Average of Attrition Nesting" fld="7" subtotal="average" baseField="2" baseItem="0"/>
    <dataField name="Average of QA Avg" fld="5" subtotal="average" baseField="0" baseItem="0"/>
    <dataField name="Average of Attrition less Terms" fld="8" subtotal="average" baseField="2" baseItem="0"/>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8CDFE5-920A-405B-85D3-8EAAF41A698F}" name="PivotTable2" cacheId="1125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L14" firstHeaderRow="1" firstDataRow="2" firstDataCol="1"/>
  <pivotFields count="20">
    <pivotField compact="0" outline="0" showAll="0"/>
    <pivotField axis="axisCol" compact="0" outline="0" showAll="0">
      <items count="12">
        <item m="1" x="10"/>
        <item x="7"/>
        <item x="1"/>
        <item x="5"/>
        <item x="2"/>
        <item x="3"/>
        <item x="6"/>
        <item x="4"/>
        <item x="0"/>
        <item x="8"/>
        <item x="9"/>
        <item t="default"/>
      </items>
    </pivotField>
    <pivotField axis="axisRow" compact="0" outline="0" showAll="0">
      <items count="16">
        <item m="1" x="14"/>
        <item m="1" x="13"/>
        <item x="4"/>
        <item x="6"/>
        <item x="5"/>
        <item x="0"/>
        <item x="1"/>
        <item x="2"/>
        <item x="7"/>
        <item x="8"/>
        <item x="3"/>
        <item m="1" x="12"/>
        <item x="9"/>
        <item m="1" x="10"/>
        <item m="1" x="11"/>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1">
    <i>
      <x v="2"/>
    </i>
    <i>
      <x v="3"/>
    </i>
    <i>
      <x v="4"/>
    </i>
    <i>
      <x v="5"/>
    </i>
    <i>
      <x v="6"/>
    </i>
    <i>
      <x v="7"/>
    </i>
    <i>
      <x v="8"/>
    </i>
    <i>
      <x v="9"/>
    </i>
    <i>
      <x v="10"/>
    </i>
    <i>
      <x v="12"/>
    </i>
    <i t="grand">
      <x/>
    </i>
  </rowItems>
  <colFields count="1">
    <field x="1"/>
  </colFields>
  <colItems count="11">
    <i>
      <x v="1"/>
    </i>
    <i>
      <x v="2"/>
    </i>
    <i>
      <x v="3"/>
    </i>
    <i>
      <x v="4"/>
    </i>
    <i>
      <x v="5"/>
    </i>
    <i>
      <x v="6"/>
    </i>
    <i>
      <x v="7"/>
    </i>
    <i>
      <x v="8"/>
    </i>
    <i>
      <x v="9"/>
    </i>
    <i>
      <x v="10"/>
    </i>
    <i t="grand">
      <x/>
    </i>
  </colItems>
  <dataFields count="1">
    <dataField name="Count of PCB AML"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10</v>
    <v>2</v>
  </rv>
  <rv s="1">
    <v>10</v>
    <v>1</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ForecastInput" displayName="Table_ForecastInput" ref="B8:I39" totalsRowShown="0" headerRowDxfId="34" dataDxfId="33">
  <autoFilter ref="B8:I39" xr:uid="{00000000-0009-0000-0100-000002000000}"/>
  <sortState xmlns:xlrd2="http://schemas.microsoft.com/office/spreadsheetml/2017/richdata2" ref="B9:H38">
    <sortCondition ref="B10:B38"/>
  </sortState>
  <tableColumns count="8">
    <tableColumn id="1" xr3:uid="{00000000-0010-0000-0000-000001000000}" name="Name" dataDxfId="32"/>
    <tableColumn id="2" xr3:uid="{00000000-0010-0000-0000-000002000000}" name="Productivity - YTD" dataDxfId="31">
      <calculatedColumnFormula>'[24]Dashboard YTD'!$K$2</calculatedColumnFormula>
    </tableColumn>
    <tableColumn id="3" xr3:uid="{00000000-0010-0000-0000-000003000000}" name="Training Satisfaction (Survey Results" dataDxfId="30">
      <calculatedColumnFormula>'Survey Raw Data'!#REF!</calculatedColumnFormula>
    </tableColumn>
    <tableColumn id="4" xr3:uid="{00000000-0010-0000-0000-000004000000}" name="Compliance" dataDxfId="29"/>
    <tableColumn id="5" xr3:uid="{00000000-0010-0000-0000-000005000000}" name="Knowledge Retention in Class" dataDxfId="28"/>
    <tableColumn id="6" xr3:uid="{00000000-0010-0000-0000-000006000000}" name="Knowledge Retention Nesting" dataDxfId="27"/>
    <tableColumn id="7" xr3:uid="{00000000-0010-0000-0000-000007000000}" name="New Hire Attrition" dataDxfId="26">
      <calculatedColumnFormula>AVERAGEIFS('Scores - Raw Data'!I:I,'Scores - Raw Data'!C:C,Table_ForecastInput[[#This Row],[Name]])</calculatedColumnFormula>
    </tableColumn>
    <tableColumn id="8" xr3:uid="{836439CB-2833-48E4-9D0D-08E6F7BF4AE1}" name="Observation Scores" dataDxfId="25">
      <calculatedColumnFormula>'Observation Metrics'!G3</calculatedColumnFormula>
    </tableColumn>
  </tableColumns>
  <tableStyleInfo name="Business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AFDB7C-2416-44DF-995D-3ED90F1A815E}" name="Table1" displayName="Table1" ref="F1:V535" totalsRowShown="0" headerRowDxfId="24" dataDxfId="23" headerRowBorderDxfId="21" tableBorderDxfId="22" headerRowCellStyle="Normal 2">
  <autoFilter ref="F1:V535" xr:uid="{08AFDB7C-2416-44DF-995D-3ED90F1A815E}"/>
  <tableColumns count="17">
    <tableColumn id="1" xr3:uid="{70F8CDF2-8D99-45D7-B9A0-EBF167AC4FB9}" name="Attempt Date" dataDxfId="20"/>
    <tableColumn id="2" xr3:uid="{D872090B-2FB4-4A53-9436-1728E1DA8153}" name="Sum of User Score" dataDxfId="19"/>
    <tableColumn id="3" xr3:uid="{DE1B7C7F-27E9-4A80-AB42-B65D992F43EA}" name="Sum of Responses" dataDxfId="18" dataCellStyle="Normal 2"/>
    <tableColumn id="4" xr3:uid="{AD55A516-8A75-41AC-9DC4-D6A61095556F}" name="name" dataDxfId="17" dataCellStyle="Normal 2"/>
    <tableColumn id="5" xr3:uid="{0AAEA96E-4B52-4D5E-8C42-3BDF3FC1BA4A}" name="Select your location from the drop-down menu." dataDxfId="16"/>
    <tableColumn id="6" xr3:uid="{309E1EAD-D011-4D34-9BA9-C7688B64B3E8}" name="What is your training start date?" dataDxfId="15"/>
    <tableColumn id="7" xr3:uid="{C0280A2D-CDE3-4B1F-8FD6-F5CF69947249}" name="Select the name of your primary trainer for this course." dataDxfId="14"/>
    <tableColumn id="8" xr3:uid="{D11247AA-F0C7-4AF9-A852-10EB8D508E4C}" name="If there was a secondary trainer assisting your class, then please select their name or select None." dataDxfId="13"/>
    <tableColumn id="9" xr3:uid="{68182BB9-75F7-45F8-871E-7E561B69E987}" name="What is your department? " dataDxfId="12"/>
    <tableColumn id="10" xr3:uid="{1BB5167A-F63F-4421-AA1C-A122AA438C25}" name="It was easy for me to get actively involved during this program." dataDxfId="11"/>
    <tableColumn id="11" xr3:uid="{08E68FB6-1848-45EB-88FC-6BFB4E556BA8}" name="I was comfortable with the pace of this program." dataDxfId="10"/>
    <tableColumn id="12" xr3:uid="{202E86C4-C14B-4F5A-AA2B-8F105ABA8901}" name="I had many opportunities to get answers to my questions." dataDxfId="9"/>
    <tableColumn id="13" xr3:uid="{C5E56A95-DDA4-4132-BBD1-A2E22E1E2720}" name="I had opportunities to practice the skills I was asked to learn." dataDxfId="8"/>
    <tableColumn id="14" xr3:uid="{F1C15481-E78F-47AB-972C-5DA200A33BA6}" name="My learning was enhanced by the knowledge of the facilitator." dataDxfId="7"/>
    <tableColumn id="15" xr3:uid="{C10D257C-F685-4D26-B622-52E6469A9ED6}" name="My learning was enhanced by the experiences shared by the facilitator." dataDxfId="6"/>
    <tableColumn id="16" xr3:uid="{19A9F0DD-C89A-4585-A731-572172BF9741}" name="What are three things the facilitator did well that encouraged you?" dataDxfId="5"/>
    <tableColumn id="17" xr3:uid="{F86DDE5B-9824-4E5C-876B-FF8DF9A63A1B}" name="What are three things that the facilitator could do differently next time?" dataDxfId="4"/>
  </tableColumns>
  <tableStyleInfo name="Business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E7C3E9-52A6-47B3-8A7E-F8A6F08171C2}" name="Table3" displayName="Table3" ref="A1:G32" totalsRowShown="0" headerRowDxfId="3" headerRowBorderDxfId="1" tableBorderDxfId="2">
  <autoFilter ref="A1:G32" xr:uid="{51E7C3E9-52A6-47B3-8A7E-F8A6F08171C2}"/>
  <tableColumns count="7">
    <tableColumn id="1" xr3:uid="{1E7527DB-0E5D-4270-9C48-7D355742ED85}" name="Name"/>
    <tableColumn id="2" xr3:uid="{5A4DD496-6C29-461F-83CF-B4A995439521}" name="Observation 1"/>
    <tableColumn id="3" xr3:uid="{8A940DA3-E3A6-4785-A4F6-46B9F620572C}" name="Observation 2"/>
    <tableColumn id="4" xr3:uid="{58B3239C-154C-4A49-BC10-D462DBA3DC0F}" name="Observation 3"/>
    <tableColumn id="5" xr3:uid="{B78A74AC-22A3-47CC-8BE6-839961186436}" name="Observation 4"/>
    <tableColumn id="6" xr3:uid="{22EC7F9F-C025-4610-9F11-D53DE860A604}" name="Observation 5"/>
    <tableColumn id="7" xr3:uid="{A21EDB1B-3CE5-48CF-B509-B0FE898CF459}" name="Average" dataDxfId="0">
      <calculatedColumnFormula>AVERAGE(B2:F2)</calculatedColumnFormula>
    </tableColumn>
  </tableColumns>
  <tableStyleInfo name="Business Table" showFirstColumn="0" showLastColumn="0" showRowStripes="1" showColumnStripes="0"/>
</table>
</file>

<file path=xl/theme/theme1.xml><?xml version="1.0" encoding="utf-8"?>
<a:theme xmlns:a="http://schemas.openxmlformats.org/drawingml/2006/main" name="Business Templates">
  <a:themeElements>
    <a:clrScheme name="BUS_Activity Based Cost Tracker">
      <a:dk1>
        <a:sysClr val="windowText" lastClr="000000"/>
      </a:dk1>
      <a:lt1>
        <a:sysClr val="window" lastClr="FFFFFF"/>
      </a:lt1>
      <a:dk2>
        <a:srgbClr val="1F497D"/>
      </a:dk2>
      <a:lt2>
        <a:srgbClr val="EEECE1"/>
      </a:lt2>
      <a:accent1>
        <a:srgbClr val="F7F5E6"/>
      </a:accent1>
      <a:accent2>
        <a:srgbClr val="333A56"/>
      </a:accent2>
      <a:accent3>
        <a:srgbClr val="52658F"/>
      </a:accent3>
      <a:accent4>
        <a:srgbClr val="E8E8E8"/>
      </a:accent4>
      <a:accent5>
        <a:srgbClr val="000000"/>
      </a:accent5>
      <a:accent6>
        <a:srgbClr val="8A8A8A"/>
      </a:accent6>
      <a:hlink>
        <a:srgbClr val="0096D2"/>
      </a:hlink>
      <a:folHlink>
        <a:srgbClr val="00578B"/>
      </a:folHlink>
    </a:clrScheme>
    <a:fontScheme name="BUS_Activity Based Cost Tracker">
      <a:majorFont>
        <a:latin typeface="Constantia"/>
        <a:ea typeface=""/>
        <a:cs typeface=""/>
      </a:majorFont>
      <a:minorFont>
        <a:latin typeface="Franklin Gothic Book"/>
        <a:ea typeface=""/>
        <a:cs typeface=""/>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Dark" id="{D39323B7-B2D6-4C10-818B-A5CD4ACE85BD}" vid="{15FD9199-0511-4D87-8BFB-2FF3F0C5B55D}"/>
    </a:ext>
  </a:extLst>
</a:theme>
</file>

<file path=xl/threadedComments/threadedComment1.xml><?xml version="1.0" encoding="utf-8"?>
<ThreadedComments xmlns="http://schemas.microsoft.com/office/spreadsheetml/2018/threadedcomments" xmlns:x="http://schemas.openxmlformats.org/spreadsheetml/2006/main">
  <threadedComment ref="A2" dT="2023-07-26T17:59:28.61" personId="{00000000-0000-0000-0000-000000000000}" id="{D72C3474-8420-467F-9FBD-EF9A8C33F623}">
    <text>Start of Q1</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N39"/>
  <sheetViews>
    <sheetView showGridLines="0" showRowColHeaders="0" tabSelected="1" zoomScaleNormal="100" workbookViewId="0">
      <pane ySplit="8" topLeftCell="A24" activePane="bottomLeft" state="frozen"/>
      <selection pane="bottomLeft" activeCell="B5" sqref="B5:I8"/>
    </sheetView>
  </sheetViews>
  <sheetFormatPr defaultColWidth="8.77734375" defaultRowHeight="21" customHeight="1"/>
  <cols>
    <col min="1" max="1" width="1.77734375" style="1" customWidth="1"/>
    <col min="2" max="2" width="20.77734375" style="1" customWidth="1"/>
    <col min="3" max="5" width="14.77734375" style="2" customWidth="1"/>
    <col min="6" max="10" width="14.77734375" style="1" customWidth="1"/>
    <col min="11" max="11" width="1.77734375" style="1" customWidth="1"/>
    <col min="12" max="16384" width="8.77734375" style="1"/>
  </cols>
  <sheetData>
    <row r="1" spans="2:14" ht="12" customHeight="1">
      <c r="B1" s="26"/>
      <c r="C1" s="27"/>
      <c r="D1" s="27"/>
      <c r="E1" s="27"/>
      <c r="F1" s="26"/>
      <c r="G1" s="26"/>
      <c r="H1" s="26"/>
      <c r="I1" s="26"/>
      <c r="J1" s="26"/>
      <c r="K1" s="26" t="s">
        <v>0</v>
      </c>
      <c r="L1" s="26"/>
      <c r="M1" s="26"/>
      <c r="N1" s="26"/>
    </row>
    <row r="2" spans="2:14" ht="21.75" customHeight="1">
      <c r="B2" s="5" t="s">
        <v>1</v>
      </c>
      <c r="C2" s="28"/>
      <c r="D2" s="28"/>
      <c r="E2" s="28"/>
      <c r="F2" s="29"/>
      <c r="G2" s="29"/>
      <c r="H2" s="29"/>
      <c r="I2" s="26"/>
      <c r="J2" s="26"/>
      <c r="K2" s="26"/>
      <c r="L2" s="26"/>
      <c r="M2" s="26"/>
      <c r="N2" s="26"/>
    </row>
    <row r="3" spans="2:14" ht="31.5" customHeight="1">
      <c r="B3" s="7" t="s">
        <v>2</v>
      </c>
      <c r="C3" s="28"/>
      <c r="D3" s="28"/>
      <c r="E3" s="28"/>
      <c r="F3" s="29"/>
      <c r="G3" s="29"/>
      <c r="H3" s="29"/>
      <c r="I3" s="26"/>
      <c r="J3" s="26"/>
      <c r="K3" s="26"/>
      <c r="L3" s="26"/>
      <c r="M3" s="26"/>
      <c r="N3" s="26"/>
    </row>
    <row r="4" spans="2:14" ht="30.75" customHeight="1">
      <c r="B4" s="6" t="s">
        <v>3</v>
      </c>
      <c r="C4" s="28"/>
      <c r="D4" s="28"/>
      <c r="E4" s="28"/>
      <c r="F4" s="29"/>
      <c r="G4" s="29"/>
      <c r="H4" s="29"/>
      <c r="I4" s="26"/>
      <c r="J4" s="26"/>
      <c r="K4" s="26"/>
      <c r="L4" s="26"/>
      <c r="M4" s="26"/>
      <c r="N4" s="26"/>
    </row>
    <row r="5" spans="2:14" ht="21" customHeight="1">
      <c r="B5" s="35" t="s">
        <v>4</v>
      </c>
      <c r="C5" s="36" t="s">
        <v>5</v>
      </c>
      <c r="D5" s="36" t="s">
        <v>5</v>
      </c>
      <c r="E5" s="36">
        <v>1</v>
      </c>
      <c r="F5" s="36" t="s">
        <v>6</v>
      </c>
      <c r="G5" s="36" t="s">
        <v>5</v>
      </c>
      <c r="H5" s="36" t="s">
        <v>7</v>
      </c>
      <c r="I5" s="53" t="s">
        <v>5</v>
      </c>
      <c r="J5" s="26"/>
      <c r="K5" s="26"/>
      <c r="L5" s="26">
        <f>90*0.3</f>
        <v>27</v>
      </c>
      <c r="M5" s="26">
        <f>80*0.7</f>
        <v>56</v>
      </c>
      <c r="N5" s="26">
        <f>SUM(L5:M5)</f>
        <v>83</v>
      </c>
    </row>
    <row r="6" spans="2:14" ht="21" customHeight="1">
      <c r="B6" s="35" t="s">
        <v>8</v>
      </c>
      <c r="C6" s="36">
        <v>0.1</v>
      </c>
      <c r="D6" s="36">
        <v>0.25</v>
      </c>
      <c r="E6" s="36">
        <v>0.15</v>
      </c>
      <c r="F6" s="124">
        <v>0.25</v>
      </c>
      <c r="G6" s="124"/>
      <c r="H6" s="36">
        <v>0.25</v>
      </c>
      <c r="I6" s="53" t="s">
        <v>9</v>
      </c>
      <c r="J6" s="26"/>
      <c r="K6" s="26"/>
      <c r="L6" s="26"/>
      <c r="M6" s="26"/>
      <c r="N6" s="26"/>
    </row>
    <row r="7" spans="2:14" ht="21" customHeight="1">
      <c r="B7" s="35" t="s">
        <v>10</v>
      </c>
      <c r="C7" s="36">
        <f>AVERAGE(C9,C10,C11,C12,C13,C15,C16,C17,C19,C20,C21,C22,C23,C24,C25,C26,C27,C28,C29,C30,C32,C33,C34,C35,C36,C37)</f>
        <v>0.81767019119621687</v>
      </c>
      <c r="D7" s="36">
        <f>AVERAGE(D10,D11,D12,D13,D17,D20,D21,D22,D23:D28,D30,D33,D34,D36,D37,D39)</f>
        <v>0.93659372186631895</v>
      </c>
      <c r="E7" s="36">
        <f>AVERAGE(E11,E12,E13,E17,E20,E19,E22,E23,E24,E25,E26,E27,E28,E29,E33,E36,E39)</f>
        <v>0.84565960483810376</v>
      </c>
      <c r="F7" s="36">
        <f>AVERAGE(F10,F11,F12,F13,F16,F17,F19,F20,F21,F22,F23,F24,F25,F26,F27,F28,F29,F30,F33,F34,F35,F36,F37,F39)</f>
        <v>0.87055151461176428</v>
      </c>
      <c r="G7" s="36">
        <f>AVERAGE(G11,G12,G13,G16,G17,G19,G20,G21,G22,G23,G24,G25,G26,G27,G28,G29,G30,G33,G34,G36,G37,G39)</f>
        <v>0.74682105548351752</v>
      </c>
      <c r="H7" s="36">
        <f>AVERAGE(H10,H11,H12,H13,H16,H17,H19,H20,H21,H22,H23,H24,H25,H26,H27,H28,H29,H30,H33,H34,H36,H37,H39)</f>
        <v>0.19277799472819207</v>
      </c>
      <c r="I7" s="36">
        <f>AVERAGE(I10,I12,I13,I14,I16,I17,I19,I20,I21,I22,I23,I24,I25,I27,I31,I33,I34,I39)</f>
        <v>0.83921971019327324</v>
      </c>
      <c r="J7" s="26"/>
      <c r="K7" s="26"/>
      <c r="L7" s="89">
        <f>AVERAGE(L9:L35)</f>
        <v>0.25697976776111969</v>
      </c>
      <c r="M7" s="89">
        <f>AVERAGE(M9:M35)</f>
        <v>0.51476610513166987</v>
      </c>
      <c r="N7" s="89">
        <f>SUM(L7:M7)</f>
        <v>0.77174587289278951</v>
      </c>
    </row>
    <row r="8" spans="2:14" ht="42" customHeight="1">
      <c r="B8" s="3" t="s">
        <v>11</v>
      </c>
      <c r="C8" s="3" t="s">
        <v>12</v>
      </c>
      <c r="D8" s="9" t="s">
        <v>13</v>
      </c>
      <c r="E8" s="3" t="s">
        <v>14</v>
      </c>
      <c r="F8" s="8" t="s">
        <v>15</v>
      </c>
      <c r="G8" s="9" t="s">
        <v>16</v>
      </c>
      <c r="H8" s="4" t="s">
        <v>17</v>
      </c>
      <c r="I8" s="81" t="s">
        <v>18</v>
      </c>
      <c r="J8" s="26"/>
      <c r="K8" s="26"/>
      <c r="L8" s="26"/>
      <c r="M8" s="26"/>
      <c r="N8" s="26"/>
    </row>
    <row r="9" spans="2:14" ht="21" customHeight="1">
      <c r="B9" s="82" t="s">
        <v>19</v>
      </c>
      <c r="C9" s="85">
        <f>'[1]Dashboard YTD'!$K$2</f>
        <v>0.63891349276646003</v>
      </c>
      <c r="D9" s="85" t="e">
        <f>GETPIVOTDATA("Sum of Sum of Responses",'Survey Raw Data'!$A$1,"Select the name of your primary trainer for this course.","Angeline Rubrico")/GETPIVOTDATA("Sum of Sum of User Score",'Survey Raw Data'!$A$1,"Select the name of your primary trainer for this course.","Angeline Rubrico")</f>
        <v>#REF!</v>
      </c>
      <c r="E9" s="85" t="e">
        <f>GETPIVOTDATA("Sum of Total",'Compliance Pivot Table'!$A$3,"Trainer Name","Angeline Rubrico")/GETPIVOTDATA("Sum of Number of Agent Transition to Nesting",'Compliance Pivot Table'!$A$3,"Trainer Name","Angeline Rubrico")</f>
        <v>#REF!</v>
      </c>
      <c r="F9" s="37" t="e">
        <f>GETPIVOTDATA("Average of Test Avg",'Pivot Tables'!$A$1,"Trainer 1","Angeline Rubrico")</f>
        <v>#REF!</v>
      </c>
      <c r="G9" s="86" t="e">
        <f>GETPIVOTDATA("Average of QA Avg",'Pivot Tables'!$A$1,"Trainer 1","Angeline Rubrico")</f>
        <v>#REF!</v>
      </c>
      <c r="H9" s="14" t="e">
        <f>GETPIVOTDATA("Average of Attrition less Terms",'Pivot Tables'!$A$1,"Trainer 1","Angeline Rubrico")</f>
        <v>#REF!</v>
      </c>
      <c r="I9" s="14" t="e">
        <f>'Observation Metrics'!G2</f>
        <v>#DIV/0!</v>
      </c>
      <c r="J9" s="26"/>
      <c r="K9" s="26"/>
      <c r="L9" s="26"/>
      <c r="M9" s="26"/>
      <c r="N9" s="26"/>
    </row>
    <row r="10" spans="2:14" ht="21" customHeight="1">
      <c r="B10" s="11" t="s">
        <v>20</v>
      </c>
      <c r="C10" s="85">
        <f>'[2]Dashboard YTD'!$K$2</f>
        <v>0.83211974110032361</v>
      </c>
      <c r="D10" s="85">
        <f>GETPIVOTDATA("Sum of Sum of Responses",'Survey Raw Data'!$A$1,"Select the name of your primary trainer for this course.","Anita Bliss-Dias")/GETPIVOTDATA("Sum of Sum of User Score",'Survey Raw Data'!$A$1,"Select the name of your primary trainer for this course.","Anita Bliss-Dias")</f>
        <v>0.91228070175438591</v>
      </c>
      <c r="E10" s="85" t="e">
        <f>GETPIVOTDATA("Sum of Total",'Compliance Pivot Table'!$A$3,"Trainer Name","Anita Bliss-Dias")/GETPIVOTDATA("Sum of Number of Agent Transition to Nesting",'Compliance Pivot Table'!$A$3,"Trainer Name","Anita Bliss-Dias")</f>
        <v>#REF!</v>
      </c>
      <c r="F10" s="37">
        <f>GETPIVOTDATA("Average of Test Avg",'Pivot Tables'!$A$1,"Trainer 1","Anita Bliss-Dias")</f>
        <v>0.82474154761904761</v>
      </c>
      <c r="G10" s="37">
        <f>GETPIVOTDATA("Average of QA Avg",'Pivot Tables'!$A$1,"Trainer 1","Anita Bliss-Dias")</f>
        <v>0.73566468253968254</v>
      </c>
      <c r="H10" s="14">
        <f>GETPIVOTDATA("Average of Attrition less Terms",'Pivot Tables'!$A$1,"Trainer 1","Anita Bliss-Dias")</f>
        <v>6.699346405228758E-2</v>
      </c>
      <c r="I10" s="14">
        <f>'Observation Metrics'!G3</f>
        <v>0.83809523809523812</v>
      </c>
      <c r="J10" s="26"/>
      <c r="K10" s="26"/>
      <c r="L10" s="89">
        <f>Table_ForecastInput[[#This Row],[Knowledge Retention in Class]]*0.3</f>
        <v>0.24742246428571427</v>
      </c>
      <c r="M10" s="89">
        <f>Table_ForecastInput[[#This Row],[Knowledge Retention Nesting]]*0.7</f>
        <v>0.51496527777777779</v>
      </c>
      <c r="N10" s="89">
        <f>SUM(L10:M10)</f>
        <v>0.76238774206349202</v>
      </c>
    </row>
    <row r="11" spans="2:14" ht="21" customHeight="1">
      <c r="B11" s="11" t="s">
        <v>21</v>
      </c>
      <c r="C11" s="85">
        <f>'[3]Dashboard YTD'!$K$2</f>
        <v>0.87170317389360752</v>
      </c>
      <c r="D11" s="85">
        <f>GETPIVOTDATA("Sum of Sum of Responses",'Survey Raw Data'!$A$1,"Select the name of your primary trainer for this course.","Bibi Alli")/GETPIVOTDATA("Sum of Sum of User Score",'Survey Raw Data'!$A$1,"Select the name of your primary trainer for this course.","Bibi Alli")</f>
        <v>1</v>
      </c>
      <c r="E11" s="85">
        <f>GETPIVOTDATA("Sum of Total",'Compliance Pivot Table'!$A$3,"Trainer Name","Bib Alli")/GETPIVOTDATA("Sum of Number of Agent Transition to Nesting",'Compliance Pivot Table'!$A$3,"Trainer Name","Bib Alli")</f>
        <v>1</v>
      </c>
      <c r="F11" s="37">
        <f>GETPIVOTDATA("Average of Test Avg",'Pivot Tables'!$A$1,"Trainer 1","Bibi Alli")</f>
        <v>0.84286333333333341</v>
      </c>
      <c r="G11" s="37">
        <f>GETPIVOTDATA("Average of QA Avg",'Pivot Tables'!$A$1,"Trainer 1","Bibi Alli")</f>
        <v>0.88375000000000004</v>
      </c>
      <c r="H11" s="14">
        <f>GETPIVOTDATA("Average of Attrition less Terms",'Pivot Tables'!$A$1,"Trainer 1","Bibi Alli")</f>
        <v>0.42857142857142855</v>
      </c>
      <c r="I11" s="14" t="str">
        <f>'Observation Metrics'!G4</f>
        <v>LOA</v>
      </c>
      <c r="J11" s="26"/>
      <c r="K11" s="26"/>
      <c r="L11" s="89">
        <f>Table_ForecastInput[[#This Row],[Knowledge Retention in Class]]*0.3</f>
        <v>0.252859</v>
      </c>
      <c r="M11" s="89">
        <f>Table_ForecastInput[[#This Row],[Knowledge Retention Nesting]]*0.7</f>
        <v>0.61862499999999998</v>
      </c>
      <c r="N11" s="89">
        <f t="shared" ref="N11:N19" si="0">SUM(L11:M11)</f>
        <v>0.87148399999999993</v>
      </c>
    </row>
    <row r="12" spans="2:14" ht="21" customHeight="1">
      <c r="B12" s="13" t="s">
        <v>22</v>
      </c>
      <c r="C12" s="85">
        <f>'[4]Dashboard YTD'!$K$2</f>
        <v>0.85570844179992567</v>
      </c>
      <c r="D12" s="85">
        <f>GETPIVOTDATA("Sum of Sum of Responses",'Survey Raw Data'!$A$1,"Select the name of your primary trainer for this course.","Dave Lim")/GETPIVOTDATA("Sum of Sum of User Score",'Survey Raw Data'!$A$1,"Select the name of your primary trainer for this course.","Dave Lim")</f>
        <v>0.9494949494949495</v>
      </c>
      <c r="E12" s="85">
        <f>GETPIVOTDATA("Sum of Total",'Compliance Pivot Table'!$A$3,"Trainer Name","Dave Lim")/GETPIVOTDATA("Sum of Number of Agent Transition to Nesting",'Compliance Pivot Table'!$A$3,"Trainer Name","Dave Lim")</f>
        <v>0.72499999999999998</v>
      </c>
      <c r="F12" s="37">
        <f>GETPIVOTDATA("Average of Test Avg",'Pivot Tables'!$A$1,"Trainer 1","John David Lim")</f>
        <v>0.89444748954748965</v>
      </c>
      <c r="G12" s="37">
        <f>GETPIVOTDATA("Average of QA Avg",'Pivot Tables'!$A$1,"Trainer 1","John David Lim")</f>
        <v>0.73599562358937354</v>
      </c>
      <c r="H12" s="14">
        <f>GETPIVOTDATA("Average of Attrition less Terms",'Pivot Tables'!$A$1,"Trainer 1","John David Lim")</f>
        <v>0.13770053475935828</v>
      </c>
      <c r="I12" s="14">
        <f>'Observation Metrics'!G5</f>
        <v>0.81720430107526887</v>
      </c>
      <c r="J12" s="26"/>
      <c r="K12" s="26"/>
      <c r="L12" s="89">
        <f>Table_ForecastInput[[#This Row],[Knowledge Retention in Class]]*0.3</f>
        <v>0.26833424686424689</v>
      </c>
      <c r="M12" s="89">
        <f>Table_ForecastInput[[#This Row],[Knowledge Retention Nesting]]*0.7</f>
        <v>0.51519693651256149</v>
      </c>
      <c r="N12" s="89">
        <f t="shared" si="0"/>
        <v>0.78353118337680838</v>
      </c>
    </row>
    <row r="13" spans="2:14" ht="21" customHeight="1">
      <c r="B13" s="11" t="s">
        <v>23</v>
      </c>
      <c r="C13" s="85">
        <f>'[5]Dashboard YTD'!$K$2</f>
        <v>0.86813781399318513</v>
      </c>
      <c r="D13" s="85">
        <f>GETPIVOTDATA("Sum of Sum of Responses",'Survey Raw Data'!$A$1,"Select the name of your primary trainer for this course.","Gilisa Roberts")/GETPIVOTDATA("Sum of Sum of User Score",'Survey Raw Data'!$A$1,"Select the name of your primary trainer for this course.","Gilisa Roberts")</f>
        <v>0.94444444444444442</v>
      </c>
      <c r="E13" s="85">
        <f>GETPIVOTDATA("Sum of Total",'Compliance Pivot Table'!$A$3,"Trainer Name","Gilisa Roberts")/GETPIVOTDATA("Sum of Number of Agent Transition to Nesting",'Compliance Pivot Table'!$A$3,"Trainer Name","Gilisa Roberts")</f>
        <v>0.96296296296296291</v>
      </c>
      <c r="F13" s="37">
        <f>GETPIVOTDATA("Average of Test Avg",'Pivot Tables'!$A$1,"Trainer 1","Gilisa Roberts")</f>
        <v>0.87081337365181122</v>
      </c>
      <c r="G13" s="37">
        <f>GETPIVOTDATA("Average of QA Avg",'Pivot Tables'!$A$1,"Trainer 1","Gilisa Roberts")</f>
        <v>0.7198470238095237</v>
      </c>
      <c r="H13" s="14">
        <f>GETPIVOTDATA("Average of Attrition less Terms",'Pivot Tables'!$A$1,"Trainer 1","Gilisa Roberts")</f>
        <v>0.13920454545454547</v>
      </c>
      <c r="I13" s="14">
        <f>'Observation Metrics'!G6</f>
        <v>0.99411764705882355</v>
      </c>
      <c r="J13" s="26"/>
      <c r="K13" s="26"/>
      <c r="L13" s="89">
        <f>Table_ForecastInput[[#This Row],[Knowledge Retention in Class]]*0.3</f>
        <v>0.26124401209554338</v>
      </c>
      <c r="M13" s="89">
        <f>Table_ForecastInput[[#This Row],[Knowledge Retention Nesting]]*0.7</f>
        <v>0.50389291666666658</v>
      </c>
      <c r="N13" s="89">
        <f t="shared" si="0"/>
        <v>0.76513692876220996</v>
      </c>
    </row>
    <row r="14" spans="2:14" ht="21" customHeight="1">
      <c r="B14" s="88" t="s">
        <v>24</v>
      </c>
      <c r="C14" s="85">
        <f>'[6]Dashboard YTD'!$K$2</f>
        <v>0</v>
      </c>
      <c r="D14" s="85" t="s">
        <v>9</v>
      </c>
      <c r="E14" s="85" t="e">
        <f>GETPIVOTDATA("Sum of Total",'Compliance Pivot Table'!$A$3,"Trainer Name","Irish Ferreras")/GETPIVOTDATA("Sum of Number of Agent Transition to Nesting",'Compliance Pivot Table'!$A$3,"Trainer Name","Irish Ferreras")</f>
        <v>#REF!</v>
      </c>
      <c r="F14" s="37" t="e">
        <f>GETPIVOTDATA("Average of Test Avg",'Pivot Tables'!$A$1,"Trainer 1","Irish Ferreras")</f>
        <v>#REF!</v>
      </c>
      <c r="G14" s="85" t="e">
        <f>GETPIVOTDATA("Average of QA Avg",'Pivot Tables'!$A$1,"Trainer 1","Irish Ferreras")</f>
        <v>#REF!</v>
      </c>
      <c r="H14" s="14" t="e">
        <f>GETPIVOTDATA("Average of Attrition less Terms",'Pivot Tables'!$A$1,"Trainer 1","Irish Ferreras")</f>
        <v>#REF!</v>
      </c>
      <c r="I14" s="14">
        <f>'Observation Metrics'!G10</f>
        <v>0.9097777777777778</v>
      </c>
      <c r="J14" s="26"/>
      <c r="K14" s="26"/>
      <c r="L14" s="89"/>
      <c r="M14" s="89"/>
      <c r="N14" s="89"/>
    </row>
    <row r="15" spans="2:14" ht="21" customHeight="1">
      <c r="B15" s="88" t="s">
        <v>25</v>
      </c>
      <c r="C15" s="85">
        <f>'[7]Dashboard YTD'!$K$2</f>
        <v>0.44642857142857145</v>
      </c>
      <c r="D15" s="85" t="e">
        <f>GETPIVOTDATA("Sum of Sum of Responses",'Survey Raw Data'!$A$1,"Select the name of your primary trainer for this course.","Jean Luzada")/GETPIVOTDATA("Sum of Sum of User Score",'Survey Raw Data'!$A$1,"Select the name of your primary trainer for this course.","Jean Luzada")</f>
        <v>#REF!</v>
      </c>
      <c r="E15" s="85" t="e">
        <f>GETPIVOTDATA("Sum of Total",'Compliance Pivot Table'!$A$3,"Trainer Name","Jean Luzada")/GETPIVOTDATA("Sum of Number of Agent Transition to Nesting",'Compliance Pivot Table'!$A$3,"Trainer Name","Jean Luzada")</f>
        <v>#REF!</v>
      </c>
      <c r="F15" s="37" t="e">
        <f>GETPIVOTDATA("Average of Test Avg",'Pivot Tables'!$A$1,"Trainer 1","Jean Luzada")</f>
        <v>#REF!</v>
      </c>
      <c r="G15" s="85" t="e">
        <f>GETPIVOTDATA("Average of QA Avg",'Pivot Tables'!$A$1,"Trainer 1","Jean Luzada")</f>
        <v>#REF!</v>
      </c>
      <c r="H15" s="14" t="e">
        <f>GETPIVOTDATA("Average of Attrition less Terms",'Pivot Tables'!$A$1,"Trainer 1","Jean Luzada")</f>
        <v>#REF!</v>
      </c>
      <c r="I15" s="14">
        <f>'Observation Metrics'!G8</f>
        <v>0.78431372549019607</v>
      </c>
      <c r="J15" s="26"/>
      <c r="K15" s="26"/>
      <c r="L15" s="89"/>
      <c r="M15" s="89"/>
      <c r="N15" s="89"/>
    </row>
    <row r="16" spans="2:14" ht="21" customHeight="1">
      <c r="B16" s="11" t="s">
        <v>26</v>
      </c>
      <c r="C16" s="85">
        <f>'[8]Dashboard YTD'!$K$2</f>
        <v>0.82647989154993218</v>
      </c>
      <c r="D16" s="85" t="e">
        <f>GETPIVOTDATA("Sum of Sum of Responses",'Survey Raw Data'!$A$1,"Select the name of your primary trainer for this course.","Jill Hirtle")/GETPIVOTDATA("Sum of Sum of User Score",'Survey Raw Data'!$A$1,"Select the name of your primary trainer for this course.","Jill Hirtle")</f>
        <v>#REF!</v>
      </c>
      <c r="E16" s="85" t="e">
        <f>GETPIVOTDATA("Sum of Total",'Compliance Pivot Table'!$A$3,"Trainer Name","Jill Hirtle")/GETPIVOTDATA("Sum of Number of Agent Transition to Nesting",'Compliance Pivot Table'!$A$3,"Trainer Name","Jill Hirtle")</f>
        <v>#REF!</v>
      </c>
      <c r="F16" s="37">
        <f>GETPIVOTDATA("Average of Test Avg",'Pivot Tables'!$A$1,"Trainer 1","Jill Hirtle")</f>
        <v>0.87632756814264157</v>
      </c>
      <c r="G16" s="37">
        <f>GETPIVOTDATA("Average of QA Avg",'Pivot Tables'!$A$1,"Trainer 1","Jill Hirtle")</f>
        <v>0.67614276695526709</v>
      </c>
      <c r="H16" s="14">
        <f>GETPIVOTDATA("Average of Attrition less Terms",'Pivot Tables'!$A$1,"Trainer 1","Jill Hirtle")</f>
        <v>0.23816849816849817</v>
      </c>
      <c r="I16" s="14">
        <f>'Observation Metrics'!G9</f>
        <v>0.90666666666666662</v>
      </c>
      <c r="J16" s="26"/>
      <c r="K16" s="26"/>
      <c r="L16" s="89">
        <f>Table_ForecastInput[[#This Row],[Knowledge Retention in Class]]*0.3</f>
        <v>0.26289827044279246</v>
      </c>
      <c r="M16" s="89">
        <f>Table_ForecastInput[[#This Row],[Knowledge Retention Nesting]]*0.7</f>
        <v>0.47329993686868693</v>
      </c>
      <c r="N16" s="89">
        <f t="shared" si="0"/>
        <v>0.73619820731147945</v>
      </c>
    </row>
    <row r="17" spans="2:14" ht="21" customHeight="1">
      <c r="B17" s="13" t="s">
        <v>27</v>
      </c>
      <c r="C17" s="85">
        <f>'[9]Dashboard YTD'!$K$2</f>
        <v>0.86265509574696975</v>
      </c>
      <c r="D17" s="85">
        <f>GETPIVOTDATA("Sum of Sum of Responses",'Survey Raw Data'!$A$1,"Select the name of your primary trainer for this course.","Jordan Saulnier")/GETPIVOTDATA("Sum of Sum of User Score",'Survey Raw Data'!$A$1,"Select the name of your primary trainer for this course.","Jordan Saulnier")</f>
        <v>0.96666666666666667</v>
      </c>
      <c r="E17" s="85">
        <f>GETPIVOTDATA("Sum of Total",'Compliance Pivot Table'!$A$3,"Trainer Name","Jordan Saulnier")/GETPIVOTDATA("Sum of Number of Agent Transition to Nesting",'Compliance Pivot Table'!$A$3,"Trainer Name","Jordan Saulnier")</f>
        <v>0.7407407407407407</v>
      </c>
      <c r="F17" s="37">
        <f>GETPIVOTDATA("Average of Test Avg",'Pivot Tables'!$A$1,"Trainer 1","Jordan Saulnier")</f>
        <v>0.86541463265900764</v>
      </c>
      <c r="G17" s="37">
        <f>GETPIVOTDATA("Average of QA Avg",'Pivot Tables'!$A$1,"Trainer 1","Jordan Saulnier")</f>
        <v>0.69153075396825392</v>
      </c>
      <c r="H17" s="14">
        <f>GETPIVOTDATA("Average of Attrition less Terms",'Pivot Tables'!$A$1,"Trainer 1","Jordan Saulnier")</f>
        <v>0.19797979797979801</v>
      </c>
      <c r="I17" s="14">
        <f>'Observation Metrics'!G10</f>
        <v>0.9097777777777778</v>
      </c>
      <c r="J17" s="26"/>
      <c r="K17" s="26"/>
      <c r="L17" s="89">
        <f>Table_ForecastInput[[#This Row],[Knowledge Retention in Class]]*0.3</f>
        <v>0.2596243897977023</v>
      </c>
      <c r="M17" s="89">
        <f>Table_ForecastInput[[#This Row],[Knowledge Retention Nesting]]*0.7</f>
        <v>0.48407152777777773</v>
      </c>
      <c r="N17" s="89">
        <f t="shared" si="0"/>
        <v>0.74369591757548004</v>
      </c>
    </row>
    <row r="18" spans="2:14" ht="21" customHeight="1">
      <c r="B18" s="117" t="s">
        <v>28</v>
      </c>
      <c r="C18" s="84" t="s">
        <v>29</v>
      </c>
      <c r="D18" s="84" t="s">
        <v>29</v>
      </c>
      <c r="E18" s="84" t="s">
        <v>29</v>
      </c>
      <c r="F18" s="39" t="s">
        <v>29</v>
      </c>
      <c r="G18" s="39" t="s">
        <v>29</v>
      </c>
      <c r="H18" s="39" t="s">
        <v>29</v>
      </c>
      <c r="I18" s="84" t="s">
        <v>29</v>
      </c>
      <c r="J18" s="26"/>
      <c r="K18" s="26"/>
      <c r="L18" s="89"/>
      <c r="M18" s="89"/>
      <c r="N18" s="89"/>
    </row>
    <row r="19" spans="2:14" ht="21" customHeight="1">
      <c r="B19" s="57" t="s">
        <v>30</v>
      </c>
      <c r="C19" s="85">
        <f>'[10]Dashboard YTD'!$K$2</f>
        <v>0.77869467366841716</v>
      </c>
      <c r="D19" s="85">
        <f>GETPIVOTDATA("Sum of Sum of Responses",'Survey Raw Data'!$A$1,"Select the name of your primary trainer for this course.","Kate Saigo")/GETPIVOTDATA("Sum of Sum of User Score",'Survey Raw Data'!$A$1,"Select the name of your primary trainer for this course.","Kate Saigo")</f>
        <v>1</v>
      </c>
      <c r="E19" s="85">
        <f>GETPIVOTDATA("Sum of Total",'Compliance Pivot Table'!$A$3,"Trainer Name","Catherine Saigo2")/GETPIVOTDATA("Sum of Number of Agent Transition to Nesting",'Compliance Pivot Table'!$A$3,"Trainer Name","Catherine Saigo2")</f>
        <v>1</v>
      </c>
      <c r="F19" s="37">
        <f>GETPIVOTDATA("Average of Test Avg",'Pivot Tables'!$A$1,"Trainer 1","Catherine Saigo2")</f>
        <v>0.86468229166666655</v>
      </c>
      <c r="G19" s="37">
        <f>GETPIVOTDATA("Average of QA Avg",'Pivot Tables'!$A$1,"Trainer 1","Catherine Saigo2")</f>
        <v>0.78391193181818175</v>
      </c>
      <c r="H19" s="14">
        <f>GETPIVOTDATA("Average of Attrition Class",'Pivot Tables'!$A$1,"Trainer 1","Catherine Saigo2")</f>
        <v>4.5454545454545456E-2</v>
      </c>
      <c r="I19" s="14">
        <f>'Observation Metrics'!G12</f>
        <v>0.89263015551048008</v>
      </c>
      <c r="J19" s="26"/>
      <c r="K19" s="26"/>
      <c r="L19" s="89">
        <f>Table_ForecastInput[[#This Row],[Knowledge Retention in Class]]*0.3</f>
        <v>0.25940468749999995</v>
      </c>
      <c r="M19" s="89">
        <f>Table_ForecastInput[[#This Row],[Knowledge Retention Nesting]]*0.7</f>
        <v>0.54873835227272716</v>
      </c>
      <c r="N19" s="89">
        <f t="shared" si="0"/>
        <v>0.80814303977272717</v>
      </c>
    </row>
    <row r="20" spans="2:14" ht="21" customHeight="1">
      <c r="B20" s="11" t="s">
        <v>31</v>
      </c>
      <c r="C20" s="85">
        <f>'[11]Dashboard YTD'!$K$2</f>
        <v>0.72350049164208452</v>
      </c>
      <c r="D20" s="85">
        <f>GETPIVOTDATA("Sum of Sum of Responses",'Survey Raw Data'!$A$1,"Select the name of your primary trainer for this course.","Kristi Stead")/GETPIVOTDATA("Sum of Sum of User Score",'Survey Raw Data'!$A$1,"Select the name of your primary trainer for this course.","Kristi Stead")</f>
        <v>0.88888888888888884</v>
      </c>
      <c r="E20" s="85">
        <f>GETPIVOTDATA("Sum of Total",'Compliance Pivot Table'!$A$3,"Trainer Name","Kristi Stead")/GETPIVOTDATA("Sum of Number of Agent Transition to Nesting",'Compliance Pivot Table'!$A$3,"Trainer Name","Kristi Stead")</f>
        <v>1</v>
      </c>
      <c r="F20" s="37">
        <f>GETPIVOTDATA("Average of Test Avg",'Pivot Tables'!$A$1,"Trainer 1","Kristi Stead")</f>
        <v>0.87280076190476197</v>
      </c>
      <c r="G20" s="37">
        <f>GETPIVOTDATA("Average of QA Avg",'Pivot Tables'!$A$1,"Trainer 1","Kristi Stead")</f>
        <v>0.70694369172494176</v>
      </c>
      <c r="H20" s="14">
        <f>GETPIVOTDATA("Average of Attrition Class",'Pivot Tables'!$A$1,"Trainer 1","Kristi Stead")</f>
        <v>8.8235294117647065E-2</v>
      </c>
      <c r="I20" s="14">
        <f>'Observation Metrics'!G12</f>
        <v>0.89263015551048008</v>
      </c>
      <c r="J20" s="26"/>
      <c r="K20" s="26"/>
      <c r="L20" s="89">
        <f>Table_ForecastInput[[#This Row],[Knowledge Retention in Class]]*0.3</f>
        <v>0.26184022857142858</v>
      </c>
      <c r="M20" s="89">
        <f>Table_ForecastInput[[#This Row],[Knowledge Retention Nesting]]*0.7</f>
        <v>0.49486058420745921</v>
      </c>
      <c r="N20" s="89">
        <f>SUM(L20,M20)</f>
        <v>0.75670081277888779</v>
      </c>
    </row>
    <row r="21" spans="2:14" ht="21" customHeight="1">
      <c r="B21" s="40" t="s">
        <v>32</v>
      </c>
      <c r="C21" s="85">
        <f>'[12]Dashboard YTD'!$K$2</f>
        <v>0.74576271186440679</v>
      </c>
      <c r="D21" s="85">
        <f>GETPIVOTDATA("Sum of Sum of Responses",'Survey Raw Data'!$A$1,"Select the name of your primary trainer for this course.","Maida Musse")/GETPIVOTDATA("Sum of Sum of User Score",'Survey Raw Data'!$A$1,"Select the name of your primary trainer for this course.","Maida Musse")</f>
        <v>0.92735042735042739</v>
      </c>
      <c r="E21" s="85">
        <f>GETPIVOTDATA("Sum of Total",'Compliance Pivot Table'!$A$3,"Trainer Name","Maida Musse")/GETPIVOTDATA("Sum of Number of Agent Transition to Nesting",'Compliance Pivot Table'!$A$3,"Trainer Name","Maida Musse")</f>
        <v>1</v>
      </c>
      <c r="F21" s="37">
        <f>GETPIVOTDATA("Average of Test Avg",'Pivot Tables'!$A$1,"Trainer 1","Maida Musse")</f>
        <v>0.95911111111111125</v>
      </c>
      <c r="G21" s="37">
        <f>GETPIVOTDATA("Average of QA Avg",'Pivot Tables'!$A$1,"Trainer 1","Maida Musse")</f>
        <v>0.75688354978354977</v>
      </c>
      <c r="H21" s="14">
        <f>GETPIVOTDATA("Average of Attrition Class",'Pivot Tables'!$A$1,"Trainer 1","Maida Musse")</f>
        <v>5.0649350649350652E-2</v>
      </c>
      <c r="I21" s="14">
        <f>'Observation Metrics'!G13</f>
        <v>0.80919540229885056</v>
      </c>
      <c r="J21" s="26"/>
      <c r="K21" s="26"/>
      <c r="L21" s="89">
        <f>Table_ForecastInput[[#This Row],[Knowledge Retention in Class]]*0.3</f>
        <v>0.28773333333333334</v>
      </c>
      <c r="M21" s="89">
        <f>Table_ForecastInput[[#This Row],[Knowledge Retention Nesting]]*0.7</f>
        <v>0.52981848484848482</v>
      </c>
      <c r="N21" s="89">
        <f t="shared" ref="N21:N35" si="1">SUM(L21,M21)</f>
        <v>0.81755181818181821</v>
      </c>
    </row>
    <row r="22" spans="2:14" ht="21" customHeight="1">
      <c r="B22" s="13" t="s">
        <v>33</v>
      </c>
      <c r="C22" s="85">
        <f>'[13]Dashboard YTD'!$K$2</f>
        <v>0.822018382106947</v>
      </c>
      <c r="D22" s="85">
        <f>GETPIVOTDATA("Sum of Sum of Responses",'Survey Raw Data'!$A$1,"Select the name of your primary trainer for this course.","MariaSkubiszewska")/GETPIVOTDATA("Sum of Sum of User Score",'Survey Raw Data'!$A$1,"Select the name of your primary trainer for this course.","MariaSkubiszewska")</f>
        <v>1</v>
      </c>
      <c r="E22" s="85">
        <f>GETPIVOTDATA("Sum of Total",'Compliance Pivot Table'!$A$3,"Trainer Name","Maria Skubiszewska")/GETPIVOTDATA("Sum of Number of Agent Transition to Nesting",'Compliance Pivot Table'!$A$3,"Trainer Name","Maria Skubiszewska")</f>
        <v>1.2</v>
      </c>
      <c r="F22" s="37">
        <f>GETPIVOTDATA("Average of Test Avg",'Pivot Tables'!$A$1,"Trainer 1","Maria Skubiszewska")</f>
        <v>0.89197718253968239</v>
      </c>
      <c r="G22" s="37">
        <f>GETPIVOTDATA("Average of QA Avg",'Pivot Tables'!$A$1,"Trainer 1","Maria Skubiszewska")</f>
        <v>0.78706062610229288</v>
      </c>
      <c r="H22" s="14">
        <f>GETPIVOTDATA("Average of Attrition less Terms",'Pivot Tables'!$A$1,"Trainer 1","Maria Skubiszewska")</f>
        <v>5.7142857142857141E-2</v>
      </c>
      <c r="I22" s="14">
        <f>'Observation Metrics'!G14</f>
        <v>0.8</v>
      </c>
      <c r="J22" s="26"/>
      <c r="K22" s="26"/>
      <c r="L22" s="89">
        <f>Table_ForecastInput[[#This Row],[Knowledge Retention in Class]]*0.3</f>
        <v>0.26759315476190471</v>
      </c>
      <c r="M22" s="89">
        <f>Table_ForecastInput[[#This Row],[Knowledge Retention Nesting]]*0.7</f>
        <v>0.55094243827160494</v>
      </c>
      <c r="N22" s="89">
        <f t="shared" si="1"/>
        <v>0.81853559303350965</v>
      </c>
    </row>
    <row r="23" spans="2:14" ht="21" customHeight="1">
      <c r="B23" s="11" t="s">
        <v>34</v>
      </c>
      <c r="C23" s="85">
        <f>'[14]Dashboard YTD'!$K$2</f>
        <v>0.77797979797979799</v>
      </c>
      <c r="D23" s="85">
        <f>GETPIVOTDATA("Sum of Sum of Responses",'Survey Raw Data'!$A$1,"Select the name of your primary trainer for this course.","Nancy Price")/GETPIVOTDATA("Sum of Sum of User Score",'Survey Raw Data'!$A$1,"Select the name of your primary trainer for this course.","Nancy Price")</f>
        <v>0.95833333333333337</v>
      </c>
      <c r="E23" s="85">
        <f>GETPIVOTDATA("Sum of Total",'Compliance Pivot Table'!$A$3,"Trainer Name","Nancy Price")/GETPIVOTDATA("Sum of Number of Agent Transition to Nesting",'Compliance Pivot Table'!$A$3,"Trainer Name","Nancy Price")</f>
        <v>1</v>
      </c>
      <c r="F23" s="37">
        <f>GETPIVOTDATA("Average of Test Avg",'Pivot Tables'!$A$1,"Trainer 1","Nancy Price")</f>
        <v>0.84826370060468625</v>
      </c>
      <c r="G23" s="37">
        <f>GETPIVOTDATA("Average of QA Avg",'Pivot Tables'!$A$1,"Trainer 1","Nancy Price")</f>
        <v>0.62308382820882824</v>
      </c>
      <c r="H23" s="14">
        <f>GETPIVOTDATA("Average of Attrition less Terms",'Pivot Tables'!$A$1,"Trainer 1","Nancy Price")</f>
        <v>0.1226190476190476</v>
      </c>
      <c r="I23" s="14">
        <f>'Observation Metrics'!G15</f>
        <v>1.0320186312072721</v>
      </c>
      <c r="J23" s="26"/>
      <c r="K23" s="26"/>
      <c r="L23" s="89">
        <f>Table_ForecastInput[[#This Row],[Knowledge Retention in Class]]*0.3</f>
        <v>0.25447911018140584</v>
      </c>
      <c r="M23" s="89">
        <f>Table_ForecastInput[[#This Row],[Knowledge Retention Nesting]]*0.7</f>
        <v>0.43615867974617972</v>
      </c>
      <c r="N23" s="89">
        <f t="shared" si="1"/>
        <v>0.69063778992758551</v>
      </c>
    </row>
    <row r="24" spans="2:14" ht="21" customHeight="1">
      <c r="B24" s="11" t="s">
        <v>35</v>
      </c>
      <c r="C24" s="85">
        <f>'[15]Dashboard YTD'!$K$2</f>
        <v>0.86669351590817556</v>
      </c>
      <c r="D24" s="85">
        <f>GETPIVOTDATA("Sum of Sum of Responses",'Survey Raw Data'!$A$1,"Select the name of your primary trainer for this course.","Rowena Lasala")/GETPIVOTDATA("Sum of Sum of User Score",'Survey Raw Data'!$A$1,"Select the name of your primary trainer for this course.","Rowena Lasala")</f>
        <v>0.97916666666666663</v>
      </c>
      <c r="E24" s="85">
        <f>GETPIVOTDATA("Sum of Total",'Compliance Pivot Table'!$A$3,"Trainer Name","Rowena Lasala")/GETPIVOTDATA("Sum of Number of Agent Transition to Nesting",'Compliance Pivot Table'!$A$3,"Trainer Name","Rowena Lasala")</f>
        <v>1.0344827586206897</v>
      </c>
      <c r="F24" s="37">
        <f>GETPIVOTDATA("Average of Test Avg",'Pivot Tables'!$A$1,"Trainer 1","Rowena Lasala")</f>
        <v>0.8873315613275613</v>
      </c>
      <c r="G24" s="37">
        <f>GETPIVOTDATA("Average of QA Avg",'Pivot Tables'!$A$1,"Trainer 1","Rowena Lasala")</f>
        <v>0.7861934523809524</v>
      </c>
      <c r="H24" s="14">
        <f>GETPIVOTDATA("Average of Attrition Class",'Pivot Tables'!$A$1,"Trainer 1","Rowena Lasala")</f>
        <v>0.2308080808080808</v>
      </c>
      <c r="I24" s="14">
        <f>'Observation Metrics'!G16</f>
        <v>0.8045977011494253</v>
      </c>
      <c r="J24" s="26"/>
      <c r="K24" s="26"/>
      <c r="L24" s="89">
        <f>Table_ForecastInput[[#This Row],[Knowledge Retention in Class]]*0.3</f>
        <v>0.26619946839826836</v>
      </c>
      <c r="M24" s="89">
        <f>Table_ForecastInput[[#This Row],[Knowledge Retention Nesting]]*0.7</f>
        <v>0.55033541666666663</v>
      </c>
      <c r="N24" s="89">
        <f t="shared" si="1"/>
        <v>0.81653488506493499</v>
      </c>
    </row>
    <row r="25" spans="2:14" ht="21" customHeight="1">
      <c r="B25" s="11" t="s">
        <v>36</v>
      </c>
      <c r="C25" s="85">
        <f>'[16]Dashboard YTD'!$K$2</f>
        <v>0.88045522949586152</v>
      </c>
      <c r="D25" s="85">
        <f>GETPIVOTDATA("Sum of Sum of Responses",'Survey Raw Data'!$A$1,"Select the name of your primary trainer for this course.","Ruschel Bartolome")/GETPIVOTDATA("Sum of Sum of User Score",'Survey Raw Data'!$A$1,"Select the name of your primary trainer for this course.","Ruschel Bartolome")</f>
        <v>0.91025641025641024</v>
      </c>
      <c r="E25" s="85">
        <f>GETPIVOTDATA("Sum of Total",'Compliance Pivot Table'!$A$3,"Trainer Name","Ruschel Bartolome")/GETPIVOTDATA("Sum of Number of Agent Transition to Nesting",'Compliance Pivot Table'!$A$3,"Trainer Name","Ruschel Bartolome")</f>
        <v>0.55555555555555558</v>
      </c>
      <c r="F25" s="37">
        <f>GETPIVOTDATA("Average of Test Avg",'Pivot Tables'!$A$1,"Trainer 1","Ruschel Bartolome")</f>
        <v>0.92652525252525275</v>
      </c>
      <c r="G25" s="37">
        <f>GETPIVOTDATA("Average of QA Avg",'Pivot Tables'!$A$1,"Trainer 1","Ruschel Bartolome")</f>
        <v>0.84057367632367619</v>
      </c>
      <c r="H25" s="14">
        <f>GETPIVOTDATA("Average of Attrition Class",'Pivot Tables'!$A$1,"Trainer 1","Ruschel Bartolome")</f>
        <v>0.21590909090909091</v>
      </c>
      <c r="I25" s="14">
        <f>'Observation Metrics'!G17</f>
        <v>0.7655913978494624</v>
      </c>
      <c r="J25" s="26"/>
      <c r="K25" s="26"/>
      <c r="L25" s="89">
        <f>Table_ForecastInput[[#This Row],[Knowledge Retention in Class]]*0.3</f>
        <v>0.27795757575757579</v>
      </c>
      <c r="M25" s="89">
        <f>Table_ForecastInput[[#This Row],[Knowledge Retention Nesting]]*0.7</f>
        <v>0.58840157342657329</v>
      </c>
      <c r="N25" s="89">
        <f t="shared" si="1"/>
        <v>0.86635914918414914</v>
      </c>
    </row>
    <row r="26" spans="2:14" ht="21" customHeight="1">
      <c r="B26" s="11" t="s">
        <v>37</v>
      </c>
      <c r="C26" s="85">
        <f>'[17]Dashboard YTD'!$K$2</f>
        <v>0.8086053412462908</v>
      </c>
      <c r="D26" s="85">
        <f>GETPIVOTDATA("Sum of Sum of Responses",'Survey Raw Data'!$A$1,"Select the name of your primary trainer for this course.","Scott McDonald")/GETPIVOTDATA("Sum of Sum of User Score",'Survey Raw Data'!$A$1,"Select the name of your primary trainer for this course.","Scott McDonald")</f>
        <v>0.90666666666666662</v>
      </c>
      <c r="E26" s="85">
        <f>GETPIVOTDATA("Sum of Total",'Compliance Pivot Table'!$A$3,"Trainer Name","Scott McDonald")/GETPIVOTDATA("Sum of Number of Agent Transition to Nesting",'Compliance Pivot Table'!$A$3,"Trainer Name","Scott McDonald")</f>
        <v>0.72413793103448276</v>
      </c>
      <c r="F26" s="37">
        <f>GETPIVOTDATA("Average of Test Avg",'Pivot Tables'!$A$1,"Trainer 1","Scott McDonald")</f>
        <v>0.82765256944444432</v>
      </c>
      <c r="G26" s="37">
        <f>GETPIVOTDATA("Average of QA Avg",'Pivot Tables'!$A$1,"Trainer 1","Siya Nugent")</f>
        <v>0.4677900432900432</v>
      </c>
      <c r="H26" s="14">
        <f>GETPIVOTDATA("Average of Attrition Class",'Pivot Tables'!$A$1,"Trainer 1","Scott McDonald")</f>
        <v>0.25786713286713286</v>
      </c>
      <c r="I26" s="14" t="str">
        <f>'Observation Metrics'!G19</f>
        <v>NEW LOB</v>
      </c>
      <c r="J26" s="26"/>
      <c r="K26" s="26"/>
      <c r="L26" s="89">
        <f>Table_ForecastInput[[#This Row],[Knowledge Retention in Class]]*0.3</f>
        <v>0.24829577083333329</v>
      </c>
      <c r="M26" s="89">
        <f>Table_ForecastInput[[#This Row],[Knowledge Retention Nesting]]*0.7</f>
        <v>0.32745303030303025</v>
      </c>
      <c r="N26" s="89">
        <f t="shared" si="1"/>
        <v>0.57574880113636351</v>
      </c>
    </row>
    <row r="27" spans="2:14" ht="21" customHeight="1">
      <c r="B27" s="13" t="s">
        <v>38</v>
      </c>
      <c r="C27" s="85">
        <f>'[18]Dashboard YTD'!$K$2</f>
        <v>0.80151040182388145</v>
      </c>
      <c r="D27" s="85">
        <f>GETPIVOTDATA("Sum of Sum of Responses",'Survey Raw Data'!$A$1,"Select the name of your primary trainer for this course.","Siya Nugent")/GETPIVOTDATA("Sum of Sum of User Score",'Survey Raw Data'!$A$1,"Select the name of your primary trainer for this course.","Siya Nugent")</f>
        <v>0.88888888888888884</v>
      </c>
      <c r="E27" s="85">
        <f>GETPIVOTDATA("Sum of Total",'Compliance Pivot Table'!$A$3,"Trainer Name","Siya Nugent")/GETPIVOTDATA("Sum of Number of Agent Transition to Nesting",'Compliance Pivot Table'!$A$3,"Trainer Name","Siya Nugent")</f>
        <v>0.3</v>
      </c>
      <c r="F27" s="37">
        <f>GETPIVOTDATA("Average of Test Avg",'Pivot Tables'!$A$1,"Trainer 1","Siya Nugent")</f>
        <v>0.87585761904761905</v>
      </c>
      <c r="G27" s="37">
        <f>GETPIVOTDATA("Average of QA Avg",'Pivot Tables'!$A$1,"Trainer 1","Scott McDonald")</f>
        <v>0.78231209415584413</v>
      </c>
      <c r="H27" s="14">
        <f>GETPIVOTDATA("Average of Attrition less Terms",'Pivot Tables'!$A$1,"Trainer 1","Siya Nugent")</f>
        <v>0.21928896976850942</v>
      </c>
      <c r="I27" s="14">
        <f>'Observation Metrics'!G20</f>
        <v>0.8086021505376344</v>
      </c>
      <c r="J27" s="26"/>
      <c r="K27" s="26"/>
      <c r="L27" s="89">
        <f>Table_ForecastInput[[#This Row],[Knowledge Retention in Class]]*0.3</f>
        <v>0.26275728571428569</v>
      </c>
      <c r="M27" s="89">
        <f>Table_ForecastInput[[#This Row],[Knowledge Retention Nesting]]*0.7</f>
        <v>0.5476184659090908</v>
      </c>
      <c r="N27" s="89">
        <f t="shared" si="1"/>
        <v>0.81037575162337649</v>
      </c>
    </row>
    <row r="28" spans="2:14" ht="21" customHeight="1">
      <c r="B28" s="13" t="s">
        <v>39</v>
      </c>
      <c r="C28" s="85">
        <f>'[19]Dashboard YTD'!$K$2</f>
        <v>0.86747787610619465</v>
      </c>
      <c r="D28" s="85">
        <f>GETPIVOTDATA("Sum of Sum of Responses",'Survey Raw Data'!$A$1,"Select the name of your primary trainer for this course.","Sneha Menda")/GETPIVOTDATA("Sum of Sum of User Score",'Survey Raw Data'!$A$1,"Select the name of your primary trainer for this course.","Sneha Menda")</f>
        <v>0.94202898550724634</v>
      </c>
      <c r="E28" s="85">
        <f>GETPIVOTDATA("Sum of Total",'Compliance Pivot Table'!$A$3,"Trainer Name","Sneha Menda")/GETPIVOTDATA("Sum of Number of Agent Transition to Nesting",'Compliance Pivot Table'!$A$3,"Trainer Name","Sneha Menda")</f>
        <v>1</v>
      </c>
      <c r="F28" s="37">
        <f>GETPIVOTDATA("Average of Test Avg",'Pivot Tables'!$A$1,"Trainer 1","Sneha Menda")</f>
        <v>0.88942603641456586</v>
      </c>
      <c r="G28" s="37">
        <f>GETPIVOTDATA("Average of QA Avg",'Pivot Tables'!$A$1,"Trainer 1","Sneha Menda")</f>
        <v>0.70198954274891778</v>
      </c>
      <c r="H28" s="14">
        <f>GETPIVOTDATA("Average of Attrition less Terms",'Pivot Tables'!$A$1,"Trainer 1","Sneha Menda")</f>
        <v>0.16282051282051282</v>
      </c>
      <c r="I28" s="14" t="str">
        <f>'Observation Metrics'!G21</f>
        <v>LOA</v>
      </c>
      <c r="J28" s="26"/>
      <c r="K28" s="26"/>
      <c r="L28" s="89">
        <f>Table_ForecastInput[[#This Row],[Knowledge Retention in Class]]*0.3</f>
        <v>0.26682781092436975</v>
      </c>
      <c r="M28" s="89">
        <f>Table_ForecastInput[[#This Row],[Knowledge Retention Nesting]]*0.7</f>
        <v>0.4913926799242424</v>
      </c>
      <c r="N28" s="89">
        <f t="shared" si="1"/>
        <v>0.75822049084861209</v>
      </c>
    </row>
    <row r="29" spans="2:14" ht="21" customHeight="1">
      <c r="B29" s="15" t="s">
        <v>40</v>
      </c>
      <c r="C29" s="85">
        <f>'[20]Dashboard YTD'!$K$2</f>
        <v>0.99096249435155892</v>
      </c>
      <c r="D29" s="85">
        <f>GETPIVOTDATA("Sum of Sum of Responses",'Survey Raw Data'!$A$1,"Select the name of your primary trainer for this course.","Stephany Chavez")/GETPIVOTDATA("Sum of Sum of User Score",'Survey Raw Data'!$A$1,"Select the name of your primary trainer for this course.","Stephany Chavez")</f>
        <v>0.875</v>
      </c>
      <c r="E29" s="85">
        <f>GETPIVOTDATA("Sum of Total",'Compliance Pivot Table'!$A$3,"Trainer Name","Stephany Chavez")/GETPIVOTDATA("Sum of Number of Agent Transition to Nesting",'Compliance Pivot Table'!$A$3,"Trainer Name","Stephany Chavez")</f>
        <v>0</v>
      </c>
      <c r="F29" s="37">
        <f>GETPIVOTDATA("Average of Test Avg",'Pivot Tables'!$A$1,"Trainer 1","Stephany Chavez")</f>
        <v>0.87624999999999986</v>
      </c>
      <c r="G29" s="37">
        <f>GETPIVOTDATA("Average of QA Avg",'Pivot Tables'!$A$1,"Trainer 1","Stephany Chavez")</f>
        <v>0.81518939393939394</v>
      </c>
      <c r="H29" s="14">
        <f>GETPIVOTDATA("Average of Attrition less Terms",'Pivot Tables'!$A$1,"Trainer 1","Stephany Chavez")</f>
        <v>0.1045673076923077</v>
      </c>
      <c r="I29" s="14" t="e">
        <f>'Observation Metrics'!G22</f>
        <v>#DIV/0!</v>
      </c>
      <c r="J29" s="26"/>
      <c r="K29" s="26"/>
      <c r="L29" s="89">
        <f>Table_ForecastInput[[#This Row],[Knowledge Retention in Class]]*0.3</f>
        <v>0.26287499999999997</v>
      </c>
      <c r="M29" s="89">
        <f>Table_ForecastInput[[#This Row],[Knowledge Retention Nesting]]*0.7</f>
        <v>0.57063257575757576</v>
      </c>
      <c r="N29" s="89">
        <f t="shared" si="1"/>
        <v>0.83350757575757572</v>
      </c>
    </row>
    <row r="30" spans="2:14" ht="21" customHeight="1">
      <c r="B30" s="13" t="s">
        <v>41</v>
      </c>
      <c r="C30" s="85">
        <f>'[21]Dashboard YTD'!$K$2</f>
        <v>0.90588235294117647</v>
      </c>
      <c r="D30" s="85">
        <f>GETPIVOTDATA("Sum of Sum of Responses",'Survey Raw Data'!$A$1,"Select the name of your primary trainer for this course.","Tom Tse")/GETPIVOTDATA("Sum of Sum of User Score",'Survey Raw Data'!$A$1,"Select the name of your primary trainer for this course.","Tom Tse")</f>
        <v>1</v>
      </c>
      <c r="E30" s="85">
        <f>GETPIVOTDATA("Sum of Total",'Compliance Pivot Table'!$A$3,"Trainer Name","Tom Tse")/GETPIVOTDATA("Sum of Number of Agent Transition to Nesting",'Compliance Pivot Table'!$A$3,"Trainer Name","Tom Tse")</f>
        <v>1</v>
      </c>
      <c r="F30" s="37">
        <f>GETPIVOTDATA("Average of Test Avg",'Pivot Tables'!$A$1,"Trainer 1","Tom Tse")</f>
        <v>0.8199541309523809</v>
      </c>
      <c r="G30" s="37">
        <f>GETPIVOTDATA("Average of QA Avg",'Pivot Tables'!$A$1,"Trainer 1","Tom Tse")</f>
        <v>0.69426124338624329</v>
      </c>
      <c r="H30" s="14">
        <f>GETPIVOTDATA("Average of Attrition less Terms",'Pivot Tables'!$A$1,"Trainer 1","Tom Tse")</f>
        <v>0.16452991452991453</v>
      </c>
      <c r="I30" s="14" t="str">
        <f>'Observation Metrics'!G23</f>
        <v>NEW LOB</v>
      </c>
      <c r="J30" s="26"/>
      <c r="K30" s="26"/>
      <c r="L30" s="89">
        <f>Table_ForecastInput[[#This Row],[Knowledge Retention in Class]]*0.3</f>
        <v>0.24598623928571425</v>
      </c>
      <c r="M30" s="89">
        <f>Table_ForecastInput[[#This Row],[Knowledge Retention Nesting]]*0.7</f>
        <v>0.48598287037037025</v>
      </c>
      <c r="N30" s="89">
        <f t="shared" si="1"/>
        <v>0.73196910965608453</v>
      </c>
    </row>
    <row r="31" spans="2:14" ht="21" customHeight="1">
      <c r="B31" s="83" t="s">
        <v>42</v>
      </c>
      <c r="C31" s="85">
        <f>'[22]Dashboard YTD'!$K$2</f>
        <v>0</v>
      </c>
      <c r="D31" s="85" t="e">
        <f>GETPIVOTDATA("Sum of Sum of Responses",'Survey Raw Data'!$A$1,"Select the name of your primary trainer for this course.","Vera Hibaya")/GETPIVOTDATA("Sum of Sum of User Score",'Survey Raw Data'!$A$1,"Select the name of your primary trainer for this course.","Vera Hibaya")</f>
        <v>#REF!</v>
      </c>
      <c r="E31" s="85" t="e">
        <f>GETPIVOTDATA("Sum of Total",'Compliance Pivot Table'!$A$3,"Trainer Name","Vera Hibaya")/GETPIVOTDATA("Sum of Number of Agent Transition to Nesting",'Compliance Pivot Table'!$A$3,"Trainer Name","Vera Hibaya")</f>
        <v>#REF!</v>
      </c>
      <c r="F31" s="37" t="e">
        <f>GETPIVOTDATA("Average of Test Avg",'Pivot Tables'!$A$1,"Trainer 1","Vera Hibaya")</f>
        <v>#REF!</v>
      </c>
      <c r="G31" s="85" t="e">
        <f>GETPIVOTDATA("Average of QA Avg",'Pivot Tables'!$A$1,"Trainer 1","Vera Hibaya")</f>
        <v>#REF!</v>
      </c>
      <c r="H31" s="14" t="e">
        <f>GETPIVOTDATA("Average of Attrition less Terms",'Pivot Tables'!$A$1,"Trainer 1","Vera Hibaya")</f>
        <v>#REF!</v>
      </c>
      <c r="I31" s="14">
        <f>'Observation Metrics'!G27</f>
        <v>0.70123456790123462</v>
      </c>
      <c r="J31" s="26"/>
      <c r="K31" s="26"/>
      <c r="L31" s="89"/>
      <c r="M31" s="89"/>
      <c r="N31" s="89"/>
    </row>
    <row r="32" spans="2:14" ht="21" customHeight="1">
      <c r="B32" s="83" t="s">
        <v>43</v>
      </c>
      <c r="C32" s="85">
        <f>'[23]Dashboard YTD'!$K$2</f>
        <v>0.72151898734177211</v>
      </c>
      <c r="D32" s="85" t="e">
        <f>GETPIVOTDATA("Sum of Sum of Responses",'Survey Raw Data'!$A$1,"Select the name of your primary trainer for this course.","Vhea De Fiesta")/GETPIVOTDATA("Sum of Sum of User Score",'Survey Raw Data'!$A$1,"Select the name of your primary trainer for this course.","Vhea De Fiesta")</f>
        <v>#REF!</v>
      </c>
      <c r="E32" s="85" t="e">
        <f>GETPIVOTDATA("Sum of Total",'Compliance Pivot Table'!$A$3,"Trainer Name","Vhea De Fiesta")/GETPIVOTDATA("Sum of Number of Agent Transition to Nesting",'Compliance Pivot Table'!$A$3,"Trainer Name","Vhea De Fiesta")</f>
        <v>#REF!</v>
      </c>
      <c r="F32" s="103" t="e">
        <f>GETPIVOTDATA("Average of Test Avg",'Pivot Tables'!$A$1,"Trainer 1","Vhea De Fiesta")</f>
        <v>#REF!</v>
      </c>
      <c r="G32" s="85" t="e">
        <f>GETPIVOTDATA("Average of QA Avg",'Pivot Tables'!$A$1,"Trainer 1","Vhea De Fiesta")</f>
        <v>#REF!</v>
      </c>
      <c r="H32" s="14" t="e">
        <f>GETPIVOTDATA("Average of Attrition less Terms",'Pivot Tables'!$A$1,"Trainer 1","Vhea De Fiest")</f>
        <v>#REF!</v>
      </c>
      <c r="I32" s="14" t="e">
        <f>'Observation Metrics'!G28</f>
        <v>#DIV/0!</v>
      </c>
      <c r="J32" s="26"/>
      <c r="K32" s="26"/>
      <c r="L32" s="89"/>
      <c r="M32" s="89"/>
      <c r="N32" s="89"/>
    </row>
    <row r="33" spans="2:14" ht="21" customHeight="1">
      <c r="B33" s="83" t="s">
        <v>44</v>
      </c>
      <c r="C33" s="85">
        <f>'[24]Dashboard YTD'!$K$2</f>
        <v>0.96386554621848741</v>
      </c>
      <c r="D33" s="85">
        <f>GETPIVOTDATA("Sum of Sum of Responses",'Survey Raw Data'!$A$1,"Select the name of your primary trainer for this course.","Viena Lacena")/GETPIVOTDATA("Sum of Sum of User Score",'Survey Raw Data'!$A$1,"Select the name of your primary trainer for this course.","Viena Lacena")</f>
        <v>0.9</v>
      </c>
      <c r="E33" s="85">
        <f>GETPIVOTDATA("Sum of Total",'Compliance Pivot Table'!$A$3,"Trainer Name","Viena Lacena")/GETPIVOTDATA("Sum of Number of Agent Transition to Nesting",'Compliance Pivot Table'!$A$3,"Trainer Name","Viena Lacena")</f>
        <v>1</v>
      </c>
      <c r="F33" s="37">
        <f>GETPIVOTDATA("Average of Test Avg",'Pivot Tables'!$A$1,"Trainer 1","Viena Lacena")</f>
        <v>0.44696969696969707</v>
      </c>
      <c r="G33" s="37">
        <f>GETPIVOTDATA("Average of QA Avg",'Pivot Tables'!$A$1,"Trainer 1","Viena Lacena")</f>
        <v>0.78309892884892873</v>
      </c>
      <c r="H33" s="14">
        <f>GETPIVOTDATA("Average of Attrition less Terms",'Pivot Tables'!$A$1,"Trainer 1","Viena Lacena")</f>
        <v>0.13636363636363635</v>
      </c>
      <c r="I33" s="14">
        <f>'Observation Metrics'!G26</f>
        <v>0.81720430107526887</v>
      </c>
      <c r="J33" s="26"/>
      <c r="K33" s="26"/>
      <c r="L33" s="89">
        <f>Table_ForecastInput[[#This Row],[Knowledge Retention in Class]]*0.3</f>
        <v>0.13409090909090912</v>
      </c>
      <c r="M33" s="89">
        <f>Table_ForecastInput[[#This Row],[Knowledge Retention Nesting]]*0.7</f>
        <v>0.54816925019425011</v>
      </c>
      <c r="N33" s="89">
        <f t="shared" si="1"/>
        <v>0.68226015928515926</v>
      </c>
    </row>
    <row r="34" spans="2:14" ht="21" customHeight="1">
      <c r="B34" s="16" t="s">
        <v>45</v>
      </c>
      <c r="C34" s="87">
        <f>'[25]Dashboard YTD'!$K$2</f>
        <v>0.90175670186839985</v>
      </c>
      <c r="D34" s="87">
        <f>GETPIVOTDATA("Sum of Sum of Responses",'Survey Raw Data'!$A$1,"Select the name of your primary trainer for this course.","Ankit Vishnoi")/GETPIVOTDATA("Sum of Sum of User Score",'Survey Raw Data'!$A$1,"Select the name of your primary trainer for this course.","Ankit Vishnoi")</f>
        <v>0.90740740740740744</v>
      </c>
      <c r="E34" s="85" t="e">
        <f>GETPIVOTDATA("Sum of Total",'Compliance Pivot Table'!$A$3,"Trainer Name","Ankit Vishnoi")/GETPIVOTDATA("Sum of Number of Agent Transition to Nesting",'Compliance Pivot Table'!$A$3,"Trainer Name","Ankit Vishnoi")</f>
        <v>#REF!</v>
      </c>
      <c r="F34" s="44">
        <f>GETPIVOTDATA("Average of Test Avg",'Pivot Tables'!$A$1,"Trainer 1","Ankit Vishnoi")</f>
        <v>0.97057465794622033</v>
      </c>
      <c r="G34" s="44">
        <f>GETPIVOTDATA("Average of QA Avg",'Pivot Tables'!$A$1,"Trainer 1","Ankit Vishnoi")</f>
        <v>0.86337152777777781</v>
      </c>
      <c r="H34" s="14">
        <f>GETPIVOTDATA("Average of Attrition less Terms",'Pivot Tables'!$A$1,"Trainer 1","Ankit Vishnoi")</f>
        <v>0.5</v>
      </c>
      <c r="I34" s="17">
        <f>'Observation Metrics'!G27</f>
        <v>0.70123456790123462</v>
      </c>
      <c r="J34" s="26"/>
      <c r="K34" s="26"/>
      <c r="L34" s="89"/>
      <c r="M34" s="89"/>
      <c r="N34" s="89"/>
    </row>
    <row r="35" spans="2:14" ht="21" customHeight="1">
      <c r="B35" s="18" t="s">
        <v>46</v>
      </c>
      <c r="C35" s="87">
        <f>'[26]Dashboard YTD'!$K$2</f>
        <v>0.76388888888888884</v>
      </c>
      <c r="D35" s="87"/>
      <c r="E35" s="87" t="e">
        <f>GETPIVOTDATA("Sum of Total",'Compliance Pivot Table'!$A$3,"Trainer Name","Chantelle Thomas")/GETPIVOTDATA("Sum of Number of Agent Transition to Nesting",'Compliance Pivot Table'!$A$3,"Trainer Name","Chantelle Thomas")</f>
        <v>#REF!</v>
      </c>
      <c r="F35" s="44">
        <f>GETPIVOTDATA("Average of Test Avg",'Pivot Tables'!$A$1,"Trainer 1","Ankit Vishnoi")</f>
        <v>0.97057465794622033</v>
      </c>
      <c r="G35" s="44" t="e">
        <f>GETPIVOTDATA("Average of QA Avg",'Pivot Tables'!$A$1,"Trainer 1","Chantelle Thomas")</f>
        <v>#REF!</v>
      </c>
      <c r="H35" s="14" t="e">
        <f>GETPIVOTDATA("Average of Attrition less Terms",'Pivot Tables'!$A$1,"Trainer 1","Chantelle Thomas")</f>
        <v>#REF!</v>
      </c>
      <c r="I35" s="17" t="e">
        <f>'Observation Metrics'!G28</f>
        <v>#DIV/0!</v>
      </c>
      <c r="J35" s="26"/>
      <c r="K35" s="26"/>
      <c r="L35" s="89">
        <f>Table_ForecastInput[[#This Row],[Knowledge Retention in Class]]*0.3</f>
        <v>0.29117239738386608</v>
      </c>
      <c r="M35" s="89"/>
      <c r="N35" s="89">
        <f t="shared" si="1"/>
        <v>0.29117239738386608</v>
      </c>
    </row>
    <row r="36" spans="2:14" ht="21" customHeight="1">
      <c r="B36" s="19" t="s">
        <v>47</v>
      </c>
      <c r="C36" s="87">
        <f>'[27]Dashboard YTD'!$K$2</f>
        <v>0.82905807732136694</v>
      </c>
      <c r="D36" s="87">
        <f>GETPIVOTDATA("Sum of Sum of Responses",'Survey Raw Data'!$A$1,"Select the name of your primary trainer for this course.","Hira Umair")/GETPIVOTDATA("Sum of Sum of User Score",'Survey Raw Data'!$A$1,"Select the name of your primary trainer for this course.","Hira Umair")</f>
        <v>0.95634920634920639</v>
      </c>
      <c r="E36" s="87">
        <f>GETPIVOTDATA("Sum of Total",'Compliance Pivot Table'!$A$3,"Trainer Name","Hira Umair")/GETPIVOTDATA("Sum of Number of Agent Transition to Nesting",'Compliance Pivot Table'!$A$3,"Trainer Name","Hira Umair")</f>
        <v>1</v>
      </c>
      <c r="F36" s="44">
        <f>GETPIVOTDATA("Average of Test Avg",'Pivot Tables'!$A$1,"Trainer 1","Hira Umair")</f>
        <v>0.88304929220085482</v>
      </c>
      <c r="G36" s="44">
        <f>GETPIVOTDATA("Average of QA Avg",'Pivot Tables'!$A$1,"Trainer 1","Hira Umair")</f>
        <v>0.72890376984126981</v>
      </c>
      <c r="H36" s="14">
        <f>GETPIVOTDATA("Average of Attrition less Terms",'Pivot Tables'!$A$1,"Trainer 1","Hira Umair")</f>
        <v>0.17457542457542458</v>
      </c>
      <c r="I36" s="17" t="e">
        <f>'Observation Metrics'!G29</f>
        <v>#DIV/0!</v>
      </c>
      <c r="J36" s="26"/>
      <c r="K36" s="26"/>
      <c r="L36" s="26"/>
      <c r="M36" s="26"/>
      <c r="N36" s="26"/>
    </row>
    <row r="37" spans="2:14" ht="21" customHeight="1">
      <c r="B37" s="16" t="s">
        <v>48</v>
      </c>
      <c r="C37" s="87">
        <f>'[28]Dashboard YTD'!$K$2</f>
        <v>0.90764727804895773</v>
      </c>
      <c r="D37" s="87">
        <f>GETPIVOTDATA("Sum of Sum of Responses",'Survey Raw Data'!$A$1,"Select the name of your primary trainer for this course.","Mahalakshmi Ramasubramanian")/GETPIVOTDATA("Sum of Sum of User Score",'Survey Raw Data'!$A$1,"Select the name of your primary trainer for this course.","Mahalakshmi Ramasubramanian")</f>
        <v>0.96031746031746035</v>
      </c>
      <c r="E37" s="87" t="e">
        <f>GETPIVOTDATA("Sum of Total",'Compliance Pivot Table'!$A$3,"Trainer Name","Mahalakshmi Ramasubramanian")/GETPIVOTDATA("Sum of Number of Agent Transition to Nesting",'Compliance Pivot Table'!$A$3,"Trainer Name","Mahalakshmi Ramasubramanian")</f>
        <v>#REF!</v>
      </c>
      <c r="F37" s="44">
        <f>GETPIVOTDATA("Average of Test Avg",'Pivot Tables'!$A$1,"Trainer 1","Mahalakshmi Ramasubramanian")</f>
        <v>0.95435089900030523</v>
      </c>
      <c r="G37" s="44">
        <f>GETPIVOTDATA("Average of QA Avg",'Pivot Tables'!$A$1,"Trainer 1","Mahalakshmi Ramasubramanian")</f>
        <v>0.80365252976190471</v>
      </c>
      <c r="H37" s="14">
        <f>GETPIVOTDATA("Average of Attrition less Terms",'Pivot Tables'!$A$1,"Trainer 1","Mahalakshmi Ramasubramanian")</f>
        <v>0.5</v>
      </c>
      <c r="I37" s="17" t="e">
        <f>'Observation Metrics'!G30</f>
        <v>#DIV/0!</v>
      </c>
      <c r="J37" s="26"/>
      <c r="K37" s="26"/>
      <c r="L37" s="26"/>
      <c r="M37" s="26"/>
      <c r="N37" s="26"/>
    </row>
    <row r="38" spans="2:14" ht="21" customHeight="1">
      <c r="B38" s="67" t="s">
        <v>49</v>
      </c>
      <c r="C38" s="84" t="s">
        <v>29</v>
      </c>
      <c r="D38" s="84" t="s">
        <v>29</v>
      </c>
      <c r="E38" s="84" t="s">
        <v>29</v>
      </c>
      <c r="F38" s="68" t="s">
        <v>29</v>
      </c>
      <c r="G38" s="69" t="s">
        <v>29</v>
      </c>
      <c r="H38" s="70" t="s">
        <v>29</v>
      </c>
      <c r="I38" s="70" t="str">
        <f>'Observation Metrics'!G31</f>
        <v>NLE</v>
      </c>
      <c r="J38" s="26"/>
      <c r="K38" s="26"/>
      <c r="L38" s="26"/>
      <c r="M38" s="26"/>
      <c r="N38" s="26"/>
    </row>
    <row r="39" spans="2:14" ht="21" customHeight="1">
      <c r="B39" s="18" t="s">
        <v>50</v>
      </c>
      <c r="C39" s="87">
        <f>'[29]Dashboard YTD'!$K$2</f>
        <v>0.91800000000000004</v>
      </c>
      <c r="D39" s="87">
        <f>GETPIVOTDATA("Sum of Sum of Responses",'Survey Raw Data'!$A$1,"Select the name of your primary trainer for this course.","Debbie Anthony")/GETPIVOTDATA("Sum of Sum of User Score",'Survey Raw Data'!$A$1,"Select the name of your primary trainer for this course.","Debbie Anthony")</f>
        <v>0.83333333333333337</v>
      </c>
      <c r="E39" s="87">
        <f>GETPIVOTDATA("Sum of Total",'Compliance Pivot Table'!$A$3,"Trainer Name","Debbie Anthony")/GETPIVOTDATA("Sum of Number of Agent Transition to Nesting",'Compliance Pivot Table'!$A$3,"Trainer Name","Debbie Anthony")</f>
        <v>1.1333333333333333</v>
      </c>
      <c r="F39" s="17">
        <f>GETPIVOTDATA("Average of Test Avg",'Pivot Tables'!$A$1,"Trainer 1","Debbie Anthony")</f>
        <v>0.95327698412698414</v>
      </c>
      <c r="G39" s="17">
        <f>GETPIVOTDATA("Average of QA Avg",'Pivot Tables'!$A$1,"Trainer 1","Debbie Anthony")</f>
        <v>0.79757722222222227</v>
      </c>
      <c r="H39" s="17">
        <f>GETPIVOTDATA("Average of Attrition less Terms",'Pivot Tables'!$A$1,"Trainer 1","Debbie Anthony")</f>
        <v>0.19444444444444442</v>
      </c>
      <c r="I39" s="17">
        <f>'Observation Metrics'!G32</f>
        <v>0.70537634408602146</v>
      </c>
      <c r="J39" s="26"/>
      <c r="K39" s="26"/>
      <c r="L39" s="26"/>
      <c r="M39" s="26"/>
      <c r="N39" s="26"/>
    </row>
  </sheetData>
  <mergeCells count="1">
    <mergeCell ref="F6:G6"/>
  </mergeCells>
  <dataValidations count="2">
    <dataValidation allowBlank="1" showInputMessage="1" showErrorMessage="1" promptTitle="Sales Forecast Template" prompt="_x000a_Enter your Company Name in cell B3._x000a__x000a_Clear the table below and enter your own Forecast Input data. To manage the available options for the dropdowns, go to Lists Tab._x000a__x000a_" sqref="A1" xr:uid="{00000000-0002-0000-0000-000004000000}"/>
    <dataValidation allowBlank="1" showInputMessage="1" showErrorMessage="1" prompt="Enter your Company Name" sqref="B3" xr:uid="{00000000-0002-0000-0000-000005000000}"/>
  </dataValidations>
  <printOptions horizontalCentered="1"/>
  <pageMargins left="0.5" right="0.5" top="0.5" bottom="0.5" header="0.3" footer="0.3"/>
  <pageSetup scale="77" fitToHeight="0" orientation="landscape" r:id="rId1"/>
  <ignoredErrors>
    <ignoredError sqref="D33 H16:H17 H11:H13" calculatedColumn="1"/>
  </ignoredErrors>
  <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DA5D4-05F0-4624-B80E-3ACA88080EE2}">
  <sheetPr filterMode="1"/>
  <dimension ref="A1:J332"/>
  <sheetViews>
    <sheetView workbookViewId="0">
      <pane ySplit="1" topLeftCell="A18" activePane="bottomLeft" state="frozen"/>
      <selection pane="bottomLeft" activeCell="D1" sqref="D1"/>
    </sheetView>
  </sheetViews>
  <sheetFormatPr defaultRowHeight="15.75"/>
  <cols>
    <col min="1" max="2" width="9.109375" customWidth="1"/>
    <col min="3" max="3" width="24.6640625" customWidth="1"/>
    <col min="4" max="4" width="23.44140625" customWidth="1"/>
    <col min="5" max="5" width="11.5546875" customWidth="1"/>
    <col min="7" max="7" width="11.5546875" customWidth="1"/>
    <col min="12" max="12" width="24.6640625" bestFit="1" customWidth="1"/>
    <col min="13" max="13" width="16.21875" bestFit="1" customWidth="1"/>
  </cols>
  <sheetData>
    <row r="1" spans="1:10" ht="31.5">
      <c r="A1" s="10" t="s">
        <v>51</v>
      </c>
      <c r="B1" s="10" t="s">
        <v>52</v>
      </c>
      <c r="C1" s="10" t="s">
        <v>53</v>
      </c>
      <c r="D1" s="10" t="s">
        <v>54</v>
      </c>
      <c r="E1" s="20" t="s">
        <v>55</v>
      </c>
      <c r="F1" s="20" t="s">
        <v>56</v>
      </c>
      <c r="G1" s="25" t="s">
        <v>57</v>
      </c>
      <c r="H1" s="25" t="s">
        <v>58</v>
      </c>
      <c r="I1" s="42" t="s">
        <v>59</v>
      </c>
      <c r="J1" s="41" t="s">
        <v>60</v>
      </c>
    </row>
    <row r="2" spans="1:10">
      <c r="A2" s="20">
        <v>20</v>
      </c>
      <c r="B2" s="10" t="s">
        <v>61</v>
      </c>
      <c r="C2" s="10" t="s">
        <v>62</v>
      </c>
      <c r="D2" s="10"/>
      <c r="E2" s="75">
        <f>[30]Performance!$AI$45</f>
        <v>0.87778176470588232</v>
      </c>
      <c r="F2" s="75">
        <f>'[30]PCB Nesting QA'!$L$44</f>
        <v>0.52968750000000009</v>
      </c>
      <c r="G2" s="76">
        <f>'[30]Class Summary'!$E$21</f>
        <v>0.11764705882352941</v>
      </c>
      <c r="H2" s="76">
        <f>'[30]Class Summary'!$I$21</f>
        <v>0.2</v>
      </c>
      <c r="I2" s="76">
        <f>'[31]GradRates - Tier 1'!$S$138</f>
        <v>0.30769230769230771</v>
      </c>
    </row>
    <row r="3" spans="1:10" hidden="1">
      <c r="A3" s="20">
        <v>20</v>
      </c>
      <c r="B3" s="10" t="s">
        <v>61</v>
      </c>
      <c r="C3" s="10" t="s">
        <v>26</v>
      </c>
      <c r="D3" s="10"/>
      <c r="E3" s="75">
        <f>[30]Performance!$AI$45</f>
        <v>0.87778176470588232</v>
      </c>
      <c r="F3" s="75">
        <f>'[30]PCB Nesting QA'!$L$44</f>
        <v>0.52968750000000009</v>
      </c>
      <c r="G3" s="76">
        <f>'[30]Class Summary'!$E$21</f>
        <v>0.11764705882352941</v>
      </c>
      <c r="H3" s="76">
        <f>'[30]Class Summary'!$I$21</f>
        <v>0.2</v>
      </c>
      <c r="I3" s="76">
        <f>'[31]GradRates - Tier 1'!$S$138</f>
        <v>0.30769230769230771</v>
      </c>
    </row>
    <row r="4" spans="1:10" hidden="1">
      <c r="A4" s="20">
        <v>21</v>
      </c>
      <c r="B4" s="10" t="s">
        <v>63</v>
      </c>
      <c r="C4" s="10" t="s">
        <v>32</v>
      </c>
      <c r="D4" s="10"/>
      <c r="E4" s="75"/>
      <c r="F4" s="75">
        <f>'[32]PCB Nesting QA'!$H24</f>
        <v>0.75333333333333319</v>
      </c>
      <c r="G4" s="76">
        <f>'[32]Class Summary'!$E$21</f>
        <v>0</v>
      </c>
      <c r="H4" s="76">
        <f>'[32]Class Summary'!$I$21</f>
        <v>0</v>
      </c>
      <c r="I4" s="76">
        <f>'[31]GradRates - RSA'!$S$122</f>
        <v>0</v>
      </c>
      <c r="J4" s="23">
        <f>'[31]GradRates - RSA'!$L$25</f>
        <v>0.9375</v>
      </c>
    </row>
    <row r="5" spans="1:10" hidden="1">
      <c r="A5" s="20">
        <v>21</v>
      </c>
      <c r="B5" s="10" t="s">
        <v>63</v>
      </c>
      <c r="C5" s="10" t="s">
        <v>20</v>
      </c>
      <c r="D5" s="10"/>
      <c r="E5" s="75"/>
      <c r="F5" s="75">
        <f>'[32]PCB Nesting QA'!$H24</f>
        <v>0.75333333333333319</v>
      </c>
      <c r="G5" s="76">
        <f>'[32]Class Summary'!$E$21</f>
        <v>0</v>
      </c>
      <c r="H5" s="76">
        <f>'[32]Class Summary'!$I$21</f>
        <v>0</v>
      </c>
      <c r="I5" s="76">
        <f>'[31]GradRates - RSA'!$S$122</f>
        <v>0</v>
      </c>
      <c r="J5" s="23">
        <f>'[31]GradRates - RSA'!$L$25</f>
        <v>0.9375</v>
      </c>
    </row>
    <row r="6" spans="1:10" hidden="1">
      <c r="A6" s="20">
        <v>22</v>
      </c>
      <c r="B6" s="10" t="s">
        <v>61</v>
      </c>
      <c r="C6" s="10" t="s">
        <v>22</v>
      </c>
      <c r="D6" s="10"/>
      <c r="E6" s="75">
        <f>[33]Performance!$AI$45</f>
        <v>0.83844769230769223</v>
      </c>
      <c r="F6" s="75">
        <f>'[33]PCB Nesting QA'!$L$44</f>
        <v>0.50940972222222236</v>
      </c>
      <c r="G6" s="76">
        <f>'[33]Class Summary'!$E$21</f>
        <v>0.375</v>
      </c>
      <c r="H6" s="76">
        <f>'[33]Class Summary'!$I$21</f>
        <v>0.2</v>
      </c>
      <c r="I6" s="76">
        <f>'[31]GradRates - Tier 1'!$S$139</f>
        <v>0.2</v>
      </c>
    </row>
    <row r="7" spans="1:10" hidden="1">
      <c r="A7" s="20">
        <v>22</v>
      </c>
      <c r="B7" s="10" t="s">
        <v>61</v>
      </c>
      <c r="C7" s="10" t="s">
        <v>26</v>
      </c>
      <c r="D7" s="21"/>
      <c r="E7" s="75">
        <f>[33]Performance!$AI$45</f>
        <v>0.83844769230769223</v>
      </c>
      <c r="F7" s="75">
        <f>'[33]PCB Nesting QA'!$L$44</f>
        <v>0.50940972222222236</v>
      </c>
      <c r="G7" s="76">
        <f>'[33]Class Summary'!$E$21</f>
        <v>0.375</v>
      </c>
      <c r="H7" s="76">
        <f>'[33]Class Summary'!$I$21</f>
        <v>0.2</v>
      </c>
      <c r="I7" s="76">
        <f>'[31]GradRates - Tier 1'!$S$139</f>
        <v>0.2</v>
      </c>
    </row>
    <row r="8" spans="1:10" hidden="1">
      <c r="A8" s="20">
        <v>23</v>
      </c>
      <c r="B8" s="10" t="s">
        <v>61</v>
      </c>
      <c r="C8" s="10" t="s">
        <v>64</v>
      </c>
      <c r="D8" s="10"/>
      <c r="E8" s="75">
        <f>[34]Performance!$AJ$21</f>
        <v>0.8727593406593408</v>
      </c>
      <c r="F8" s="75">
        <f>'[34]PCB Nesting QA'!$L$20</f>
        <v>0.55972222222222223</v>
      </c>
      <c r="G8" s="76">
        <f>'[34]Class Summary'!$E$21</f>
        <v>0.26666666666666666</v>
      </c>
      <c r="H8" s="76">
        <f>'[34]Class Summary'!$I$21</f>
        <v>0.27272727272727271</v>
      </c>
      <c r="I8" s="76">
        <f>'[31]GradRates - Tier 1'!$S$140</f>
        <v>0.18181818181818182</v>
      </c>
    </row>
    <row r="9" spans="1:10" hidden="1">
      <c r="A9" s="20">
        <v>24</v>
      </c>
      <c r="B9" s="10" t="s">
        <v>61</v>
      </c>
      <c r="C9" s="10" t="s">
        <v>31</v>
      </c>
      <c r="D9" s="10"/>
      <c r="E9" s="75">
        <f>[35]Performance!$AH$45</f>
        <v>0.82997652380952391</v>
      </c>
      <c r="F9" s="75">
        <f>'[35]PCB Nesting QA'!$L$44</f>
        <v>0.55560897435897438</v>
      </c>
      <c r="G9" s="76">
        <f>'[35]Class Summary'!$E$21</f>
        <v>0.17647058823529413</v>
      </c>
      <c r="H9" s="76">
        <f>'[35]Class Summary'!$I$21</f>
        <v>0.2857142857142857</v>
      </c>
      <c r="I9" s="76">
        <f>'[31]GradRates - Tier 1'!$S$142</f>
        <v>0.23529411764705882</v>
      </c>
    </row>
    <row r="10" spans="1:10" hidden="1">
      <c r="A10" s="20">
        <v>25</v>
      </c>
      <c r="B10" s="10" t="s">
        <v>61</v>
      </c>
      <c r="C10" s="10" t="s">
        <v>65</v>
      </c>
      <c r="D10" s="10"/>
      <c r="E10" s="75">
        <f>[36]Performance!$AI$45</f>
        <v>0.87936071428571427</v>
      </c>
      <c r="F10" s="75">
        <f>'[36]PCB Nesting QA'!$L$44</f>
        <v>0.77500000000000002</v>
      </c>
      <c r="G10" s="76">
        <f>'[36]Class Summary'!$E$21</f>
        <v>0.25</v>
      </c>
      <c r="H10" s="76">
        <f>'[36]Class Summary'!$I$21</f>
        <v>0</v>
      </c>
      <c r="I10" s="76">
        <f>'[31]GradRates - Tier 1'!$S$144</f>
        <v>0.26666666666666666</v>
      </c>
    </row>
    <row r="11" spans="1:10" hidden="1">
      <c r="A11" s="20">
        <v>26</v>
      </c>
      <c r="B11" s="10" t="s">
        <v>61</v>
      </c>
      <c r="C11" s="10" t="s">
        <v>23</v>
      </c>
      <c r="D11" s="10"/>
      <c r="E11" s="75">
        <f>[37]Performance!$AI$45</f>
        <v>0.76853631868131866</v>
      </c>
      <c r="F11" s="75">
        <f>'[37]PCB Nesting QA'!$L$44</f>
        <v>0.63500000000000001</v>
      </c>
      <c r="G11" s="76">
        <f>'[37]Class Summary'!$E$21</f>
        <v>0.2</v>
      </c>
      <c r="H11" s="76">
        <f>'[37]Class Summary'!$I$21</f>
        <v>0</v>
      </c>
      <c r="I11" s="76">
        <f>'[31]GradRates - Tier 1'!$S$145</f>
        <v>0.25</v>
      </c>
    </row>
    <row r="12" spans="1:10" hidden="1">
      <c r="A12" s="20">
        <v>26</v>
      </c>
      <c r="B12" s="10" t="s">
        <v>61</v>
      </c>
      <c r="C12" s="10" t="s">
        <v>27</v>
      </c>
      <c r="D12" s="10"/>
      <c r="E12" s="75">
        <f>[37]Performance!$AI$45</f>
        <v>0.76853631868131866</v>
      </c>
      <c r="F12" s="75">
        <f>'[37]PCB Nesting QA'!$L$44</f>
        <v>0.63500000000000001</v>
      </c>
      <c r="G12" s="76">
        <f>'[37]Class Summary'!$E$21</f>
        <v>0.2</v>
      </c>
      <c r="H12" s="76">
        <f>'[37]Class Summary'!$I$21</f>
        <v>0</v>
      </c>
      <c r="I12" s="76">
        <f>'[31]GradRates - Tier 1'!$S$145</f>
        <v>0.25</v>
      </c>
    </row>
    <row r="13" spans="1:10" hidden="1">
      <c r="A13" s="20">
        <v>27</v>
      </c>
      <c r="B13" s="10" t="s">
        <v>61</v>
      </c>
      <c r="C13" s="10" t="s">
        <v>34</v>
      </c>
      <c r="D13" s="10"/>
      <c r="E13" s="75">
        <f>[38]Performance!$AJ$35</f>
        <v>0.82438717460317457</v>
      </c>
      <c r="F13" s="75">
        <f>'[38]PCB Nesting QA'!$L$34</f>
        <v>0.51654761904761903</v>
      </c>
      <c r="G13" s="76">
        <f>'[38]Class Summary'!$E$21</f>
        <v>0.46666666666666667</v>
      </c>
      <c r="H13" s="76">
        <f>'[38]Class Summary'!$I$21</f>
        <v>0.125</v>
      </c>
      <c r="I13" s="76">
        <f>'[31]GradRates - Tier 1'!$S$143</f>
        <v>0.25</v>
      </c>
    </row>
    <row r="14" spans="1:10" hidden="1">
      <c r="A14" s="20">
        <v>27</v>
      </c>
      <c r="B14" s="10" t="s">
        <v>61</v>
      </c>
      <c r="C14" s="10" t="s">
        <v>41</v>
      </c>
      <c r="D14" s="10"/>
      <c r="E14" s="75">
        <f>[38]Performance!$AJ$35</f>
        <v>0.82438717460317457</v>
      </c>
      <c r="F14" s="97">
        <f>'[38]PCB Nesting QA'!$L$34</f>
        <v>0.51654761904761903</v>
      </c>
      <c r="G14" s="76">
        <f>'[38]Class Summary'!$E$21</f>
        <v>0.46666666666666667</v>
      </c>
      <c r="H14" s="76">
        <f>'[38]Class Summary'!$I$21</f>
        <v>0.125</v>
      </c>
      <c r="I14" s="43">
        <f>'[31]GradRates - Tier 1'!$S$143</f>
        <v>0.25</v>
      </c>
    </row>
    <row r="15" spans="1:10" hidden="1">
      <c r="A15" s="20">
        <v>28</v>
      </c>
      <c r="B15" s="10" t="s">
        <v>66</v>
      </c>
      <c r="C15" s="10" t="s">
        <v>48</v>
      </c>
      <c r="D15" s="10"/>
      <c r="E15" s="114">
        <f>[39]Performance!$AI$45</f>
        <v>0.96857142857142864</v>
      </c>
      <c r="F15" s="113">
        <f>'[39]PCB Nesting QA'!$L$44</f>
        <v>0.7644642857142856</v>
      </c>
      <c r="G15" s="77">
        <f>'[39]Class Summary'!$E$21</f>
        <v>0</v>
      </c>
      <c r="H15" s="75">
        <f>'[39]Class Summary'!$I$21</f>
        <v>0</v>
      </c>
      <c r="I15" s="75">
        <f>'[31]GradRates - Tier 2'!$S$15</f>
        <v>0</v>
      </c>
      <c r="J15" s="23">
        <f>'[31]GradRates - Tier 2'!$M$15</f>
        <v>0.93333333333333335</v>
      </c>
    </row>
    <row r="16" spans="1:10" hidden="1">
      <c r="A16" s="20">
        <v>29</v>
      </c>
      <c r="B16" s="10" t="s">
        <v>61</v>
      </c>
      <c r="C16" s="10" t="s">
        <v>22</v>
      </c>
      <c r="D16" s="10"/>
      <c r="E16" s="114">
        <f>[40]Performance!$AI$45</f>
        <v>0.82474154761904761</v>
      </c>
      <c r="F16" s="113">
        <f>'[40]PCB Nesting QA'!$L$44</f>
        <v>0.73791666666666667</v>
      </c>
      <c r="G16" s="115">
        <f>'[40]Class Summary'!$E$21</f>
        <v>0</v>
      </c>
      <c r="H16" s="76">
        <f>'[40]Class Summary'!$I$21</f>
        <v>0.6</v>
      </c>
      <c r="I16" s="43">
        <f>'[31]GradRates - Tier 1'!$S$146</f>
        <v>0.23529411764705882</v>
      </c>
    </row>
    <row r="17" spans="1:10" hidden="1">
      <c r="A17" s="20">
        <v>29</v>
      </c>
      <c r="B17" s="10" t="s">
        <v>61</v>
      </c>
      <c r="C17" s="10" t="s">
        <v>20</v>
      </c>
      <c r="D17" s="10"/>
      <c r="E17" s="114">
        <f>[40]Performance!$AI$45</f>
        <v>0.82474154761904761</v>
      </c>
      <c r="F17" s="113">
        <f>'[40]PCB Nesting QA'!$L$44</f>
        <v>0.73791666666666667</v>
      </c>
      <c r="G17" s="115">
        <f>'[40]Class Summary'!$E$21</f>
        <v>0</v>
      </c>
      <c r="H17" s="76">
        <f>'[40]Class Summary'!$I$21</f>
        <v>0.6</v>
      </c>
      <c r="I17" s="43">
        <f>'[31]GradRates - Tier 1'!$S$146</f>
        <v>0.23529411764705882</v>
      </c>
    </row>
    <row r="18" spans="1:10" hidden="1">
      <c r="A18" s="20">
        <v>30</v>
      </c>
      <c r="B18" s="10" t="s">
        <v>61</v>
      </c>
      <c r="C18" s="10" t="s">
        <v>21</v>
      </c>
      <c r="D18" s="10"/>
      <c r="E18" s="75">
        <f>[41]Performance!$AI$45</f>
        <v>0.84286333333333341</v>
      </c>
      <c r="F18" s="116">
        <f>'[41]PCB Nesting QA'!$L$44</f>
        <v>0.88375000000000004</v>
      </c>
      <c r="G18" s="76">
        <f>'[41]Class Summary'!$E$21</f>
        <v>0.5</v>
      </c>
      <c r="H18" s="76">
        <f>'[41]Class Summary'!$I$21</f>
        <v>0</v>
      </c>
      <c r="I18" s="76">
        <f>'[31]GradRates - Tier 1'!$S$147</f>
        <v>0.42857142857142855</v>
      </c>
    </row>
    <row r="19" spans="1:10" hidden="1">
      <c r="A19" s="20">
        <v>30</v>
      </c>
      <c r="B19" s="10" t="s">
        <v>61</v>
      </c>
      <c r="C19" s="10" t="s">
        <v>37</v>
      </c>
      <c r="D19" s="10"/>
      <c r="E19" s="75">
        <f>[41]Performance!$AI$45</f>
        <v>0.84286333333333341</v>
      </c>
      <c r="F19" s="75">
        <f>'[41]PCB Nesting QA'!$L$44</f>
        <v>0.88375000000000004</v>
      </c>
      <c r="G19" s="78">
        <f>'[41]Class Summary'!$E$21</f>
        <v>0.5</v>
      </c>
      <c r="H19" s="76">
        <f>'[41]Class Summary'!$I$21</f>
        <v>0</v>
      </c>
      <c r="I19" s="76">
        <f>'[31]GradRates - Tier 1'!$S$147</f>
        <v>0.42857142857142855</v>
      </c>
    </row>
    <row r="20" spans="1:10">
      <c r="A20" s="20">
        <v>31</v>
      </c>
      <c r="B20" s="10" t="s">
        <v>61</v>
      </c>
      <c r="C20" s="10" t="s">
        <v>62</v>
      </c>
      <c r="D20" s="10"/>
      <c r="E20" s="75">
        <f>[42]Performance!$AH$45</f>
        <v>0.90324619047619037</v>
      </c>
      <c r="F20" s="75">
        <f>'[42]PCB Nesting QA'!$L$44</f>
        <v>0.82381944444444433</v>
      </c>
      <c r="G20" s="79">
        <f>'[42]Class Summary'!$E$21</f>
        <v>0.2</v>
      </c>
      <c r="H20" s="76">
        <f>'[42]Class Summary'!$I$21</f>
        <v>0.125</v>
      </c>
      <c r="I20" s="76">
        <f>'[31]GradRates - Tier 1'!$S$149</f>
        <v>7.6923076923076927E-2</v>
      </c>
    </row>
    <row r="21" spans="1:10" hidden="1">
      <c r="A21" s="20">
        <v>31</v>
      </c>
      <c r="B21" s="10" t="s">
        <v>61</v>
      </c>
      <c r="C21" s="10" t="s">
        <v>41</v>
      </c>
      <c r="D21" s="72"/>
      <c r="E21" s="75">
        <f>[42]Performance!$AH$45</f>
        <v>0.90324619047619037</v>
      </c>
      <c r="F21" s="75">
        <f>'[42]PCB Nesting QA'!$L$44</f>
        <v>0.82381944444444433</v>
      </c>
      <c r="G21" s="79">
        <f>'[42]Class Summary'!$E$21</f>
        <v>0.2</v>
      </c>
      <c r="H21" s="76">
        <f>'[42]Class Summary'!$I$21</f>
        <v>0.125</v>
      </c>
      <c r="I21" s="76">
        <f>'[31]GradRates - Tier 1'!$S$149</f>
        <v>7.6923076923076927E-2</v>
      </c>
    </row>
    <row r="22" spans="1:10" hidden="1">
      <c r="A22" s="20">
        <v>32</v>
      </c>
      <c r="B22" s="10" t="s">
        <v>61</v>
      </c>
      <c r="C22" s="10" t="s">
        <v>34</v>
      </c>
      <c r="D22" s="30"/>
      <c r="E22" s="75">
        <f>[43]Performance!$AI$45</f>
        <v>0.83741964285714265</v>
      </c>
      <c r="F22" s="75">
        <f>'[43]PCB Nesting QA'!$L$44</f>
        <v>0.71550925925925923</v>
      </c>
      <c r="G22" s="76">
        <f>'[43]Class Summary'!$E$21</f>
        <v>0.61538461538461542</v>
      </c>
      <c r="H22" s="76">
        <f>'[43]Class Summary'!$I$21</f>
        <v>0.4</v>
      </c>
      <c r="I22" s="76">
        <f>'[31]GradRates - Tier 1'!$S$150</f>
        <v>7.1428571428571425E-2</v>
      </c>
    </row>
    <row r="23" spans="1:10" hidden="1">
      <c r="A23" s="20">
        <v>32</v>
      </c>
      <c r="B23" s="10" t="s">
        <v>61</v>
      </c>
      <c r="C23" s="30" t="s">
        <v>33</v>
      </c>
      <c r="D23" s="73"/>
      <c r="E23" s="75">
        <f>[43]Performance!$AI$45</f>
        <v>0.83741964285714265</v>
      </c>
      <c r="F23" s="75">
        <f>'[43]PCB Nesting QA'!$L$44</f>
        <v>0.71550925925925923</v>
      </c>
      <c r="G23" s="76">
        <f>'[43]Class Summary'!$E$21</f>
        <v>0.61538461538461542</v>
      </c>
      <c r="H23" s="76">
        <f>'[43]Class Summary'!$I$21</f>
        <v>0.4</v>
      </c>
      <c r="I23" s="76">
        <f>'[31]GradRates - Tier 1'!$S$150</f>
        <v>7.1428571428571425E-2</v>
      </c>
    </row>
    <row r="24" spans="1:10" hidden="1">
      <c r="A24" s="20">
        <v>33</v>
      </c>
      <c r="B24" s="10" t="s">
        <v>66</v>
      </c>
      <c r="C24" s="10" t="s">
        <v>45</v>
      </c>
      <c r="D24" s="10"/>
      <c r="E24" s="75">
        <f>'[44]Perform Tier 2'!$T$35</f>
        <v>0.96549411255411222</v>
      </c>
      <c r="F24" s="75">
        <f>'[44]PCB Nesting QA'!$L$44</f>
        <v>0.75841666666666674</v>
      </c>
      <c r="G24" s="76">
        <f>'[44]Class Summary'!$E$21</f>
        <v>0</v>
      </c>
      <c r="H24" s="76">
        <f>'[44]Class Summary'!$I$21</f>
        <v>0</v>
      </c>
      <c r="I24" s="76">
        <f>'[31]GradRates - Tier 2'!$S$16</f>
        <v>0</v>
      </c>
      <c r="J24" s="34">
        <f>'[31]GradRates - Tier 2'!$M$16</f>
        <v>1</v>
      </c>
    </row>
    <row r="25" spans="1:10" hidden="1">
      <c r="A25" s="20">
        <v>34</v>
      </c>
      <c r="B25" s="10" t="s">
        <v>61</v>
      </c>
      <c r="C25" s="10" t="s">
        <v>64</v>
      </c>
      <c r="D25" s="10"/>
      <c r="E25" s="75">
        <f>[45]Performance!$AI$45</f>
        <v>0.92079874999999989</v>
      </c>
      <c r="F25" s="75">
        <f>'[45]PCB Nesting QA'!$L$44</f>
        <v>0.75026785714285715</v>
      </c>
      <c r="G25" s="76">
        <f>'[45]Class Summary'!$E$21</f>
        <v>0.27272727272727271</v>
      </c>
      <c r="H25" s="76">
        <f>'[45]Class Summary'!$I$21</f>
        <v>0.25</v>
      </c>
      <c r="I25" s="76">
        <f>'[31]GradRates - Tier 1'!$S$151</f>
        <v>0.2857142857142857</v>
      </c>
    </row>
    <row r="26" spans="1:10" hidden="1">
      <c r="A26" s="20">
        <v>34</v>
      </c>
      <c r="B26" s="10" t="s">
        <v>61</v>
      </c>
      <c r="C26" s="10" t="s">
        <v>26</v>
      </c>
      <c r="D26" s="72"/>
      <c r="E26" s="75">
        <f>[45]Performance!$AI$45</f>
        <v>0.92079874999999989</v>
      </c>
      <c r="F26" s="75">
        <f>'[45]PCB Nesting QA'!$L$44</f>
        <v>0.75026785714285715</v>
      </c>
      <c r="G26" s="76">
        <f>'[45]Class Summary'!$E$21</f>
        <v>0.27272727272727271</v>
      </c>
      <c r="H26" s="76">
        <f>'[45]Class Summary'!$I$21</f>
        <v>0.25</v>
      </c>
      <c r="I26" s="76">
        <f>'[31]GradRates - Tier 1'!$S$151</f>
        <v>0.2857142857142857</v>
      </c>
    </row>
    <row r="27" spans="1:10" hidden="1">
      <c r="A27" s="20">
        <v>35</v>
      </c>
      <c r="B27" s="10" t="s">
        <v>61</v>
      </c>
      <c r="C27" s="10" t="s">
        <v>65</v>
      </c>
      <c r="D27" s="30"/>
      <c r="E27" s="75">
        <f>[46]Performance!$AH$45</f>
        <v>0.87546523809523824</v>
      </c>
      <c r="F27" s="75">
        <f>'[46]PCB Nesting QA'!$L$44</f>
        <v>0.70857142857142841</v>
      </c>
      <c r="G27" s="76">
        <f>'[46]Class Summary'!$E$21</f>
        <v>0.27777777777777779</v>
      </c>
      <c r="H27" s="76">
        <f>'[46]Class Summary'!$I$21</f>
        <v>0</v>
      </c>
      <c r="I27" s="76">
        <f>'[31]GradRates - Tier 1'!$S$152</f>
        <v>0.21739130434782608</v>
      </c>
    </row>
    <row r="28" spans="1:10" hidden="1">
      <c r="A28" s="20">
        <v>35</v>
      </c>
      <c r="B28" s="10" t="s">
        <v>61</v>
      </c>
      <c r="C28" s="10" t="s">
        <v>38</v>
      </c>
      <c r="D28" s="73"/>
      <c r="E28" s="75">
        <f>[46]Performance!$AH$45</f>
        <v>0.87546523809523824</v>
      </c>
      <c r="F28" s="75">
        <f>'[46]PCB Nesting QA'!$L$44</f>
        <v>0.70857142857142841</v>
      </c>
      <c r="G28" s="76">
        <f>'[46]Class Summary'!$E$21</f>
        <v>0.27777777777777779</v>
      </c>
      <c r="H28" s="76">
        <f>'[46]Class Summary'!$I$21</f>
        <v>0</v>
      </c>
      <c r="I28" s="76">
        <f>'[31]GradRates - Tier 1'!$S$152</f>
        <v>0.21739130434782608</v>
      </c>
    </row>
    <row r="29" spans="1:10" hidden="1">
      <c r="A29" s="20">
        <v>36</v>
      </c>
      <c r="B29" s="10" t="s">
        <v>61</v>
      </c>
      <c r="C29" s="10" t="s">
        <v>27</v>
      </c>
      <c r="D29" s="10"/>
      <c r="E29" s="75">
        <f>[47]Performance!$AH$45</f>
        <v>0.90997643518518512</v>
      </c>
      <c r="F29" s="75">
        <f>'[47]PCB Nesting QA'!$L$44</f>
        <v>0.63458333333333339</v>
      </c>
      <c r="G29" s="76">
        <f>'[47]Class Summary'!$E$21</f>
        <v>0.5</v>
      </c>
      <c r="H29" s="76">
        <f>'[47]Class Summary'!$I$21</f>
        <v>0</v>
      </c>
      <c r="I29" s="76">
        <f>'[31]GradRates - Tier 1'!$S$154</f>
        <v>0.125</v>
      </c>
    </row>
    <row r="30" spans="1:10" hidden="1">
      <c r="A30" s="20">
        <v>36</v>
      </c>
      <c r="B30" s="10" t="s">
        <v>61</v>
      </c>
      <c r="C30" s="10" t="s">
        <v>23</v>
      </c>
      <c r="D30" s="10"/>
      <c r="E30" s="75">
        <f>[47]Performance!$AH$45</f>
        <v>0.90997643518518512</v>
      </c>
      <c r="F30" s="75">
        <f>'[47]PCB Nesting QA'!$L$44</f>
        <v>0.63458333333333339</v>
      </c>
      <c r="G30" s="76">
        <f>'[47]Class Summary'!$E$21</f>
        <v>0.5</v>
      </c>
      <c r="H30" s="76">
        <f>'[47]Class Summary'!$I$21</f>
        <v>0</v>
      </c>
      <c r="I30" s="76">
        <f>'[31]GradRates - Tier 1'!$S$154</f>
        <v>0.125</v>
      </c>
    </row>
    <row r="31" spans="1:10" hidden="1">
      <c r="A31" s="20">
        <v>37</v>
      </c>
      <c r="B31" s="10" t="s">
        <v>61</v>
      </c>
      <c r="C31" s="10" t="s">
        <v>34</v>
      </c>
      <c r="D31" s="10"/>
      <c r="E31" s="75">
        <f>[48]Performance!$AH$45</f>
        <v>0.85958520408163253</v>
      </c>
      <c r="F31" s="75">
        <f>'[48]PCB Nesting QA'!$L$44</f>
        <v>0.53839743589743583</v>
      </c>
      <c r="G31" s="76">
        <f>'[46]Class Summary'!$E$21</f>
        <v>0.27777777777777779</v>
      </c>
      <c r="H31" s="76">
        <f>'[48]Class Summary'!$I$21</f>
        <v>0</v>
      </c>
      <c r="I31" s="43">
        <f>'[31]GradRates - Tier 1'!$S$155</f>
        <v>0</v>
      </c>
    </row>
    <row r="32" spans="1:10" hidden="1">
      <c r="A32" s="20">
        <v>38</v>
      </c>
      <c r="B32" s="10" t="s">
        <v>67</v>
      </c>
      <c r="C32" s="10" t="s">
        <v>32</v>
      </c>
      <c r="D32" s="10"/>
      <c r="E32" s="21"/>
      <c r="F32" s="75">
        <f>'[49]PCB Nesting QA'!$L$44</f>
        <v>0.6163333333333334</v>
      </c>
      <c r="G32" s="76">
        <f>'[49]Class Summary'!$E$21</f>
        <v>0</v>
      </c>
      <c r="H32" s="76">
        <f>'[49]Class Summary'!$I$21</f>
        <v>0</v>
      </c>
      <c r="I32" s="76">
        <f t="shared" ref="I32" si="0">G32+H32</f>
        <v>0</v>
      </c>
    </row>
    <row r="33" spans="1:10" hidden="1">
      <c r="A33" s="20">
        <v>38</v>
      </c>
      <c r="B33" s="10" t="s">
        <v>67</v>
      </c>
      <c r="C33" s="10" t="s">
        <v>20</v>
      </c>
      <c r="D33" s="10"/>
      <c r="E33" s="21"/>
      <c r="F33" s="75">
        <f>'[49]PCB Nesting QA'!$L$44</f>
        <v>0.6163333333333334</v>
      </c>
      <c r="G33" s="76">
        <f>'[49]Class Summary'!$E$21</f>
        <v>0</v>
      </c>
      <c r="H33" s="76">
        <f>'[49]Class Summary'!$I$21</f>
        <v>0</v>
      </c>
      <c r="I33" s="76">
        <f t="shared" ref="I33" si="1">G33+H33</f>
        <v>0</v>
      </c>
    </row>
    <row r="34" spans="1:10" hidden="1">
      <c r="A34" s="20">
        <v>39</v>
      </c>
      <c r="B34" s="10" t="s">
        <v>61</v>
      </c>
      <c r="C34" s="10" t="s">
        <v>37</v>
      </c>
      <c r="D34" s="10"/>
      <c r="E34" s="75">
        <f>[50]Performance!$AH$45</f>
        <v>0.73222902777777765</v>
      </c>
      <c r="F34" s="75">
        <f>'[50]PCB Nesting QA'!$L$44</f>
        <v>0.74241666666666672</v>
      </c>
      <c r="G34" s="79">
        <f>'[50]Class Summary'!$E$21</f>
        <v>7.6923076923076927E-2</v>
      </c>
      <c r="H34" s="76">
        <f>'[50]Class Summary'!$I$21</f>
        <v>0</v>
      </c>
      <c r="I34" s="43">
        <f>'[31]GradRates - Tier 1'!$S$156</f>
        <v>0.16666666666666666</v>
      </c>
    </row>
    <row r="35" spans="1:10" hidden="1">
      <c r="A35" s="20">
        <v>39</v>
      </c>
      <c r="B35" s="10" t="s">
        <v>61</v>
      </c>
      <c r="C35" s="10" t="s">
        <v>41</v>
      </c>
      <c r="D35" s="10"/>
      <c r="E35" s="75">
        <f>[50]Performance!$AH$45</f>
        <v>0.73222902777777765</v>
      </c>
      <c r="F35" s="75">
        <f>'[50]PCB Nesting QA'!$L$44</f>
        <v>0.74241666666666672</v>
      </c>
      <c r="G35" s="79">
        <f>'[50]Class Summary'!$E$21</f>
        <v>7.6923076923076927E-2</v>
      </c>
      <c r="H35" s="76">
        <f>'[50]Class Summary'!$I$21</f>
        <v>0</v>
      </c>
      <c r="I35" s="43">
        <f>'[31]GradRates - Tier 1'!$S$156</f>
        <v>0.16666666666666666</v>
      </c>
    </row>
    <row r="36" spans="1:10">
      <c r="A36" s="20">
        <v>40</v>
      </c>
      <c r="B36" s="10" t="s">
        <v>61</v>
      </c>
      <c r="C36" s="10" t="s">
        <v>62</v>
      </c>
      <c r="D36" s="10"/>
      <c r="E36" s="75">
        <f>[51]Performance!$AH$45</f>
        <v>0.90267619047619052</v>
      </c>
      <c r="F36" s="75">
        <f>'[51]PCB Nesting QA'!$L$44</f>
        <v>0.64242424242424245</v>
      </c>
      <c r="G36" s="79">
        <f>'[51]Class Summary'!$E$21</f>
        <v>0.25</v>
      </c>
      <c r="H36" s="76">
        <f>'[51]Class Summary'!$I$21</f>
        <v>0.25</v>
      </c>
      <c r="I36" s="76">
        <f>'[31]GradRates - Tier 1'!$S$161</f>
        <v>0.26666666666666666</v>
      </c>
    </row>
    <row r="37" spans="1:10" hidden="1">
      <c r="A37" s="20">
        <v>41</v>
      </c>
      <c r="B37" s="10" t="s">
        <v>61</v>
      </c>
      <c r="C37" s="10" t="s">
        <v>64</v>
      </c>
      <c r="D37" s="10"/>
      <c r="E37" s="75">
        <f>[52]Performance!$AH$21</f>
        <v>0.91580777777777778</v>
      </c>
      <c r="F37" s="75">
        <f>'[52]PCB Nesting QA'!$L$20</f>
        <v>0.80781249999999993</v>
      </c>
      <c r="G37" s="79">
        <f>'[52]Class Summary'!$E$21</f>
        <v>0.2</v>
      </c>
      <c r="H37" s="76">
        <f>'[52]Class Summary'!$I$21</f>
        <v>0.25</v>
      </c>
      <c r="I37" s="76">
        <f>'[31]GradRates - Tier 1'!$S$162</f>
        <v>0</v>
      </c>
    </row>
    <row r="38" spans="1:10" hidden="1">
      <c r="A38" s="20">
        <v>41</v>
      </c>
      <c r="B38" s="48" t="s">
        <v>61</v>
      </c>
      <c r="C38" s="10" t="s">
        <v>48</v>
      </c>
      <c r="D38" s="48"/>
      <c r="E38" s="75">
        <f>[52]Performance!$AH$21</f>
        <v>0.91580777777777778</v>
      </c>
      <c r="F38" s="75">
        <f>'[52]PCB Nesting QA'!$L$20</f>
        <v>0.80781249999999993</v>
      </c>
      <c r="G38" s="79">
        <f>'[52]Class Summary'!$E$21</f>
        <v>0.2</v>
      </c>
      <c r="H38" s="76">
        <f>'[52]Class Summary'!$I$21</f>
        <v>0.25</v>
      </c>
      <c r="I38" s="76">
        <f>'[31]GradRates - Tier 1'!$S$162</f>
        <v>0</v>
      </c>
    </row>
    <row r="39" spans="1:10" hidden="1">
      <c r="A39" s="20">
        <v>42</v>
      </c>
      <c r="B39" s="48" t="s">
        <v>61</v>
      </c>
      <c r="C39" s="48" t="s">
        <v>22</v>
      </c>
      <c r="D39" s="48"/>
      <c r="E39" s="75">
        <f>[53]Performance!$AH$45</f>
        <v>0.89147083333333343</v>
      </c>
      <c r="F39" s="75">
        <f>'[53]PCB Nesting QA'!$L$44</f>
        <v>0.70750000000000002</v>
      </c>
      <c r="G39" s="79">
        <f>'[53]Class Summary'!$E$21</f>
        <v>0.22222222222222221</v>
      </c>
      <c r="H39" s="76">
        <f>'[53]Class Summary'!$I$21</f>
        <v>0.14285714285714285</v>
      </c>
      <c r="I39" s="43">
        <f>'[31]GradRates - Tier 1'!$S$163</f>
        <v>0.13333333333333333</v>
      </c>
    </row>
    <row r="40" spans="1:10" hidden="1">
      <c r="A40" s="47">
        <v>42</v>
      </c>
      <c r="B40" s="74" t="s">
        <v>61</v>
      </c>
      <c r="C40" s="74" t="s">
        <v>27</v>
      </c>
      <c r="E40" s="75">
        <f>[53]Performance!$AH$45</f>
        <v>0.89147083333333343</v>
      </c>
      <c r="F40" s="75">
        <f>'[53]PCB Nesting QA'!$L$44</f>
        <v>0.70750000000000002</v>
      </c>
      <c r="G40" s="79">
        <f>'[53]Class Summary'!$E$21</f>
        <v>0.22222222222222221</v>
      </c>
      <c r="H40" s="76">
        <f>'[53]Class Summary'!$I$21</f>
        <v>0.14285714285714285</v>
      </c>
      <c r="I40" s="43">
        <f>'[31]GradRates - Tier 1'!$S$163</f>
        <v>0.13333333333333333</v>
      </c>
    </row>
    <row r="41" spans="1:10" hidden="1">
      <c r="A41" s="47">
        <v>43</v>
      </c>
      <c r="B41" s="46" t="s">
        <v>61</v>
      </c>
      <c r="C41" s="46" t="s">
        <v>65</v>
      </c>
      <c r="D41" s="46"/>
      <c r="E41" s="75">
        <f>[54]Performance!$AH$45</f>
        <v>0.89979722222222236</v>
      </c>
      <c r="F41" s="75">
        <f>'[54]PCB Nesting QA'!$L$44</f>
        <v>0.74906249999999996</v>
      </c>
      <c r="G41" s="79">
        <f>'[54]Class Summary'!$E$21</f>
        <v>0.1111111111111111</v>
      </c>
      <c r="H41" s="76">
        <f>'[54]Class Summary'!$I$21</f>
        <v>0</v>
      </c>
      <c r="I41" s="76">
        <f>'[31]GradRates - Tier 1'!$S$164</f>
        <v>7.6923076923076927E-2</v>
      </c>
      <c r="J41" s="23"/>
    </row>
    <row r="42" spans="1:10" hidden="1">
      <c r="A42" s="47">
        <v>44</v>
      </c>
      <c r="B42" s="46" t="s">
        <v>66</v>
      </c>
      <c r="C42" s="46" t="s">
        <v>45</v>
      </c>
      <c r="D42" s="46"/>
      <c r="E42" s="75">
        <f>'[55]Perform Tier 2'!$T$35</f>
        <v>0.96921041666666652</v>
      </c>
      <c r="F42" s="75">
        <f>'[55]PCB Nesting QA'!$L$44</f>
        <v>0.96</v>
      </c>
      <c r="G42" s="80">
        <f>'[55]Class Summary'!$E$22</f>
        <v>0</v>
      </c>
      <c r="H42" s="76">
        <f>'[55]Class Summary'!$I$21</f>
        <v>0</v>
      </c>
      <c r="I42" s="76">
        <f>'[31]GradRates - Tier 2'!$M$17</f>
        <v>1</v>
      </c>
      <c r="J42" s="34">
        <f>'[31]GradRates - Tier 2'!I17</f>
        <v>6</v>
      </c>
    </row>
    <row r="43" spans="1:10" hidden="1">
      <c r="A43" s="47">
        <v>45</v>
      </c>
      <c r="B43" s="46" t="s">
        <v>61</v>
      </c>
      <c r="C43" s="46" t="s">
        <v>64</v>
      </c>
      <c r="D43" s="46"/>
      <c r="E43" s="75">
        <f>[56]Performance!$AH$22</f>
        <v>0.82283130036630037</v>
      </c>
      <c r="F43" s="75">
        <f>'[56]PCB Nesting QA'!$L$21</f>
        <v>0.79781249999999992</v>
      </c>
      <c r="G43" s="79">
        <f>'[56]Class Summary'!$E$21</f>
        <v>0.35714285714285715</v>
      </c>
      <c r="H43" s="76">
        <f>'[56]Class Summary'!$I$21</f>
        <v>0.1111111111111111</v>
      </c>
      <c r="I43" s="76">
        <f>'[31]GradRates - Tier 1'!$S$166</f>
        <v>0.23076923076923078</v>
      </c>
    </row>
    <row r="44" spans="1:10" hidden="1">
      <c r="A44" s="47">
        <v>45</v>
      </c>
      <c r="B44" t="s">
        <v>61</v>
      </c>
      <c r="C44" t="s">
        <v>26</v>
      </c>
      <c r="E44" s="75">
        <f>[56]Performance!$AH$22</f>
        <v>0.82283130036630037</v>
      </c>
      <c r="F44" s="75">
        <f>'[56]PCB Nesting QA'!$L$21</f>
        <v>0.79781249999999992</v>
      </c>
      <c r="G44" s="79">
        <f>'[56]Class Summary'!$E$21</f>
        <v>0.35714285714285715</v>
      </c>
      <c r="H44" s="76">
        <f>'[56]Class Summary'!$I$21</f>
        <v>0.1111111111111111</v>
      </c>
      <c r="I44" s="76">
        <f>'[31]GradRates - Tier 1'!$S$166</f>
        <v>0.23076923076923078</v>
      </c>
    </row>
    <row r="45" spans="1:10" hidden="1">
      <c r="A45" s="47">
        <v>46</v>
      </c>
      <c r="B45" s="10" t="s">
        <v>63</v>
      </c>
      <c r="C45" s="10" t="s">
        <v>32</v>
      </c>
      <c r="D45" s="10"/>
      <c r="E45" s="21"/>
      <c r="F45" s="75">
        <f>'[57]PCB Nesting QA'!$L$44</f>
        <v>0.72523809523809513</v>
      </c>
      <c r="G45" s="80">
        <f>'[57]Class Summary'!$E$21</f>
        <v>0</v>
      </c>
      <c r="H45" s="76">
        <f>'[57]Class Summary'!$I$21</f>
        <v>0</v>
      </c>
      <c r="I45" s="76">
        <f t="shared" ref="I45" si="2">G45+H45</f>
        <v>0</v>
      </c>
    </row>
    <row r="46" spans="1:10" hidden="1">
      <c r="A46" s="47">
        <v>46</v>
      </c>
      <c r="B46" t="s">
        <v>63</v>
      </c>
      <c r="C46" t="s">
        <v>20</v>
      </c>
      <c r="E46" s="21"/>
      <c r="F46" s="75">
        <f>'[57]PCB Nesting QA'!$L$44</f>
        <v>0.72523809523809513</v>
      </c>
      <c r="G46" s="80">
        <f>'[57]Class Summary'!$E$21</f>
        <v>0</v>
      </c>
      <c r="H46" s="76">
        <f>'[57]Class Summary'!$I$21</f>
        <v>0</v>
      </c>
      <c r="I46" s="76">
        <f t="shared" ref="I46" si="3">G46+H46</f>
        <v>0</v>
      </c>
    </row>
    <row r="47" spans="1:10" hidden="1">
      <c r="A47" s="47">
        <v>47</v>
      </c>
      <c r="B47" s="46" t="s">
        <v>61</v>
      </c>
      <c r="C47" s="46" t="s">
        <v>37</v>
      </c>
      <c r="D47" s="46"/>
      <c r="E47" s="75">
        <f>[58]Performance!$AH$45</f>
        <v>0.81373958333333318</v>
      </c>
      <c r="F47" s="75">
        <f>'[58]PCB Nesting QA'!$L$44</f>
        <v>0.70954545454545448</v>
      </c>
      <c r="G47" s="79">
        <f>'[58]Class Summary'!$E$21</f>
        <v>9.0909090909090912E-2</v>
      </c>
      <c r="H47" s="76">
        <f>'[58]Class Summary'!$I$21</f>
        <v>0.2</v>
      </c>
      <c r="I47" s="43">
        <f>'[31]GradRates - Tier 1'!$S$168</f>
        <v>8.3333333333333329E-2</v>
      </c>
    </row>
    <row r="48" spans="1:10" hidden="1">
      <c r="A48" s="47">
        <v>47</v>
      </c>
      <c r="B48" s="46" t="s">
        <v>61</v>
      </c>
      <c r="C48" s="46" t="s">
        <v>30</v>
      </c>
      <c r="D48" s="46"/>
      <c r="E48" s="75">
        <f>[58]Performance!$AH$45</f>
        <v>0.81373958333333318</v>
      </c>
      <c r="F48" s="75">
        <f>'[58]PCB Nesting QA'!$L$44</f>
        <v>0.70954545454545448</v>
      </c>
      <c r="G48" s="79">
        <f>'[58]Class Summary'!$E$21</f>
        <v>9.0909090909090912E-2</v>
      </c>
      <c r="H48" s="76">
        <f>'[58]Class Summary'!$I$21</f>
        <v>0.2</v>
      </c>
      <c r="I48" s="43">
        <f>'[31]GradRates - Tier 1'!$S$168</f>
        <v>8.3333333333333329E-2</v>
      </c>
    </row>
    <row r="49" spans="1:10" hidden="1">
      <c r="A49" s="47">
        <v>48</v>
      </c>
      <c r="B49" s="46" t="s">
        <v>61</v>
      </c>
      <c r="C49" s="46" t="s">
        <v>23</v>
      </c>
      <c r="D49" s="46"/>
      <c r="E49" s="75">
        <f>[59]Performance!$AF$45</f>
        <v>0.874</v>
      </c>
      <c r="F49" s="75">
        <f>'[59]PCB Nesting QA'!$S$24</f>
        <v>0.81202698412698404</v>
      </c>
      <c r="G49" s="80">
        <f>'[31]GradRates - Tier 1'!$S$169</f>
        <v>0</v>
      </c>
      <c r="H49" s="76">
        <f>'[59]Class Summary'!$I$21</f>
        <v>0</v>
      </c>
      <c r="I49" s="76">
        <f>'[31]GradRates - Tier 1'!$S$169</f>
        <v>0</v>
      </c>
    </row>
    <row r="50" spans="1:10">
      <c r="A50" s="47">
        <v>48</v>
      </c>
      <c r="B50" s="52" t="s">
        <v>61</v>
      </c>
      <c r="C50" s="52" t="s">
        <v>62</v>
      </c>
      <c r="D50" s="52"/>
      <c r="E50" s="75">
        <f>[59]Performance!$AF$45</f>
        <v>0.874</v>
      </c>
      <c r="F50" s="75">
        <f>'[59]PCB Nesting QA'!$S$24</f>
        <v>0.81202698412698404</v>
      </c>
      <c r="G50" s="80">
        <f>'[31]GradRates - Tier 1'!$S$169</f>
        <v>0</v>
      </c>
      <c r="H50" s="76">
        <f>'[59]Class Summary'!$I$21</f>
        <v>0</v>
      </c>
      <c r="I50" s="76">
        <f>'[31]GradRates - Tier 1'!$S$169</f>
        <v>0</v>
      </c>
    </row>
    <row r="51" spans="1:10" hidden="1">
      <c r="A51" s="20">
        <v>49</v>
      </c>
      <c r="B51" s="52" t="s">
        <v>66</v>
      </c>
      <c r="C51" s="52" t="s">
        <v>48</v>
      </c>
      <c r="D51" s="52"/>
      <c r="E51" s="75">
        <f>'[60]Perform Tier 2'!$T$35</f>
        <v>0.97210668131868128</v>
      </c>
      <c r="F51" s="75">
        <f>'[60]PCB Nesting QA'!$L$44</f>
        <v>0.83399999999999996</v>
      </c>
      <c r="G51" s="80">
        <f>'[60]Class Summary'!$E$22</f>
        <v>0</v>
      </c>
      <c r="H51" s="76">
        <f>'[60]Class Summary'!$I$21</f>
        <v>0</v>
      </c>
      <c r="I51" s="76">
        <f>'[31]GradRates - Tier 2'!$M$18</f>
        <v>1</v>
      </c>
      <c r="J51" s="23">
        <f>'[31]GradRates - Tier 2'!I18</f>
        <v>10</v>
      </c>
    </row>
    <row r="52" spans="1:10" hidden="1">
      <c r="A52" s="47">
        <v>50</v>
      </c>
      <c r="B52" s="46" t="s">
        <v>61</v>
      </c>
      <c r="C52" s="46" t="s">
        <v>65</v>
      </c>
      <c r="D52" s="46"/>
      <c r="E52" s="77">
        <f>[61]Performance!$AF$45</f>
        <v>0.88393939393939391</v>
      </c>
      <c r="F52" s="75">
        <f>'[61]PCB Nesting QA'!$S$17</f>
        <v>0.83666666666666667</v>
      </c>
      <c r="G52" s="79">
        <f>'[61]Class Summary'!$E$21</f>
        <v>0.18181818181818182</v>
      </c>
      <c r="H52" s="76">
        <f>'[61]Class Summary'!$I$21</f>
        <v>0.44444444444444442</v>
      </c>
      <c r="I52" s="43">
        <f>'[31]GradRates - Tier 1'!$S$171</f>
        <v>0.45454545454545453</v>
      </c>
    </row>
    <row r="53" spans="1:10" hidden="1">
      <c r="A53" s="47">
        <v>50</v>
      </c>
      <c r="B53" s="46" t="s">
        <v>61</v>
      </c>
      <c r="C53" s="46" t="s">
        <v>27</v>
      </c>
      <c r="D53" s="46"/>
      <c r="E53" s="77">
        <f>[61]Performance!$AF$45</f>
        <v>0.88393939393939391</v>
      </c>
      <c r="F53" s="75">
        <f>'[61]PCB Nesting QA'!$S$17</f>
        <v>0.83666666666666667</v>
      </c>
      <c r="G53" s="79">
        <f>'[61]Class Summary'!$E$21</f>
        <v>0.18181818181818182</v>
      </c>
      <c r="H53" s="23">
        <f>'[61]Class Summary'!$I$21</f>
        <v>0.44444444444444442</v>
      </c>
      <c r="I53" s="43">
        <f>'[31]GradRates - Tier 1'!$S$171</f>
        <v>0.45454545454545453</v>
      </c>
    </row>
    <row r="54" spans="1:10" hidden="1">
      <c r="A54" s="47">
        <v>51</v>
      </c>
      <c r="B54" s="46" t="s">
        <v>61</v>
      </c>
      <c r="C54" s="46" t="s">
        <v>36</v>
      </c>
      <c r="D54" s="46"/>
      <c r="E54" s="77">
        <f>[62]Performance!$AF$45</f>
        <v>0.89393939393939414</v>
      </c>
      <c r="F54" s="75">
        <f>'[62]PCB Nesting QA'!$S$24</f>
        <v>0.76842007992007988</v>
      </c>
      <c r="G54" s="79">
        <f>'[62]Class Summary'!$E$21</f>
        <v>0.25</v>
      </c>
      <c r="H54" s="76">
        <f>'[62]Class Summary'!$I$21</f>
        <v>0</v>
      </c>
      <c r="I54" s="43">
        <f>'[31]GradRates - Tier 1'!$S$172</f>
        <v>9.0909090909090912E-2</v>
      </c>
    </row>
    <row r="55" spans="1:10" hidden="1">
      <c r="A55" s="47">
        <v>51</v>
      </c>
      <c r="B55" s="46" t="s">
        <v>61</v>
      </c>
      <c r="C55" s="46" t="s">
        <v>22</v>
      </c>
      <c r="D55" s="46"/>
      <c r="E55" s="77">
        <f>[62]Performance!$AF$45</f>
        <v>0.89393939393939414</v>
      </c>
      <c r="F55" s="75">
        <f>'[62]PCB Nesting QA'!$S$24</f>
        <v>0.76842007992007988</v>
      </c>
      <c r="G55" s="79">
        <f>'[62]Class Summary'!$E$21</f>
        <v>0.25</v>
      </c>
      <c r="H55" s="76">
        <f>'[62]Class Summary'!$I$21</f>
        <v>0</v>
      </c>
      <c r="I55" s="43">
        <f>'[31]GradRates - Tier 1'!$S$172</f>
        <v>9.0909090909090912E-2</v>
      </c>
    </row>
    <row r="56" spans="1:10" hidden="1">
      <c r="A56" s="47">
        <v>51</v>
      </c>
      <c r="B56" s="46" t="s">
        <v>61</v>
      </c>
      <c r="C56" s="46" t="s">
        <v>44</v>
      </c>
      <c r="D56" s="46"/>
      <c r="E56" s="77">
        <f>[62]Performance!$AF$45</f>
        <v>0.89393939393939414</v>
      </c>
      <c r="F56" s="75">
        <f>'[62]PCB Nesting QA'!$S$24</f>
        <v>0.76842007992007988</v>
      </c>
      <c r="G56" s="79">
        <f>'[62]Class Summary'!$E$21</f>
        <v>0.25</v>
      </c>
      <c r="H56" s="76">
        <f>'[62]Class Summary'!$I$21</f>
        <v>0</v>
      </c>
      <c r="I56" s="43">
        <f>'[31]GradRates - Tier 1'!$S$172</f>
        <v>9.0909090909090912E-2</v>
      </c>
    </row>
    <row r="57" spans="1:10" hidden="1">
      <c r="A57" s="47">
        <v>52</v>
      </c>
      <c r="B57" s="46" t="s">
        <v>66</v>
      </c>
      <c r="C57" s="46" t="s">
        <v>45</v>
      </c>
      <c r="D57" s="46"/>
      <c r="E57" s="77">
        <f>'[63]Perform Tier 2'!$T$35</f>
        <v>0.95967743589743582</v>
      </c>
      <c r="F57" s="75">
        <f>'[63]PCB Nesting QA'!$L$44</f>
        <v>0.82006944444444452</v>
      </c>
      <c r="G57" s="76">
        <f>'[63]Class Summary'!$E$22</f>
        <v>0</v>
      </c>
      <c r="H57" s="76">
        <f>'[63]Class Summary'!$I$21</f>
        <v>0</v>
      </c>
      <c r="I57" s="76">
        <f>'[31]GradRates - Tier 2'!$M$17</f>
        <v>1</v>
      </c>
      <c r="J57" s="34">
        <f>'[31]GradRates - Tier 2'!I25</f>
        <v>0</v>
      </c>
    </row>
    <row r="58" spans="1:10" hidden="1">
      <c r="A58" s="47">
        <v>53</v>
      </c>
      <c r="B58" s="46" t="s">
        <v>61</v>
      </c>
      <c r="C58" s="46" t="s">
        <v>37</v>
      </c>
      <c r="D58" s="46"/>
      <c r="E58" s="77">
        <f>[64]Performance!$AF$45</f>
        <v>0.92177833333333337</v>
      </c>
      <c r="F58" s="75">
        <f>'[64]PCB Nesting QA'!$S$24</f>
        <v>0.7935362554112555</v>
      </c>
      <c r="G58" s="79">
        <f>'[64]Class Summary'!$E$21</f>
        <v>0.36363636363636365</v>
      </c>
      <c r="H58" s="76">
        <f>'[64]Class Summary'!$I$21</f>
        <v>0</v>
      </c>
      <c r="I58" s="43">
        <f>'[31]GradRates - Tier 1'!$S$174</f>
        <v>0.16666666666666666</v>
      </c>
    </row>
    <row r="59" spans="1:10" hidden="1">
      <c r="A59" s="47">
        <v>53</v>
      </c>
      <c r="B59" s="46" t="s">
        <v>61</v>
      </c>
      <c r="C59" s="46" t="s">
        <v>26</v>
      </c>
      <c r="D59" s="46"/>
      <c r="E59" s="77">
        <f>[64]Performance!$AF$45</f>
        <v>0.92177833333333337</v>
      </c>
      <c r="F59" s="75">
        <f>'[64]PCB Nesting QA'!$S$24</f>
        <v>0.7935362554112555</v>
      </c>
      <c r="G59" s="79">
        <f>'[64]Class Summary'!$E$21</f>
        <v>0.36363636363636365</v>
      </c>
      <c r="H59" s="76">
        <f>'[64]Class Summary'!$I$21</f>
        <v>0</v>
      </c>
      <c r="I59" s="43">
        <f>'[31]GradRates - Tier 1'!$S$174</f>
        <v>0.16666666666666666</v>
      </c>
    </row>
    <row r="60" spans="1:10" hidden="1">
      <c r="A60" s="47">
        <v>53</v>
      </c>
      <c r="B60" s="46" t="s">
        <v>61</v>
      </c>
      <c r="C60" s="46" t="s">
        <v>34</v>
      </c>
      <c r="D60" s="46"/>
      <c r="E60" s="77">
        <f>[64]Performance!$AF$45</f>
        <v>0.92177833333333337</v>
      </c>
      <c r="F60" s="75">
        <f>'[64]PCB Nesting QA'!$S$24</f>
        <v>0.7935362554112555</v>
      </c>
      <c r="G60" s="79">
        <f>'[64]Class Summary'!$E$21</f>
        <v>0.36363636363636365</v>
      </c>
      <c r="H60" s="76">
        <f>'[64]Class Summary'!$I$21</f>
        <v>0</v>
      </c>
      <c r="I60" s="43">
        <f>'[31]GradRates - Tier 1'!$S$174</f>
        <v>0.16666666666666666</v>
      </c>
    </row>
    <row r="61" spans="1:10" ht="16.5" hidden="1" customHeight="1">
      <c r="A61" s="47">
        <v>54</v>
      </c>
      <c r="B61" s="46" t="s">
        <v>61</v>
      </c>
      <c r="C61" s="46" t="s">
        <v>27</v>
      </c>
      <c r="D61" s="46"/>
      <c r="E61" s="77">
        <f>[65]Performance!$AH$45</f>
        <v>0.94041666666666657</v>
      </c>
      <c r="F61" s="75">
        <f>'[65]PCB Nesting QA'!$S$24</f>
        <v>0.78400595238095239</v>
      </c>
      <c r="G61" s="79">
        <f>'[65]Class Summary'!$E$21</f>
        <v>0.16666666666666666</v>
      </c>
      <c r="H61" s="23">
        <f>'[65]Class Summary'!$I$21</f>
        <v>0.1</v>
      </c>
      <c r="I61" s="43">
        <f>'[31]GradRates - Tier 1'!$S$175</f>
        <v>0.1</v>
      </c>
    </row>
    <row r="62" spans="1:10" ht="16.5" hidden="1" customHeight="1">
      <c r="A62" s="47">
        <v>54</v>
      </c>
      <c r="B62" s="46" t="s">
        <v>61</v>
      </c>
      <c r="C62" s="46" t="s">
        <v>33</v>
      </c>
      <c r="D62" s="46"/>
      <c r="E62" s="77">
        <f>[65]Performance!$AH$45</f>
        <v>0.94041666666666657</v>
      </c>
      <c r="F62" s="75">
        <f>'[65]PCB Nesting QA'!$S$24</f>
        <v>0.78400595238095239</v>
      </c>
      <c r="G62" s="79">
        <f>'[65]Class Summary'!$E$21</f>
        <v>0.16666666666666666</v>
      </c>
      <c r="H62" s="23">
        <f>'[65]Class Summary'!$I$21</f>
        <v>0.1</v>
      </c>
      <c r="I62" s="43">
        <f>'[31]GradRates - Tier 1'!$S$175</f>
        <v>0.1</v>
      </c>
    </row>
    <row r="63" spans="1:10" hidden="1">
      <c r="A63" s="47">
        <v>55</v>
      </c>
      <c r="B63" s="46" t="s">
        <v>66</v>
      </c>
      <c r="C63" s="46" t="s">
        <v>48</v>
      </c>
      <c r="D63" s="46"/>
      <c r="E63" s="77">
        <f>'[66]Perform Tier 2'!$T$35</f>
        <v>0.96091770833333323</v>
      </c>
      <c r="F63" s="75">
        <f>'[66]PCB Nesting QA'!$L$44</f>
        <v>0.80833333333333324</v>
      </c>
      <c r="G63" s="23">
        <f>'[66]Class Summary'!$E$22</f>
        <v>0</v>
      </c>
      <c r="H63" s="23">
        <f>'[66]Class Summary'!$I$21</f>
        <v>0</v>
      </c>
      <c r="I63" s="43">
        <f>'[31]GradRates - Tier 2'!$M$17</f>
        <v>1</v>
      </c>
      <c r="J63" s="23">
        <f>'[31]GradRates - Tier 2'!I28</f>
        <v>0</v>
      </c>
    </row>
    <row r="64" spans="1:10" hidden="1">
      <c r="A64" s="47">
        <v>56</v>
      </c>
      <c r="B64" s="46" t="s">
        <v>61</v>
      </c>
      <c r="C64" s="46" t="s">
        <v>36</v>
      </c>
      <c r="D64" s="46"/>
      <c r="E64" s="77">
        <f>[67]Performance!$AH$45</f>
        <v>0.95911111111111125</v>
      </c>
      <c r="F64" s="75">
        <f>'[67]PCB Nesting QA'!$D$24</f>
        <v>0.91272727272727261</v>
      </c>
      <c r="G64" s="79">
        <f>'[67]Class Summary'!$E$21</f>
        <v>0.18181818181818182</v>
      </c>
      <c r="H64" s="76">
        <f>'[67]Class Summary'!$I$21</f>
        <v>0.55555555555555558</v>
      </c>
      <c r="I64" s="43">
        <f>'[31]GradRates - Tier 1'!$S$176</f>
        <v>0.16666666666666666</v>
      </c>
    </row>
    <row r="65" spans="1:10" hidden="1">
      <c r="A65" s="47">
        <v>56</v>
      </c>
      <c r="B65" s="46" t="s">
        <v>61</v>
      </c>
      <c r="C65" s="46" t="s">
        <v>32</v>
      </c>
      <c r="D65" s="46"/>
      <c r="E65" s="77">
        <f>[67]Performance!$AH$45</f>
        <v>0.95911111111111125</v>
      </c>
      <c r="F65" s="75">
        <f>'[67]PCB Nesting QA'!$D$24</f>
        <v>0.91272727272727261</v>
      </c>
      <c r="G65" s="79">
        <f>'[67]Class Summary'!$E$21</f>
        <v>0.18181818181818182</v>
      </c>
      <c r="H65" s="76">
        <f>'[67]Class Summary'!$I$21</f>
        <v>0.55555555555555558</v>
      </c>
      <c r="I65" s="43">
        <f>'[31]GradRates - Tier 1'!$S$176</f>
        <v>0.16666666666666666</v>
      </c>
    </row>
    <row r="66" spans="1:10" hidden="1">
      <c r="A66" s="47">
        <v>56</v>
      </c>
      <c r="B66" s="46" t="s">
        <v>61</v>
      </c>
      <c r="C66" s="46" t="s">
        <v>22</v>
      </c>
      <c r="D66" s="46"/>
      <c r="E66" s="77">
        <f>[67]Performance!$AH$45</f>
        <v>0.95911111111111125</v>
      </c>
      <c r="F66" s="75">
        <f>'[67]PCB Nesting QA'!$D$24</f>
        <v>0.91272727272727261</v>
      </c>
      <c r="G66" s="79">
        <f>'[67]Class Summary'!$E$21</f>
        <v>0.18181818181818182</v>
      </c>
      <c r="H66" s="76">
        <f>'[67]Class Summary'!$I$21</f>
        <v>0.55555555555555558</v>
      </c>
      <c r="I66" s="43">
        <f>'[31]GradRates - Tier 1'!$S$176</f>
        <v>0.16666666666666666</v>
      </c>
    </row>
    <row r="67" spans="1:10" hidden="1">
      <c r="A67" s="95">
        <v>57</v>
      </c>
      <c r="B67" s="52" t="s">
        <v>67</v>
      </c>
      <c r="C67" s="52" t="s">
        <v>20</v>
      </c>
      <c r="D67" s="52"/>
      <c r="E67" s="96"/>
      <c r="F67" s="97">
        <f>'[68]PCB Nesting QA'!$H$24</f>
        <v>0.75449999999999995</v>
      </c>
      <c r="G67" s="98">
        <f>'[68]Class Summary'!$E$21</f>
        <v>0</v>
      </c>
      <c r="H67" s="98">
        <f>'[68]Class Summary'!$I$21</f>
        <v>0</v>
      </c>
      <c r="I67" s="99">
        <f t="shared" ref="I67:I72" si="4">G67+H67</f>
        <v>0</v>
      </c>
    </row>
    <row r="68" spans="1:10" hidden="1">
      <c r="A68" s="90">
        <v>1</v>
      </c>
      <c r="B68" s="46" t="s">
        <v>68</v>
      </c>
      <c r="C68" s="46" t="s">
        <v>50</v>
      </c>
      <c r="D68" s="46"/>
      <c r="E68" s="91">
        <f>[69]Performance!$AF$36</f>
        <v>0.94310000000000016</v>
      </c>
      <c r="F68" s="91">
        <f>'[69]Nesting QA'!$M$33</f>
        <v>0.60153333333333336</v>
      </c>
      <c r="G68" s="92">
        <f>'[69]Class Summary'!$F$19</f>
        <v>0</v>
      </c>
      <c r="H68" s="92">
        <f>'[69]Class Summary'!$J$19</f>
        <v>0.66666666666666663</v>
      </c>
      <c r="I68" s="93">
        <f t="shared" si="4"/>
        <v>0.66666666666666663</v>
      </c>
    </row>
    <row r="69" spans="1:10" hidden="1">
      <c r="A69" s="90">
        <v>2</v>
      </c>
      <c r="B69" s="46" t="s">
        <v>68</v>
      </c>
      <c r="C69" s="46" t="s">
        <v>50</v>
      </c>
      <c r="D69" s="46"/>
      <c r="E69" s="91">
        <f>[70]Performance!$AF$36</f>
        <v>0.96414285714285719</v>
      </c>
      <c r="F69" s="91">
        <f>'[70]Nesting QA'!$M$33</f>
        <v>0.87354999999999994</v>
      </c>
      <c r="G69" s="92">
        <f>'[70]Class Summary'!$F$19</f>
        <v>0.5</v>
      </c>
      <c r="H69" s="92">
        <f>'[70]Class Summary'!$J$19</f>
        <v>0</v>
      </c>
      <c r="I69" s="93">
        <f t="shared" si="4"/>
        <v>0.5</v>
      </c>
    </row>
    <row r="70" spans="1:10" hidden="1">
      <c r="A70" s="90">
        <v>3</v>
      </c>
      <c r="B70" s="46" t="s">
        <v>68</v>
      </c>
      <c r="C70" s="46" t="s">
        <v>50</v>
      </c>
      <c r="D70" s="46"/>
      <c r="E70" s="94">
        <f>[71]Performance!$AF$36</f>
        <v>0.95036428571428577</v>
      </c>
      <c r="F70" s="94">
        <f>'[71]Nesting QA'!$M$33</f>
        <v>0.80460000000000009</v>
      </c>
      <c r="G70" s="92">
        <f>'[71]Class Summary'!$F$19</f>
        <v>0</v>
      </c>
      <c r="H70" s="92">
        <f>'[71]Class Summary'!$J$19</f>
        <v>0</v>
      </c>
      <c r="I70" s="93">
        <f t="shared" si="4"/>
        <v>0</v>
      </c>
    </row>
    <row r="71" spans="1:10" hidden="1">
      <c r="A71" s="90">
        <v>4</v>
      </c>
      <c r="B71" s="46" t="s">
        <v>68</v>
      </c>
      <c r="C71" s="46" t="s">
        <v>50</v>
      </c>
      <c r="D71" s="46"/>
      <c r="E71" s="94">
        <f>[72]Performance!$AF$36</f>
        <v>0.94839047619047623</v>
      </c>
      <c r="F71" s="91">
        <f>'[72]Nesting QA'!$M$33</f>
        <v>0.78927499999999995</v>
      </c>
      <c r="G71" s="92">
        <f>'[72]Class Summary'!$F$19</f>
        <v>0</v>
      </c>
      <c r="H71" s="92">
        <f>'[72]Class Summary'!$J$19</f>
        <v>0</v>
      </c>
      <c r="I71" s="93">
        <f t="shared" si="4"/>
        <v>0</v>
      </c>
    </row>
    <row r="72" spans="1:10" hidden="1">
      <c r="A72" s="90">
        <v>5</v>
      </c>
      <c r="B72" s="46" t="s">
        <v>68</v>
      </c>
      <c r="C72" s="46" t="s">
        <v>50</v>
      </c>
      <c r="D72" s="46"/>
      <c r="E72" s="94">
        <f>[73]Performance!$AF$36</f>
        <v>0.95194999999999996</v>
      </c>
      <c r="F72" s="91">
        <f>'[73]Nesting QA'!$M$33</f>
        <v>0.79309999999999992</v>
      </c>
      <c r="G72" s="92">
        <f>'[73]Class Summary'!$F$19</f>
        <v>0</v>
      </c>
      <c r="H72" s="92">
        <f>'[73]Class Summary'!$J$19</f>
        <v>0</v>
      </c>
      <c r="I72" s="93">
        <f t="shared" si="4"/>
        <v>0</v>
      </c>
    </row>
    <row r="73" spans="1:10" hidden="1">
      <c r="A73" s="90">
        <v>1</v>
      </c>
      <c r="B73" s="100" t="s">
        <v>69</v>
      </c>
      <c r="C73" s="100" t="s">
        <v>40</v>
      </c>
      <c r="D73" s="90"/>
      <c r="E73" s="94">
        <f>[74]Performance!$AD$36</f>
        <v>0.87624999999999986</v>
      </c>
      <c r="F73" s="94"/>
      <c r="G73" s="94">
        <f>'[74]Class Summary'!F19</f>
        <v>0</v>
      </c>
      <c r="H73" s="94">
        <f>'[74]Class Summary'!J19</f>
        <v>7.6923076923076927E-2</v>
      </c>
      <c r="I73" s="94">
        <f>'[74]Class Summary'!J19</f>
        <v>7.6923076923076927E-2</v>
      </c>
    </row>
    <row r="74" spans="1:10" hidden="1">
      <c r="A74" s="90">
        <v>1</v>
      </c>
      <c r="B74" s="100" t="s">
        <v>69</v>
      </c>
      <c r="C74" s="100" t="s">
        <v>38</v>
      </c>
      <c r="D74" s="90"/>
      <c r="E74" s="94">
        <f>[74]Performance!$AD$36</f>
        <v>0.87624999999999986</v>
      </c>
      <c r="F74" s="94" t="e" vm="1">
        <f>'[74]Nesting QA'!M36</f>
        <v>#VALUE!</v>
      </c>
      <c r="G74" s="94">
        <f>'[74]Class Summary'!F19</f>
        <v>0</v>
      </c>
      <c r="H74" s="94">
        <f>'[74]Class Summary'!J19</f>
        <v>7.6923076923076927E-2</v>
      </c>
      <c r="I74" s="94">
        <f>'[74]Class Summary'!J19</f>
        <v>7.6923076923076927E-2</v>
      </c>
    </row>
    <row r="75" spans="1:10" hidden="1">
      <c r="A75" s="90">
        <v>2</v>
      </c>
      <c r="B75" s="100" t="s">
        <v>69</v>
      </c>
      <c r="C75" s="100" t="s">
        <v>38</v>
      </c>
      <c r="D75" s="90"/>
      <c r="E75" s="94"/>
      <c r="F75" s="94" t="e" vm="1">
        <f>'[75]Nesting QA'!M36</f>
        <v>#VALUE!</v>
      </c>
      <c r="G75" s="94">
        <f>'[75]Class Summary'!F19</f>
        <v>0.29411764705882354</v>
      </c>
      <c r="H75" s="94">
        <f>'[75]Class Summary'!J19</f>
        <v>0.16666666666666666</v>
      </c>
      <c r="I75" s="94">
        <f>H75+G75</f>
        <v>0.46078431372549022</v>
      </c>
    </row>
    <row r="76" spans="1:10" hidden="1">
      <c r="A76" s="90">
        <v>3</v>
      </c>
      <c r="B76" s="100" t="s">
        <v>69</v>
      </c>
      <c r="C76" s="100" t="s">
        <v>38</v>
      </c>
      <c r="D76" s="90"/>
      <c r="E76" s="94"/>
      <c r="F76" s="94">
        <f>'[76]Nesting QA'!M33</f>
        <v>0.81449999999999989</v>
      </c>
      <c r="G76" s="94">
        <f>'[76]Class Summary'!F19</f>
        <v>0.1875</v>
      </c>
      <c r="H76" s="94">
        <f>'[76]Class Summary'!J19</f>
        <v>0</v>
      </c>
      <c r="I76" s="94">
        <f>H76+G76</f>
        <v>0.1875</v>
      </c>
    </row>
    <row r="77" spans="1:10" hidden="1">
      <c r="A77" s="90">
        <v>3</v>
      </c>
      <c r="B77" s="100" t="s">
        <v>69</v>
      </c>
      <c r="C77" s="100" t="s">
        <v>40</v>
      </c>
      <c r="D77" s="90"/>
      <c r="E77" s="94"/>
      <c r="F77" s="94">
        <f>'[76]Nesting QA'!M33</f>
        <v>0.81449999999999989</v>
      </c>
      <c r="G77" s="94">
        <f>'[76]Class Summary'!F19</f>
        <v>0.1875</v>
      </c>
      <c r="H77" s="94">
        <f>'[76]Class Summary'!I19</f>
        <v>0</v>
      </c>
      <c r="I77" s="94">
        <f>H77+G77</f>
        <v>0.1875</v>
      </c>
    </row>
    <row r="78" spans="1:10" hidden="1">
      <c r="A78" s="90">
        <v>4</v>
      </c>
      <c r="B78" s="100" t="s">
        <v>69</v>
      </c>
      <c r="C78" s="100" t="s">
        <v>38</v>
      </c>
      <c r="D78" s="90"/>
      <c r="E78" s="94"/>
      <c r="F78" s="94">
        <f>'[77]Nesting QA'!M33</f>
        <v>0.79771428571428582</v>
      </c>
      <c r="G78" s="94">
        <f>'[77]Class Summary'!F19</f>
        <v>0.15384615384615385</v>
      </c>
      <c r="H78" s="94">
        <f>'[77]Class Summary'!I19</f>
        <v>0</v>
      </c>
      <c r="I78" s="94">
        <f>H78+G78</f>
        <v>0.15384615384615385</v>
      </c>
    </row>
    <row r="79" spans="1:10" hidden="1">
      <c r="A79" s="90">
        <v>4</v>
      </c>
      <c r="B79" s="100" t="s">
        <v>69</v>
      </c>
      <c r="C79" s="100" t="s">
        <v>40</v>
      </c>
      <c r="D79" s="46"/>
      <c r="E79" s="94"/>
      <c r="F79" s="94">
        <f>'[77]Nesting QA'!M33</f>
        <v>0.79771428571428582</v>
      </c>
      <c r="G79" s="94">
        <f>'[77]Class Summary'!F19</f>
        <v>0.15384615384615385</v>
      </c>
      <c r="H79" s="94">
        <f>'[77]Class Summary'!I19</f>
        <v>0</v>
      </c>
      <c r="I79" s="94">
        <f>H79+G79</f>
        <v>0.15384615384615385</v>
      </c>
    </row>
    <row r="80" spans="1:10" hidden="1">
      <c r="A80" s="90">
        <v>1</v>
      </c>
      <c r="B80" s="46" t="s">
        <v>66</v>
      </c>
      <c r="C80" s="46" t="s">
        <v>45</v>
      </c>
      <c r="D80" s="46"/>
      <c r="E80" s="77">
        <f>'[78]Perform Tier 2'!$T$35</f>
        <v>0.98791666666666667</v>
      </c>
      <c r="F80" s="75">
        <f>'[78]PCB Nesting QA'!$L$44</f>
        <v>0.91500000000000004</v>
      </c>
      <c r="G80" s="23">
        <f>'[78]Class Summary'!$E$22</f>
        <v>0</v>
      </c>
      <c r="H80" s="23">
        <f>'[78]Class Summary'!$I$21</f>
        <v>0</v>
      </c>
      <c r="I80" s="99">
        <f t="shared" ref="I80:I81" si="5">G80+H80</f>
        <v>0</v>
      </c>
      <c r="J80" s="23">
        <f>'[31]GradRates - Tier 2'!M22</f>
        <v>1</v>
      </c>
    </row>
    <row r="81" spans="1:9" hidden="1">
      <c r="A81" s="90">
        <v>2</v>
      </c>
      <c r="B81" s="46" t="s">
        <v>63</v>
      </c>
      <c r="C81" s="46" t="s">
        <v>32</v>
      </c>
      <c r="D81" s="46"/>
      <c r="E81" s="96"/>
      <c r="F81" s="97">
        <f>'[79]PCB Nesting QA'!$H$24</f>
        <v>0.7767857142857143</v>
      </c>
      <c r="G81" s="98">
        <f>'[79]Class Summary'!$E$21</f>
        <v>7.1428571428571425E-2</v>
      </c>
      <c r="H81" s="98">
        <f>'[79]Class Summary'!$I$21</f>
        <v>0</v>
      </c>
      <c r="I81" s="99">
        <f t="shared" si="5"/>
        <v>7.1428571428571425E-2</v>
      </c>
    </row>
    <row r="82" spans="1:9" hidden="1">
      <c r="A82" s="90">
        <v>3</v>
      </c>
      <c r="B82" s="46" t="s">
        <v>61</v>
      </c>
      <c r="C82" s="46" t="s">
        <v>65</v>
      </c>
      <c r="D82" s="102"/>
      <c r="E82" s="77">
        <f>[80]Performance!$AH$45</f>
        <v>0.89809523809523806</v>
      </c>
      <c r="F82" s="75">
        <f>'[80]PCB Nesting QA'!$D$24</f>
        <v>0.86166666666666669</v>
      </c>
      <c r="G82" s="79">
        <f>'[80]Class Summary'!$E$21</f>
        <v>0.33333333333333331</v>
      </c>
      <c r="H82" s="76">
        <f>'[80]Class Summary'!$I$21</f>
        <v>0</v>
      </c>
      <c r="I82" s="43">
        <f>'[31]GradRates - Tier 1'!$S$180</f>
        <v>0</v>
      </c>
    </row>
    <row r="83" spans="1:9" hidden="1">
      <c r="A83" s="90">
        <v>3</v>
      </c>
      <c r="B83" s="46" t="s">
        <v>61</v>
      </c>
      <c r="C83" s="102" t="s">
        <v>33</v>
      </c>
      <c r="D83" s="102"/>
      <c r="E83" s="77">
        <f>[80]Performance!$AH$45</f>
        <v>0.89809523809523806</v>
      </c>
      <c r="F83" s="75">
        <f>'[80]PCB Nesting QA'!$D$24</f>
        <v>0.86166666666666669</v>
      </c>
      <c r="G83" s="79">
        <f>'[80]Class Summary'!$E$21</f>
        <v>0.33333333333333331</v>
      </c>
      <c r="H83" s="76">
        <f>'[80]Class Summary'!$I$21</f>
        <v>0</v>
      </c>
      <c r="I83" s="43">
        <f>'[31]GradRates - Tier 1'!$S$180</f>
        <v>0</v>
      </c>
    </row>
    <row r="84" spans="1:9" hidden="1">
      <c r="A84" s="90">
        <v>4</v>
      </c>
      <c r="B84" s="46" t="s">
        <v>61</v>
      </c>
      <c r="C84" s="46" t="s">
        <v>27</v>
      </c>
      <c r="D84" s="46"/>
      <c r="E84" s="77">
        <f>[81]Performance!$AH$45</f>
        <v>0.79814814814814805</v>
      </c>
      <c r="F84" s="75">
        <f>'[81]PCB Nesting QA'!$D$24</f>
        <v>0.55142857142857138</v>
      </c>
      <c r="G84" s="79">
        <f>'[81]Class Summary'!$E$21</f>
        <v>0.125</v>
      </c>
      <c r="H84" s="76">
        <f>'[81]Class Summary'!$I$21</f>
        <v>0.14285714285714285</v>
      </c>
      <c r="I84" s="43">
        <f>'[31]GradRates - Tier 1'!$S$181</f>
        <v>0.125</v>
      </c>
    </row>
    <row r="85" spans="1:9" hidden="1">
      <c r="A85" s="90">
        <v>4</v>
      </c>
      <c r="B85" s="46" t="s">
        <v>61</v>
      </c>
      <c r="C85" s="46" t="s">
        <v>34</v>
      </c>
      <c r="D85" s="46"/>
      <c r="E85" s="77">
        <f>[81]Performance!$AH$45</f>
        <v>0.79814814814814805</v>
      </c>
      <c r="F85" s="75">
        <f>'[81]PCB Nesting QA'!$D$24</f>
        <v>0.55142857142857138</v>
      </c>
      <c r="G85" s="79">
        <f>'[81]Class Summary'!$E$21</f>
        <v>0.125</v>
      </c>
      <c r="H85" s="76">
        <f>'[81]Class Summary'!$I$21</f>
        <v>0.14285714285714285</v>
      </c>
      <c r="I85" s="43">
        <f>'[31]GradRates - Tier 1'!$S$181</f>
        <v>0.125</v>
      </c>
    </row>
    <row r="86" spans="1:9" hidden="1">
      <c r="A86" s="101">
        <v>5</v>
      </c>
      <c r="B86" s="52" t="s">
        <v>61</v>
      </c>
      <c r="C86" s="52" t="s">
        <v>22</v>
      </c>
      <c r="D86" s="30"/>
      <c r="E86" s="77">
        <f>[82]Performance!$AH$45</f>
        <v>0.95897435897435901</v>
      </c>
      <c r="F86" s="75">
        <f>'[82]PCB Nesting QA'!$D$24</f>
        <v>0.78</v>
      </c>
      <c r="G86" s="79">
        <f>'[82]Class Summary'!$E$21</f>
        <v>0</v>
      </c>
      <c r="H86" s="76">
        <f>'[82]Class Summary'!$I$21</f>
        <v>0</v>
      </c>
      <c r="I86" s="43">
        <f>'[31]GradRates - Tier 1'!$S$182</f>
        <v>0</v>
      </c>
    </row>
    <row r="87" spans="1:9" hidden="1">
      <c r="A87" s="101">
        <v>5</v>
      </c>
      <c r="B87" s="52" t="s">
        <v>61</v>
      </c>
      <c r="C87" s="30" t="s">
        <v>70</v>
      </c>
      <c r="D87" s="30"/>
      <c r="E87" s="77">
        <f>[82]Performance!$AH$45</f>
        <v>0.95897435897435901</v>
      </c>
      <c r="F87" s="75">
        <f>'[82]PCB Nesting QA'!$D$24</f>
        <v>0.78</v>
      </c>
      <c r="G87" s="79">
        <f>'[82]Class Summary'!$E$21</f>
        <v>0</v>
      </c>
      <c r="H87" s="76">
        <f>'[82]Class Summary'!$I$21</f>
        <v>0</v>
      </c>
      <c r="I87" s="43">
        <f>'[31]GradRates - Tier 1'!$S$182</f>
        <v>0</v>
      </c>
    </row>
    <row r="88" spans="1:9" hidden="1">
      <c r="A88" s="90">
        <v>6</v>
      </c>
      <c r="B88" s="46" t="s">
        <v>61</v>
      </c>
      <c r="C88" s="46" t="s">
        <v>31</v>
      </c>
      <c r="D88" s="46"/>
      <c r="E88" s="77">
        <f>[83]Performance!$AH$45</f>
        <v>0.91562499999999991</v>
      </c>
      <c r="F88" s="75">
        <f>'[83]PCB Nesting QA'!$S$24</f>
        <v>0.85200297619047616</v>
      </c>
      <c r="G88" s="79">
        <f>'[83]Class Summary'!$E$21</f>
        <v>0</v>
      </c>
      <c r="H88" s="76">
        <f>'[83]Class Summary'!$I$21</f>
        <v>0</v>
      </c>
      <c r="I88" s="43">
        <f>'[31]GradRates - Tier 1'!$S$183</f>
        <v>0.14285714285714285</v>
      </c>
    </row>
    <row r="89" spans="1:9" hidden="1">
      <c r="A89" s="90">
        <v>6</v>
      </c>
      <c r="B89" s="46" t="s">
        <v>61</v>
      </c>
      <c r="C89" s="46" t="s">
        <v>30</v>
      </c>
      <c r="D89" s="46"/>
      <c r="E89" s="77">
        <f>[83]Performance!$AH$45</f>
        <v>0.91562499999999991</v>
      </c>
      <c r="F89" s="75">
        <f>'[83]PCB Nesting QA'!$S$24</f>
        <v>0.85200297619047616</v>
      </c>
      <c r="G89" s="79">
        <f>'[83]Class Summary'!$E$21</f>
        <v>0</v>
      </c>
      <c r="H89" s="76">
        <f>'[83]Class Summary'!$I$21</f>
        <v>0</v>
      </c>
      <c r="I89" s="43">
        <f>'[31]GradRates - Tier 1'!$S$183</f>
        <v>0.14285714285714285</v>
      </c>
    </row>
    <row r="90" spans="1:9" hidden="1">
      <c r="A90" s="90">
        <v>7</v>
      </c>
      <c r="B90" s="46" t="s">
        <v>63</v>
      </c>
      <c r="C90" s="46" t="s">
        <v>20</v>
      </c>
      <c r="D90" s="46"/>
      <c r="E90" s="96"/>
      <c r="F90" s="97">
        <f>'[84]PCB Nesting QA'!$H$24</f>
        <v>0.82666666666666677</v>
      </c>
      <c r="G90" s="98">
        <f>'[84]Class Summary'!$E$21</f>
        <v>0</v>
      </c>
      <c r="H90" s="98">
        <f>'[84]Class Summary'!$I$21</f>
        <v>0.16666666666666666</v>
      </c>
      <c r="I90" s="99">
        <f t="shared" ref="I90" si="6">G90+H90</f>
        <v>0.16666666666666666</v>
      </c>
    </row>
    <row r="91" spans="1:9" hidden="1">
      <c r="A91" s="90">
        <v>8</v>
      </c>
      <c r="B91" s="46" t="s">
        <v>61</v>
      </c>
      <c r="C91" s="46" t="s">
        <v>23</v>
      </c>
      <c r="D91" s="46"/>
      <c r="E91" s="77">
        <f>[85]Performance!$AH$45</f>
        <v>0</v>
      </c>
      <c r="F91" s="75">
        <f>'[85]PCB Nesting QA'!$D$24</f>
        <v>0.7977777777777777</v>
      </c>
      <c r="G91" s="79">
        <f>'[85]Class Summary'!$E$21</f>
        <v>0</v>
      </c>
      <c r="H91" s="76">
        <f>'[85]Class Summary'!$I$21</f>
        <v>0</v>
      </c>
      <c r="I91" s="43">
        <f>'[31]GradRates - Tier 1'!$S$185</f>
        <v>0.18181818181818182</v>
      </c>
    </row>
    <row r="92" spans="1:9" hidden="1">
      <c r="A92" s="90">
        <v>8</v>
      </c>
      <c r="B92" s="46" t="s">
        <v>61</v>
      </c>
      <c r="C92" s="46" t="s">
        <v>44</v>
      </c>
      <c r="D92" s="46"/>
      <c r="E92" s="77"/>
      <c r="F92" s="75">
        <f>'[85]PCB Nesting QA'!$D$24</f>
        <v>0.7977777777777777</v>
      </c>
      <c r="G92" s="79">
        <f>'[85]Class Summary'!$E$21</f>
        <v>0</v>
      </c>
      <c r="H92" s="76">
        <f>'[85]Class Summary'!$I$21</f>
        <v>0</v>
      </c>
      <c r="I92" s="43">
        <f>'[31]GradRates - Tier 1'!$S$185</f>
        <v>0.18181818181818182</v>
      </c>
    </row>
    <row r="93" spans="1:9" hidden="1">
      <c r="A93" s="90">
        <v>5</v>
      </c>
      <c r="B93" s="46" t="s">
        <v>69</v>
      </c>
      <c r="C93" s="46" t="s">
        <v>40</v>
      </c>
      <c r="D93" s="46"/>
      <c r="E93" s="94"/>
      <c r="F93" s="94"/>
      <c r="G93" s="94" t="e" vm="1">
        <f>'[86]Class Summary'!F28</f>
        <v>#VALUE!</v>
      </c>
      <c r="H93" s="94" t="e" vm="1">
        <f>'[86]Class Summary'!I28</f>
        <v>#VALUE!</v>
      </c>
      <c r="I93" s="94" t="e" vm="2">
        <f>H93+G93</f>
        <v>#VALUE!</v>
      </c>
    </row>
    <row r="94" spans="1:9" hidden="1">
      <c r="A94" s="101">
        <v>1</v>
      </c>
      <c r="B94" s="52" t="s">
        <v>68</v>
      </c>
      <c r="C94" s="52" t="s">
        <v>50</v>
      </c>
      <c r="D94" s="52"/>
      <c r="E94" s="104">
        <f>[87]Performance!$AF$36</f>
        <v>0.96171428571428574</v>
      </c>
      <c r="F94" s="105">
        <f>'[87]Nesting QA'!$M$33</f>
        <v>0.92340500000000003</v>
      </c>
      <c r="G94" s="106">
        <f>'[87]Class Summary'!$F$19</f>
        <v>0</v>
      </c>
      <c r="H94" s="106">
        <f>'[87]Class Summary'!$J$19</f>
        <v>0</v>
      </c>
      <c r="I94" s="107">
        <f t="shared" ref="I94" si="7">G94+H94</f>
        <v>0</v>
      </c>
    </row>
    <row r="95" spans="1:9">
      <c r="A95" s="90"/>
      <c r="B95" s="46"/>
      <c r="C95" s="46"/>
      <c r="D95" s="46"/>
      <c r="E95" s="77"/>
      <c r="F95" s="75"/>
      <c r="G95" s="79"/>
      <c r="H95" s="76"/>
      <c r="I95" s="43"/>
    </row>
    <row r="96" spans="1:9">
      <c r="A96" s="101"/>
      <c r="B96" s="52"/>
      <c r="C96" s="52"/>
      <c r="D96" s="52"/>
      <c r="E96" s="108"/>
      <c r="F96" s="97"/>
      <c r="G96" s="109"/>
      <c r="H96" s="98"/>
      <c r="I96" s="110"/>
    </row>
    <row r="97" spans="1:9">
      <c r="A97" s="90"/>
      <c r="B97" s="46"/>
      <c r="C97" s="46"/>
      <c r="D97" s="46"/>
      <c r="E97" s="46"/>
      <c r="F97" s="97"/>
      <c r="G97" s="98"/>
      <c r="H97" s="98"/>
      <c r="I97" s="99"/>
    </row>
    <row r="98" spans="1:9">
      <c r="G98" s="24"/>
      <c r="H98" s="24"/>
    </row>
    <row r="99" spans="1:9">
      <c r="G99" s="24"/>
      <c r="H99" s="24"/>
      <c r="I99" s="34"/>
    </row>
    <row r="100" spans="1:9">
      <c r="G100" s="24"/>
      <c r="H100" s="24"/>
    </row>
    <row r="101" spans="1:9">
      <c r="G101" s="24"/>
      <c r="H101" s="24"/>
    </row>
    <row r="102" spans="1:9">
      <c r="G102" s="24"/>
      <c r="H102" s="24"/>
    </row>
    <row r="103" spans="1:9">
      <c r="G103" s="24"/>
      <c r="H103" s="24"/>
    </row>
    <row r="104" spans="1:9">
      <c r="G104" s="24"/>
      <c r="H104" s="24"/>
    </row>
    <row r="105" spans="1:9">
      <c r="G105" s="24"/>
      <c r="H105" s="24"/>
    </row>
    <row r="106" spans="1:9">
      <c r="G106" s="24"/>
      <c r="H106" s="24"/>
    </row>
    <row r="107" spans="1:9">
      <c r="G107" s="24"/>
      <c r="H107" s="24"/>
    </row>
    <row r="108" spans="1:9">
      <c r="G108" s="24"/>
      <c r="H108" s="24"/>
    </row>
    <row r="109" spans="1:9">
      <c r="G109" s="24"/>
      <c r="H109" s="24"/>
    </row>
    <row r="110" spans="1:9">
      <c r="G110" s="24"/>
      <c r="H110" s="24"/>
    </row>
    <row r="111" spans="1:9">
      <c r="G111" s="24"/>
      <c r="H111" s="24"/>
    </row>
    <row r="112" spans="1:9">
      <c r="G112" s="24"/>
      <c r="H112" s="24"/>
    </row>
    <row r="113" spans="7:8">
      <c r="G113" s="24"/>
      <c r="H113" s="24"/>
    </row>
    <row r="114" spans="7:8">
      <c r="G114" s="24"/>
      <c r="H114" s="24"/>
    </row>
    <row r="115" spans="7:8">
      <c r="G115" s="24"/>
      <c r="H115" s="24"/>
    </row>
    <row r="116" spans="7:8">
      <c r="G116" s="24"/>
      <c r="H116" s="24"/>
    </row>
    <row r="117" spans="7:8">
      <c r="G117" s="24"/>
      <c r="H117" s="24"/>
    </row>
    <row r="118" spans="7:8">
      <c r="G118" s="24"/>
      <c r="H118" s="24"/>
    </row>
    <row r="119" spans="7:8">
      <c r="G119" s="22"/>
      <c r="H119" s="22"/>
    </row>
    <row r="120" spans="7:8">
      <c r="G120" s="22"/>
      <c r="H120" s="22"/>
    </row>
    <row r="121" spans="7:8">
      <c r="G121" s="22"/>
      <c r="H121" s="22"/>
    </row>
    <row r="122" spans="7:8">
      <c r="G122" s="22"/>
      <c r="H122" s="22"/>
    </row>
    <row r="123" spans="7:8">
      <c r="G123" s="22"/>
      <c r="H123" s="22"/>
    </row>
    <row r="124" spans="7:8">
      <c r="G124" s="22"/>
      <c r="H124" s="22"/>
    </row>
    <row r="125" spans="7:8">
      <c r="G125" s="22"/>
      <c r="H125" s="22"/>
    </row>
    <row r="126" spans="7:8">
      <c r="G126" s="22"/>
      <c r="H126" s="22"/>
    </row>
    <row r="127" spans="7:8">
      <c r="G127" s="22"/>
      <c r="H127" s="22"/>
    </row>
    <row r="128" spans="7:8">
      <c r="G128" s="22"/>
      <c r="H128" s="22"/>
    </row>
    <row r="129" spans="7:8">
      <c r="G129" s="22"/>
      <c r="H129" s="22"/>
    </row>
    <row r="130" spans="7:8">
      <c r="G130" s="22"/>
      <c r="H130" s="22"/>
    </row>
    <row r="131" spans="7:8">
      <c r="G131" s="22"/>
      <c r="H131" s="22"/>
    </row>
    <row r="132" spans="7:8">
      <c r="G132" s="22"/>
      <c r="H132" s="22"/>
    </row>
    <row r="133" spans="7:8">
      <c r="G133" s="22"/>
      <c r="H133" s="22"/>
    </row>
    <row r="134" spans="7:8">
      <c r="G134" s="22"/>
      <c r="H134" s="22"/>
    </row>
    <row r="135" spans="7:8">
      <c r="G135" s="22"/>
      <c r="H135" s="22"/>
    </row>
    <row r="136" spans="7:8">
      <c r="G136" s="22"/>
      <c r="H136" s="22"/>
    </row>
    <row r="137" spans="7:8">
      <c r="G137" s="22"/>
      <c r="H137" s="22"/>
    </row>
    <row r="138" spans="7:8">
      <c r="G138" s="22"/>
      <c r="H138" s="22"/>
    </row>
    <row r="139" spans="7:8">
      <c r="G139" s="22"/>
      <c r="H139" s="22"/>
    </row>
    <row r="140" spans="7:8">
      <c r="G140" s="22"/>
      <c r="H140" s="22"/>
    </row>
    <row r="141" spans="7:8">
      <c r="G141" s="22"/>
      <c r="H141" s="22"/>
    </row>
    <row r="142" spans="7:8">
      <c r="G142" s="22"/>
      <c r="H142" s="22"/>
    </row>
    <row r="143" spans="7:8">
      <c r="G143" s="22"/>
      <c r="H143" s="22"/>
    </row>
    <row r="144" spans="7:8">
      <c r="G144" s="22"/>
      <c r="H144" s="22"/>
    </row>
    <row r="145" spans="7:8">
      <c r="G145" s="22"/>
      <c r="H145" s="22"/>
    </row>
    <row r="146" spans="7:8">
      <c r="G146" s="22"/>
      <c r="H146" s="22"/>
    </row>
    <row r="147" spans="7:8">
      <c r="G147" s="22"/>
      <c r="H147" s="22"/>
    </row>
    <row r="148" spans="7:8">
      <c r="G148" s="22"/>
      <c r="H148" s="22"/>
    </row>
    <row r="149" spans="7:8">
      <c r="G149" s="22"/>
      <c r="H149" s="22"/>
    </row>
    <row r="150" spans="7:8">
      <c r="G150" s="22"/>
      <c r="H150" s="22"/>
    </row>
    <row r="151" spans="7:8">
      <c r="G151" s="22"/>
      <c r="H151" s="22"/>
    </row>
    <row r="152" spans="7:8">
      <c r="G152" s="22"/>
      <c r="H152" s="22"/>
    </row>
    <row r="153" spans="7:8">
      <c r="G153" s="22"/>
      <c r="H153" s="22"/>
    </row>
    <row r="154" spans="7:8">
      <c r="G154" s="22"/>
      <c r="H154" s="22"/>
    </row>
    <row r="155" spans="7:8">
      <c r="G155" s="22"/>
      <c r="H155" s="22"/>
    </row>
    <row r="156" spans="7:8">
      <c r="G156" s="22"/>
      <c r="H156" s="22"/>
    </row>
    <row r="157" spans="7:8">
      <c r="G157" s="22"/>
      <c r="H157" s="22"/>
    </row>
    <row r="158" spans="7:8">
      <c r="G158" s="22"/>
      <c r="H158" s="22"/>
    </row>
    <row r="159" spans="7:8">
      <c r="G159" s="22"/>
      <c r="H159" s="22"/>
    </row>
    <row r="160" spans="7:8">
      <c r="G160" s="22"/>
      <c r="H160" s="22"/>
    </row>
    <row r="161" spans="7:8">
      <c r="G161" s="22"/>
      <c r="H161" s="22"/>
    </row>
    <row r="162" spans="7:8">
      <c r="G162" s="22"/>
      <c r="H162" s="22"/>
    </row>
    <row r="163" spans="7:8">
      <c r="G163" s="22"/>
      <c r="H163" s="22"/>
    </row>
    <row r="164" spans="7:8">
      <c r="G164" s="22"/>
      <c r="H164" s="22"/>
    </row>
    <row r="165" spans="7:8">
      <c r="G165" s="22"/>
      <c r="H165" s="22"/>
    </row>
    <row r="166" spans="7:8">
      <c r="G166" s="22"/>
      <c r="H166" s="22"/>
    </row>
    <row r="167" spans="7:8">
      <c r="G167" s="22"/>
      <c r="H167" s="22"/>
    </row>
    <row r="168" spans="7:8">
      <c r="G168" s="22"/>
      <c r="H168" s="22"/>
    </row>
    <row r="169" spans="7:8">
      <c r="G169" s="22"/>
      <c r="H169" s="22"/>
    </row>
    <row r="170" spans="7:8">
      <c r="G170" s="22"/>
      <c r="H170" s="22"/>
    </row>
    <row r="171" spans="7:8">
      <c r="G171" s="22"/>
      <c r="H171" s="22"/>
    </row>
    <row r="172" spans="7:8">
      <c r="G172" s="22"/>
      <c r="H172" s="22"/>
    </row>
    <row r="173" spans="7:8">
      <c r="G173" s="22"/>
      <c r="H173" s="22"/>
    </row>
    <row r="174" spans="7:8">
      <c r="G174" s="22"/>
      <c r="H174" s="22"/>
    </row>
    <row r="175" spans="7:8">
      <c r="G175" s="22"/>
      <c r="H175" s="22"/>
    </row>
    <row r="176" spans="7:8">
      <c r="G176" s="22"/>
      <c r="H176" s="22"/>
    </row>
    <row r="177" spans="7:8">
      <c r="G177" s="22"/>
      <c r="H177" s="22"/>
    </row>
    <row r="178" spans="7:8">
      <c r="G178" s="22"/>
      <c r="H178" s="22"/>
    </row>
    <row r="179" spans="7:8">
      <c r="G179" s="22"/>
      <c r="H179" s="22"/>
    </row>
    <row r="180" spans="7:8">
      <c r="G180" s="22"/>
      <c r="H180" s="22"/>
    </row>
    <row r="181" spans="7:8">
      <c r="G181" s="22"/>
      <c r="H181" s="22"/>
    </row>
    <row r="182" spans="7:8">
      <c r="G182" s="22"/>
      <c r="H182" s="22"/>
    </row>
    <row r="183" spans="7:8">
      <c r="G183" s="22"/>
      <c r="H183" s="22"/>
    </row>
    <row r="184" spans="7:8">
      <c r="G184" s="22"/>
      <c r="H184" s="22"/>
    </row>
    <row r="185" spans="7:8">
      <c r="G185" s="22"/>
      <c r="H185" s="22"/>
    </row>
    <row r="186" spans="7:8">
      <c r="G186" s="22"/>
      <c r="H186" s="22"/>
    </row>
    <row r="187" spans="7:8">
      <c r="G187" s="22"/>
      <c r="H187" s="22"/>
    </row>
    <row r="188" spans="7:8">
      <c r="G188" s="22"/>
      <c r="H188" s="22"/>
    </row>
    <row r="189" spans="7:8">
      <c r="G189" s="22"/>
      <c r="H189" s="22"/>
    </row>
    <row r="190" spans="7:8">
      <c r="G190" s="22"/>
      <c r="H190" s="22"/>
    </row>
    <row r="191" spans="7:8">
      <c r="G191" s="22"/>
      <c r="H191" s="22"/>
    </row>
    <row r="192" spans="7:8">
      <c r="G192" s="22"/>
      <c r="H192" s="22"/>
    </row>
    <row r="193" spans="7:8">
      <c r="G193" s="22"/>
      <c r="H193" s="22"/>
    </row>
    <row r="194" spans="7:8">
      <c r="G194" s="22"/>
      <c r="H194" s="22"/>
    </row>
    <row r="195" spans="7:8">
      <c r="G195" s="22"/>
      <c r="H195" s="22"/>
    </row>
    <row r="196" spans="7:8">
      <c r="G196" s="22"/>
      <c r="H196" s="22"/>
    </row>
    <row r="197" spans="7:8">
      <c r="G197" s="22"/>
      <c r="H197" s="22"/>
    </row>
    <row r="198" spans="7:8">
      <c r="G198" s="22"/>
      <c r="H198" s="22"/>
    </row>
    <row r="199" spans="7:8">
      <c r="G199" s="22"/>
      <c r="H199" s="22"/>
    </row>
    <row r="200" spans="7:8">
      <c r="G200" s="22"/>
      <c r="H200" s="22"/>
    </row>
    <row r="201" spans="7:8">
      <c r="G201" s="22"/>
      <c r="H201" s="22"/>
    </row>
    <row r="202" spans="7:8">
      <c r="G202" s="22"/>
      <c r="H202" s="22"/>
    </row>
    <row r="203" spans="7:8">
      <c r="G203" s="22"/>
      <c r="H203" s="22"/>
    </row>
    <row r="204" spans="7:8">
      <c r="G204" s="22"/>
      <c r="H204" s="22"/>
    </row>
    <row r="205" spans="7:8">
      <c r="G205" s="22"/>
      <c r="H205" s="22"/>
    </row>
    <row r="206" spans="7:8">
      <c r="G206" s="22"/>
      <c r="H206" s="22"/>
    </row>
    <row r="207" spans="7:8">
      <c r="G207" s="22"/>
      <c r="H207" s="22"/>
    </row>
    <row r="208" spans="7:8">
      <c r="G208" s="22"/>
      <c r="H208" s="22"/>
    </row>
    <row r="209" spans="7:8">
      <c r="G209" s="22"/>
      <c r="H209" s="22"/>
    </row>
    <row r="210" spans="7:8">
      <c r="G210" s="22"/>
      <c r="H210" s="22"/>
    </row>
    <row r="211" spans="7:8">
      <c r="G211" s="22"/>
      <c r="H211" s="22"/>
    </row>
    <row r="212" spans="7:8">
      <c r="G212" s="22"/>
      <c r="H212" s="22"/>
    </row>
    <row r="213" spans="7:8">
      <c r="G213" s="22"/>
      <c r="H213" s="22"/>
    </row>
    <row r="214" spans="7:8">
      <c r="G214" s="22"/>
      <c r="H214" s="22"/>
    </row>
    <row r="215" spans="7:8">
      <c r="G215" s="22"/>
      <c r="H215" s="22"/>
    </row>
    <row r="216" spans="7:8">
      <c r="G216" s="22"/>
      <c r="H216" s="22"/>
    </row>
    <row r="217" spans="7:8">
      <c r="G217" s="22"/>
      <c r="H217" s="22"/>
    </row>
    <row r="218" spans="7:8">
      <c r="G218" s="22"/>
      <c r="H218" s="22"/>
    </row>
    <row r="219" spans="7:8">
      <c r="G219" s="22"/>
      <c r="H219" s="22"/>
    </row>
    <row r="220" spans="7:8">
      <c r="G220" s="22"/>
      <c r="H220" s="22"/>
    </row>
    <row r="221" spans="7:8">
      <c r="G221" s="22"/>
      <c r="H221" s="22"/>
    </row>
    <row r="222" spans="7:8">
      <c r="G222" s="22"/>
      <c r="H222" s="22"/>
    </row>
    <row r="223" spans="7:8">
      <c r="G223" s="22"/>
      <c r="H223" s="22"/>
    </row>
    <row r="224" spans="7:8">
      <c r="G224" s="22"/>
      <c r="H224" s="22"/>
    </row>
    <row r="225" spans="7:8">
      <c r="G225" s="22"/>
      <c r="H225" s="22"/>
    </row>
    <row r="226" spans="7:8">
      <c r="G226" s="22"/>
      <c r="H226" s="22"/>
    </row>
    <row r="227" spans="7:8">
      <c r="G227" s="22"/>
      <c r="H227" s="22"/>
    </row>
    <row r="228" spans="7:8">
      <c r="G228" s="22"/>
      <c r="H228" s="22"/>
    </row>
    <row r="229" spans="7:8">
      <c r="G229" s="22"/>
      <c r="H229" s="22"/>
    </row>
    <row r="230" spans="7:8">
      <c r="G230" s="22"/>
      <c r="H230" s="22"/>
    </row>
    <row r="231" spans="7:8">
      <c r="G231" s="22"/>
      <c r="H231" s="22"/>
    </row>
    <row r="232" spans="7:8">
      <c r="G232" s="22"/>
      <c r="H232" s="22"/>
    </row>
    <row r="233" spans="7:8">
      <c r="G233" s="22"/>
      <c r="H233" s="22"/>
    </row>
    <row r="234" spans="7:8">
      <c r="G234" s="22"/>
      <c r="H234" s="22"/>
    </row>
    <row r="235" spans="7:8">
      <c r="G235" s="22"/>
      <c r="H235" s="22"/>
    </row>
    <row r="236" spans="7:8">
      <c r="G236" s="22"/>
      <c r="H236" s="22"/>
    </row>
    <row r="237" spans="7:8">
      <c r="G237" s="22"/>
      <c r="H237" s="22"/>
    </row>
    <row r="238" spans="7:8">
      <c r="G238" s="22"/>
      <c r="H238" s="22"/>
    </row>
    <row r="239" spans="7:8">
      <c r="G239" s="22"/>
      <c r="H239" s="22"/>
    </row>
    <row r="240" spans="7:8">
      <c r="G240" s="22"/>
      <c r="H240" s="22"/>
    </row>
    <row r="241" spans="7:8">
      <c r="G241" s="22"/>
      <c r="H241" s="22"/>
    </row>
    <row r="242" spans="7:8">
      <c r="G242" s="22"/>
      <c r="H242" s="22"/>
    </row>
    <row r="243" spans="7:8">
      <c r="G243" s="22"/>
      <c r="H243" s="22"/>
    </row>
    <row r="244" spans="7:8">
      <c r="G244" s="22"/>
      <c r="H244" s="22"/>
    </row>
    <row r="245" spans="7:8">
      <c r="G245" s="22"/>
      <c r="H245" s="22"/>
    </row>
    <row r="246" spans="7:8">
      <c r="G246" s="22"/>
      <c r="H246" s="22"/>
    </row>
    <row r="247" spans="7:8">
      <c r="G247" s="22"/>
      <c r="H247" s="22"/>
    </row>
    <row r="248" spans="7:8">
      <c r="G248" s="22"/>
      <c r="H248" s="22"/>
    </row>
    <row r="249" spans="7:8">
      <c r="G249" s="22"/>
      <c r="H249" s="22"/>
    </row>
    <row r="250" spans="7:8">
      <c r="G250" s="22"/>
      <c r="H250" s="22"/>
    </row>
    <row r="251" spans="7:8">
      <c r="G251" s="22"/>
      <c r="H251" s="22"/>
    </row>
    <row r="252" spans="7:8">
      <c r="G252" s="22"/>
      <c r="H252" s="22"/>
    </row>
    <row r="253" spans="7:8">
      <c r="G253" s="22"/>
      <c r="H253" s="22"/>
    </row>
    <row r="254" spans="7:8">
      <c r="G254" s="22"/>
      <c r="H254" s="22"/>
    </row>
    <row r="255" spans="7:8">
      <c r="G255" s="22"/>
      <c r="H255" s="22"/>
    </row>
    <row r="256" spans="7:8">
      <c r="G256" s="22"/>
      <c r="H256" s="22"/>
    </row>
    <row r="257" spans="7:8">
      <c r="G257" s="22"/>
      <c r="H257" s="22"/>
    </row>
    <row r="258" spans="7:8">
      <c r="G258" s="22"/>
      <c r="H258" s="22"/>
    </row>
    <row r="259" spans="7:8">
      <c r="G259" s="22"/>
      <c r="H259" s="22"/>
    </row>
    <row r="260" spans="7:8">
      <c r="G260" s="22"/>
      <c r="H260" s="22"/>
    </row>
    <row r="261" spans="7:8">
      <c r="G261" s="22"/>
      <c r="H261" s="22"/>
    </row>
    <row r="262" spans="7:8">
      <c r="G262" s="22"/>
      <c r="H262" s="22"/>
    </row>
    <row r="263" spans="7:8">
      <c r="G263" s="22"/>
      <c r="H263" s="22"/>
    </row>
    <row r="264" spans="7:8">
      <c r="G264" s="22"/>
      <c r="H264" s="22"/>
    </row>
    <row r="265" spans="7:8">
      <c r="G265" s="22"/>
      <c r="H265" s="22"/>
    </row>
    <row r="266" spans="7:8">
      <c r="G266" s="22"/>
      <c r="H266" s="22"/>
    </row>
    <row r="267" spans="7:8">
      <c r="G267" s="22"/>
      <c r="H267" s="22"/>
    </row>
    <row r="268" spans="7:8">
      <c r="G268" s="22"/>
      <c r="H268" s="22"/>
    </row>
    <row r="269" spans="7:8">
      <c r="G269" s="22"/>
      <c r="H269" s="22"/>
    </row>
    <row r="270" spans="7:8">
      <c r="G270" s="22"/>
      <c r="H270" s="22"/>
    </row>
    <row r="271" spans="7:8">
      <c r="G271" s="22"/>
      <c r="H271" s="22"/>
    </row>
    <row r="272" spans="7:8">
      <c r="G272" s="22"/>
      <c r="H272" s="22"/>
    </row>
    <row r="273" spans="7:8">
      <c r="G273" s="22"/>
      <c r="H273" s="22"/>
    </row>
    <row r="274" spans="7:8">
      <c r="G274" s="22"/>
      <c r="H274" s="22"/>
    </row>
    <row r="275" spans="7:8">
      <c r="G275" s="22"/>
      <c r="H275" s="22"/>
    </row>
    <row r="276" spans="7:8">
      <c r="G276" s="22"/>
      <c r="H276" s="22"/>
    </row>
    <row r="277" spans="7:8">
      <c r="G277" s="22"/>
      <c r="H277" s="22"/>
    </row>
    <row r="278" spans="7:8">
      <c r="G278" s="22"/>
      <c r="H278" s="22"/>
    </row>
    <row r="279" spans="7:8">
      <c r="G279" s="22"/>
      <c r="H279" s="22"/>
    </row>
    <row r="280" spans="7:8">
      <c r="G280" s="22"/>
      <c r="H280" s="22"/>
    </row>
    <row r="281" spans="7:8">
      <c r="G281" s="22"/>
      <c r="H281" s="22"/>
    </row>
    <row r="282" spans="7:8">
      <c r="G282" s="22"/>
      <c r="H282" s="22"/>
    </row>
    <row r="283" spans="7:8">
      <c r="G283" s="22"/>
      <c r="H283" s="22"/>
    </row>
    <row r="284" spans="7:8">
      <c r="G284" s="22"/>
      <c r="H284" s="22"/>
    </row>
    <row r="285" spans="7:8">
      <c r="G285" s="22"/>
      <c r="H285" s="22"/>
    </row>
    <row r="286" spans="7:8">
      <c r="G286" s="22"/>
      <c r="H286" s="22"/>
    </row>
    <row r="287" spans="7:8">
      <c r="G287" s="22"/>
      <c r="H287" s="22"/>
    </row>
    <row r="288" spans="7:8">
      <c r="G288" s="22"/>
      <c r="H288" s="22"/>
    </row>
    <row r="289" spans="7:8">
      <c r="G289" s="22"/>
      <c r="H289" s="22"/>
    </row>
    <row r="290" spans="7:8">
      <c r="G290" s="22"/>
      <c r="H290" s="22"/>
    </row>
    <row r="291" spans="7:8">
      <c r="G291" s="22"/>
      <c r="H291" s="22"/>
    </row>
    <row r="292" spans="7:8">
      <c r="G292" s="22"/>
      <c r="H292" s="22"/>
    </row>
    <row r="293" spans="7:8">
      <c r="G293" s="22"/>
      <c r="H293" s="22"/>
    </row>
    <row r="294" spans="7:8">
      <c r="G294" s="22"/>
      <c r="H294" s="22"/>
    </row>
    <row r="295" spans="7:8">
      <c r="G295" s="22"/>
      <c r="H295" s="22"/>
    </row>
    <row r="296" spans="7:8">
      <c r="G296" s="22"/>
      <c r="H296" s="22"/>
    </row>
    <row r="297" spans="7:8">
      <c r="G297" s="22"/>
      <c r="H297" s="22"/>
    </row>
    <row r="298" spans="7:8">
      <c r="G298" s="22"/>
      <c r="H298" s="22"/>
    </row>
    <row r="299" spans="7:8">
      <c r="G299" s="22"/>
      <c r="H299" s="22"/>
    </row>
    <row r="300" spans="7:8">
      <c r="G300" s="22"/>
      <c r="H300" s="22"/>
    </row>
    <row r="301" spans="7:8">
      <c r="G301" s="22"/>
      <c r="H301" s="22"/>
    </row>
    <row r="302" spans="7:8">
      <c r="G302" s="22"/>
      <c r="H302" s="22"/>
    </row>
    <row r="303" spans="7:8">
      <c r="G303" s="22"/>
      <c r="H303" s="22"/>
    </row>
    <row r="304" spans="7:8">
      <c r="G304" s="22"/>
      <c r="H304" s="22"/>
    </row>
    <row r="305" spans="7:8">
      <c r="G305" s="22"/>
      <c r="H305" s="22"/>
    </row>
    <row r="306" spans="7:8">
      <c r="G306" s="22"/>
      <c r="H306" s="22"/>
    </row>
    <row r="307" spans="7:8">
      <c r="G307" s="22"/>
      <c r="H307" s="22"/>
    </row>
    <row r="308" spans="7:8">
      <c r="G308" s="22"/>
      <c r="H308" s="22"/>
    </row>
    <row r="309" spans="7:8">
      <c r="G309" s="22"/>
      <c r="H309" s="22"/>
    </row>
    <row r="310" spans="7:8">
      <c r="G310" s="22"/>
      <c r="H310" s="22"/>
    </row>
    <row r="311" spans="7:8">
      <c r="G311" s="22"/>
      <c r="H311" s="22"/>
    </row>
    <row r="312" spans="7:8">
      <c r="G312" s="22"/>
      <c r="H312" s="22"/>
    </row>
    <row r="313" spans="7:8">
      <c r="G313" s="22"/>
      <c r="H313" s="22"/>
    </row>
    <row r="314" spans="7:8">
      <c r="G314" s="22"/>
      <c r="H314" s="22"/>
    </row>
    <row r="315" spans="7:8">
      <c r="G315" s="22"/>
      <c r="H315" s="22"/>
    </row>
    <row r="316" spans="7:8">
      <c r="G316" s="22"/>
      <c r="H316" s="22"/>
    </row>
    <row r="317" spans="7:8">
      <c r="G317" s="22"/>
      <c r="H317" s="22"/>
    </row>
    <row r="318" spans="7:8">
      <c r="G318" s="22"/>
      <c r="H318" s="22"/>
    </row>
    <row r="319" spans="7:8">
      <c r="G319" s="22"/>
      <c r="H319" s="22"/>
    </row>
    <row r="320" spans="7:8">
      <c r="G320" s="22"/>
      <c r="H320" s="22"/>
    </row>
    <row r="321" spans="7:8">
      <c r="G321" s="22"/>
      <c r="H321" s="22"/>
    </row>
    <row r="322" spans="7:8">
      <c r="G322" s="22"/>
      <c r="H322" s="22"/>
    </row>
    <row r="323" spans="7:8">
      <c r="G323" s="22"/>
      <c r="H323" s="22"/>
    </row>
    <row r="324" spans="7:8">
      <c r="G324" s="22"/>
      <c r="H324" s="22"/>
    </row>
    <row r="325" spans="7:8">
      <c r="G325" s="22"/>
      <c r="H325" s="22"/>
    </row>
    <row r="326" spans="7:8">
      <c r="G326" s="22"/>
      <c r="H326" s="22"/>
    </row>
    <row r="327" spans="7:8">
      <c r="G327" s="22"/>
      <c r="H327" s="22"/>
    </row>
    <row r="328" spans="7:8">
      <c r="G328" s="22"/>
      <c r="H328" s="22"/>
    </row>
    <row r="329" spans="7:8">
      <c r="G329" s="22"/>
      <c r="H329" s="22"/>
    </row>
    <row r="330" spans="7:8">
      <c r="G330" s="22"/>
      <c r="H330" s="22"/>
    </row>
    <row r="331" spans="7:8">
      <c r="G331" s="22"/>
      <c r="H331" s="22"/>
    </row>
    <row r="332" spans="7:8">
      <c r="G332" s="22"/>
      <c r="H332" s="22"/>
    </row>
  </sheetData>
  <autoFilter ref="A1:J94" xr:uid="{D50DA5D4-05F0-4624-B80E-3ACA88080EE2}">
    <filterColumn colId="2">
      <filters>
        <filter val="Sneha Menda"/>
      </filters>
    </filterColumn>
  </autoFilter>
  <phoneticPr fontId="9"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9C6C5-8B6F-4CC1-A695-A5052E5361C5}">
  <dimension ref="A1:BX840"/>
  <sheetViews>
    <sheetView workbookViewId="0">
      <selection activeCell="G24" sqref="G24"/>
    </sheetView>
  </sheetViews>
  <sheetFormatPr defaultRowHeight="15.75"/>
  <cols>
    <col min="1" max="1" width="48.88671875" bestFit="1" customWidth="1"/>
    <col min="2" max="2" width="22.88671875" bestFit="1" customWidth="1"/>
    <col min="3" max="3" width="22.77734375" bestFit="1" customWidth="1"/>
    <col min="6" max="6" width="24.88671875" bestFit="1" customWidth="1"/>
    <col min="7" max="7" width="15.44140625" bestFit="1" customWidth="1"/>
    <col min="8" max="8" width="19.77734375" bestFit="1" customWidth="1"/>
    <col min="9" max="9" width="15" customWidth="1"/>
    <col min="10" max="10" width="36.5546875" customWidth="1"/>
    <col min="11" max="11" width="25.6640625" customWidth="1"/>
    <col min="12" max="12" width="41.88671875" bestFit="1" customWidth="1"/>
    <col min="13" max="13" width="72.21875" bestFit="1" customWidth="1"/>
    <col min="14" max="14" width="21.5546875" bestFit="1" customWidth="1"/>
    <col min="15" max="15" width="47.5546875" bestFit="1" customWidth="1"/>
    <col min="16" max="16" width="37.33203125" bestFit="1" customWidth="1"/>
    <col min="17" max="17" width="43.77734375" bestFit="1" customWidth="1"/>
    <col min="18" max="18" width="45.88671875" bestFit="1" customWidth="1"/>
    <col min="19" max="19" width="47.21875" bestFit="1" customWidth="1"/>
    <col min="20" max="20" width="53.44140625" bestFit="1" customWidth="1"/>
    <col min="21" max="21" width="142.21875" customWidth="1"/>
    <col min="22" max="22" width="131.109375" customWidth="1"/>
  </cols>
  <sheetData>
    <row r="1" spans="1:76">
      <c r="A1" s="32" t="s">
        <v>71</v>
      </c>
      <c r="B1" t="s">
        <v>72</v>
      </c>
      <c r="C1" t="s">
        <v>73</v>
      </c>
      <c r="D1" t="s">
        <v>74</v>
      </c>
      <c r="F1" s="111" t="s">
        <v>75</v>
      </c>
      <c r="G1" s="111" t="s">
        <v>76</v>
      </c>
      <c r="H1" s="111" t="s">
        <v>77</v>
      </c>
      <c r="I1" s="112" t="s">
        <v>78</v>
      </c>
      <c r="J1" s="111" t="s">
        <v>79</v>
      </c>
      <c r="K1" s="111" t="s">
        <v>80</v>
      </c>
      <c r="L1" s="111" t="s">
        <v>71</v>
      </c>
      <c r="M1" s="111" t="s">
        <v>81</v>
      </c>
      <c r="N1" s="111" t="s">
        <v>82</v>
      </c>
      <c r="O1" s="111" t="s">
        <v>83</v>
      </c>
      <c r="P1" s="111" t="s">
        <v>84</v>
      </c>
      <c r="Q1" s="111" t="s">
        <v>85</v>
      </c>
      <c r="R1" s="111" t="s">
        <v>86</v>
      </c>
      <c r="S1" s="111" t="s">
        <v>87</v>
      </c>
      <c r="T1" s="111" t="s">
        <v>88</v>
      </c>
      <c r="U1" s="111" t="s">
        <v>89</v>
      </c>
      <c r="V1" s="111" t="s">
        <v>90</v>
      </c>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row>
    <row r="2" spans="1:76">
      <c r="A2" t="s">
        <v>20</v>
      </c>
      <c r="B2">
        <v>114</v>
      </c>
      <c r="C2">
        <v>104</v>
      </c>
      <c r="D2" s="34">
        <f>GETPIVOTDATA("Sum of Sum of Responses",$A$1,"Select the name of your primary trainer for this course.","Anita Bliss-Dias")/GETPIVOTDATA("Sum of Sum of User Score",$A$1,"Select the name of your primary trainer for this course.","Anita Bliss-Dias")</f>
        <v>0.91228070175438591</v>
      </c>
      <c r="F2" s="64" t="s">
        <v>91</v>
      </c>
      <c r="G2" s="64">
        <v>6</v>
      </c>
      <c r="H2" s="64">
        <f>COUNTIF(O2:T2,"&gt;3")</f>
        <v>6</v>
      </c>
      <c r="I2" s="66" t="s">
        <v>92</v>
      </c>
      <c r="J2" s="64" t="s">
        <v>93</v>
      </c>
      <c r="K2" s="64" t="s">
        <v>94</v>
      </c>
      <c r="L2" s="64" t="s">
        <v>48</v>
      </c>
      <c r="M2" s="64" t="s">
        <v>45</v>
      </c>
      <c r="N2" s="64" t="s">
        <v>95</v>
      </c>
      <c r="O2" s="64">
        <v>5</v>
      </c>
      <c r="P2" s="64">
        <v>5</v>
      </c>
      <c r="Q2" s="64">
        <v>5</v>
      </c>
      <c r="R2" s="64">
        <v>5</v>
      </c>
      <c r="S2" s="64">
        <v>5</v>
      </c>
      <c r="T2" s="64">
        <v>5</v>
      </c>
      <c r="U2" s="64"/>
      <c r="V2" s="64" t="s">
        <v>96</v>
      </c>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row>
    <row r="3" spans="1:76">
      <c r="A3" t="s">
        <v>45</v>
      </c>
      <c r="B3">
        <v>108</v>
      </c>
      <c r="C3">
        <v>98</v>
      </c>
      <c r="D3" s="34">
        <f>GETPIVOTDATA("Sum of Sum of Responses",$A$1,"Select the name of your primary trainer for this course.","Ankit Vishnoi")/GETPIVOTDATA("Sum of Sum of User Score",$A$1,"Select the name of your primary trainer for this course.","Ankit Vishnoi")</f>
        <v>0.90740740740740744</v>
      </c>
      <c r="F3" s="64" t="s">
        <v>97</v>
      </c>
      <c r="G3" s="64">
        <v>6</v>
      </c>
      <c r="H3" s="64">
        <f t="shared" ref="H3:H66" si="0">COUNTIF(O3:T3,"&gt;3")</f>
        <v>6</v>
      </c>
      <c r="I3" s="66" t="s">
        <v>92</v>
      </c>
      <c r="J3" s="64" t="s">
        <v>98</v>
      </c>
      <c r="K3" s="64" t="s">
        <v>99</v>
      </c>
      <c r="L3" s="64" t="s">
        <v>48</v>
      </c>
      <c r="M3" s="64" t="s">
        <v>45</v>
      </c>
      <c r="N3" s="64" t="s">
        <v>95</v>
      </c>
      <c r="O3" s="64">
        <v>5</v>
      </c>
      <c r="P3" s="64">
        <v>5</v>
      </c>
      <c r="Q3" s="64">
        <v>5</v>
      </c>
      <c r="R3" s="64">
        <v>5</v>
      </c>
      <c r="S3" s="64">
        <v>5</v>
      </c>
      <c r="T3" s="64">
        <v>5</v>
      </c>
      <c r="U3" s="64" t="s">
        <v>100</v>
      </c>
      <c r="V3" s="64" t="s">
        <v>101</v>
      </c>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c r="BC3" s="64"/>
      <c r="BD3" s="64"/>
      <c r="BE3" s="64"/>
      <c r="BF3" s="64"/>
      <c r="BG3" s="64"/>
      <c r="BH3" s="64"/>
      <c r="BI3" s="64"/>
      <c r="BJ3" s="64"/>
      <c r="BK3" s="64"/>
      <c r="BL3" s="64"/>
      <c r="BM3" s="64"/>
      <c r="BN3" s="64"/>
      <c r="BO3" s="64"/>
      <c r="BP3" s="64"/>
      <c r="BQ3" s="64"/>
      <c r="BR3" s="64"/>
      <c r="BS3" s="64"/>
      <c r="BT3" s="64"/>
      <c r="BU3" s="64"/>
      <c r="BV3" s="64"/>
      <c r="BW3" s="64"/>
      <c r="BX3" s="64"/>
    </row>
    <row r="4" spans="1:76" ht="30.75">
      <c r="A4" t="s">
        <v>21</v>
      </c>
      <c r="B4">
        <v>42</v>
      </c>
      <c r="C4">
        <v>42</v>
      </c>
      <c r="D4" s="34">
        <f>GETPIVOTDATA("Sum of Sum of Responses",$A$1,"Select the name of your primary trainer for this course.","Bibi Alli")/GETPIVOTDATA("Sum of Sum of User Score",$A$1,"Select the name of your primary trainer for this course.","Bibi Alli")</f>
        <v>1</v>
      </c>
      <c r="F4" s="64" t="s">
        <v>102</v>
      </c>
      <c r="G4" s="64">
        <v>6</v>
      </c>
      <c r="H4" s="64">
        <f t="shared" si="0"/>
        <v>6</v>
      </c>
      <c r="I4" s="66" t="s">
        <v>92</v>
      </c>
      <c r="J4" s="64" t="s">
        <v>103</v>
      </c>
      <c r="K4" s="64" t="s">
        <v>104</v>
      </c>
      <c r="L4" s="64" t="s">
        <v>45</v>
      </c>
      <c r="M4" s="64" t="s">
        <v>45</v>
      </c>
      <c r="N4" s="64" t="s">
        <v>95</v>
      </c>
      <c r="O4" s="64">
        <v>5</v>
      </c>
      <c r="P4" s="64">
        <v>4</v>
      </c>
      <c r="Q4" s="64">
        <v>5</v>
      </c>
      <c r="R4" s="64">
        <v>5</v>
      </c>
      <c r="S4" s="64">
        <v>5</v>
      </c>
      <c r="T4" s="64">
        <v>5</v>
      </c>
      <c r="U4" s="64" t="s">
        <v>105</v>
      </c>
      <c r="V4" s="64" t="s">
        <v>106</v>
      </c>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c r="BN4" s="64"/>
      <c r="BO4" s="64"/>
      <c r="BP4" s="64"/>
      <c r="BQ4" s="64"/>
      <c r="BR4" s="64"/>
      <c r="BS4" s="64"/>
      <c r="BT4" s="64"/>
      <c r="BU4" s="64"/>
      <c r="BV4" s="64"/>
      <c r="BW4" s="64"/>
      <c r="BX4" s="64"/>
    </row>
    <row r="5" spans="1:76">
      <c r="A5" t="s">
        <v>107</v>
      </c>
      <c r="B5">
        <v>198</v>
      </c>
      <c r="C5">
        <v>188</v>
      </c>
      <c r="D5" s="34">
        <f>GETPIVOTDATA("Sum of Sum of Responses",$A$1,"Select the name of your primary trainer for this course.","Dave Lim")/GETPIVOTDATA("Sum of Sum of User Score",$A$1,"Select the name of your primary trainer for this course.","Dave Lim")</f>
        <v>0.9494949494949495</v>
      </c>
      <c r="F5" s="64" t="s">
        <v>108</v>
      </c>
      <c r="G5" s="64">
        <v>6</v>
      </c>
      <c r="H5" s="64">
        <f t="shared" si="0"/>
        <v>6</v>
      </c>
      <c r="I5" s="66" t="s">
        <v>92</v>
      </c>
      <c r="J5" s="64" t="s">
        <v>93</v>
      </c>
      <c r="K5" s="64" t="s">
        <v>109</v>
      </c>
      <c r="L5" s="64" t="s">
        <v>45</v>
      </c>
      <c r="M5" s="64" t="s">
        <v>45</v>
      </c>
      <c r="N5" s="64" t="s">
        <v>95</v>
      </c>
      <c r="O5" s="64">
        <v>4</v>
      </c>
      <c r="P5" s="64">
        <v>4</v>
      </c>
      <c r="Q5" s="64">
        <v>4</v>
      </c>
      <c r="R5" s="64">
        <v>4</v>
      </c>
      <c r="S5" s="64">
        <v>4</v>
      </c>
      <c r="T5" s="64">
        <v>4</v>
      </c>
      <c r="U5" s="64" t="s">
        <v>110</v>
      </c>
      <c r="V5" s="64" t="s">
        <v>9</v>
      </c>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c r="BM5" s="64"/>
      <c r="BN5" s="64"/>
      <c r="BO5" s="64"/>
      <c r="BP5" s="64"/>
      <c r="BQ5" s="64"/>
      <c r="BR5" s="64"/>
      <c r="BS5" s="64"/>
      <c r="BT5" s="64"/>
      <c r="BU5" s="64"/>
      <c r="BV5" s="64"/>
      <c r="BW5" s="64"/>
      <c r="BX5" s="64"/>
    </row>
    <row r="6" spans="1:76" ht="30.75">
      <c r="A6" t="s">
        <v>50</v>
      </c>
      <c r="B6">
        <v>72</v>
      </c>
      <c r="C6">
        <v>60</v>
      </c>
      <c r="D6" s="34">
        <f>GETPIVOTDATA("Sum of Sum of Responses",$A$1,"Select the name of your primary trainer for this course.","Debbie Anthony")/GETPIVOTDATA("Sum of Sum of User Score",$A$1,"Select the name of your primary trainer for this course.","Debbie Anthony")</f>
        <v>0.83333333333333337</v>
      </c>
      <c r="F6" s="64" t="s">
        <v>111</v>
      </c>
      <c r="G6" s="64">
        <v>6</v>
      </c>
      <c r="H6" s="64">
        <f t="shared" si="0"/>
        <v>6</v>
      </c>
      <c r="I6" s="66" t="s">
        <v>92</v>
      </c>
      <c r="J6" s="64" t="s">
        <v>93</v>
      </c>
      <c r="K6" s="64" t="s">
        <v>109</v>
      </c>
      <c r="L6" s="64" t="s">
        <v>45</v>
      </c>
      <c r="M6" s="64" t="s">
        <v>45</v>
      </c>
      <c r="N6" s="64" t="s">
        <v>95</v>
      </c>
      <c r="O6" s="64">
        <v>4</v>
      </c>
      <c r="P6" s="64">
        <v>4</v>
      </c>
      <c r="Q6" s="64">
        <v>5</v>
      </c>
      <c r="R6" s="64">
        <v>5</v>
      </c>
      <c r="S6" s="64">
        <v>5</v>
      </c>
      <c r="T6" s="64">
        <v>5</v>
      </c>
      <c r="U6" s="64" t="s">
        <v>112</v>
      </c>
      <c r="V6" s="64" t="s">
        <v>9</v>
      </c>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c r="BL6" s="64"/>
      <c r="BM6" s="64"/>
      <c r="BN6" s="64"/>
      <c r="BO6" s="64"/>
      <c r="BP6" s="64"/>
      <c r="BQ6" s="64"/>
      <c r="BR6" s="64"/>
      <c r="BS6" s="64"/>
      <c r="BT6" s="64"/>
      <c r="BU6" s="64"/>
      <c r="BV6" s="64"/>
      <c r="BW6" s="64"/>
      <c r="BX6" s="64"/>
    </row>
    <row r="7" spans="1:76">
      <c r="A7" t="s">
        <v>23</v>
      </c>
      <c r="B7">
        <v>108</v>
      </c>
      <c r="C7">
        <v>102</v>
      </c>
      <c r="D7" s="34">
        <f>GETPIVOTDATA("Sum of Sum of Responses",$A$1,"Select the name of your primary trainer for this course.","Gilisa Roberts")/GETPIVOTDATA("Sum of Sum of User Score",$A$1,"Select the name of your primary trainer for this course.","Gilisa Roberts")</f>
        <v>0.94444444444444442</v>
      </c>
      <c r="F7" s="64" t="s">
        <v>113</v>
      </c>
      <c r="G7" s="64">
        <v>6</v>
      </c>
      <c r="H7" s="64">
        <f t="shared" si="0"/>
        <v>5</v>
      </c>
      <c r="I7" s="66" t="s">
        <v>92</v>
      </c>
      <c r="J7" s="64" t="s">
        <v>93</v>
      </c>
      <c r="K7" s="64" t="s">
        <v>114</v>
      </c>
      <c r="L7" s="64" t="s">
        <v>37</v>
      </c>
      <c r="M7" s="64" t="s">
        <v>37</v>
      </c>
      <c r="N7" s="64" t="s">
        <v>61</v>
      </c>
      <c r="O7" s="64">
        <v>3</v>
      </c>
      <c r="P7" s="64">
        <v>5</v>
      </c>
      <c r="Q7" s="64">
        <v>4</v>
      </c>
      <c r="R7" s="64">
        <v>4</v>
      </c>
      <c r="S7" s="64">
        <v>4</v>
      </c>
      <c r="T7" s="64">
        <v>4</v>
      </c>
      <c r="U7" s="64" t="s">
        <v>115</v>
      </c>
      <c r="V7" s="64" t="s">
        <v>116</v>
      </c>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c r="BL7" s="64"/>
      <c r="BM7" s="64"/>
      <c r="BN7" s="64"/>
      <c r="BO7" s="64"/>
      <c r="BP7" s="64"/>
      <c r="BQ7" s="64"/>
      <c r="BR7" s="64"/>
      <c r="BS7" s="64"/>
      <c r="BT7" s="64"/>
      <c r="BU7" s="64"/>
      <c r="BV7" s="64"/>
      <c r="BW7" s="64"/>
      <c r="BX7" s="64"/>
    </row>
    <row r="8" spans="1:76">
      <c r="A8" t="s">
        <v>64</v>
      </c>
      <c r="B8">
        <v>252</v>
      </c>
      <c r="C8">
        <v>241</v>
      </c>
      <c r="D8" s="34">
        <f>GETPIVOTDATA("Sum of Sum of Responses",$A$1,"Select the name of your primary trainer for this course.","Hira Umair")/GETPIVOTDATA("Sum of Sum of User Score",$A$1,"Select the name of your primary trainer for this course.","Hira Umair")</f>
        <v>0.95634920634920639</v>
      </c>
      <c r="F8" s="64" t="s">
        <v>117</v>
      </c>
      <c r="G8" s="64">
        <v>6</v>
      </c>
      <c r="H8" s="64">
        <f t="shared" si="0"/>
        <v>6</v>
      </c>
      <c r="I8" s="66" t="s">
        <v>92</v>
      </c>
      <c r="J8" s="64" t="s">
        <v>93</v>
      </c>
      <c r="K8" s="64" t="s">
        <v>118</v>
      </c>
      <c r="L8" s="64" t="s">
        <v>37</v>
      </c>
      <c r="M8" s="64" t="s">
        <v>37</v>
      </c>
      <c r="N8" s="64" t="s">
        <v>61</v>
      </c>
      <c r="O8" s="64">
        <v>5</v>
      </c>
      <c r="P8" s="64">
        <v>5</v>
      </c>
      <c r="Q8" s="64">
        <v>5</v>
      </c>
      <c r="R8" s="64">
        <v>5</v>
      </c>
      <c r="S8" s="64">
        <v>5</v>
      </c>
      <c r="T8" s="64">
        <v>5</v>
      </c>
      <c r="U8" s="64" t="s">
        <v>119</v>
      </c>
      <c r="V8" s="64" t="s">
        <v>120</v>
      </c>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c r="BN8" s="64"/>
      <c r="BO8" s="64"/>
      <c r="BP8" s="64"/>
      <c r="BQ8" s="64"/>
      <c r="BR8" s="64"/>
      <c r="BS8" s="64"/>
      <c r="BT8" s="64"/>
      <c r="BU8" s="64"/>
      <c r="BV8" s="64"/>
      <c r="BW8" s="64"/>
      <c r="BX8" s="64"/>
    </row>
    <row r="9" spans="1:76">
      <c r="A9" t="s">
        <v>27</v>
      </c>
      <c r="B9">
        <v>30</v>
      </c>
      <c r="C9">
        <v>29</v>
      </c>
      <c r="D9" s="34">
        <f>GETPIVOTDATA("Sum of Sum of Responses",$A$1,"Select the name of your primary trainer for this course.","Jordan Saulnier")/GETPIVOTDATA("Sum of Sum of User Score",$A$1,"Select the name of your primary trainer for this course.","Jordan Saulnier")</f>
        <v>0.96666666666666667</v>
      </c>
      <c r="F9" s="64" t="s">
        <v>121</v>
      </c>
      <c r="G9" s="64">
        <v>6</v>
      </c>
      <c r="H9" s="64">
        <f t="shared" si="0"/>
        <v>6</v>
      </c>
      <c r="I9" s="66" t="s">
        <v>92</v>
      </c>
      <c r="J9" s="64" t="s">
        <v>93</v>
      </c>
      <c r="K9" s="64" t="s">
        <v>114</v>
      </c>
      <c r="L9" s="64" t="s">
        <v>37</v>
      </c>
      <c r="M9" s="64" t="s">
        <v>37</v>
      </c>
      <c r="N9" s="64" t="s">
        <v>61</v>
      </c>
      <c r="O9" s="64">
        <v>5</v>
      </c>
      <c r="P9" s="64">
        <v>5</v>
      </c>
      <c r="Q9" s="64">
        <v>5</v>
      </c>
      <c r="R9" s="64">
        <v>5</v>
      </c>
      <c r="S9" s="64">
        <v>5</v>
      </c>
      <c r="T9" s="64">
        <v>5</v>
      </c>
      <c r="U9" s="64" t="s">
        <v>122</v>
      </c>
      <c r="V9" s="64" t="s">
        <v>123</v>
      </c>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c r="BM9" s="64"/>
      <c r="BN9" s="64"/>
      <c r="BO9" s="64"/>
      <c r="BP9" s="64"/>
      <c r="BQ9" s="64"/>
      <c r="BR9" s="64"/>
      <c r="BS9" s="64"/>
      <c r="BT9" s="64"/>
      <c r="BU9" s="64"/>
      <c r="BV9" s="64"/>
      <c r="BW9" s="64"/>
      <c r="BX9" s="64"/>
    </row>
    <row r="10" spans="1:76">
      <c r="A10" t="s">
        <v>124</v>
      </c>
      <c r="B10">
        <v>24</v>
      </c>
      <c r="C10">
        <v>24</v>
      </c>
      <c r="D10" s="34">
        <f>GETPIVOTDATA("Sum of Sum of Responses",$A$1,"Select the name of your primary trainer for this course.","Kate Saigo")/GETPIVOTDATA("Sum of Sum of User Score",$A$1,"Select the name of your primary trainer for this course.","Kate Saigo")</f>
        <v>1</v>
      </c>
      <c r="F10" s="64" t="s">
        <v>125</v>
      </c>
      <c r="G10" s="64">
        <v>6</v>
      </c>
      <c r="H10" s="64">
        <f t="shared" si="0"/>
        <v>6</v>
      </c>
      <c r="I10" s="66" t="s">
        <v>92</v>
      </c>
      <c r="J10" s="64" t="s">
        <v>93</v>
      </c>
      <c r="K10" s="64" t="s">
        <v>114</v>
      </c>
      <c r="L10" s="64" t="s">
        <v>37</v>
      </c>
      <c r="M10" s="64" t="s">
        <v>37</v>
      </c>
      <c r="N10" s="64" t="s">
        <v>61</v>
      </c>
      <c r="O10" s="64">
        <v>4</v>
      </c>
      <c r="P10" s="64">
        <v>4</v>
      </c>
      <c r="Q10" s="64">
        <v>4</v>
      </c>
      <c r="R10" s="64">
        <v>4</v>
      </c>
      <c r="S10" s="64">
        <v>4</v>
      </c>
      <c r="T10" s="64">
        <v>4</v>
      </c>
      <c r="U10" s="64" t="s">
        <v>126</v>
      </c>
      <c r="V10" s="64" t="s">
        <v>127</v>
      </c>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c r="BM10" s="64"/>
      <c r="BN10" s="64"/>
      <c r="BO10" s="64"/>
      <c r="BP10" s="64"/>
      <c r="BQ10" s="64"/>
      <c r="BR10" s="64"/>
      <c r="BS10" s="64"/>
      <c r="BT10" s="64"/>
      <c r="BU10" s="64"/>
      <c r="BV10" s="64"/>
      <c r="BW10" s="64"/>
      <c r="BX10" s="64"/>
    </row>
    <row r="11" spans="1:76" ht="60.75">
      <c r="A11" t="s">
        <v>31</v>
      </c>
      <c r="B11">
        <v>108</v>
      </c>
      <c r="C11">
        <v>96</v>
      </c>
      <c r="D11" s="34">
        <f>GETPIVOTDATA("Sum of Sum of Responses",$A$1,"Select the name of your primary trainer for this course.","Kristi Stead")/GETPIVOTDATA("Sum of Sum of User Score",$A$1,"Select the name of your primary trainer for this course.","Kristi Stead")</f>
        <v>0.88888888888888884</v>
      </c>
      <c r="F11" s="64" t="s">
        <v>128</v>
      </c>
      <c r="G11" s="64">
        <v>6</v>
      </c>
      <c r="H11" s="64">
        <f t="shared" si="0"/>
        <v>6</v>
      </c>
      <c r="I11" s="66" t="s">
        <v>92</v>
      </c>
      <c r="J11" s="64" t="s">
        <v>93</v>
      </c>
      <c r="K11" s="64" t="s">
        <v>129</v>
      </c>
      <c r="L11" s="64" t="s">
        <v>37</v>
      </c>
      <c r="M11" s="64" t="s">
        <v>107</v>
      </c>
      <c r="N11" s="64" t="s">
        <v>61</v>
      </c>
      <c r="O11" s="64">
        <v>5</v>
      </c>
      <c r="P11" s="64">
        <v>5</v>
      </c>
      <c r="Q11" s="64">
        <v>5</v>
      </c>
      <c r="R11" s="64">
        <v>5</v>
      </c>
      <c r="S11" s="64">
        <v>5</v>
      </c>
      <c r="T11" s="64">
        <v>5</v>
      </c>
      <c r="U11" s="64" t="s">
        <v>130</v>
      </c>
      <c r="V11" s="64" t="s">
        <v>131</v>
      </c>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c r="BN11" s="64"/>
      <c r="BO11" s="64"/>
      <c r="BP11" s="64"/>
      <c r="BQ11" s="64"/>
      <c r="BR11" s="64"/>
      <c r="BS11" s="64"/>
      <c r="BT11" s="64"/>
      <c r="BU11" s="64"/>
      <c r="BV11" s="64"/>
      <c r="BW11" s="64"/>
      <c r="BX11" s="64"/>
    </row>
    <row r="12" spans="1:76">
      <c r="A12" t="s">
        <v>48</v>
      </c>
      <c r="B12">
        <v>126</v>
      </c>
      <c r="C12">
        <v>121</v>
      </c>
      <c r="D12" s="34">
        <f>GETPIVOTDATA("Sum of Sum of Responses",$A$1,"Select the name of your primary trainer for this course.","Mahalakshmi Ramasubramanian")/GETPIVOTDATA("Sum of Sum of User Score",$A$1,"Select the name of your primary trainer for this course.","Mahalakshmi Ramasubramanian")</f>
        <v>0.96031746031746035</v>
      </c>
      <c r="F12" s="64" t="s">
        <v>132</v>
      </c>
      <c r="G12" s="64">
        <v>6</v>
      </c>
      <c r="H12" s="64">
        <f t="shared" si="0"/>
        <v>6</v>
      </c>
      <c r="I12" s="66" t="s">
        <v>92</v>
      </c>
      <c r="J12" s="64" t="s">
        <v>93</v>
      </c>
      <c r="K12" s="64" t="s">
        <v>114</v>
      </c>
      <c r="L12" s="64" t="s">
        <v>37</v>
      </c>
      <c r="M12" s="64" t="s">
        <v>37</v>
      </c>
      <c r="N12" s="64" t="s">
        <v>61</v>
      </c>
      <c r="O12" s="64">
        <v>5</v>
      </c>
      <c r="P12" s="64">
        <v>4</v>
      </c>
      <c r="Q12" s="64">
        <v>4</v>
      </c>
      <c r="R12" s="64">
        <v>4</v>
      </c>
      <c r="S12" s="64">
        <v>4</v>
      </c>
      <c r="T12" s="64">
        <v>4</v>
      </c>
      <c r="U12" s="64" t="s">
        <v>133</v>
      </c>
      <c r="V12" s="64" t="s">
        <v>134</v>
      </c>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c r="BB12" s="64"/>
      <c r="BC12" s="64"/>
      <c r="BD12" s="64"/>
      <c r="BE12" s="64"/>
      <c r="BF12" s="64"/>
      <c r="BG12" s="64"/>
      <c r="BH12" s="64"/>
      <c r="BI12" s="64"/>
      <c r="BJ12" s="64"/>
      <c r="BK12" s="64"/>
      <c r="BL12" s="64"/>
      <c r="BM12" s="64"/>
      <c r="BN12" s="64"/>
      <c r="BO12" s="64"/>
      <c r="BP12" s="64"/>
      <c r="BQ12" s="64"/>
      <c r="BR12" s="64"/>
      <c r="BS12" s="64"/>
      <c r="BT12" s="64"/>
      <c r="BU12" s="64"/>
      <c r="BV12" s="64"/>
      <c r="BW12" s="64"/>
      <c r="BX12" s="64"/>
    </row>
    <row r="13" spans="1:76">
      <c r="A13" t="s">
        <v>32</v>
      </c>
      <c r="B13">
        <v>234</v>
      </c>
      <c r="C13">
        <v>217</v>
      </c>
      <c r="D13" s="34">
        <f>GETPIVOTDATA("Sum of Sum of Responses",$A$1,"Select the name of your primary trainer for this course.","Maida Musse")/GETPIVOTDATA("Sum of Sum of User Score",$A$1,"Select the name of your primary trainer for this course.","Maida Musse")</f>
        <v>0.92735042735042739</v>
      </c>
      <c r="F13" s="64" t="s">
        <v>135</v>
      </c>
      <c r="G13" s="64">
        <v>6</v>
      </c>
      <c r="H13" s="64">
        <f t="shared" si="0"/>
        <v>6</v>
      </c>
      <c r="I13" s="66" t="s">
        <v>92</v>
      </c>
      <c r="J13" s="64" t="s">
        <v>93</v>
      </c>
      <c r="K13" s="64" t="s">
        <v>129</v>
      </c>
      <c r="L13" s="64" t="s">
        <v>37</v>
      </c>
      <c r="M13" s="64" t="s">
        <v>37</v>
      </c>
      <c r="N13" s="64" t="s">
        <v>61</v>
      </c>
      <c r="O13" s="64">
        <v>5</v>
      </c>
      <c r="P13" s="64">
        <v>5</v>
      </c>
      <c r="Q13" s="64">
        <v>5</v>
      </c>
      <c r="R13" s="64">
        <v>5</v>
      </c>
      <c r="S13" s="64">
        <v>5</v>
      </c>
      <c r="T13" s="64">
        <v>5</v>
      </c>
      <c r="U13" s="64" t="s">
        <v>136</v>
      </c>
      <c r="V13" s="64" t="s">
        <v>137</v>
      </c>
      <c r="W13" s="64"/>
      <c r="X13" s="64"/>
      <c r="Y13" s="64"/>
      <c r="Z13" s="64"/>
      <c r="AA13" s="64"/>
      <c r="AB13" s="64"/>
      <c r="AC13" s="64"/>
      <c r="AD13" s="64"/>
      <c r="AE13" s="64"/>
      <c r="AF13" s="64"/>
      <c r="AG13" s="64"/>
      <c r="AH13" s="64"/>
      <c r="AI13" s="64"/>
      <c r="AJ13" s="64"/>
      <c r="AK13" s="64"/>
      <c r="AL13" s="64"/>
      <c r="AM13" s="64"/>
      <c r="AN13" s="64"/>
      <c r="AO13" s="64"/>
      <c r="AP13" s="64"/>
      <c r="AQ13" s="64"/>
      <c r="AR13" s="64"/>
      <c r="AS13" s="64"/>
      <c r="AT13" s="64"/>
      <c r="AU13" s="64"/>
      <c r="AV13" s="64"/>
      <c r="AW13" s="64"/>
      <c r="AX13" s="64"/>
      <c r="AY13" s="64"/>
      <c r="AZ13" s="64"/>
      <c r="BA13" s="64"/>
      <c r="BB13" s="64"/>
      <c r="BC13" s="64"/>
      <c r="BD13" s="64"/>
      <c r="BE13" s="64"/>
      <c r="BF13" s="64"/>
      <c r="BG13" s="64"/>
      <c r="BH13" s="64"/>
      <c r="BI13" s="64"/>
      <c r="BJ13" s="64"/>
      <c r="BK13" s="64"/>
      <c r="BL13" s="64"/>
      <c r="BM13" s="64"/>
      <c r="BN13" s="64"/>
      <c r="BO13" s="64"/>
      <c r="BP13" s="64"/>
      <c r="BQ13" s="64"/>
      <c r="BR13" s="64"/>
      <c r="BS13" s="64"/>
      <c r="BT13" s="64"/>
      <c r="BU13" s="64"/>
      <c r="BV13" s="64"/>
      <c r="BW13" s="64"/>
      <c r="BX13" s="64"/>
    </row>
    <row r="14" spans="1:76">
      <c r="A14" t="s">
        <v>138</v>
      </c>
      <c r="B14">
        <v>54</v>
      </c>
      <c r="C14">
        <v>54</v>
      </c>
      <c r="D14" s="34">
        <f>GETPIVOTDATA("Sum of Sum of Responses",$A$1,"Select the name of your primary trainer for this course.","MariaSkubiszewska")/GETPIVOTDATA("Sum of Sum of User Score",$A$1,"Select the name of your primary trainer for this course.","MariaSkubiszewska")</f>
        <v>1</v>
      </c>
      <c r="F14" s="64" t="s">
        <v>139</v>
      </c>
      <c r="G14" s="64">
        <v>6</v>
      </c>
      <c r="H14" s="64">
        <f t="shared" si="0"/>
        <v>3</v>
      </c>
      <c r="I14" s="66" t="s">
        <v>92</v>
      </c>
      <c r="J14" s="64" t="s">
        <v>93</v>
      </c>
      <c r="K14" s="64" t="s">
        <v>114</v>
      </c>
      <c r="L14" s="64" t="s">
        <v>37</v>
      </c>
      <c r="M14" s="64" t="s">
        <v>107</v>
      </c>
      <c r="N14" s="64" t="s">
        <v>61</v>
      </c>
      <c r="O14" s="64">
        <v>3</v>
      </c>
      <c r="P14" s="64">
        <v>3</v>
      </c>
      <c r="Q14" s="64">
        <v>2</v>
      </c>
      <c r="R14" s="64">
        <v>4</v>
      </c>
      <c r="S14" s="64">
        <v>4</v>
      </c>
      <c r="T14" s="64">
        <v>5</v>
      </c>
      <c r="U14" s="64" t="s">
        <v>140</v>
      </c>
      <c r="V14" s="64" t="s">
        <v>141</v>
      </c>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64"/>
      <c r="BB14" s="64"/>
      <c r="BC14" s="64"/>
      <c r="BD14" s="64"/>
      <c r="BE14" s="64"/>
      <c r="BF14" s="64"/>
      <c r="BG14" s="64"/>
      <c r="BH14" s="64"/>
      <c r="BI14" s="64"/>
      <c r="BJ14" s="64"/>
      <c r="BK14" s="64"/>
      <c r="BL14" s="64"/>
      <c r="BM14" s="64"/>
      <c r="BN14" s="64"/>
      <c r="BO14" s="64"/>
      <c r="BP14" s="64"/>
      <c r="BQ14" s="64"/>
      <c r="BR14" s="64"/>
      <c r="BS14" s="64"/>
      <c r="BT14" s="64"/>
      <c r="BU14" s="64"/>
      <c r="BV14" s="64"/>
      <c r="BW14" s="64"/>
      <c r="BX14" s="64"/>
    </row>
    <row r="15" spans="1:76">
      <c r="A15" t="s">
        <v>34</v>
      </c>
      <c r="B15">
        <v>96</v>
      </c>
      <c r="C15">
        <v>92</v>
      </c>
      <c r="D15" s="34">
        <f>GETPIVOTDATA("Sum of Sum of Responses",$A$1,"Select the name of your primary trainer for this course.","Nancy Price")/GETPIVOTDATA("Sum of Sum of User Score",$A$1,"Select the name of your primary trainer for this course.","Nancy Price")</f>
        <v>0.95833333333333337</v>
      </c>
      <c r="F15" s="64" t="s">
        <v>142</v>
      </c>
      <c r="G15" s="64">
        <v>6</v>
      </c>
      <c r="H15" s="64">
        <f t="shared" si="0"/>
        <v>6</v>
      </c>
      <c r="I15" s="66" t="s">
        <v>92</v>
      </c>
      <c r="J15" s="64" t="s">
        <v>93</v>
      </c>
      <c r="K15" s="64" t="s">
        <v>114</v>
      </c>
      <c r="L15" s="64" t="s">
        <v>37</v>
      </c>
      <c r="M15" s="64" t="s">
        <v>37</v>
      </c>
      <c r="N15" s="64" t="s">
        <v>61</v>
      </c>
      <c r="O15" s="64">
        <v>5</v>
      </c>
      <c r="P15" s="64">
        <v>5</v>
      </c>
      <c r="Q15" s="64">
        <v>5</v>
      </c>
      <c r="R15" s="64">
        <v>5</v>
      </c>
      <c r="S15" s="64">
        <v>5</v>
      </c>
      <c r="T15" s="64">
        <v>5</v>
      </c>
      <c r="U15" s="64" t="s">
        <v>143</v>
      </c>
      <c r="V15" s="64" t="s">
        <v>144</v>
      </c>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c r="BB15" s="64"/>
      <c r="BC15" s="64"/>
      <c r="BD15" s="64"/>
      <c r="BE15" s="64"/>
      <c r="BF15" s="64"/>
      <c r="BG15" s="64"/>
      <c r="BH15" s="64"/>
      <c r="BI15" s="64"/>
      <c r="BJ15" s="64"/>
      <c r="BK15" s="64"/>
      <c r="BL15" s="64"/>
      <c r="BM15" s="64"/>
      <c r="BN15" s="64"/>
      <c r="BO15" s="64"/>
      <c r="BP15" s="64"/>
      <c r="BQ15" s="64"/>
      <c r="BR15" s="64"/>
      <c r="BS15" s="64"/>
      <c r="BT15" s="64"/>
      <c r="BU15" s="64"/>
      <c r="BV15" s="64"/>
      <c r="BW15" s="64"/>
      <c r="BX15" s="64"/>
    </row>
    <row r="16" spans="1:76">
      <c r="A16" t="s">
        <v>65</v>
      </c>
      <c r="B16">
        <v>240</v>
      </c>
      <c r="C16">
        <v>235</v>
      </c>
      <c r="D16" s="34">
        <f>GETPIVOTDATA("Sum of Sum of Responses",$A$1,"Select the name of your primary trainer for this course.","Rowena Lasala")/GETPIVOTDATA("Sum of Sum of User Score",$A$1,"Select the name of your primary trainer for this course.","Rowena Lasala")</f>
        <v>0.97916666666666663</v>
      </c>
      <c r="F16" s="64" t="s">
        <v>145</v>
      </c>
      <c r="G16" s="64">
        <v>6</v>
      </c>
      <c r="H16" s="64">
        <f t="shared" si="0"/>
        <v>6</v>
      </c>
      <c r="I16" s="66" t="s">
        <v>92</v>
      </c>
      <c r="J16" s="64" t="s">
        <v>93</v>
      </c>
      <c r="K16" s="64" t="s">
        <v>114</v>
      </c>
      <c r="L16" s="64" t="s">
        <v>37</v>
      </c>
      <c r="M16" s="64" t="s">
        <v>107</v>
      </c>
      <c r="N16" s="64" t="s">
        <v>61</v>
      </c>
      <c r="O16" s="64">
        <v>5</v>
      </c>
      <c r="P16" s="64">
        <v>5</v>
      </c>
      <c r="Q16" s="64">
        <v>5</v>
      </c>
      <c r="R16" s="64">
        <v>5</v>
      </c>
      <c r="S16" s="64">
        <v>5</v>
      </c>
      <c r="T16" s="64">
        <v>5</v>
      </c>
      <c r="U16" s="64" t="s">
        <v>146</v>
      </c>
      <c r="V16" s="64" t="s">
        <v>147</v>
      </c>
      <c r="W16" s="64"/>
      <c r="X16" s="64"/>
      <c r="Y16" s="64"/>
      <c r="Z16" s="64"/>
      <c r="AA16" s="64"/>
      <c r="AB16" s="64"/>
      <c r="AC16" s="64"/>
      <c r="AD16" s="64"/>
      <c r="AE16" s="64"/>
      <c r="AF16" s="64"/>
      <c r="AG16" s="64"/>
      <c r="AH16" s="64"/>
      <c r="AI16" s="64"/>
      <c r="AJ16" s="64"/>
      <c r="AK16" s="64"/>
      <c r="AL16" s="64"/>
      <c r="AM16" s="64"/>
      <c r="AN16" s="64"/>
      <c r="AO16" s="64"/>
      <c r="AP16" s="64"/>
      <c r="AQ16" s="64"/>
      <c r="AR16" s="64"/>
      <c r="AS16" s="64"/>
      <c r="AT16" s="64"/>
      <c r="AU16" s="64"/>
      <c r="AV16" s="64"/>
      <c r="AW16" s="64"/>
      <c r="AX16" s="64"/>
      <c r="AY16" s="64"/>
      <c r="AZ16" s="64"/>
      <c r="BA16" s="64"/>
      <c r="BB16" s="64"/>
      <c r="BC16" s="64"/>
      <c r="BD16" s="64"/>
      <c r="BE16" s="64"/>
      <c r="BF16" s="64"/>
      <c r="BG16" s="64"/>
      <c r="BH16" s="64"/>
      <c r="BI16" s="64"/>
      <c r="BJ16" s="64"/>
      <c r="BK16" s="64"/>
      <c r="BL16" s="64"/>
      <c r="BM16" s="64"/>
      <c r="BN16" s="64"/>
      <c r="BO16" s="64"/>
      <c r="BP16" s="64"/>
      <c r="BQ16" s="64"/>
      <c r="BR16" s="64"/>
      <c r="BS16" s="64"/>
      <c r="BT16" s="64"/>
      <c r="BU16" s="64"/>
      <c r="BV16" s="64"/>
      <c r="BW16" s="64"/>
      <c r="BX16" s="64"/>
    </row>
    <row r="17" spans="1:75">
      <c r="A17" t="s">
        <v>36</v>
      </c>
      <c r="B17">
        <v>78</v>
      </c>
      <c r="C17">
        <v>71</v>
      </c>
      <c r="D17" s="34">
        <f>GETPIVOTDATA("Sum of Sum of Responses",$A$1,"Select the name of your primary trainer for this course.","Ruschel Bartolome")/GETPIVOTDATA("Sum of Sum of User Score",$A$1,"Select the name of your primary trainer for this course.","Ruschel Bartolome")</f>
        <v>0.91025641025641024</v>
      </c>
      <c r="F17" s="64" t="s">
        <v>148</v>
      </c>
      <c r="G17" s="64">
        <v>6</v>
      </c>
      <c r="H17" s="64">
        <f t="shared" si="0"/>
        <v>6</v>
      </c>
      <c r="I17" s="66" t="s">
        <v>92</v>
      </c>
      <c r="J17" s="64" t="s">
        <v>93</v>
      </c>
      <c r="K17" s="64" t="s">
        <v>114</v>
      </c>
      <c r="L17" s="64" t="s">
        <v>37</v>
      </c>
      <c r="M17" s="64" t="s">
        <v>37</v>
      </c>
      <c r="N17" s="64" t="s">
        <v>61</v>
      </c>
      <c r="O17" s="64">
        <v>4</v>
      </c>
      <c r="P17" s="64">
        <v>5</v>
      </c>
      <c r="Q17" s="64">
        <v>5</v>
      </c>
      <c r="R17" s="64">
        <v>5</v>
      </c>
      <c r="S17" s="64">
        <v>5</v>
      </c>
      <c r="T17" s="64">
        <v>5</v>
      </c>
      <c r="U17" s="64" t="s">
        <v>149</v>
      </c>
      <c r="V17" s="64" t="s">
        <v>9</v>
      </c>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row>
    <row r="18" spans="1:75">
      <c r="A18" t="s">
        <v>37</v>
      </c>
      <c r="B18">
        <v>150</v>
      </c>
      <c r="C18">
        <v>136</v>
      </c>
      <c r="D18" s="34">
        <f>GETPIVOTDATA("Sum of Sum of Responses",$A$1,"Select the name of your primary trainer for this course.","Scott McDonald")/GETPIVOTDATA("Sum of Sum of User Score",$A$1,"Select the name of your primary trainer for this course.","Scott McDonald")</f>
        <v>0.90666666666666662</v>
      </c>
      <c r="F18" s="64" t="s">
        <v>150</v>
      </c>
      <c r="G18" s="64">
        <v>6</v>
      </c>
      <c r="H18" s="64">
        <f t="shared" si="0"/>
        <v>6</v>
      </c>
      <c r="I18" s="66" t="s">
        <v>92</v>
      </c>
      <c r="J18" s="64" t="s">
        <v>93</v>
      </c>
      <c r="K18" s="64" t="s">
        <v>118</v>
      </c>
      <c r="L18" s="64" t="s">
        <v>37</v>
      </c>
      <c r="M18" s="64" t="s">
        <v>37</v>
      </c>
      <c r="N18" s="64" t="s">
        <v>61</v>
      </c>
      <c r="O18" s="64">
        <v>4</v>
      </c>
      <c r="P18" s="64">
        <v>4</v>
      </c>
      <c r="Q18" s="64">
        <v>4</v>
      </c>
      <c r="R18" s="64">
        <v>4</v>
      </c>
      <c r="S18" s="64">
        <v>4</v>
      </c>
      <c r="T18" s="64">
        <v>4</v>
      </c>
      <c r="U18" s="64"/>
      <c r="V18" s="64"/>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row>
    <row r="19" spans="1:75">
      <c r="A19" t="s">
        <v>38</v>
      </c>
      <c r="B19">
        <v>18</v>
      </c>
      <c r="C19">
        <v>16</v>
      </c>
      <c r="D19" s="34">
        <f>GETPIVOTDATA("Sum of Sum of Responses",$A$1,"Select the name of your primary trainer for this course.","Siya Nugent")/GETPIVOTDATA("Sum of Sum of User Score",$A$1,"Select the name of your primary trainer for this course.","Siya Nugent")</f>
        <v>0.88888888888888884</v>
      </c>
      <c r="F19" s="64" t="s">
        <v>151</v>
      </c>
      <c r="G19" s="64">
        <v>6</v>
      </c>
      <c r="H19" s="64">
        <f t="shared" si="0"/>
        <v>6</v>
      </c>
      <c r="I19" s="66" t="s">
        <v>92</v>
      </c>
      <c r="J19" s="64" t="s">
        <v>93</v>
      </c>
      <c r="K19" s="64" t="s">
        <v>152</v>
      </c>
      <c r="L19" s="64" t="s">
        <v>65</v>
      </c>
      <c r="M19" s="64" t="s">
        <v>34</v>
      </c>
      <c r="N19" s="64" t="s">
        <v>61</v>
      </c>
      <c r="O19" s="64">
        <v>5</v>
      </c>
      <c r="P19" s="64">
        <v>4</v>
      </c>
      <c r="Q19" s="64">
        <v>4</v>
      </c>
      <c r="R19" s="64">
        <v>5</v>
      </c>
      <c r="S19" s="64">
        <v>5</v>
      </c>
      <c r="T19" s="64">
        <v>5</v>
      </c>
      <c r="U19" s="64"/>
      <c r="V19" s="64"/>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row>
    <row r="20" spans="1:75">
      <c r="A20" t="s">
        <v>62</v>
      </c>
      <c r="B20">
        <v>276</v>
      </c>
      <c r="C20">
        <v>260</v>
      </c>
      <c r="D20" s="34">
        <f>GETPIVOTDATA("Sum of Sum of Responses",$A$1,"Select the name of your primary trainer for this course.","Sneha Menda")/GETPIVOTDATA("Sum of Sum of User Score",$A$1,"Select the name of your primary trainer for this course.","Sneha Menda")</f>
        <v>0.94202898550724634</v>
      </c>
      <c r="F20" s="64" t="s">
        <v>153</v>
      </c>
      <c r="G20" s="64">
        <v>6</v>
      </c>
      <c r="H20" s="64">
        <f t="shared" si="0"/>
        <v>6</v>
      </c>
      <c r="I20" s="66" t="s">
        <v>92</v>
      </c>
      <c r="J20" s="64" t="s">
        <v>93</v>
      </c>
      <c r="K20" s="64" t="s">
        <v>154</v>
      </c>
      <c r="L20" s="64" t="s">
        <v>65</v>
      </c>
      <c r="M20" s="64" t="s">
        <v>65</v>
      </c>
      <c r="N20" s="64" t="s">
        <v>61</v>
      </c>
      <c r="O20" s="64">
        <v>5</v>
      </c>
      <c r="P20" s="64">
        <v>4</v>
      </c>
      <c r="Q20" s="64">
        <v>5</v>
      </c>
      <c r="R20" s="64">
        <v>5</v>
      </c>
      <c r="S20" s="64">
        <v>5</v>
      </c>
      <c r="T20" s="64">
        <v>5</v>
      </c>
      <c r="U20" s="64" t="s">
        <v>155</v>
      </c>
      <c r="V20" s="64" t="s">
        <v>156</v>
      </c>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row>
    <row r="21" spans="1:75">
      <c r="A21" t="s">
        <v>40</v>
      </c>
      <c r="B21">
        <v>24</v>
      </c>
      <c r="C21">
        <v>21</v>
      </c>
      <c r="D21" s="34">
        <f>GETPIVOTDATA("Sum of Sum of Responses",$A$1,"Select the name of your primary trainer for this course.","Stephany Chavez")/GETPIVOTDATA("Sum of Sum of User Score",$A$1,"Select the name of your primary trainer for this course.","Stephany Chavez")</f>
        <v>0.875</v>
      </c>
      <c r="F21" s="64" t="s">
        <v>157</v>
      </c>
      <c r="G21" s="64">
        <v>6</v>
      </c>
      <c r="H21" s="64">
        <f t="shared" si="0"/>
        <v>6</v>
      </c>
      <c r="I21" s="66" t="s">
        <v>92</v>
      </c>
      <c r="J21" s="64" t="s">
        <v>93</v>
      </c>
      <c r="K21" s="64" t="s">
        <v>154</v>
      </c>
      <c r="L21" s="64" t="s">
        <v>65</v>
      </c>
      <c r="M21" s="64" t="s">
        <v>34</v>
      </c>
      <c r="N21" s="64" t="s">
        <v>61</v>
      </c>
      <c r="O21" s="64">
        <v>5</v>
      </c>
      <c r="P21" s="64">
        <v>5</v>
      </c>
      <c r="Q21" s="64">
        <v>5</v>
      </c>
      <c r="R21" s="64">
        <v>5</v>
      </c>
      <c r="S21" s="64">
        <v>5</v>
      </c>
      <c r="T21" s="64">
        <v>5</v>
      </c>
      <c r="U21" s="64" t="s">
        <v>158</v>
      </c>
      <c r="V21" s="64" t="s">
        <v>159</v>
      </c>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row>
    <row r="22" spans="1:75" ht="30.75">
      <c r="A22" t="s">
        <v>41</v>
      </c>
      <c r="B22">
        <v>12</v>
      </c>
      <c r="C22">
        <v>12</v>
      </c>
      <c r="D22" s="34">
        <f>GETPIVOTDATA("Sum of Sum of Responses",$A$1,"Select the name of your primary trainer for this course.","Tom Tse")/GETPIVOTDATA("Sum of Sum of User Score",$A$1,"Select the name of your primary trainer for this course.","Tom Tse")</f>
        <v>1</v>
      </c>
      <c r="F22" s="64" t="s">
        <v>160</v>
      </c>
      <c r="G22" s="64">
        <v>6</v>
      </c>
      <c r="H22" s="64">
        <f t="shared" si="0"/>
        <v>6</v>
      </c>
      <c r="I22" s="66" t="s">
        <v>92</v>
      </c>
      <c r="J22" s="64" t="s">
        <v>93</v>
      </c>
      <c r="K22" s="64" t="s">
        <v>161</v>
      </c>
      <c r="L22" s="64" t="s">
        <v>65</v>
      </c>
      <c r="M22" s="64" t="s">
        <v>65</v>
      </c>
      <c r="N22" s="64" t="s">
        <v>61</v>
      </c>
      <c r="O22" s="64">
        <v>5</v>
      </c>
      <c r="P22" s="64">
        <v>5</v>
      </c>
      <c r="Q22" s="64">
        <v>5</v>
      </c>
      <c r="R22" s="64">
        <v>5</v>
      </c>
      <c r="S22" s="64">
        <v>5</v>
      </c>
      <c r="T22" s="64">
        <v>5</v>
      </c>
      <c r="U22" s="64" t="s">
        <v>162</v>
      </c>
      <c r="V22" s="64" t="s">
        <v>147</v>
      </c>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row>
    <row r="23" spans="1:75">
      <c r="A23" t="s">
        <v>44</v>
      </c>
      <c r="B23">
        <v>60</v>
      </c>
      <c r="C23">
        <v>54</v>
      </c>
      <c r="D23" s="34">
        <f>GETPIVOTDATA("Sum of Sum of Responses",$A$1,"Select the name of your primary trainer for this course.","Viena Lacena")/GETPIVOTDATA("Sum of Sum of User Score",$A$1,"Select the name of your primary trainer for this course.","Viena Lacena")</f>
        <v>0.9</v>
      </c>
      <c r="F23" s="64" t="s">
        <v>163</v>
      </c>
      <c r="G23" s="64">
        <v>6</v>
      </c>
      <c r="H23" s="64">
        <f t="shared" si="0"/>
        <v>6</v>
      </c>
      <c r="I23" s="66" t="s">
        <v>92</v>
      </c>
      <c r="J23" s="64" t="s">
        <v>93</v>
      </c>
      <c r="K23" s="64" t="s">
        <v>154</v>
      </c>
      <c r="L23" s="64" t="s">
        <v>65</v>
      </c>
      <c r="M23" s="64" t="s">
        <v>65</v>
      </c>
      <c r="N23" s="64" t="s">
        <v>61</v>
      </c>
      <c r="O23" s="64">
        <v>5</v>
      </c>
      <c r="P23" s="64">
        <v>5</v>
      </c>
      <c r="Q23" s="64">
        <v>5</v>
      </c>
      <c r="R23" s="64">
        <v>5</v>
      </c>
      <c r="S23" s="64">
        <v>5</v>
      </c>
      <c r="T23" s="64">
        <v>5</v>
      </c>
      <c r="U23" s="64" t="s">
        <v>164</v>
      </c>
      <c r="V23" s="64" t="s">
        <v>165</v>
      </c>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row>
    <row r="24" spans="1:75" ht="30.75">
      <c r="A24" t="s">
        <v>166</v>
      </c>
      <c r="C24">
        <v>0</v>
      </c>
      <c r="D24" s="34">
        <f>GETPIVOTDATA("Sum of Sum of Responses",$A$1)/GETPIVOTDATA("Sum of Sum of User Score",$A$1)</f>
        <v>0.93770627062706269</v>
      </c>
      <c r="F24" s="64" t="s">
        <v>167</v>
      </c>
      <c r="G24" s="64">
        <v>6</v>
      </c>
      <c r="H24" s="64">
        <f t="shared" si="0"/>
        <v>6</v>
      </c>
      <c r="I24" s="66" t="s">
        <v>92</v>
      </c>
      <c r="J24" s="64" t="s">
        <v>93</v>
      </c>
      <c r="K24" s="64" t="s">
        <v>168</v>
      </c>
      <c r="L24" s="64" t="s">
        <v>64</v>
      </c>
      <c r="M24" s="64" t="s">
        <v>26</v>
      </c>
      <c r="N24" s="64" t="s">
        <v>61</v>
      </c>
      <c r="O24" s="64">
        <v>5</v>
      </c>
      <c r="P24" s="64">
        <v>4</v>
      </c>
      <c r="Q24" s="64">
        <v>4</v>
      </c>
      <c r="R24" s="64">
        <v>4</v>
      </c>
      <c r="S24" s="64">
        <v>5</v>
      </c>
      <c r="T24" s="64">
        <v>4</v>
      </c>
      <c r="U24" s="64" t="s">
        <v>169</v>
      </c>
      <c r="V24" s="64" t="s">
        <v>170</v>
      </c>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row>
    <row r="25" spans="1:75" ht="30.75">
      <c r="A25" t="s">
        <v>171</v>
      </c>
      <c r="B25">
        <v>2424</v>
      </c>
      <c r="C25">
        <v>2273</v>
      </c>
      <c r="F25" s="64" t="s">
        <v>172</v>
      </c>
      <c r="G25" s="64">
        <v>6</v>
      </c>
      <c r="H25" s="64">
        <f t="shared" si="0"/>
        <v>6</v>
      </c>
      <c r="I25" s="66" t="s">
        <v>92</v>
      </c>
      <c r="J25" s="64" t="s">
        <v>93</v>
      </c>
      <c r="K25" s="64" t="s">
        <v>168</v>
      </c>
      <c r="L25" s="64" t="s">
        <v>64</v>
      </c>
      <c r="M25" s="64" t="s">
        <v>26</v>
      </c>
      <c r="N25" s="64" t="s">
        <v>61</v>
      </c>
      <c r="O25" s="64">
        <v>5</v>
      </c>
      <c r="P25" s="64">
        <v>5</v>
      </c>
      <c r="Q25" s="64">
        <v>5</v>
      </c>
      <c r="R25" s="64">
        <v>5</v>
      </c>
      <c r="S25" s="64">
        <v>5</v>
      </c>
      <c r="T25" s="64">
        <v>5</v>
      </c>
      <c r="U25" s="64" t="s">
        <v>173</v>
      </c>
      <c r="V25" s="64" t="s">
        <v>174</v>
      </c>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row>
    <row r="26" spans="1:75" ht="30.75">
      <c r="F26" s="64" t="s">
        <v>175</v>
      </c>
      <c r="G26" s="64">
        <v>6</v>
      </c>
      <c r="H26" s="64">
        <f t="shared" si="0"/>
        <v>6</v>
      </c>
      <c r="I26" s="66" t="s">
        <v>92</v>
      </c>
      <c r="J26" s="64" t="s">
        <v>93</v>
      </c>
      <c r="K26" s="64" t="s">
        <v>168</v>
      </c>
      <c r="L26" s="64" t="s">
        <v>64</v>
      </c>
      <c r="M26" s="64" t="s">
        <v>26</v>
      </c>
      <c r="N26" s="64" t="s">
        <v>61</v>
      </c>
      <c r="O26" s="64">
        <v>5</v>
      </c>
      <c r="P26" s="64">
        <v>4</v>
      </c>
      <c r="Q26" s="64">
        <v>5</v>
      </c>
      <c r="R26" s="64">
        <v>4</v>
      </c>
      <c r="S26" s="64">
        <v>4</v>
      </c>
      <c r="T26" s="64">
        <v>4</v>
      </c>
      <c r="U26" s="64" t="s">
        <v>176</v>
      </c>
      <c r="V26" s="64" t="s">
        <v>177</v>
      </c>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row>
    <row r="27" spans="1:75">
      <c r="F27" s="64" t="s">
        <v>178</v>
      </c>
      <c r="G27" s="64">
        <v>6</v>
      </c>
      <c r="H27" s="64">
        <f t="shared" si="0"/>
        <v>6</v>
      </c>
      <c r="I27" s="66" t="s">
        <v>92</v>
      </c>
      <c r="J27" s="64" t="s">
        <v>93</v>
      </c>
      <c r="K27" s="64" t="s">
        <v>179</v>
      </c>
      <c r="L27" s="64" t="s">
        <v>64</v>
      </c>
      <c r="M27" s="64" t="s">
        <v>26</v>
      </c>
      <c r="N27" s="64" t="s">
        <v>61</v>
      </c>
      <c r="O27" s="64">
        <v>5</v>
      </c>
      <c r="P27" s="64">
        <v>5</v>
      </c>
      <c r="Q27" s="64">
        <v>5</v>
      </c>
      <c r="R27" s="64">
        <v>5</v>
      </c>
      <c r="S27" s="64">
        <v>5</v>
      </c>
      <c r="T27" s="64">
        <v>5</v>
      </c>
      <c r="U27" s="64" t="s">
        <v>180</v>
      </c>
      <c r="V27" s="64" t="s">
        <v>181</v>
      </c>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row>
    <row r="28" spans="1:75" ht="30.75">
      <c r="F28" s="64" t="s">
        <v>182</v>
      </c>
      <c r="G28" s="64">
        <v>6</v>
      </c>
      <c r="H28" s="64">
        <f t="shared" si="0"/>
        <v>6</v>
      </c>
      <c r="I28" s="66" t="s">
        <v>92</v>
      </c>
      <c r="J28" s="64" t="s">
        <v>93</v>
      </c>
      <c r="K28" s="64" t="s">
        <v>168</v>
      </c>
      <c r="L28" s="64" t="s">
        <v>64</v>
      </c>
      <c r="M28" s="64" t="s">
        <v>26</v>
      </c>
      <c r="N28" s="64" t="s">
        <v>61</v>
      </c>
      <c r="O28" s="64">
        <v>5</v>
      </c>
      <c r="P28" s="64">
        <v>5</v>
      </c>
      <c r="Q28" s="64">
        <v>5</v>
      </c>
      <c r="R28" s="64">
        <v>5</v>
      </c>
      <c r="S28" s="64">
        <v>5</v>
      </c>
      <c r="T28" s="64">
        <v>5</v>
      </c>
      <c r="U28" s="64" t="s">
        <v>183</v>
      </c>
      <c r="V28" s="64" t="s">
        <v>184</v>
      </c>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row>
    <row r="29" spans="1:75" ht="30.75">
      <c r="F29" s="64" t="s">
        <v>185</v>
      </c>
      <c r="G29" s="64">
        <v>6</v>
      </c>
      <c r="H29" s="64">
        <f t="shared" si="0"/>
        <v>6</v>
      </c>
      <c r="I29" s="66" t="s">
        <v>92</v>
      </c>
      <c r="J29" s="64" t="s">
        <v>93</v>
      </c>
      <c r="K29" s="64" t="s">
        <v>168</v>
      </c>
      <c r="L29" s="64" t="s">
        <v>64</v>
      </c>
      <c r="M29" s="64" t="s">
        <v>26</v>
      </c>
      <c r="N29" s="64" t="s">
        <v>61</v>
      </c>
      <c r="O29" s="64">
        <v>5</v>
      </c>
      <c r="P29" s="64">
        <v>5</v>
      </c>
      <c r="Q29" s="64">
        <v>5</v>
      </c>
      <c r="R29" s="64">
        <v>5</v>
      </c>
      <c r="S29" s="64">
        <v>5</v>
      </c>
      <c r="T29" s="64">
        <v>5</v>
      </c>
      <c r="U29" s="64" t="s">
        <v>186</v>
      </c>
      <c r="V29" s="64" t="s">
        <v>187</v>
      </c>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row>
    <row r="30" spans="1:75">
      <c r="F30" s="64" t="s">
        <v>188</v>
      </c>
      <c r="G30" s="64">
        <v>6</v>
      </c>
      <c r="H30" s="64">
        <f t="shared" si="0"/>
        <v>6</v>
      </c>
      <c r="I30" s="66" t="s">
        <v>92</v>
      </c>
      <c r="J30" s="64" t="s">
        <v>93</v>
      </c>
      <c r="K30" s="64" t="s">
        <v>189</v>
      </c>
      <c r="L30" s="64" t="s">
        <v>64</v>
      </c>
      <c r="M30" s="64" t="s">
        <v>26</v>
      </c>
      <c r="N30" s="64" t="s">
        <v>61</v>
      </c>
      <c r="O30" s="64">
        <v>5</v>
      </c>
      <c r="P30" s="64">
        <v>5</v>
      </c>
      <c r="Q30" s="64">
        <v>5</v>
      </c>
      <c r="R30" s="64">
        <v>5</v>
      </c>
      <c r="S30" s="64">
        <v>5</v>
      </c>
      <c r="T30" s="64">
        <v>5</v>
      </c>
      <c r="U30" s="64" t="s">
        <v>190</v>
      </c>
      <c r="V30" s="64" t="s">
        <v>191</v>
      </c>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row>
    <row r="31" spans="1:75">
      <c r="F31" s="64" t="s">
        <v>192</v>
      </c>
      <c r="G31" s="64">
        <v>6</v>
      </c>
      <c r="H31" s="64">
        <f t="shared" si="0"/>
        <v>6</v>
      </c>
      <c r="I31" s="66" t="s">
        <v>92</v>
      </c>
      <c r="J31" s="64" t="s">
        <v>93</v>
      </c>
      <c r="K31" s="64" t="s">
        <v>168</v>
      </c>
      <c r="L31" s="64" t="s">
        <v>64</v>
      </c>
      <c r="M31" s="64" t="s">
        <v>26</v>
      </c>
      <c r="N31" s="64" t="s">
        <v>61</v>
      </c>
      <c r="O31" s="64">
        <v>5</v>
      </c>
      <c r="P31" s="64">
        <v>5</v>
      </c>
      <c r="Q31" s="64">
        <v>5</v>
      </c>
      <c r="R31" s="64">
        <v>5</v>
      </c>
      <c r="S31" s="64">
        <v>5</v>
      </c>
      <c r="T31" s="64">
        <v>5</v>
      </c>
      <c r="U31" s="64" t="s">
        <v>193</v>
      </c>
      <c r="V31" s="64" t="s">
        <v>123</v>
      </c>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row>
    <row r="32" spans="1:75">
      <c r="F32" s="64" t="s">
        <v>194</v>
      </c>
      <c r="G32" s="64">
        <v>6</v>
      </c>
      <c r="H32" s="64">
        <f t="shared" si="0"/>
        <v>4</v>
      </c>
      <c r="I32" s="66" t="s">
        <v>92</v>
      </c>
      <c r="J32" s="64" t="s">
        <v>93</v>
      </c>
      <c r="K32" s="64" t="s">
        <v>195</v>
      </c>
      <c r="L32" s="64" t="s">
        <v>45</v>
      </c>
      <c r="M32" s="64" t="s">
        <v>45</v>
      </c>
      <c r="N32" s="64" t="s">
        <v>95</v>
      </c>
      <c r="O32" s="64">
        <v>5</v>
      </c>
      <c r="P32" s="64">
        <v>5</v>
      </c>
      <c r="Q32" s="64">
        <v>2</v>
      </c>
      <c r="R32" s="64">
        <v>2</v>
      </c>
      <c r="S32" s="64">
        <v>5</v>
      </c>
      <c r="T32" s="64">
        <v>5</v>
      </c>
      <c r="U32" s="64" t="s">
        <v>196</v>
      </c>
      <c r="V32" s="64" t="s">
        <v>197</v>
      </c>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row>
    <row r="33" spans="6:75">
      <c r="F33" s="64" t="s">
        <v>198</v>
      </c>
      <c r="G33" s="64">
        <v>6</v>
      </c>
      <c r="H33" s="64">
        <f t="shared" si="0"/>
        <v>6</v>
      </c>
      <c r="I33" s="66" t="s">
        <v>92</v>
      </c>
      <c r="J33" s="64" t="s">
        <v>93</v>
      </c>
      <c r="K33" s="64" t="s">
        <v>161</v>
      </c>
      <c r="L33" s="64" t="s">
        <v>45</v>
      </c>
      <c r="M33" s="64" t="s">
        <v>45</v>
      </c>
      <c r="N33" s="64" t="s">
        <v>95</v>
      </c>
      <c r="O33" s="64">
        <v>4</v>
      </c>
      <c r="P33" s="64">
        <v>4</v>
      </c>
      <c r="Q33" s="64">
        <v>4</v>
      </c>
      <c r="R33" s="64">
        <v>4</v>
      </c>
      <c r="S33" s="64">
        <v>4</v>
      </c>
      <c r="T33" s="64">
        <v>4</v>
      </c>
      <c r="U33" s="64" t="s">
        <v>199</v>
      </c>
      <c r="V33" s="64" t="s">
        <v>200</v>
      </c>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row>
    <row r="34" spans="6:75">
      <c r="F34" s="64" t="s">
        <v>201</v>
      </c>
      <c r="G34" s="64">
        <v>6</v>
      </c>
      <c r="H34" s="64">
        <f t="shared" si="0"/>
        <v>6</v>
      </c>
      <c r="I34" s="66" t="s">
        <v>92</v>
      </c>
      <c r="J34" s="64" t="s">
        <v>93</v>
      </c>
      <c r="K34" s="64" t="s">
        <v>202</v>
      </c>
      <c r="L34" s="64" t="s">
        <v>45</v>
      </c>
      <c r="M34" s="64" t="s">
        <v>45</v>
      </c>
      <c r="N34" s="64" t="s">
        <v>95</v>
      </c>
      <c r="O34" s="64">
        <v>4</v>
      </c>
      <c r="P34" s="64">
        <v>4</v>
      </c>
      <c r="Q34" s="64">
        <v>4</v>
      </c>
      <c r="R34" s="64">
        <v>4</v>
      </c>
      <c r="S34" s="64">
        <v>4</v>
      </c>
      <c r="T34" s="64">
        <v>4</v>
      </c>
      <c r="U34" s="64" t="s">
        <v>203</v>
      </c>
      <c r="V34" s="64" t="s">
        <v>204</v>
      </c>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row>
    <row r="35" spans="6:75">
      <c r="F35" s="64" t="s">
        <v>205</v>
      </c>
      <c r="G35" s="64">
        <v>6</v>
      </c>
      <c r="H35" s="64">
        <f t="shared" si="0"/>
        <v>6</v>
      </c>
      <c r="I35" s="66" t="s">
        <v>92</v>
      </c>
      <c r="J35" s="64" t="s">
        <v>93</v>
      </c>
      <c r="K35" s="64" t="s">
        <v>195</v>
      </c>
      <c r="L35" s="64" t="s">
        <v>45</v>
      </c>
      <c r="M35" s="64" t="s">
        <v>45</v>
      </c>
      <c r="N35" s="64" t="s">
        <v>95</v>
      </c>
      <c r="O35" s="64">
        <v>5</v>
      </c>
      <c r="P35" s="64">
        <v>5</v>
      </c>
      <c r="Q35" s="64">
        <v>5</v>
      </c>
      <c r="R35" s="64">
        <v>5</v>
      </c>
      <c r="S35" s="64">
        <v>5</v>
      </c>
      <c r="T35" s="64">
        <v>5</v>
      </c>
      <c r="U35" s="64" t="s">
        <v>206</v>
      </c>
      <c r="V35" s="64" t="s">
        <v>123</v>
      </c>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row>
    <row r="36" spans="6:75">
      <c r="F36" s="64" t="s">
        <v>207</v>
      </c>
      <c r="G36" s="64">
        <v>6</v>
      </c>
      <c r="H36" s="64">
        <f t="shared" si="0"/>
        <v>0</v>
      </c>
      <c r="I36" s="66" t="s">
        <v>92</v>
      </c>
      <c r="J36" s="64" t="s">
        <v>208</v>
      </c>
      <c r="K36" s="64" t="s">
        <v>209</v>
      </c>
      <c r="L36" s="64" t="s">
        <v>20</v>
      </c>
      <c r="M36" s="64" t="s">
        <v>41</v>
      </c>
      <c r="N36" s="64" t="s">
        <v>210</v>
      </c>
      <c r="O36" s="64">
        <v>3</v>
      </c>
      <c r="P36" s="64">
        <v>3</v>
      </c>
      <c r="Q36" s="64">
        <v>3</v>
      </c>
      <c r="R36" s="64">
        <v>3</v>
      </c>
      <c r="S36" s="64">
        <v>3</v>
      </c>
      <c r="T36" s="64">
        <v>3</v>
      </c>
      <c r="U36" s="64" t="s">
        <v>211</v>
      </c>
      <c r="V36" s="64" t="s">
        <v>212</v>
      </c>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row>
    <row r="37" spans="6:75">
      <c r="F37" s="64" t="s">
        <v>213</v>
      </c>
      <c r="G37" s="64">
        <v>6</v>
      </c>
      <c r="H37" s="64">
        <f t="shared" si="0"/>
        <v>5</v>
      </c>
      <c r="I37" s="66" t="s">
        <v>92</v>
      </c>
      <c r="J37" s="64" t="s">
        <v>98</v>
      </c>
      <c r="K37" s="64" t="s">
        <v>214</v>
      </c>
      <c r="L37" s="64" t="s">
        <v>32</v>
      </c>
      <c r="M37" s="64" t="s">
        <v>32</v>
      </c>
      <c r="N37" s="64" t="s">
        <v>210</v>
      </c>
      <c r="O37" s="64">
        <v>3</v>
      </c>
      <c r="P37" s="64">
        <v>4</v>
      </c>
      <c r="Q37" s="64">
        <v>4</v>
      </c>
      <c r="R37" s="64">
        <v>4</v>
      </c>
      <c r="S37" s="64">
        <v>4</v>
      </c>
      <c r="T37" s="64">
        <v>4</v>
      </c>
      <c r="U37" s="64" t="s">
        <v>215</v>
      </c>
      <c r="V37" s="64" t="s">
        <v>216</v>
      </c>
      <c r="W37" s="31"/>
      <c r="X37" s="31"/>
      <c r="Y37" s="31"/>
      <c r="Z37" s="31"/>
      <c r="AA37" s="31"/>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row>
    <row r="38" spans="6:75">
      <c r="F38" s="64" t="s">
        <v>217</v>
      </c>
      <c r="G38" s="64">
        <v>6</v>
      </c>
      <c r="H38" s="64">
        <f t="shared" si="0"/>
        <v>6</v>
      </c>
      <c r="I38" s="66" t="s">
        <v>92</v>
      </c>
      <c r="J38" s="64" t="s">
        <v>98</v>
      </c>
      <c r="K38" s="64" t="s">
        <v>209</v>
      </c>
      <c r="L38" s="64" t="s">
        <v>32</v>
      </c>
      <c r="M38" s="64" t="s">
        <v>32</v>
      </c>
      <c r="N38" s="64" t="s">
        <v>210</v>
      </c>
      <c r="O38" s="64">
        <v>4</v>
      </c>
      <c r="P38" s="64">
        <v>4</v>
      </c>
      <c r="Q38" s="64">
        <v>4</v>
      </c>
      <c r="R38" s="64">
        <v>4</v>
      </c>
      <c r="S38" s="64">
        <v>4</v>
      </c>
      <c r="T38" s="64">
        <v>4</v>
      </c>
      <c r="U38" s="64" t="s">
        <v>218</v>
      </c>
      <c r="V38" s="64" t="s">
        <v>219</v>
      </c>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row>
    <row r="39" spans="6:75">
      <c r="F39" s="64" t="s">
        <v>220</v>
      </c>
      <c r="G39" s="64">
        <v>6</v>
      </c>
      <c r="H39" s="64">
        <f t="shared" si="0"/>
        <v>6</v>
      </c>
      <c r="I39" s="66" t="s">
        <v>92</v>
      </c>
      <c r="J39" s="64" t="s">
        <v>98</v>
      </c>
      <c r="K39" s="64" t="s">
        <v>209</v>
      </c>
      <c r="L39" s="64" t="s">
        <v>32</v>
      </c>
      <c r="M39" s="64" t="s">
        <v>32</v>
      </c>
      <c r="N39" s="64" t="s">
        <v>210</v>
      </c>
      <c r="O39" s="64">
        <v>5</v>
      </c>
      <c r="P39" s="64">
        <v>4</v>
      </c>
      <c r="Q39" s="64">
        <v>5</v>
      </c>
      <c r="R39" s="64">
        <v>5</v>
      </c>
      <c r="S39" s="64">
        <v>5</v>
      </c>
      <c r="T39" s="64">
        <v>5</v>
      </c>
      <c r="U39" s="64" t="s">
        <v>221</v>
      </c>
      <c r="V39" s="64" t="s">
        <v>222</v>
      </c>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row>
    <row r="40" spans="6:75">
      <c r="F40" s="64" t="s">
        <v>223</v>
      </c>
      <c r="G40" s="64">
        <v>6</v>
      </c>
      <c r="H40" s="64">
        <f t="shared" si="0"/>
        <v>6</v>
      </c>
      <c r="I40" s="66" t="s">
        <v>92</v>
      </c>
      <c r="J40" s="64" t="s">
        <v>208</v>
      </c>
      <c r="K40" s="64" t="s">
        <v>209</v>
      </c>
      <c r="L40" s="64" t="s">
        <v>32</v>
      </c>
      <c r="M40" s="64" t="s">
        <v>32</v>
      </c>
      <c r="N40" s="64" t="s">
        <v>210</v>
      </c>
      <c r="O40" s="64">
        <v>5</v>
      </c>
      <c r="P40" s="64">
        <v>5</v>
      </c>
      <c r="Q40" s="64">
        <v>5</v>
      </c>
      <c r="R40" s="64">
        <v>5</v>
      </c>
      <c r="S40" s="64">
        <v>5</v>
      </c>
      <c r="T40" s="64">
        <v>5</v>
      </c>
      <c r="U40" s="64" t="s">
        <v>224</v>
      </c>
      <c r="V40" s="64" t="s">
        <v>225</v>
      </c>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row>
    <row r="41" spans="6:75">
      <c r="F41" s="64" t="s">
        <v>226</v>
      </c>
      <c r="G41" s="64">
        <v>6</v>
      </c>
      <c r="H41" s="64">
        <f t="shared" si="0"/>
        <v>6</v>
      </c>
      <c r="I41" s="66" t="s">
        <v>92</v>
      </c>
      <c r="J41" s="64" t="s">
        <v>227</v>
      </c>
      <c r="K41" s="64" t="s">
        <v>209</v>
      </c>
      <c r="L41" s="64" t="s">
        <v>32</v>
      </c>
      <c r="M41" s="64" t="s">
        <v>32</v>
      </c>
      <c r="N41" s="64" t="s">
        <v>95</v>
      </c>
      <c r="O41" s="64">
        <v>4</v>
      </c>
      <c r="P41" s="64">
        <v>4</v>
      </c>
      <c r="Q41" s="64">
        <v>4</v>
      </c>
      <c r="R41" s="64">
        <v>4</v>
      </c>
      <c r="S41" s="64">
        <v>4</v>
      </c>
      <c r="T41" s="64">
        <v>4</v>
      </c>
      <c r="U41" s="64" t="s">
        <v>228</v>
      </c>
      <c r="V41" s="64" t="s">
        <v>229</v>
      </c>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row>
    <row r="42" spans="6:75">
      <c r="F42" s="64" t="s">
        <v>230</v>
      </c>
      <c r="G42" s="64">
        <v>6</v>
      </c>
      <c r="H42" s="64">
        <f t="shared" si="0"/>
        <v>6</v>
      </c>
      <c r="I42" s="66" t="s">
        <v>92</v>
      </c>
      <c r="J42" s="64" t="s">
        <v>231</v>
      </c>
      <c r="K42" s="64" t="s">
        <v>214</v>
      </c>
      <c r="L42" s="64" t="s">
        <v>20</v>
      </c>
      <c r="M42" s="64" t="s">
        <v>41</v>
      </c>
      <c r="N42" s="64" t="s">
        <v>210</v>
      </c>
      <c r="O42" s="64">
        <v>5</v>
      </c>
      <c r="P42" s="64">
        <v>5</v>
      </c>
      <c r="Q42" s="64">
        <v>5</v>
      </c>
      <c r="R42" s="64">
        <v>5</v>
      </c>
      <c r="S42" s="64">
        <v>5</v>
      </c>
      <c r="T42" s="64">
        <v>5</v>
      </c>
      <c r="U42" s="64"/>
      <c r="V42" s="64"/>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row>
    <row r="43" spans="6:75">
      <c r="F43" s="64" t="s">
        <v>232</v>
      </c>
      <c r="G43" s="64">
        <v>6</v>
      </c>
      <c r="H43" s="64">
        <f t="shared" si="0"/>
        <v>6</v>
      </c>
      <c r="I43" s="66" t="s">
        <v>92</v>
      </c>
      <c r="J43" s="64" t="s">
        <v>98</v>
      </c>
      <c r="K43" s="64" t="s">
        <v>214</v>
      </c>
      <c r="L43" s="64" t="s">
        <v>20</v>
      </c>
      <c r="M43" s="64" t="s">
        <v>41</v>
      </c>
      <c r="N43" s="64"/>
      <c r="O43" s="64">
        <v>4</v>
      </c>
      <c r="P43" s="64">
        <v>4</v>
      </c>
      <c r="Q43" s="64">
        <v>5</v>
      </c>
      <c r="R43" s="64">
        <v>5</v>
      </c>
      <c r="S43" s="64">
        <v>5</v>
      </c>
      <c r="T43" s="64">
        <v>5</v>
      </c>
      <c r="U43" s="64" t="s">
        <v>233</v>
      </c>
      <c r="V43" s="64"/>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row>
    <row r="44" spans="6:75">
      <c r="F44" s="64" t="s">
        <v>234</v>
      </c>
      <c r="G44" s="64">
        <v>6</v>
      </c>
      <c r="H44" s="64">
        <f t="shared" si="0"/>
        <v>6</v>
      </c>
      <c r="I44" s="66" t="s">
        <v>92</v>
      </c>
      <c r="J44" s="64" t="s">
        <v>98</v>
      </c>
      <c r="K44" s="64" t="s">
        <v>214</v>
      </c>
      <c r="L44" s="64" t="s">
        <v>20</v>
      </c>
      <c r="M44" s="64" t="s">
        <v>41</v>
      </c>
      <c r="N44" s="64" t="s">
        <v>210</v>
      </c>
      <c r="O44" s="64">
        <v>4</v>
      </c>
      <c r="P44" s="64">
        <v>4</v>
      </c>
      <c r="Q44" s="64">
        <v>5</v>
      </c>
      <c r="R44" s="64">
        <v>4</v>
      </c>
      <c r="S44" s="64">
        <v>4</v>
      </c>
      <c r="T44" s="64">
        <v>4</v>
      </c>
      <c r="U44" s="64" t="s">
        <v>235</v>
      </c>
      <c r="V44" s="64" t="s">
        <v>236</v>
      </c>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row>
    <row r="45" spans="6:75">
      <c r="F45" s="64" t="s">
        <v>237</v>
      </c>
      <c r="G45" s="64">
        <v>6</v>
      </c>
      <c r="H45" s="64">
        <f t="shared" si="0"/>
        <v>6</v>
      </c>
      <c r="I45" s="66" t="s">
        <v>92</v>
      </c>
      <c r="J45" s="64" t="s">
        <v>238</v>
      </c>
      <c r="K45" s="64" t="s">
        <v>209</v>
      </c>
      <c r="L45" s="64" t="s">
        <v>20</v>
      </c>
      <c r="M45" s="64" t="s">
        <v>41</v>
      </c>
      <c r="N45" s="64" t="s">
        <v>210</v>
      </c>
      <c r="O45" s="64">
        <v>4</v>
      </c>
      <c r="P45" s="64">
        <v>4</v>
      </c>
      <c r="Q45" s="64">
        <v>4</v>
      </c>
      <c r="R45" s="64">
        <v>4</v>
      </c>
      <c r="S45" s="64">
        <v>4</v>
      </c>
      <c r="T45" s="64">
        <v>4</v>
      </c>
      <c r="U45" s="64"/>
      <c r="V45" s="64"/>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row>
    <row r="46" spans="6:75">
      <c r="F46" s="64" t="s">
        <v>239</v>
      </c>
      <c r="G46" s="64">
        <v>6</v>
      </c>
      <c r="H46" s="64">
        <f t="shared" si="0"/>
        <v>6</v>
      </c>
      <c r="I46" s="66" t="s">
        <v>92</v>
      </c>
      <c r="J46" s="64" t="s">
        <v>238</v>
      </c>
      <c r="K46" s="64" t="s">
        <v>209</v>
      </c>
      <c r="L46" s="64" t="s">
        <v>20</v>
      </c>
      <c r="M46" s="64" t="s">
        <v>41</v>
      </c>
      <c r="N46" s="64" t="s">
        <v>210</v>
      </c>
      <c r="O46" s="64">
        <v>4</v>
      </c>
      <c r="P46" s="64">
        <v>4</v>
      </c>
      <c r="Q46" s="64">
        <v>4</v>
      </c>
      <c r="R46" s="64">
        <v>4</v>
      </c>
      <c r="S46" s="64">
        <v>4</v>
      </c>
      <c r="T46" s="64">
        <v>4</v>
      </c>
      <c r="U46" s="64" t="s">
        <v>240</v>
      </c>
      <c r="V46" s="64" t="s">
        <v>241</v>
      </c>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row>
    <row r="47" spans="6:75">
      <c r="F47" s="64" t="s">
        <v>242</v>
      </c>
      <c r="G47" s="64">
        <v>6</v>
      </c>
      <c r="H47" s="64">
        <f t="shared" si="0"/>
        <v>5</v>
      </c>
      <c r="I47" s="66" t="s">
        <v>92</v>
      </c>
      <c r="J47" s="64" t="s">
        <v>98</v>
      </c>
      <c r="K47" s="64" t="s">
        <v>214</v>
      </c>
      <c r="L47" s="64" t="s">
        <v>20</v>
      </c>
      <c r="M47" s="64" t="s">
        <v>41</v>
      </c>
      <c r="N47" s="64" t="s">
        <v>210</v>
      </c>
      <c r="O47" s="64">
        <v>4</v>
      </c>
      <c r="P47" s="64">
        <v>3</v>
      </c>
      <c r="Q47" s="64">
        <v>4</v>
      </c>
      <c r="R47" s="64">
        <v>4</v>
      </c>
      <c r="S47" s="64">
        <v>4</v>
      </c>
      <c r="T47" s="64">
        <v>4</v>
      </c>
      <c r="U47" s="64" t="s">
        <v>243</v>
      </c>
      <c r="V47" s="64" t="s">
        <v>244</v>
      </c>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row>
    <row r="48" spans="6:75">
      <c r="F48" s="64" t="s">
        <v>245</v>
      </c>
      <c r="G48" s="64">
        <v>6</v>
      </c>
      <c r="H48" s="64">
        <f t="shared" si="0"/>
        <v>6</v>
      </c>
      <c r="I48" s="66" t="s">
        <v>92</v>
      </c>
      <c r="J48" s="64" t="s">
        <v>231</v>
      </c>
      <c r="K48" s="64" t="s">
        <v>209</v>
      </c>
      <c r="L48" s="64" t="s">
        <v>20</v>
      </c>
      <c r="M48" s="64" t="s">
        <v>41</v>
      </c>
      <c r="N48" s="64" t="s">
        <v>210</v>
      </c>
      <c r="O48" s="64">
        <v>5</v>
      </c>
      <c r="P48" s="64">
        <v>5</v>
      </c>
      <c r="Q48" s="64">
        <v>5</v>
      </c>
      <c r="R48" s="64">
        <v>5</v>
      </c>
      <c r="S48" s="64">
        <v>5</v>
      </c>
      <c r="T48" s="64">
        <v>5</v>
      </c>
      <c r="U48" s="64" t="s">
        <v>246</v>
      </c>
      <c r="V48" s="64" t="s">
        <v>247</v>
      </c>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row>
    <row r="49" spans="6:75" ht="30.75">
      <c r="F49" s="64" t="s">
        <v>248</v>
      </c>
      <c r="G49" s="64">
        <v>6</v>
      </c>
      <c r="H49" s="64">
        <f t="shared" si="0"/>
        <v>5</v>
      </c>
      <c r="I49" s="66" t="s">
        <v>92</v>
      </c>
      <c r="J49" s="64" t="s">
        <v>231</v>
      </c>
      <c r="K49" s="64" t="s">
        <v>214</v>
      </c>
      <c r="L49" s="64" t="s">
        <v>20</v>
      </c>
      <c r="M49" s="64" t="s">
        <v>41</v>
      </c>
      <c r="N49" s="64" t="s">
        <v>210</v>
      </c>
      <c r="O49" s="64">
        <v>5</v>
      </c>
      <c r="P49" s="64">
        <v>4</v>
      </c>
      <c r="Q49" s="64">
        <v>5</v>
      </c>
      <c r="R49" s="64">
        <v>3</v>
      </c>
      <c r="S49" s="64">
        <v>5</v>
      </c>
      <c r="T49" s="64">
        <v>5</v>
      </c>
      <c r="U49" s="64" t="s">
        <v>249</v>
      </c>
      <c r="V49" s="64" t="s">
        <v>250</v>
      </c>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row>
    <row r="50" spans="6:75" ht="30.75">
      <c r="F50" s="64" t="s">
        <v>251</v>
      </c>
      <c r="G50" s="64">
        <v>6</v>
      </c>
      <c r="H50" s="64">
        <f t="shared" si="0"/>
        <v>6</v>
      </c>
      <c r="I50" s="66" t="s">
        <v>92</v>
      </c>
      <c r="J50" s="64" t="s">
        <v>93</v>
      </c>
      <c r="K50" s="64" t="s">
        <v>252</v>
      </c>
      <c r="L50" s="64" t="s">
        <v>48</v>
      </c>
      <c r="M50" s="64" t="s">
        <v>36</v>
      </c>
      <c r="N50" s="64" t="s">
        <v>61</v>
      </c>
      <c r="O50" s="64">
        <v>5</v>
      </c>
      <c r="P50" s="64">
        <v>5</v>
      </c>
      <c r="Q50" s="64">
        <v>5</v>
      </c>
      <c r="R50" s="64">
        <v>5</v>
      </c>
      <c r="S50" s="64">
        <v>5</v>
      </c>
      <c r="T50" s="64">
        <v>5</v>
      </c>
      <c r="U50" s="64" t="s">
        <v>253</v>
      </c>
      <c r="V50" s="64" t="s">
        <v>254</v>
      </c>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row>
    <row r="51" spans="6:75" ht="60.75">
      <c r="F51" s="64" t="s">
        <v>255</v>
      </c>
      <c r="G51" s="64">
        <v>6</v>
      </c>
      <c r="H51" s="64">
        <f t="shared" si="0"/>
        <v>6</v>
      </c>
      <c r="I51" s="66" t="s">
        <v>92</v>
      </c>
      <c r="J51" s="64" t="s">
        <v>93</v>
      </c>
      <c r="K51" s="64" t="s">
        <v>256</v>
      </c>
      <c r="L51" s="64" t="s">
        <v>48</v>
      </c>
      <c r="M51" s="64" t="s">
        <v>36</v>
      </c>
      <c r="N51" s="64" t="s">
        <v>61</v>
      </c>
      <c r="O51" s="64">
        <v>5</v>
      </c>
      <c r="P51" s="64">
        <v>5</v>
      </c>
      <c r="Q51" s="64">
        <v>5</v>
      </c>
      <c r="R51" s="64">
        <v>5</v>
      </c>
      <c r="S51" s="64">
        <v>5</v>
      </c>
      <c r="T51" s="64">
        <v>5</v>
      </c>
      <c r="U51" s="64" t="s">
        <v>257</v>
      </c>
      <c r="V51" s="64" t="s">
        <v>258</v>
      </c>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row>
    <row r="52" spans="6:75">
      <c r="F52" s="64" t="s">
        <v>259</v>
      </c>
      <c r="G52" s="64">
        <v>6</v>
      </c>
      <c r="H52" s="64">
        <f t="shared" si="0"/>
        <v>6</v>
      </c>
      <c r="I52" s="66" t="s">
        <v>92</v>
      </c>
      <c r="J52" s="64" t="s">
        <v>93</v>
      </c>
      <c r="K52" s="64" t="s">
        <v>252</v>
      </c>
      <c r="L52" s="64" t="s">
        <v>48</v>
      </c>
      <c r="M52" s="64" t="s">
        <v>36</v>
      </c>
      <c r="N52" s="64" t="s">
        <v>61</v>
      </c>
      <c r="O52" s="64">
        <v>5</v>
      </c>
      <c r="P52" s="64">
        <v>5</v>
      </c>
      <c r="Q52" s="64">
        <v>5</v>
      </c>
      <c r="R52" s="64">
        <v>5</v>
      </c>
      <c r="S52" s="64">
        <v>5</v>
      </c>
      <c r="T52" s="64">
        <v>5</v>
      </c>
      <c r="U52" s="64" t="s">
        <v>260</v>
      </c>
      <c r="V52" s="64" t="s">
        <v>261</v>
      </c>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row>
    <row r="53" spans="6:75">
      <c r="F53" s="64" t="s">
        <v>262</v>
      </c>
      <c r="G53" s="64">
        <v>6</v>
      </c>
      <c r="H53" s="64">
        <f t="shared" si="0"/>
        <v>6</v>
      </c>
      <c r="I53" s="66" t="s">
        <v>92</v>
      </c>
      <c r="J53" s="64" t="s">
        <v>93</v>
      </c>
      <c r="K53" s="64" t="s">
        <v>263</v>
      </c>
      <c r="L53" s="64" t="s">
        <v>36</v>
      </c>
      <c r="M53" s="64" t="s">
        <v>36</v>
      </c>
      <c r="N53" s="64" t="s">
        <v>61</v>
      </c>
      <c r="O53" s="64">
        <v>5</v>
      </c>
      <c r="P53" s="64">
        <v>5</v>
      </c>
      <c r="Q53" s="64">
        <v>5</v>
      </c>
      <c r="R53" s="64">
        <v>5</v>
      </c>
      <c r="S53" s="64">
        <v>5</v>
      </c>
      <c r="T53" s="64">
        <v>5</v>
      </c>
      <c r="U53" s="64" t="s">
        <v>264</v>
      </c>
      <c r="V53" s="64" t="s">
        <v>265</v>
      </c>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row>
    <row r="54" spans="6:75">
      <c r="F54" s="64" t="s">
        <v>266</v>
      </c>
      <c r="G54" s="64">
        <v>6</v>
      </c>
      <c r="H54" s="64">
        <f t="shared" si="0"/>
        <v>6</v>
      </c>
      <c r="I54" s="66" t="s">
        <v>92</v>
      </c>
      <c r="J54" s="64" t="s">
        <v>93</v>
      </c>
      <c r="K54" s="64" t="s">
        <v>263</v>
      </c>
      <c r="L54" s="64" t="s">
        <v>36</v>
      </c>
      <c r="M54" s="64" t="s">
        <v>36</v>
      </c>
      <c r="N54" s="64" t="s">
        <v>61</v>
      </c>
      <c r="O54" s="64">
        <v>5</v>
      </c>
      <c r="P54" s="64">
        <v>5</v>
      </c>
      <c r="Q54" s="64">
        <v>5</v>
      </c>
      <c r="R54" s="64">
        <v>5</v>
      </c>
      <c r="S54" s="64">
        <v>5</v>
      </c>
      <c r="T54" s="64">
        <v>5</v>
      </c>
      <c r="U54" s="64" t="s">
        <v>267</v>
      </c>
      <c r="V54" s="64"/>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row>
    <row r="55" spans="6:75" ht="30.75">
      <c r="F55" s="64" t="s">
        <v>268</v>
      </c>
      <c r="G55" s="64">
        <v>6</v>
      </c>
      <c r="H55" s="64">
        <f t="shared" si="0"/>
        <v>6</v>
      </c>
      <c r="I55" s="66" t="s">
        <v>92</v>
      </c>
      <c r="J55" s="64" t="s">
        <v>93</v>
      </c>
      <c r="K55" s="64" t="s">
        <v>256</v>
      </c>
      <c r="L55" s="64" t="s">
        <v>48</v>
      </c>
      <c r="M55" s="64" t="s">
        <v>36</v>
      </c>
      <c r="N55" s="64" t="s">
        <v>61</v>
      </c>
      <c r="O55" s="64">
        <v>4</v>
      </c>
      <c r="P55" s="64">
        <v>4</v>
      </c>
      <c r="Q55" s="64">
        <v>4</v>
      </c>
      <c r="R55" s="64">
        <v>4</v>
      </c>
      <c r="S55" s="64">
        <v>4</v>
      </c>
      <c r="T55" s="64">
        <v>4</v>
      </c>
      <c r="U55" s="64" t="s">
        <v>269</v>
      </c>
      <c r="V55" s="64" t="s">
        <v>270</v>
      </c>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row>
    <row r="56" spans="6:75">
      <c r="F56" s="64" t="s">
        <v>271</v>
      </c>
      <c r="G56" s="64">
        <v>6</v>
      </c>
      <c r="H56" s="64">
        <f t="shared" si="0"/>
        <v>6</v>
      </c>
      <c r="I56" s="66" t="s">
        <v>92</v>
      </c>
      <c r="J56" s="64" t="s">
        <v>93</v>
      </c>
      <c r="K56" s="64" t="s">
        <v>256</v>
      </c>
      <c r="L56" s="64" t="s">
        <v>48</v>
      </c>
      <c r="M56" s="64" t="s">
        <v>36</v>
      </c>
      <c r="N56" s="64" t="s">
        <v>61</v>
      </c>
      <c r="O56" s="64">
        <v>5</v>
      </c>
      <c r="P56" s="64">
        <v>4</v>
      </c>
      <c r="Q56" s="64">
        <v>5</v>
      </c>
      <c r="R56" s="64">
        <v>5</v>
      </c>
      <c r="S56" s="64">
        <v>5</v>
      </c>
      <c r="T56" s="64">
        <v>5</v>
      </c>
      <c r="U56" s="64" t="s">
        <v>272</v>
      </c>
      <c r="V56" s="64"/>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row>
    <row r="57" spans="6:75" ht="45.75">
      <c r="F57" s="64" t="s">
        <v>273</v>
      </c>
      <c r="G57" s="64">
        <v>6</v>
      </c>
      <c r="H57" s="64">
        <f t="shared" si="0"/>
        <v>6</v>
      </c>
      <c r="I57" s="66" t="s">
        <v>92</v>
      </c>
      <c r="J57" s="64" t="s">
        <v>93</v>
      </c>
      <c r="K57" s="64" t="s">
        <v>256</v>
      </c>
      <c r="L57" s="64" t="s">
        <v>48</v>
      </c>
      <c r="M57" s="64" t="s">
        <v>36</v>
      </c>
      <c r="N57" s="64" t="s">
        <v>61</v>
      </c>
      <c r="O57" s="64">
        <v>5</v>
      </c>
      <c r="P57" s="64">
        <v>4</v>
      </c>
      <c r="Q57" s="64">
        <v>5</v>
      </c>
      <c r="R57" s="64">
        <v>5</v>
      </c>
      <c r="S57" s="64">
        <v>4</v>
      </c>
      <c r="T57" s="64">
        <v>4</v>
      </c>
      <c r="U57" s="64" t="s">
        <v>274</v>
      </c>
      <c r="V57" s="64" t="s">
        <v>275</v>
      </c>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row>
    <row r="58" spans="6:75">
      <c r="F58" s="64" t="s">
        <v>276</v>
      </c>
      <c r="G58" s="64">
        <v>6</v>
      </c>
      <c r="H58" s="64">
        <f t="shared" si="0"/>
        <v>6</v>
      </c>
      <c r="I58" s="66" t="s">
        <v>92</v>
      </c>
      <c r="J58" s="64" t="s">
        <v>93</v>
      </c>
      <c r="K58" s="64" t="s">
        <v>256</v>
      </c>
      <c r="L58" s="64" t="s">
        <v>36</v>
      </c>
      <c r="M58" s="64" t="s">
        <v>36</v>
      </c>
      <c r="N58" s="64" t="s">
        <v>61</v>
      </c>
      <c r="O58" s="64">
        <v>5</v>
      </c>
      <c r="P58" s="64">
        <v>5</v>
      </c>
      <c r="Q58" s="64">
        <v>5</v>
      </c>
      <c r="R58" s="64">
        <v>5</v>
      </c>
      <c r="S58" s="64">
        <v>5</v>
      </c>
      <c r="T58" s="64">
        <v>5</v>
      </c>
      <c r="U58" s="64" t="s">
        <v>277</v>
      </c>
      <c r="V58" s="64" t="s">
        <v>123</v>
      </c>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row>
    <row r="59" spans="6:75" ht="30.75">
      <c r="F59" s="64" t="s">
        <v>278</v>
      </c>
      <c r="G59" s="64">
        <v>6</v>
      </c>
      <c r="H59" s="64">
        <f t="shared" si="0"/>
        <v>6</v>
      </c>
      <c r="I59" s="66" t="s">
        <v>92</v>
      </c>
      <c r="J59" s="64" t="s">
        <v>93</v>
      </c>
      <c r="K59" s="64" t="s">
        <v>256</v>
      </c>
      <c r="L59" s="64" t="s">
        <v>64</v>
      </c>
      <c r="M59" s="64" t="s">
        <v>36</v>
      </c>
      <c r="N59" s="64" t="s">
        <v>61</v>
      </c>
      <c r="O59" s="64">
        <v>5</v>
      </c>
      <c r="P59" s="64">
        <v>5</v>
      </c>
      <c r="Q59" s="64">
        <v>5</v>
      </c>
      <c r="R59" s="64">
        <v>5</v>
      </c>
      <c r="S59" s="64">
        <v>5</v>
      </c>
      <c r="T59" s="64">
        <v>5</v>
      </c>
      <c r="U59" s="64" t="s">
        <v>279</v>
      </c>
      <c r="V59" s="64" t="s">
        <v>280</v>
      </c>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row>
    <row r="60" spans="6:75" ht="45.75">
      <c r="F60" s="64" t="s">
        <v>281</v>
      </c>
      <c r="G60" s="64">
        <v>6</v>
      </c>
      <c r="H60" s="64">
        <f t="shared" si="0"/>
        <v>6</v>
      </c>
      <c r="I60" s="66" t="s">
        <v>92</v>
      </c>
      <c r="J60" s="64" t="s">
        <v>93</v>
      </c>
      <c r="K60" s="64" t="s">
        <v>256</v>
      </c>
      <c r="L60" s="64" t="s">
        <v>48</v>
      </c>
      <c r="M60" s="64" t="s">
        <v>36</v>
      </c>
      <c r="N60" s="64" t="s">
        <v>61</v>
      </c>
      <c r="O60" s="64">
        <v>5</v>
      </c>
      <c r="P60" s="64">
        <v>5</v>
      </c>
      <c r="Q60" s="64">
        <v>5</v>
      </c>
      <c r="R60" s="64">
        <v>5</v>
      </c>
      <c r="S60" s="64">
        <v>5</v>
      </c>
      <c r="T60" s="64">
        <v>5</v>
      </c>
      <c r="U60" s="64" t="s">
        <v>282</v>
      </c>
      <c r="V60" s="64" t="s">
        <v>283</v>
      </c>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row>
    <row r="61" spans="6:75">
      <c r="F61" s="64" t="s">
        <v>284</v>
      </c>
      <c r="G61" s="64">
        <v>6</v>
      </c>
      <c r="H61" s="64">
        <f t="shared" si="0"/>
        <v>6</v>
      </c>
      <c r="I61" s="66" t="s">
        <v>92</v>
      </c>
      <c r="J61" s="64" t="s">
        <v>93</v>
      </c>
      <c r="K61" s="64" t="s">
        <v>285</v>
      </c>
      <c r="L61" s="64" t="s">
        <v>64</v>
      </c>
      <c r="M61" s="64" t="s">
        <v>36</v>
      </c>
      <c r="N61" s="64" t="s">
        <v>61</v>
      </c>
      <c r="O61" s="64">
        <v>4</v>
      </c>
      <c r="P61" s="64">
        <v>4</v>
      </c>
      <c r="Q61" s="64">
        <v>4</v>
      </c>
      <c r="R61" s="64">
        <v>4</v>
      </c>
      <c r="S61" s="64">
        <v>4</v>
      </c>
      <c r="T61" s="64">
        <v>4</v>
      </c>
      <c r="U61" s="64" t="s">
        <v>286</v>
      </c>
      <c r="V61" s="64" t="s">
        <v>287</v>
      </c>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row>
    <row r="62" spans="6:75" ht="30.75">
      <c r="F62" s="64" t="s">
        <v>288</v>
      </c>
      <c r="G62" s="64">
        <v>6</v>
      </c>
      <c r="H62" s="64">
        <f t="shared" si="0"/>
        <v>6</v>
      </c>
      <c r="I62" s="66" t="s">
        <v>92</v>
      </c>
      <c r="J62" s="64" t="s">
        <v>93</v>
      </c>
      <c r="K62" s="64" t="s">
        <v>256</v>
      </c>
      <c r="L62" s="64" t="s">
        <v>64</v>
      </c>
      <c r="M62" s="64" t="s">
        <v>36</v>
      </c>
      <c r="N62" s="64" t="s">
        <v>61</v>
      </c>
      <c r="O62" s="64">
        <v>5</v>
      </c>
      <c r="P62" s="64">
        <v>5</v>
      </c>
      <c r="Q62" s="64">
        <v>5</v>
      </c>
      <c r="R62" s="64">
        <v>5</v>
      </c>
      <c r="S62" s="64">
        <v>5</v>
      </c>
      <c r="T62" s="64">
        <v>5</v>
      </c>
      <c r="U62" s="64" t="s">
        <v>289</v>
      </c>
      <c r="V62" s="64" t="s">
        <v>290</v>
      </c>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row>
    <row r="63" spans="6:75">
      <c r="F63" s="64" t="s">
        <v>291</v>
      </c>
      <c r="G63" s="64">
        <v>6</v>
      </c>
      <c r="H63" s="64">
        <f t="shared" si="0"/>
        <v>6</v>
      </c>
      <c r="I63" s="66" t="s">
        <v>92</v>
      </c>
      <c r="J63" s="64" t="s">
        <v>93</v>
      </c>
      <c r="K63" s="64" t="s">
        <v>256</v>
      </c>
      <c r="L63" s="64" t="s">
        <v>48</v>
      </c>
      <c r="M63" s="64" t="s">
        <v>36</v>
      </c>
      <c r="N63" s="64" t="s">
        <v>61</v>
      </c>
      <c r="O63" s="64">
        <v>5</v>
      </c>
      <c r="P63" s="64">
        <v>5</v>
      </c>
      <c r="Q63" s="64">
        <v>5</v>
      </c>
      <c r="R63" s="64">
        <v>5</v>
      </c>
      <c r="S63" s="64">
        <v>5</v>
      </c>
      <c r="T63" s="64">
        <v>5</v>
      </c>
      <c r="U63" s="64" t="s">
        <v>292</v>
      </c>
      <c r="V63" s="64" t="s">
        <v>293</v>
      </c>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row>
    <row r="64" spans="6:75">
      <c r="F64" s="64" t="s">
        <v>294</v>
      </c>
      <c r="G64" s="64">
        <v>6</v>
      </c>
      <c r="H64" s="64">
        <f t="shared" si="0"/>
        <v>6</v>
      </c>
      <c r="I64" s="66" t="s">
        <v>92</v>
      </c>
      <c r="J64" s="64" t="s">
        <v>93</v>
      </c>
      <c r="K64" s="64" t="s">
        <v>252</v>
      </c>
      <c r="L64" s="64" t="s">
        <v>64</v>
      </c>
      <c r="M64" s="64" t="s">
        <v>48</v>
      </c>
      <c r="N64" s="64" t="s">
        <v>61</v>
      </c>
      <c r="O64" s="64">
        <v>4</v>
      </c>
      <c r="P64" s="64">
        <v>4</v>
      </c>
      <c r="Q64" s="64">
        <v>4</v>
      </c>
      <c r="R64" s="64">
        <v>4</v>
      </c>
      <c r="S64" s="64">
        <v>4</v>
      </c>
      <c r="T64" s="64">
        <v>4</v>
      </c>
      <c r="U64" s="64"/>
      <c r="V64" s="64"/>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row>
    <row r="65" spans="6:75">
      <c r="F65" s="64" t="s">
        <v>295</v>
      </c>
      <c r="G65" s="64">
        <v>6</v>
      </c>
      <c r="H65" s="64">
        <f t="shared" si="0"/>
        <v>6</v>
      </c>
      <c r="I65" s="66" t="s">
        <v>92</v>
      </c>
      <c r="J65" s="64" t="s">
        <v>93</v>
      </c>
      <c r="K65" s="64" t="s">
        <v>285</v>
      </c>
      <c r="L65" s="64" t="s">
        <v>64</v>
      </c>
      <c r="M65" s="64" t="s">
        <v>48</v>
      </c>
      <c r="N65" s="64" t="s">
        <v>61</v>
      </c>
      <c r="O65" s="64">
        <v>5</v>
      </c>
      <c r="P65" s="64">
        <v>5</v>
      </c>
      <c r="Q65" s="64">
        <v>5</v>
      </c>
      <c r="R65" s="64">
        <v>5</v>
      </c>
      <c r="S65" s="64">
        <v>5</v>
      </c>
      <c r="T65" s="64">
        <v>5</v>
      </c>
      <c r="U65" s="64" t="s">
        <v>296</v>
      </c>
      <c r="V65" s="64" t="s">
        <v>297</v>
      </c>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row>
    <row r="66" spans="6:75" ht="30.75">
      <c r="F66" s="64" t="s">
        <v>298</v>
      </c>
      <c r="G66" s="64">
        <v>6</v>
      </c>
      <c r="H66" s="64">
        <f t="shared" si="0"/>
        <v>6</v>
      </c>
      <c r="I66" s="66" t="s">
        <v>92</v>
      </c>
      <c r="J66" s="64" t="s">
        <v>93</v>
      </c>
      <c r="K66" s="64" t="s">
        <v>299</v>
      </c>
      <c r="L66" s="64" t="s">
        <v>64</v>
      </c>
      <c r="M66" s="64" t="s">
        <v>48</v>
      </c>
      <c r="N66" s="64" t="s">
        <v>61</v>
      </c>
      <c r="O66" s="64">
        <v>5</v>
      </c>
      <c r="P66" s="64">
        <v>5</v>
      </c>
      <c r="Q66" s="64">
        <v>5</v>
      </c>
      <c r="R66" s="64">
        <v>5</v>
      </c>
      <c r="S66" s="64">
        <v>5</v>
      </c>
      <c r="T66" s="64">
        <v>5</v>
      </c>
      <c r="U66" s="64" t="s">
        <v>300</v>
      </c>
      <c r="V66" s="64" t="s">
        <v>301</v>
      </c>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row>
    <row r="67" spans="6:75">
      <c r="F67" s="64" t="s">
        <v>302</v>
      </c>
      <c r="G67" s="64">
        <v>6</v>
      </c>
      <c r="H67" s="64">
        <f t="shared" ref="H67:H130" si="1">COUNTIF(O67:T67,"&gt;3")</f>
        <v>6</v>
      </c>
      <c r="I67" s="66" t="s">
        <v>92</v>
      </c>
      <c r="J67" s="64" t="s">
        <v>93</v>
      </c>
      <c r="K67" s="64" t="s">
        <v>285</v>
      </c>
      <c r="L67" s="64" t="s">
        <v>64</v>
      </c>
      <c r="M67" s="64" t="s">
        <v>64</v>
      </c>
      <c r="N67" s="64" t="s">
        <v>61</v>
      </c>
      <c r="O67" s="64">
        <v>5</v>
      </c>
      <c r="P67" s="64">
        <v>5</v>
      </c>
      <c r="Q67" s="64">
        <v>5</v>
      </c>
      <c r="R67" s="64">
        <v>4</v>
      </c>
      <c r="S67" s="64">
        <v>5</v>
      </c>
      <c r="T67" s="64">
        <v>5</v>
      </c>
      <c r="U67" s="64" t="s">
        <v>303</v>
      </c>
      <c r="V67" s="64" t="s">
        <v>304</v>
      </c>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row>
    <row r="68" spans="6:75">
      <c r="F68" s="64" t="s">
        <v>305</v>
      </c>
      <c r="G68" s="64">
        <v>6</v>
      </c>
      <c r="H68" s="64">
        <f t="shared" si="1"/>
        <v>6</v>
      </c>
      <c r="I68" s="66" t="s">
        <v>92</v>
      </c>
      <c r="J68" s="64" t="s">
        <v>93</v>
      </c>
      <c r="K68" s="64" t="s">
        <v>306</v>
      </c>
      <c r="L68" s="64" t="s">
        <v>48</v>
      </c>
      <c r="M68" s="64" t="s">
        <v>36</v>
      </c>
      <c r="N68" s="64"/>
      <c r="O68" s="64">
        <v>5</v>
      </c>
      <c r="P68" s="64">
        <v>5</v>
      </c>
      <c r="Q68" s="64">
        <v>5</v>
      </c>
      <c r="R68" s="64">
        <v>5</v>
      </c>
      <c r="S68" s="64">
        <v>5</v>
      </c>
      <c r="T68" s="64">
        <v>5</v>
      </c>
      <c r="U68" s="64" t="s">
        <v>307</v>
      </c>
      <c r="V68" s="64" t="s">
        <v>123</v>
      </c>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row>
    <row r="69" spans="6:75">
      <c r="F69" s="64" t="s">
        <v>308</v>
      </c>
      <c r="G69" s="64">
        <v>6</v>
      </c>
      <c r="H69" s="64">
        <f t="shared" si="1"/>
        <v>6</v>
      </c>
      <c r="I69" s="66" t="s">
        <v>92</v>
      </c>
      <c r="J69" s="64" t="s">
        <v>93</v>
      </c>
      <c r="K69" s="64" t="s">
        <v>256</v>
      </c>
      <c r="L69" s="64" t="s">
        <v>64</v>
      </c>
      <c r="M69" s="64" t="s">
        <v>36</v>
      </c>
      <c r="N69" s="64" t="s">
        <v>61</v>
      </c>
      <c r="O69" s="64">
        <v>5</v>
      </c>
      <c r="P69" s="64">
        <v>5</v>
      </c>
      <c r="Q69" s="64">
        <v>5</v>
      </c>
      <c r="R69" s="64">
        <v>5</v>
      </c>
      <c r="S69" s="64">
        <v>5</v>
      </c>
      <c r="T69" s="64">
        <v>5</v>
      </c>
      <c r="U69" s="64" t="s">
        <v>9</v>
      </c>
      <c r="V69" s="64" t="s">
        <v>9</v>
      </c>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row>
    <row r="70" spans="6:75">
      <c r="F70" s="64" t="s">
        <v>309</v>
      </c>
      <c r="G70" s="64">
        <v>6</v>
      </c>
      <c r="H70" s="64">
        <f t="shared" si="1"/>
        <v>6</v>
      </c>
      <c r="I70" s="66" t="s">
        <v>92</v>
      </c>
      <c r="J70" s="64" t="s">
        <v>93</v>
      </c>
      <c r="K70" s="64" t="s">
        <v>306</v>
      </c>
      <c r="L70" s="64" t="s">
        <v>64</v>
      </c>
      <c r="M70" s="64" t="s">
        <v>36</v>
      </c>
      <c r="N70" s="64" t="s">
        <v>61</v>
      </c>
      <c r="O70" s="64">
        <v>5</v>
      </c>
      <c r="P70" s="64">
        <v>5</v>
      </c>
      <c r="Q70" s="64">
        <v>5</v>
      </c>
      <c r="R70" s="64">
        <v>5</v>
      </c>
      <c r="S70" s="64">
        <v>5</v>
      </c>
      <c r="T70" s="64">
        <v>5</v>
      </c>
      <c r="U70" s="64" t="s">
        <v>310</v>
      </c>
      <c r="V70" s="64" t="s">
        <v>123</v>
      </c>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row>
    <row r="71" spans="6:75">
      <c r="F71" s="64" t="s">
        <v>311</v>
      </c>
      <c r="G71" s="64">
        <v>6</v>
      </c>
      <c r="H71" s="64">
        <f t="shared" si="1"/>
        <v>6</v>
      </c>
      <c r="I71" s="66" t="s">
        <v>92</v>
      </c>
      <c r="J71" s="64" t="s">
        <v>93</v>
      </c>
      <c r="K71" s="64" t="s">
        <v>312</v>
      </c>
      <c r="L71" s="64" t="s">
        <v>62</v>
      </c>
      <c r="M71" s="64" t="s">
        <v>41</v>
      </c>
      <c r="N71" s="64" t="s">
        <v>61</v>
      </c>
      <c r="O71" s="64">
        <v>5</v>
      </c>
      <c r="P71" s="64">
        <v>5</v>
      </c>
      <c r="Q71" s="64">
        <v>5</v>
      </c>
      <c r="R71" s="64">
        <v>5</v>
      </c>
      <c r="S71" s="64">
        <v>5</v>
      </c>
      <c r="T71" s="64">
        <v>5</v>
      </c>
      <c r="U71" s="64" t="s">
        <v>313</v>
      </c>
      <c r="V71" s="64" t="s">
        <v>314</v>
      </c>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row>
    <row r="72" spans="6:75">
      <c r="F72" s="64" t="s">
        <v>315</v>
      </c>
      <c r="G72" s="64">
        <v>6</v>
      </c>
      <c r="H72" s="64">
        <f t="shared" si="1"/>
        <v>6</v>
      </c>
      <c r="I72" s="66" t="s">
        <v>92</v>
      </c>
      <c r="J72" s="64" t="s">
        <v>93</v>
      </c>
      <c r="K72" s="64" t="s">
        <v>312</v>
      </c>
      <c r="L72" s="64" t="s">
        <v>62</v>
      </c>
      <c r="M72" s="64" t="s">
        <v>41</v>
      </c>
      <c r="N72" s="64" t="s">
        <v>61</v>
      </c>
      <c r="O72" s="64">
        <v>5</v>
      </c>
      <c r="P72" s="64">
        <v>5</v>
      </c>
      <c r="Q72" s="64">
        <v>5</v>
      </c>
      <c r="R72" s="64">
        <v>5</v>
      </c>
      <c r="S72" s="64">
        <v>5</v>
      </c>
      <c r="T72" s="64">
        <v>5</v>
      </c>
      <c r="U72" s="64" t="s">
        <v>316</v>
      </c>
      <c r="V72" s="64" t="s">
        <v>317</v>
      </c>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row>
    <row r="73" spans="6:75">
      <c r="F73" s="64" t="s">
        <v>318</v>
      </c>
      <c r="G73" s="64">
        <v>6</v>
      </c>
      <c r="H73" s="64">
        <f t="shared" si="1"/>
        <v>6</v>
      </c>
      <c r="I73" s="66" t="s">
        <v>92</v>
      </c>
      <c r="J73" s="64" t="s">
        <v>93</v>
      </c>
      <c r="K73" s="64" t="s">
        <v>312</v>
      </c>
      <c r="L73" s="64" t="s">
        <v>62</v>
      </c>
      <c r="M73" s="64" t="s">
        <v>41</v>
      </c>
      <c r="N73" s="64" t="s">
        <v>61</v>
      </c>
      <c r="O73" s="64">
        <v>5</v>
      </c>
      <c r="P73" s="64">
        <v>5</v>
      </c>
      <c r="Q73" s="64">
        <v>5</v>
      </c>
      <c r="R73" s="64">
        <v>5</v>
      </c>
      <c r="S73" s="64">
        <v>4</v>
      </c>
      <c r="T73" s="64">
        <v>5</v>
      </c>
      <c r="U73" s="64" t="s">
        <v>319</v>
      </c>
      <c r="V73" s="64" t="s">
        <v>320</v>
      </c>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row>
    <row r="74" spans="6:75">
      <c r="F74" s="64" t="s">
        <v>321</v>
      </c>
      <c r="G74" s="64">
        <v>6</v>
      </c>
      <c r="H74" s="64">
        <f t="shared" si="1"/>
        <v>6</v>
      </c>
      <c r="I74" s="66" t="s">
        <v>92</v>
      </c>
      <c r="J74" s="64" t="s">
        <v>93</v>
      </c>
      <c r="K74" s="64" t="s">
        <v>312</v>
      </c>
      <c r="L74" s="64" t="s">
        <v>62</v>
      </c>
      <c r="M74" s="64" t="s">
        <v>41</v>
      </c>
      <c r="N74" s="64" t="s">
        <v>61</v>
      </c>
      <c r="O74" s="64">
        <v>5</v>
      </c>
      <c r="P74" s="64">
        <v>5</v>
      </c>
      <c r="Q74" s="64">
        <v>5</v>
      </c>
      <c r="R74" s="64">
        <v>5</v>
      </c>
      <c r="S74" s="64">
        <v>5</v>
      </c>
      <c r="T74" s="64">
        <v>5</v>
      </c>
      <c r="U74" s="64" t="s">
        <v>322</v>
      </c>
      <c r="V74" s="64" t="s">
        <v>236</v>
      </c>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row>
    <row r="75" spans="6:75">
      <c r="F75" s="64" t="s">
        <v>323</v>
      </c>
      <c r="G75" s="64">
        <v>6</v>
      </c>
      <c r="H75" s="64">
        <f t="shared" si="1"/>
        <v>6</v>
      </c>
      <c r="I75" s="66" t="s">
        <v>92</v>
      </c>
      <c r="J75" s="64" t="s">
        <v>93</v>
      </c>
      <c r="K75" s="64" t="s">
        <v>324</v>
      </c>
      <c r="L75" s="64" t="s">
        <v>62</v>
      </c>
      <c r="M75" s="64" t="s">
        <v>41</v>
      </c>
      <c r="N75" s="64" t="s">
        <v>61</v>
      </c>
      <c r="O75" s="64">
        <v>5</v>
      </c>
      <c r="P75" s="64">
        <v>5</v>
      </c>
      <c r="Q75" s="64">
        <v>5</v>
      </c>
      <c r="R75" s="64">
        <v>5</v>
      </c>
      <c r="S75" s="64">
        <v>5</v>
      </c>
      <c r="T75" s="64">
        <v>5</v>
      </c>
      <c r="U75" s="64" t="s">
        <v>325</v>
      </c>
      <c r="V75" s="64" t="s">
        <v>123</v>
      </c>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row>
    <row r="76" spans="6:75">
      <c r="F76" s="64" t="s">
        <v>326</v>
      </c>
      <c r="G76" s="64">
        <v>6</v>
      </c>
      <c r="H76" s="64">
        <f t="shared" si="1"/>
        <v>6</v>
      </c>
      <c r="I76" s="66" t="s">
        <v>92</v>
      </c>
      <c r="J76" s="64" t="s">
        <v>93</v>
      </c>
      <c r="K76" s="64" t="s">
        <v>327</v>
      </c>
      <c r="L76" s="64" t="s">
        <v>62</v>
      </c>
      <c r="M76" s="64" t="s">
        <v>41</v>
      </c>
      <c r="N76" s="64" t="s">
        <v>61</v>
      </c>
      <c r="O76" s="64">
        <v>5</v>
      </c>
      <c r="P76" s="64">
        <v>5</v>
      </c>
      <c r="Q76" s="64">
        <v>5</v>
      </c>
      <c r="R76" s="64">
        <v>5</v>
      </c>
      <c r="S76" s="64">
        <v>5</v>
      </c>
      <c r="T76" s="64">
        <v>5</v>
      </c>
      <c r="U76" s="64" t="s">
        <v>328</v>
      </c>
      <c r="V76" s="64" t="s">
        <v>147</v>
      </c>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row>
    <row r="77" spans="6:75">
      <c r="F77" s="64" t="s">
        <v>329</v>
      </c>
      <c r="G77" s="64">
        <v>6</v>
      </c>
      <c r="H77" s="64">
        <f t="shared" si="1"/>
        <v>6</v>
      </c>
      <c r="I77" s="66" t="s">
        <v>92</v>
      </c>
      <c r="J77" s="64" t="s">
        <v>93</v>
      </c>
      <c r="K77" s="64" t="s">
        <v>312</v>
      </c>
      <c r="L77" s="64" t="s">
        <v>62</v>
      </c>
      <c r="M77" s="64" t="s">
        <v>41</v>
      </c>
      <c r="N77" s="64" t="s">
        <v>61</v>
      </c>
      <c r="O77" s="64">
        <v>5</v>
      </c>
      <c r="P77" s="64">
        <v>5</v>
      </c>
      <c r="Q77" s="64">
        <v>5</v>
      </c>
      <c r="R77" s="64">
        <v>5</v>
      </c>
      <c r="S77" s="64">
        <v>5</v>
      </c>
      <c r="T77" s="64">
        <v>5</v>
      </c>
      <c r="U77" s="64" t="s">
        <v>330</v>
      </c>
      <c r="V77" s="64" t="s">
        <v>331</v>
      </c>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row>
    <row r="78" spans="6:75">
      <c r="F78" s="64" t="s">
        <v>332</v>
      </c>
      <c r="G78" s="64">
        <v>6</v>
      </c>
      <c r="H78" s="64">
        <f t="shared" si="1"/>
        <v>6</v>
      </c>
      <c r="I78" s="66" t="s">
        <v>92</v>
      </c>
      <c r="J78" s="64" t="s">
        <v>93</v>
      </c>
      <c r="K78" s="64" t="s">
        <v>312</v>
      </c>
      <c r="L78" s="64" t="s">
        <v>62</v>
      </c>
      <c r="M78" s="64" t="s">
        <v>41</v>
      </c>
      <c r="N78" s="64" t="s">
        <v>61</v>
      </c>
      <c r="O78" s="64">
        <v>5</v>
      </c>
      <c r="P78" s="64">
        <v>5</v>
      </c>
      <c r="Q78" s="64">
        <v>5</v>
      </c>
      <c r="R78" s="64">
        <v>5</v>
      </c>
      <c r="S78" s="64">
        <v>5</v>
      </c>
      <c r="T78" s="64">
        <v>5</v>
      </c>
      <c r="U78" s="64" t="s">
        <v>333</v>
      </c>
      <c r="V78" s="64" t="s">
        <v>334</v>
      </c>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row>
    <row r="79" spans="6:75">
      <c r="F79" s="64" t="s">
        <v>335</v>
      </c>
      <c r="G79" s="64">
        <v>6</v>
      </c>
      <c r="H79" s="64">
        <f t="shared" si="1"/>
        <v>6</v>
      </c>
      <c r="I79" s="66" t="s">
        <v>92</v>
      </c>
      <c r="J79" s="64" t="s">
        <v>93</v>
      </c>
      <c r="K79" s="64" t="s">
        <v>312</v>
      </c>
      <c r="L79" s="64" t="s">
        <v>62</v>
      </c>
      <c r="M79" s="64" t="s">
        <v>41</v>
      </c>
      <c r="N79" s="64" t="s">
        <v>61</v>
      </c>
      <c r="O79" s="64">
        <v>5</v>
      </c>
      <c r="P79" s="64">
        <v>5</v>
      </c>
      <c r="Q79" s="64">
        <v>5</v>
      </c>
      <c r="R79" s="64">
        <v>5</v>
      </c>
      <c r="S79" s="64">
        <v>5</v>
      </c>
      <c r="T79" s="64">
        <v>5</v>
      </c>
      <c r="U79" s="64" t="s">
        <v>336</v>
      </c>
      <c r="V79" s="64" t="s">
        <v>337</v>
      </c>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row>
    <row r="80" spans="6:75">
      <c r="F80" s="64" t="s">
        <v>338</v>
      </c>
      <c r="G80" s="64">
        <v>6</v>
      </c>
      <c r="H80" s="64">
        <f t="shared" si="1"/>
        <v>6</v>
      </c>
      <c r="I80" s="66" t="s">
        <v>92</v>
      </c>
      <c r="J80" s="64" t="s">
        <v>93</v>
      </c>
      <c r="K80" s="64" t="s">
        <v>312</v>
      </c>
      <c r="L80" s="64" t="s">
        <v>62</v>
      </c>
      <c r="M80" s="64" t="s">
        <v>41</v>
      </c>
      <c r="N80" s="64"/>
      <c r="O80" s="64">
        <v>5</v>
      </c>
      <c r="P80" s="64">
        <v>5</v>
      </c>
      <c r="Q80" s="64">
        <v>5</v>
      </c>
      <c r="R80" s="64">
        <v>5</v>
      </c>
      <c r="S80" s="64">
        <v>5</v>
      </c>
      <c r="T80" s="64">
        <v>5</v>
      </c>
      <c r="U80" s="64" t="s">
        <v>339</v>
      </c>
      <c r="V80" s="64" t="s">
        <v>340</v>
      </c>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row>
    <row r="81" spans="6:75">
      <c r="F81" s="64" t="s">
        <v>341</v>
      </c>
      <c r="G81" s="64">
        <v>6</v>
      </c>
      <c r="H81" s="64">
        <f t="shared" si="1"/>
        <v>6</v>
      </c>
      <c r="I81" s="66" t="s">
        <v>92</v>
      </c>
      <c r="J81" s="64" t="s">
        <v>93</v>
      </c>
      <c r="K81" s="64" t="s">
        <v>312</v>
      </c>
      <c r="L81" s="64" t="s">
        <v>62</v>
      </c>
      <c r="M81" s="64" t="s">
        <v>41</v>
      </c>
      <c r="N81" s="64" t="s">
        <v>61</v>
      </c>
      <c r="O81" s="64">
        <v>5</v>
      </c>
      <c r="P81" s="64">
        <v>5</v>
      </c>
      <c r="Q81" s="64">
        <v>5</v>
      </c>
      <c r="R81" s="64">
        <v>5</v>
      </c>
      <c r="S81" s="64">
        <v>4</v>
      </c>
      <c r="T81" s="64">
        <v>5</v>
      </c>
      <c r="U81" s="64" t="s">
        <v>342</v>
      </c>
      <c r="V81" s="64" t="s">
        <v>343</v>
      </c>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row>
    <row r="82" spans="6:75">
      <c r="F82" s="64" t="s">
        <v>344</v>
      </c>
      <c r="G82" s="64">
        <v>6</v>
      </c>
      <c r="H82" s="64">
        <f t="shared" si="1"/>
        <v>5</v>
      </c>
      <c r="I82" s="66" t="s">
        <v>92</v>
      </c>
      <c r="J82" s="64" t="s">
        <v>93</v>
      </c>
      <c r="K82" s="64" t="s">
        <v>312</v>
      </c>
      <c r="L82" s="64" t="s">
        <v>62</v>
      </c>
      <c r="M82" s="64" t="s">
        <v>41</v>
      </c>
      <c r="N82" s="64" t="s">
        <v>61</v>
      </c>
      <c r="O82" s="64">
        <v>5</v>
      </c>
      <c r="P82" s="64">
        <v>5</v>
      </c>
      <c r="Q82" s="64">
        <v>5</v>
      </c>
      <c r="R82" s="64">
        <v>5</v>
      </c>
      <c r="S82" s="64">
        <v>5</v>
      </c>
      <c r="T82" s="64"/>
      <c r="U82" s="64" t="s">
        <v>325</v>
      </c>
      <c r="V82" s="64" t="s">
        <v>123</v>
      </c>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row>
    <row r="83" spans="6:75" ht="30.75">
      <c r="F83" s="64" t="s">
        <v>345</v>
      </c>
      <c r="G83" s="64">
        <v>6</v>
      </c>
      <c r="H83" s="64">
        <f t="shared" si="1"/>
        <v>4</v>
      </c>
      <c r="I83" s="66" t="s">
        <v>92</v>
      </c>
      <c r="J83" s="64" t="s">
        <v>93</v>
      </c>
      <c r="K83" s="64" t="s">
        <v>346</v>
      </c>
      <c r="L83" s="64" t="s">
        <v>37</v>
      </c>
      <c r="M83" s="64" t="s">
        <v>41</v>
      </c>
      <c r="N83" s="64" t="s">
        <v>61</v>
      </c>
      <c r="O83" s="64">
        <v>4</v>
      </c>
      <c r="P83" s="64">
        <v>3</v>
      </c>
      <c r="Q83" s="64">
        <v>5</v>
      </c>
      <c r="R83" s="64">
        <v>3</v>
      </c>
      <c r="S83" s="64">
        <v>5</v>
      </c>
      <c r="T83" s="64">
        <v>4</v>
      </c>
      <c r="U83" s="64" t="s">
        <v>347</v>
      </c>
      <c r="V83" s="64" t="s">
        <v>348</v>
      </c>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row>
    <row r="84" spans="6:75">
      <c r="F84" s="64" t="s">
        <v>349</v>
      </c>
      <c r="G84" s="64">
        <v>6</v>
      </c>
      <c r="H84" s="64">
        <f t="shared" si="1"/>
        <v>5</v>
      </c>
      <c r="I84" s="66" t="s">
        <v>92</v>
      </c>
      <c r="J84" s="64" t="s">
        <v>93</v>
      </c>
      <c r="K84" s="64" t="s">
        <v>346</v>
      </c>
      <c r="L84" s="64" t="s">
        <v>37</v>
      </c>
      <c r="M84" s="64" t="s">
        <v>41</v>
      </c>
      <c r="N84" s="64"/>
      <c r="O84" s="64">
        <v>4</v>
      </c>
      <c r="P84" s="64">
        <v>4</v>
      </c>
      <c r="Q84" s="64">
        <v>4</v>
      </c>
      <c r="R84" s="64">
        <v>3</v>
      </c>
      <c r="S84" s="64">
        <v>4</v>
      </c>
      <c r="T84" s="64">
        <v>4</v>
      </c>
      <c r="U84" s="64" t="s">
        <v>350</v>
      </c>
      <c r="V84" s="64" t="s">
        <v>351</v>
      </c>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row>
    <row r="85" spans="6:75" ht="30.75">
      <c r="F85" s="64" t="s">
        <v>352</v>
      </c>
      <c r="G85" s="64">
        <v>6</v>
      </c>
      <c r="H85" s="64">
        <f t="shared" si="1"/>
        <v>2</v>
      </c>
      <c r="I85" s="66" t="s">
        <v>92</v>
      </c>
      <c r="J85" s="64" t="s">
        <v>93</v>
      </c>
      <c r="K85" s="64" t="s">
        <v>346</v>
      </c>
      <c r="L85" s="64" t="s">
        <v>37</v>
      </c>
      <c r="M85" s="64" t="s">
        <v>41</v>
      </c>
      <c r="N85" s="64" t="s">
        <v>61</v>
      </c>
      <c r="O85" s="64">
        <v>4</v>
      </c>
      <c r="P85" s="64">
        <v>3</v>
      </c>
      <c r="Q85" s="64">
        <v>3</v>
      </c>
      <c r="R85" s="64">
        <v>4</v>
      </c>
      <c r="S85" s="64">
        <v>3</v>
      </c>
      <c r="T85" s="64"/>
      <c r="U85" s="64" t="s">
        <v>353</v>
      </c>
      <c r="V85" s="64" t="s">
        <v>354</v>
      </c>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row>
    <row r="86" spans="6:75" ht="30.75">
      <c r="F86" s="64" t="s">
        <v>355</v>
      </c>
      <c r="G86" s="64">
        <v>6</v>
      </c>
      <c r="H86" s="64">
        <f t="shared" si="1"/>
        <v>6</v>
      </c>
      <c r="I86" s="66" t="s">
        <v>92</v>
      </c>
      <c r="J86" s="64" t="s">
        <v>93</v>
      </c>
      <c r="K86" s="64" t="s">
        <v>346</v>
      </c>
      <c r="L86" s="64" t="s">
        <v>41</v>
      </c>
      <c r="M86" s="64" t="s">
        <v>37</v>
      </c>
      <c r="N86" s="64" t="s">
        <v>61</v>
      </c>
      <c r="O86" s="64">
        <v>5</v>
      </c>
      <c r="P86" s="64">
        <v>5</v>
      </c>
      <c r="Q86" s="64">
        <v>5</v>
      </c>
      <c r="R86" s="64">
        <v>4</v>
      </c>
      <c r="S86" s="64">
        <v>5</v>
      </c>
      <c r="T86" s="64">
        <v>5</v>
      </c>
      <c r="U86" s="64" t="s">
        <v>356</v>
      </c>
      <c r="V86" s="64" t="s">
        <v>357</v>
      </c>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c r="BW86" s="31"/>
    </row>
    <row r="87" spans="6:75" ht="30.75">
      <c r="F87" s="64" t="s">
        <v>358</v>
      </c>
      <c r="G87" s="64">
        <v>6</v>
      </c>
      <c r="H87" s="64">
        <f t="shared" si="1"/>
        <v>6</v>
      </c>
      <c r="I87" s="66" t="s">
        <v>92</v>
      </c>
      <c r="J87" s="64" t="s">
        <v>93</v>
      </c>
      <c r="K87" s="64" t="s">
        <v>346</v>
      </c>
      <c r="L87" s="64" t="s">
        <v>37</v>
      </c>
      <c r="M87" s="64" t="s">
        <v>41</v>
      </c>
      <c r="N87" s="64" t="s">
        <v>61</v>
      </c>
      <c r="O87" s="64">
        <v>4</v>
      </c>
      <c r="P87" s="64">
        <v>4</v>
      </c>
      <c r="Q87" s="64">
        <v>5</v>
      </c>
      <c r="R87" s="64">
        <v>5</v>
      </c>
      <c r="S87" s="64">
        <v>5</v>
      </c>
      <c r="T87" s="64">
        <v>5</v>
      </c>
      <c r="U87" s="64" t="s">
        <v>359</v>
      </c>
      <c r="V87" s="64"/>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row>
    <row r="88" spans="6:75">
      <c r="F88" s="64" t="s">
        <v>360</v>
      </c>
      <c r="G88" s="64">
        <v>6</v>
      </c>
      <c r="H88" s="64">
        <f t="shared" si="1"/>
        <v>6</v>
      </c>
      <c r="I88" s="66" t="s">
        <v>92</v>
      </c>
      <c r="J88" s="64" t="s">
        <v>93</v>
      </c>
      <c r="K88" s="64" t="s">
        <v>361</v>
      </c>
      <c r="L88" s="64" t="s">
        <v>37</v>
      </c>
      <c r="M88" s="64" t="s">
        <v>41</v>
      </c>
      <c r="N88" s="64" t="s">
        <v>61</v>
      </c>
      <c r="O88" s="64">
        <v>4</v>
      </c>
      <c r="P88" s="64">
        <v>4</v>
      </c>
      <c r="Q88" s="64">
        <v>4</v>
      </c>
      <c r="R88" s="64">
        <v>4</v>
      </c>
      <c r="S88" s="64">
        <v>4</v>
      </c>
      <c r="T88" s="64">
        <v>4</v>
      </c>
      <c r="U88" s="64" t="s">
        <v>362</v>
      </c>
      <c r="V88" s="64"/>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row>
    <row r="89" spans="6:75">
      <c r="F89" s="64" t="s">
        <v>363</v>
      </c>
      <c r="G89" s="64">
        <v>6</v>
      </c>
      <c r="H89" s="64">
        <f t="shared" si="1"/>
        <v>6</v>
      </c>
      <c r="I89" s="66" t="s">
        <v>92</v>
      </c>
      <c r="J89" s="64" t="s">
        <v>93</v>
      </c>
      <c r="K89" s="64" t="s">
        <v>361</v>
      </c>
      <c r="L89" s="64" t="s">
        <v>37</v>
      </c>
      <c r="M89" s="64" t="s">
        <v>41</v>
      </c>
      <c r="N89" s="64" t="s">
        <v>61</v>
      </c>
      <c r="O89" s="64">
        <v>5</v>
      </c>
      <c r="P89" s="64">
        <v>5</v>
      </c>
      <c r="Q89" s="64">
        <v>5</v>
      </c>
      <c r="R89" s="64">
        <v>5</v>
      </c>
      <c r="S89" s="64">
        <v>5</v>
      </c>
      <c r="T89" s="64">
        <v>5</v>
      </c>
      <c r="U89" s="64" t="s">
        <v>364</v>
      </c>
      <c r="V89" s="64" t="s">
        <v>365</v>
      </c>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row>
    <row r="90" spans="6:75">
      <c r="F90" s="64" t="s">
        <v>366</v>
      </c>
      <c r="G90" s="64">
        <v>6</v>
      </c>
      <c r="H90" s="64">
        <f t="shared" si="1"/>
        <v>6</v>
      </c>
      <c r="I90" s="66" t="s">
        <v>92</v>
      </c>
      <c r="J90" s="64" t="s">
        <v>93</v>
      </c>
      <c r="K90" s="64" t="s">
        <v>346</v>
      </c>
      <c r="L90" s="64" t="s">
        <v>37</v>
      </c>
      <c r="M90" s="64" t="s">
        <v>41</v>
      </c>
      <c r="N90" s="64" t="s">
        <v>61</v>
      </c>
      <c r="O90" s="64">
        <v>4</v>
      </c>
      <c r="P90" s="64">
        <v>4</v>
      </c>
      <c r="Q90" s="64">
        <v>4</v>
      </c>
      <c r="R90" s="64">
        <v>4</v>
      </c>
      <c r="S90" s="64">
        <v>4</v>
      </c>
      <c r="T90" s="64">
        <v>4</v>
      </c>
      <c r="U90" s="64" t="s">
        <v>362</v>
      </c>
      <c r="V90" s="64"/>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1"/>
      <c r="BP90" s="31"/>
      <c r="BQ90" s="31"/>
      <c r="BR90" s="31"/>
      <c r="BS90" s="31"/>
      <c r="BT90" s="31"/>
      <c r="BU90" s="31"/>
      <c r="BV90" s="31"/>
      <c r="BW90" s="31"/>
    </row>
    <row r="91" spans="6:75">
      <c r="F91" s="64" t="s">
        <v>367</v>
      </c>
      <c r="G91" s="64">
        <v>6</v>
      </c>
      <c r="H91" s="64">
        <f t="shared" si="1"/>
        <v>6</v>
      </c>
      <c r="I91" s="66" t="s">
        <v>92</v>
      </c>
      <c r="J91" s="64" t="s">
        <v>93</v>
      </c>
      <c r="K91" s="64" t="s">
        <v>346</v>
      </c>
      <c r="L91" s="64" t="s">
        <v>41</v>
      </c>
      <c r="M91" s="64" t="s">
        <v>37</v>
      </c>
      <c r="N91" s="64" t="s">
        <v>61</v>
      </c>
      <c r="O91" s="64">
        <v>4</v>
      </c>
      <c r="P91" s="64">
        <v>4</v>
      </c>
      <c r="Q91" s="64">
        <v>5</v>
      </c>
      <c r="R91" s="64">
        <v>5</v>
      </c>
      <c r="S91" s="64">
        <v>5</v>
      </c>
      <c r="T91" s="64">
        <v>5</v>
      </c>
      <c r="U91" s="64" t="s">
        <v>368</v>
      </c>
      <c r="V91" s="64" t="s">
        <v>369</v>
      </c>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31"/>
      <c r="BL91" s="31"/>
      <c r="BM91" s="31"/>
      <c r="BN91" s="31"/>
      <c r="BO91" s="31"/>
      <c r="BP91" s="31"/>
      <c r="BQ91" s="31"/>
      <c r="BR91" s="31"/>
      <c r="BS91" s="31"/>
      <c r="BT91" s="31"/>
      <c r="BU91" s="31"/>
      <c r="BV91" s="31"/>
      <c r="BW91" s="31"/>
    </row>
    <row r="92" spans="6:75">
      <c r="F92" s="64" t="s">
        <v>370</v>
      </c>
      <c r="G92" s="64">
        <v>6</v>
      </c>
      <c r="H92" s="64">
        <f t="shared" si="1"/>
        <v>6</v>
      </c>
      <c r="I92" s="66" t="s">
        <v>92</v>
      </c>
      <c r="J92" s="64" t="s">
        <v>93</v>
      </c>
      <c r="K92" s="64" t="s">
        <v>346</v>
      </c>
      <c r="L92" s="64" t="s">
        <v>37</v>
      </c>
      <c r="M92" s="64" t="s">
        <v>41</v>
      </c>
      <c r="N92" s="64" t="s">
        <v>61</v>
      </c>
      <c r="O92" s="64">
        <v>5</v>
      </c>
      <c r="P92" s="64">
        <v>4</v>
      </c>
      <c r="Q92" s="64">
        <v>5</v>
      </c>
      <c r="R92" s="64">
        <v>5</v>
      </c>
      <c r="S92" s="64">
        <v>5</v>
      </c>
      <c r="T92" s="64">
        <v>5</v>
      </c>
      <c r="U92" s="64"/>
      <c r="V92" s="64"/>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1"/>
      <c r="BL92" s="31"/>
      <c r="BM92" s="31"/>
      <c r="BN92" s="31"/>
      <c r="BO92" s="31"/>
      <c r="BP92" s="31"/>
      <c r="BQ92" s="31"/>
      <c r="BR92" s="31"/>
      <c r="BS92" s="31"/>
      <c r="BT92" s="31"/>
      <c r="BU92" s="31"/>
      <c r="BV92" s="31"/>
      <c r="BW92" s="31"/>
    </row>
    <row r="93" spans="6:75" ht="75.75">
      <c r="F93" s="64" t="s">
        <v>371</v>
      </c>
      <c r="G93" s="64">
        <v>6</v>
      </c>
      <c r="H93" s="64">
        <f t="shared" si="1"/>
        <v>6</v>
      </c>
      <c r="I93" s="66" t="s">
        <v>92</v>
      </c>
      <c r="J93" s="64" t="s">
        <v>98</v>
      </c>
      <c r="K93" s="64" t="s">
        <v>372</v>
      </c>
      <c r="L93" s="64" t="s">
        <v>34</v>
      </c>
      <c r="M93" s="64" t="s">
        <v>34</v>
      </c>
      <c r="N93" s="64" t="s">
        <v>61</v>
      </c>
      <c r="O93" s="64">
        <v>4</v>
      </c>
      <c r="P93" s="64">
        <v>5</v>
      </c>
      <c r="Q93" s="64">
        <v>5</v>
      </c>
      <c r="R93" s="64">
        <v>4</v>
      </c>
      <c r="S93" s="64">
        <v>5</v>
      </c>
      <c r="T93" s="64">
        <v>5</v>
      </c>
      <c r="U93" s="64" t="s">
        <v>373</v>
      </c>
      <c r="V93" s="64" t="s">
        <v>374</v>
      </c>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c r="BL93" s="31"/>
      <c r="BM93" s="31"/>
      <c r="BN93" s="31"/>
      <c r="BO93" s="31"/>
      <c r="BP93" s="31"/>
      <c r="BQ93" s="31"/>
      <c r="BR93" s="31"/>
      <c r="BS93" s="31"/>
      <c r="BT93" s="31"/>
      <c r="BU93" s="31"/>
      <c r="BV93" s="31"/>
      <c r="BW93" s="31"/>
    </row>
    <row r="94" spans="6:75">
      <c r="F94" s="64" t="s">
        <v>375</v>
      </c>
      <c r="G94" s="64">
        <v>6</v>
      </c>
      <c r="H94" s="64">
        <f t="shared" si="1"/>
        <v>6</v>
      </c>
      <c r="I94" s="66" t="s">
        <v>92</v>
      </c>
      <c r="J94" s="64" t="s">
        <v>231</v>
      </c>
      <c r="K94" s="64" t="s">
        <v>372</v>
      </c>
      <c r="L94" s="64" t="s">
        <v>34</v>
      </c>
      <c r="M94" s="64" t="s">
        <v>21</v>
      </c>
      <c r="N94" s="64" t="s">
        <v>61</v>
      </c>
      <c r="O94" s="64">
        <v>4</v>
      </c>
      <c r="P94" s="64">
        <v>4</v>
      </c>
      <c r="Q94" s="64">
        <v>4</v>
      </c>
      <c r="R94" s="64">
        <v>5</v>
      </c>
      <c r="S94" s="64">
        <v>5</v>
      </c>
      <c r="T94" s="64">
        <v>5</v>
      </c>
      <c r="U94" s="64" t="s">
        <v>376</v>
      </c>
      <c r="V94" s="64" t="s">
        <v>377</v>
      </c>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c r="BL94" s="31"/>
      <c r="BM94" s="31"/>
      <c r="BN94" s="31"/>
      <c r="BO94" s="31"/>
      <c r="BP94" s="31"/>
      <c r="BQ94" s="31"/>
      <c r="BR94" s="31"/>
      <c r="BS94" s="31"/>
      <c r="BT94" s="31"/>
      <c r="BU94" s="31"/>
      <c r="BV94" s="31"/>
      <c r="BW94" s="31"/>
    </row>
    <row r="95" spans="6:75">
      <c r="F95" s="64" t="s">
        <v>378</v>
      </c>
      <c r="G95" s="64">
        <v>6</v>
      </c>
      <c r="H95" s="64">
        <f t="shared" si="1"/>
        <v>6</v>
      </c>
      <c r="I95" s="66" t="s">
        <v>92</v>
      </c>
      <c r="J95" s="64" t="s">
        <v>98</v>
      </c>
      <c r="K95" s="64" t="s">
        <v>372</v>
      </c>
      <c r="L95" s="64" t="s">
        <v>34</v>
      </c>
      <c r="M95" s="64" t="s">
        <v>21</v>
      </c>
      <c r="N95" s="64" t="s">
        <v>61</v>
      </c>
      <c r="O95" s="64">
        <v>5</v>
      </c>
      <c r="P95" s="64">
        <v>5</v>
      </c>
      <c r="Q95" s="64">
        <v>5</v>
      </c>
      <c r="R95" s="64">
        <v>5</v>
      </c>
      <c r="S95" s="64">
        <v>5</v>
      </c>
      <c r="T95" s="64">
        <v>4</v>
      </c>
      <c r="U95" s="64" t="s">
        <v>379</v>
      </c>
      <c r="V95" s="64"/>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c r="BJ95" s="31"/>
      <c r="BK95" s="31"/>
      <c r="BL95" s="31"/>
      <c r="BM95" s="31"/>
      <c r="BN95" s="31"/>
      <c r="BO95" s="31"/>
      <c r="BP95" s="31"/>
      <c r="BQ95" s="31"/>
      <c r="BR95" s="31"/>
      <c r="BS95" s="31"/>
      <c r="BT95" s="31"/>
      <c r="BU95" s="31"/>
      <c r="BV95" s="31"/>
      <c r="BW95" s="31"/>
    </row>
    <row r="96" spans="6:75">
      <c r="F96" s="64" t="s">
        <v>380</v>
      </c>
      <c r="G96" s="64">
        <v>6</v>
      </c>
      <c r="H96" s="64">
        <f t="shared" si="1"/>
        <v>4</v>
      </c>
      <c r="I96" s="66" t="s">
        <v>92</v>
      </c>
      <c r="J96" s="64" t="s">
        <v>227</v>
      </c>
      <c r="K96" s="64" t="s">
        <v>372</v>
      </c>
      <c r="L96" s="64" t="s">
        <v>34</v>
      </c>
      <c r="M96" s="64" t="s">
        <v>34</v>
      </c>
      <c r="N96" s="64" t="s">
        <v>61</v>
      </c>
      <c r="O96" s="64">
        <v>2</v>
      </c>
      <c r="P96" s="64">
        <v>3</v>
      </c>
      <c r="Q96" s="64">
        <v>5</v>
      </c>
      <c r="R96" s="64">
        <v>5</v>
      </c>
      <c r="S96" s="64">
        <v>5</v>
      </c>
      <c r="T96" s="64">
        <v>5</v>
      </c>
      <c r="U96" s="64" t="s">
        <v>381</v>
      </c>
      <c r="V96" s="64" t="s">
        <v>382</v>
      </c>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c r="BO96" s="31"/>
      <c r="BP96" s="31"/>
      <c r="BQ96" s="31"/>
      <c r="BR96" s="31"/>
      <c r="BS96" s="31"/>
      <c r="BT96" s="31"/>
      <c r="BU96" s="31"/>
      <c r="BV96" s="31"/>
      <c r="BW96" s="31"/>
    </row>
    <row r="97" spans="6:75">
      <c r="F97" s="64" t="s">
        <v>383</v>
      </c>
      <c r="G97" s="64">
        <v>6</v>
      </c>
      <c r="H97" s="64">
        <f t="shared" si="1"/>
        <v>6</v>
      </c>
      <c r="I97" s="66" t="s">
        <v>92</v>
      </c>
      <c r="J97" s="64" t="s">
        <v>98</v>
      </c>
      <c r="K97" s="64" t="s">
        <v>372</v>
      </c>
      <c r="L97" s="64" t="s">
        <v>34</v>
      </c>
      <c r="M97" s="64" t="s">
        <v>34</v>
      </c>
      <c r="N97" s="64" t="s">
        <v>61</v>
      </c>
      <c r="O97" s="64">
        <v>4</v>
      </c>
      <c r="P97" s="64">
        <v>4</v>
      </c>
      <c r="Q97" s="64">
        <v>5</v>
      </c>
      <c r="R97" s="64">
        <v>4</v>
      </c>
      <c r="S97" s="64">
        <v>5</v>
      </c>
      <c r="T97" s="64">
        <v>5</v>
      </c>
      <c r="U97" s="64" t="s">
        <v>384</v>
      </c>
      <c r="V97" s="64"/>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c r="BS97" s="31"/>
      <c r="BT97" s="31"/>
      <c r="BU97" s="31"/>
      <c r="BV97" s="31"/>
      <c r="BW97" s="31"/>
    </row>
    <row r="98" spans="6:75">
      <c r="F98" s="64" t="s">
        <v>385</v>
      </c>
      <c r="G98" s="64">
        <v>6</v>
      </c>
      <c r="H98" s="64">
        <f t="shared" si="1"/>
        <v>5</v>
      </c>
      <c r="I98" s="66" t="s">
        <v>92</v>
      </c>
      <c r="J98" s="64" t="s">
        <v>103</v>
      </c>
      <c r="K98" s="64" t="s">
        <v>372</v>
      </c>
      <c r="L98" s="64" t="s">
        <v>34</v>
      </c>
      <c r="M98" s="64" t="s">
        <v>34</v>
      </c>
      <c r="N98" s="64" t="s">
        <v>61</v>
      </c>
      <c r="O98" s="64">
        <v>4</v>
      </c>
      <c r="P98" s="64">
        <v>4</v>
      </c>
      <c r="Q98" s="64">
        <v>4</v>
      </c>
      <c r="R98" s="64">
        <v>3</v>
      </c>
      <c r="S98" s="64">
        <v>4</v>
      </c>
      <c r="T98" s="64">
        <v>5</v>
      </c>
      <c r="U98" s="64" t="s">
        <v>386</v>
      </c>
      <c r="V98" s="64" t="s">
        <v>387</v>
      </c>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c r="BO98" s="31"/>
      <c r="BP98" s="31"/>
      <c r="BQ98" s="31"/>
      <c r="BR98" s="31"/>
      <c r="BS98" s="31"/>
      <c r="BT98" s="31"/>
      <c r="BU98" s="31"/>
      <c r="BV98" s="31"/>
      <c r="BW98" s="31"/>
    </row>
    <row r="99" spans="6:75" ht="45.75">
      <c r="F99" s="64" t="s">
        <v>388</v>
      </c>
      <c r="G99" s="64">
        <v>6</v>
      </c>
      <c r="H99" s="64">
        <f t="shared" si="1"/>
        <v>6</v>
      </c>
      <c r="I99" s="66" t="s">
        <v>92</v>
      </c>
      <c r="J99" s="64" t="s">
        <v>227</v>
      </c>
      <c r="K99" s="64" t="s">
        <v>372</v>
      </c>
      <c r="L99" s="64" t="s">
        <v>34</v>
      </c>
      <c r="M99" s="64" t="s">
        <v>34</v>
      </c>
      <c r="N99" s="64" t="s">
        <v>61</v>
      </c>
      <c r="O99" s="64">
        <v>5</v>
      </c>
      <c r="P99" s="64">
        <v>5</v>
      </c>
      <c r="Q99" s="64">
        <v>5</v>
      </c>
      <c r="R99" s="64">
        <v>5</v>
      </c>
      <c r="S99" s="64">
        <v>5</v>
      </c>
      <c r="T99" s="64">
        <v>5</v>
      </c>
      <c r="U99" s="64" t="s">
        <v>389</v>
      </c>
      <c r="V99" s="64" t="s">
        <v>390</v>
      </c>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c r="BO99" s="31"/>
      <c r="BP99" s="31"/>
      <c r="BQ99" s="31"/>
      <c r="BR99" s="31"/>
      <c r="BS99" s="31"/>
      <c r="BT99" s="31"/>
      <c r="BU99" s="31"/>
      <c r="BV99" s="31"/>
      <c r="BW99" s="31"/>
    </row>
    <row r="100" spans="6:75">
      <c r="F100" s="64" t="s">
        <v>391</v>
      </c>
      <c r="G100" s="64">
        <v>6</v>
      </c>
      <c r="H100" s="64">
        <f t="shared" si="1"/>
        <v>6</v>
      </c>
      <c r="I100" s="66" t="s">
        <v>92</v>
      </c>
      <c r="J100" s="64" t="s">
        <v>392</v>
      </c>
      <c r="K100" s="64" t="s">
        <v>372</v>
      </c>
      <c r="L100" s="64" t="s">
        <v>34</v>
      </c>
      <c r="M100" s="64" t="s">
        <v>37</v>
      </c>
      <c r="N100" s="64" t="s">
        <v>61</v>
      </c>
      <c r="O100" s="64">
        <v>5</v>
      </c>
      <c r="P100" s="64">
        <v>4</v>
      </c>
      <c r="Q100" s="64">
        <v>5</v>
      </c>
      <c r="R100" s="64">
        <v>4</v>
      </c>
      <c r="S100" s="64">
        <v>4</v>
      </c>
      <c r="T100" s="64">
        <v>4</v>
      </c>
      <c r="U100" s="64" t="s">
        <v>393</v>
      </c>
      <c r="V100" s="64" t="s">
        <v>394</v>
      </c>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c r="BW100" s="31"/>
    </row>
    <row r="101" spans="6:75">
      <c r="F101" s="64" t="s">
        <v>395</v>
      </c>
      <c r="G101" s="64">
        <v>6</v>
      </c>
      <c r="H101" s="64">
        <f t="shared" si="1"/>
        <v>6</v>
      </c>
      <c r="I101" s="66" t="s">
        <v>92</v>
      </c>
      <c r="J101" s="64" t="s">
        <v>98</v>
      </c>
      <c r="K101" s="64" t="s">
        <v>372</v>
      </c>
      <c r="L101" s="64" t="s">
        <v>34</v>
      </c>
      <c r="M101" s="64" t="s">
        <v>34</v>
      </c>
      <c r="N101" s="64" t="s">
        <v>61</v>
      </c>
      <c r="O101" s="64">
        <v>5</v>
      </c>
      <c r="P101" s="64">
        <v>5</v>
      </c>
      <c r="Q101" s="64">
        <v>5</v>
      </c>
      <c r="R101" s="64">
        <v>4</v>
      </c>
      <c r="S101" s="64">
        <v>5</v>
      </c>
      <c r="T101" s="64">
        <v>5</v>
      </c>
      <c r="U101" s="64" t="s">
        <v>396</v>
      </c>
      <c r="V101" s="64"/>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c r="BV101" s="31"/>
      <c r="BW101" s="31"/>
    </row>
    <row r="102" spans="6:75">
      <c r="F102" s="64" t="s">
        <v>397</v>
      </c>
      <c r="G102" s="64">
        <v>6</v>
      </c>
      <c r="H102" s="64">
        <f t="shared" si="1"/>
        <v>6</v>
      </c>
      <c r="I102" s="66" t="s">
        <v>92</v>
      </c>
      <c r="J102" s="64" t="s">
        <v>227</v>
      </c>
      <c r="K102" s="64" t="s">
        <v>372</v>
      </c>
      <c r="L102" s="64" t="s">
        <v>34</v>
      </c>
      <c r="M102" s="64" t="s">
        <v>34</v>
      </c>
      <c r="N102" s="64" t="s">
        <v>61</v>
      </c>
      <c r="O102" s="64">
        <v>4</v>
      </c>
      <c r="P102" s="64">
        <v>5</v>
      </c>
      <c r="Q102" s="64">
        <v>5</v>
      </c>
      <c r="R102" s="64">
        <v>5</v>
      </c>
      <c r="S102" s="64">
        <v>5</v>
      </c>
      <c r="T102" s="64">
        <v>5</v>
      </c>
      <c r="U102" s="64" t="s">
        <v>398</v>
      </c>
      <c r="V102" s="64"/>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row>
    <row r="103" spans="6:75">
      <c r="F103" s="64" t="s">
        <v>399</v>
      </c>
      <c r="G103" s="64">
        <v>6</v>
      </c>
      <c r="H103" s="64">
        <f t="shared" si="1"/>
        <v>6</v>
      </c>
      <c r="I103" s="66" t="s">
        <v>92</v>
      </c>
      <c r="J103" s="64" t="s">
        <v>231</v>
      </c>
      <c r="K103" s="64" t="s">
        <v>372</v>
      </c>
      <c r="L103" s="64" t="s">
        <v>34</v>
      </c>
      <c r="M103" s="64" t="s">
        <v>34</v>
      </c>
      <c r="N103" s="64" t="s">
        <v>61</v>
      </c>
      <c r="O103" s="64">
        <v>5</v>
      </c>
      <c r="P103" s="64">
        <v>5</v>
      </c>
      <c r="Q103" s="64">
        <v>5</v>
      </c>
      <c r="R103" s="64">
        <v>5</v>
      </c>
      <c r="S103" s="64">
        <v>5</v>
      </c>
      <c r="T103" s="64">
        <v>5</v>
      </c>
      <c r="U103" s="64" t="s">
        <v>400</v>
      </c>
      <c r="V103" s="64"/>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row>
    <row r="104" spans="6:75">
      <c r="F104" s="64" t="s">
        <v>401</v>
      </c>
      <c r="G104" s="64">
        <v>6</v>
      </c>
      <c r="H104" s="64">
        <f t="shared" si="1"/>
        <v>5</v>
      </c>
      <c r="I104" s="66" t="s">
        <v>92</v>
      </c>
      <c r="J104" s="64" t="s">
        <v>227</v>
      </c>
      <c r="K104" s="64" t="s">
        <v>372</v>
      </c>
      <c r="L104" s="64" t="s">
        <v>34</v>
      </c>
      <c r="M104" s="64" t="s">
        <v>34</v>
      </c>
      <c r="N104" s="64" t="s">
        <v>61</v>
      </c>
      <c r="O104" s="64">
        <v>5</v>
      </c>
      <c r="P104" s="64"/>
      <c r="Q104" s="64">
        <v>5</v>
      </c>
      <c r="R104" s="64">
        <v>5</v>
      </c>
      <c r="S104" s="64">
        <v>5</v>
      </c>
      <c r="T104" s="64">
        <v>5</v>
      </c>
      <c r="U104" s="64" t="s">
        <v>402</v>
      </c>
      <c r="V104" s="64" t="s">
        <v>9</v>
      </c>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c r="BU104" s="31"/>
      <c r="BV104" s="31"/>
      <c r="BW104" s="31"/>
    </row>
    <row r="105" spans="6:75">
      <c r="F105" s="64" t="s">
        <v>403</v>
      </c>
      <c r="G105" s="64">
        <v>6</v>
      </c>
      <c r="H105" s="64">
        <f t="shared" si="1"/>
        <v>6</v>
      </c>
      <c r="I105" s="66" t="s">
        <v>92</v>
      </c>
      <c r="J105" s="64" t="s">
        <v>98</v>
      </c>
      <c r="K105" s="64" t="s">
        <v>372</v>
      </c>
      <c r="L105" s="64" t="s">
        <v>34</v>
      </c>
      <c r="M105" s="64" t="s">
        <v>21</v>
      </c>
      <c r="N105" s="64" t="s">
        <v>61</v>
      </c>
      <c r="O105" s="64">
        <v>5</v>
      </c>
      <c r="P105" s="64">
        <v>5</v>
      </c>
      <c r="Q105" s="64">
        <v>5</v>
      </c>
      <c r="R105" s="64">
        <v>5</v>
      </c>
      <c r="S105" s="64">
        <v>5</v>
      </c>
      <c r="T105" s="64">
        <v>5</v>
      </c>
      <c r="U105" s="64"/>
      <c r="V105" s="64"/>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row>
    <row r="106" spans="6:75">
      <c r="F106" s="64" t="s">
        <v>404</v>
      </c>
      <c r="G106" s="64">
        <v>6</v>
      </c>
      <c r="H106" s="64">
        <f t="shared" si="1"/>
        <v>6</v>
      </c>
      <c r="I106" s="66" t="s">
        <v>92</v>
      </c>
      <c r="J106" s="64" t="s">
        <v>93</v>
      </c>
      <c r="K106" s="64" t="s">
        <v>405</v>
      </c>
      <c r="L106" s="64" t="s">
        <v>65</v>
      </c>
      <c r="M106" s="64" t="s">
        <v>65</v>
      </c>
      <c r="N106" s="64" t="s">
        <v>61</v>
      </c>
      <c r="O106" s="64">
        <v>5</v>
      </c>
      <c r="P106" s="64">
        <v>5</v>
      </c>
      <c r="Q106" s="64">
        <v>5</v>
      </c>
      <c r="R106" s="64">
        <v>5</v>
      </c>
      <c r="S106" s="64">
        <v>5</v>
      </c>
      <c r="T106" s="64">
        <v>5</v>
      </c>
      <c r="U106" s="64" t="s">
        <v>406</v>
      </c>
      <c r="V106" s="64" t="s">
        <v>407</v>
      </c>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row>
    <row r="107" spans="6:75">
      <c r="F107" s="64" t="s">
        <v>408</v>
      </c>
      <c r="G107" s="64">
        <v>6</v>
      </c>
      <c r="H107" s="64">
        <f t="shared" si="1"/>
        <v>6</v>
      </c>
      <c r="I107" s="66" t="s">
        <v>92</v>
      </c>
      <c r="J107" s="64" t="s">
        <v>93</v>
      </c>
      <c r="K107" s="64" t="s">
        <v>409</v>
      </c>
      <c r="L107" s="64" t="s">
        <v>65</v>
      </c>
      <c r="M107" s="64" t="s">
        <v>65</v>
      </c>
      <c r="N107" s="64" t="s">
        <v>61</v>
      </c>
      <c r="O107" s="64">
        <v>5</v>
      </c>
      <c r="P107" s="64">
        <v>5</v>
      </c>
      <c r="Q107" s="64">
        <v>5</v>
      </c>
      <c r="R107" s="64">
        <v>5</v>
      </c>
      <c r="S107" s="64">
        <v>5</v>
      </c>
      <c r="T107" s="64">
        <v>5</v>
      </c>
      <c r="U107" s="64" t="s">
        <v>147</v>
      </c>
      <c r="V107" s="64" t="s">
        <v>147</v>
      </c>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row>
    <row r="108" spans="6:75">
      <c r="F108" s="64" t="s">
        <v>410</v>
      </c>
      <c r="G108" s="64">
        <v>6</v>
      </c>
      <c r="H108" s="64">
        <f t="shared" si="1"/>
        <v>6</v>
      </c>
      <c r="I108" s="66" t="s">
        <v>92</v>
      </c>
      <c r="J108" s="64" t="s">
        <v>93</v>
      </c>
      <c r="K108" s="64" t="s">
        <v>409</v>
      </c>
      <c r="L108" s="64" t="s">
        <v>38</v>
      </c>
      <c r="M108" s="64" t="s">
        <v>65</v>
      </c>
      <c r="N108" s="64" t="s">
        <v>61</v>
      </c>
      <c r="O108" s="64">
        <v>5</v>
      </c>
      <c r="P108" s="64">
        <v>5</v>
      </c>
      <c r="Q108" s="64">
        <v>5</v>
      </c>
      <c r="R108" s="64">
        <v>5</v>
      </c>
      <c r="S108" s="64">
        <v>5</v>
      </c>
      <c r="T108" s="64">
        <v>5</v>
      </c>
      <c r="U108" s="64" t="s">
        <v>411</v>
      </c>
      <c r="V108" s="64" t="s">
        <v>412</v>
      </c>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row>
    <row r="109" spans="6:75" ht="45.75">
      <c r="F109" s="64" t="s">
        <v>413</v>
      </c>
      <c r="G109" s="64">
        <v>6</v>
      </c>
      <c r="H109" s="64">
        <f t="shared" si="1"/>
        <v>6</v>
      </c>
      <c r="I109" s="66" t="s">
        <v>92</v>
      </c>
      <c r="J109" s="64" t="s">
        <v>103</v>
      </c>
      <c r="K109" s="64" t="s">
        <v>409</v>
      </c>
      <c r="L109" s="64" t="s">
        <v>65</v>
      </c>
      <c r="M109" s="64" t="s">
        <v>65</v>
      </c>
      <c r="N109" s="64" t="s">
        <v>61</v>
      </c>
      <c r="O109" s="64">
        <v>4</v>
      </c>
      <c r="P109" s="64">
        <v>4</v>
      </c>
      <c r="Q109" s="64">
        <v>5</v>
      </c>
      <c r="R109" s="64">
        <v>4</v>
      </c>
      <c r="S109" s="64">
        <v>4</v>
      </c>
      <c r="T109" s="64">
        <v>5</v>
      </c>
      <c r="U109" s="64" t="s">
        <v>414</v>
      </c>
      <c r="V109" s="64" t="s">
        <v>415</v>
      </c>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row>
    <row r="110" spans="6:75">
      <c r="F110" s="64" t="s">
        <v>416</v>
      </c>
      <c r="G110" s="64">
        <v>6</v>
      </c>
      <c r="H110" s="64">
        <f t="shared" si="1"/>
        <v>6</v>
      </c>
      <c r="I110" s="66" t="s">
        <v>92</v>
      </c>
      <c r="J110" s="64" t="s">
        <v>93</v>
      </c>
      <c r="K110" s="64" t="s">
        <v>409</v>
      </c>
      <c r="L110" s="64" t="s">
        <v>65</v>
      </c>
      <c r="M110" s="64" t="s">
        <v>65</v>
      </c>
      <c r="N110" s="64"/>
      <c r="O110" s="64">
        <v>4</v>
      </c>
      <c r="P110" s="64">
        <v>4</v>
      </c>
      <c r="Q110" s="64">
        <v>4</v>
      </c>
      <c r="R110" s="64">
        <v>4</v>
      </c>
      <c r="S110" s="64">
        <v>4</v>
      </c>
      <c r="T110" s="64">
        <v>4</v>
      </c>
      <c r="U110" s="64" t="s">
        <v>417</v>
      </c>
      <c r="V110" s="64" t="s">
        <v>418</v>
      </c>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row>
    <row r="111" spans="6:75">
      <c r="F111" s="64" t="s">
        <v>419</v>
      </c>
      <c r="G111" s="64">
        <v>6</v>
      </c>
      <c r="H111" s="64">
        <f t="shared" si="1"/>
        <v>6</v>
      </c>
      <c r="I111" s="66" t="s">
        <v>92</v>
      </c>
      <c r="J111" s="64" t="s">
        <v>93</v>
      </c>
      <c r="K111" s="64" t="s">
        <v>409</v>
      </c>
      <c r="L111" s="64" t="s">
        <v>65</v>
      </c>
      <c r="M111" s="64" t="s">
        <v>65</v>
      </c>
      <c r="N111" s="64" t="s">
        <v>61</v>
      </c>
      <c r="O111" s="64">
        <v>5</v>
      </c>
      <c r="P111" s="64">
        <v>5</v>
      </c>
      <c r="Q111" s="64">
        <v>5</v>
      </c>
      <c r="R111" s="64">
        <v>5</v>
      </c>
      <c r="S111" s="64">
        <v>5</v>
      </c>
      <c r="T111" s="64">
        <v>5</v>
      </c>
      <c r="U111" s="64" t="s">
        <v>420</v>
      </c>
      <c r="V111" s="64" t="s">
        <v>421</v>
      </c>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row>
    <row r="112" spans="6:75" ht="30.75">
      <c r="F112" s="64" t="s">
        <v>422</v>
      </c>
      <c r="G112" s="64">
        <v>6</v>
      </c>
      <c r="H112" s="64">
        <f t="shared" si="1"/>
        <v>5</v>
      </c>
      <c r="I112" s="66" t="s">
        <v>92</v>
      </c>
      <c r="J112" s="64" t="s">
        <v>231</v>
      </c>
      <c r="K112" s="64" t="s">
        <v>409</v>
      </c>
      <c r="L112" s="64" t="s">
        <v>65</v>
      </c>
      <c r="M112" s="64" t="s">
        <v>65</v>
      </c>
      <c r="N112" s="64" t="s">
        <v>61</v>
      </c>
      <c r="O112" s="64">
        <v>5</v>
      </c>
      <c r="P112" s="64">
        <v>4</v>
      </c>
      <c r="Q112" s="64">
        <v>4</v>
      </c>
      <c r="R112" s="64">
        <v>3</v>
      </c>
      <c r="S112" s="64">
        <v>5</v>
      </c>
      <c r="T112" s="64">
        <v>5</v>
      </c>
      <c r="U112" s="64" t="s">
        <v>423</v>
      </c>
      <c r="V112" s="64" t="s">
        <v>424</v>
      </c>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row>
    <row r="113" spans="6:75">
      <c r="F113" s="64" t="s">
        <v>425</v>
      </c>
      <c r="G113" s="64">
        <v>6</v>
      </c>
      <c r="H113" s="64">
        <f t="shared" si="1"/>
        <v>6</v>
      </c>
      <c r="I113" s="66" t="s">
        <v>92</v>
      </c>
      <c r="J113" s="64" t="s">
        <v>93</v>
      </c>
      <c r="K113" s="64" t="s">
        <v>312</v>
      </c>
      <c r="L113" s="64" t="s">
        <v>65</v>
      </c>
      <c r="M113" s="64" t="s">
        <v>107</v>
      </c>
      <c r="N113" s="64" t="s">
        <v>61</v>
      </c>
      <c r="O113" s="64">
        <v>5</v>
      </c>
      <c r="P113" s="64">
        <v>5</v>
      </c>
      <c r="Q113" s="64">
        <v>5</v>
      </c>
      <c r="R113" s="64">
        <v>5</v>
      </c>
      <c r="S113" s="64">
        <v>5</v>
      </c>
      <c r="T113" s="64">
        <v>5</v>
      </c>
      <c r="U113" s="64" t="s">
        <v>426</v>
      </c>
      <c r="V113" s="64" t="s">
        <v>427</v>
      </c>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row>
    <row r="114" spans="6:75">
      <c r="F114" s="64" t="s">
        <v>428</v>
      </c>
      <c r="G114" s="64">
        <v>6</v>
      </c>
      <c r="H114" s="64">
        <f t="shared" si="1"/>
        <v>6</v>
      </c>
      <c r="I114" s="66" t="s">
        <v>92</v>
      </c>
      <c r="J114" s="64" t="s">
        <v>93</v>
      </c>
      <c r="K114" s="64" t="s">
        <v>409</v>
      </c>
      <c r="L114" s="64" t="s">
        <v>65</v>
      </c>
      <c r="M114" s="64" t="s">
        <v>65</v>
      </c>
      <c r="N114" s="64" t="s">
        <v>61</v>
      </c>
      <c r="O114" s="64">
        <v>4</v>
      </c>
      <c r="P114" s="64">
        <v>4</v>
      </c>
      <c r="Q114" s="64">
        <v>4</v>
      </c>
      <c r="R114" s="64">
        <v>4</v>
      </c>
      <c r="S114" s="64">
        <v>4</v>
      </c>
      <c r="T114" s="64">
        <v>4</v>
      </c>
      <c r="U114" s="64" t="s">
        <v>429</v>
      </c>
      <c r="V114" s="64" t="s">
        <v>430</v>
      </c>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row>
    <row r="115" spans="6:75">
      <c r="F115" s="64" t="s">
        <v>431</v>
      </c>
      <c r="G115" s="64">
        <v>6</v>
      </c>
      <c r="H115" s="64">
        <f t="shared" si="1"/>
        <v>6</v>
      </c>
      <c r="I115" s="66" t="s">
        <v>92</v>
      </c>
      <c r="J115" s="64" t="s">
        <v>93</v>
      </c>
      <c r="K115" s="64" t="s">
        <v>409</v>
      </c>
      <c r="L115" s="64" t="s">
        <v>65</v>
      </c>
      <c r="M115" s="64" t="s">
        <v>65</v>
      </c>
      <c r="N115" s="64" t="s">
        <v>61</v>
      </c>
      <c r="O115" s="64">
        <v>5</v>
      </c>
      <c r="P115" s="64">
        <v>5</v>
      </c>
      <c r="Q115" s="64">
        <v>5</v>
      </c>
      <c r="R115" s="64">
        <v>5</v>
      </c>
      <c r="S115" s="64">
        <v>5</v>
      </c>
      <c r="T115" s="64">
        <v>5</v>
      </c>
      <c r="U115" s="64" t="s">
        <v>432</v>
      </c>
      <c r="V115" s="64" t="s">
        <v>433</v>
      </c>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row>
    <row r="116" spans="6:75">
      <c r="F116" s="64" t="s">
        <v>434</v>
      </c>
      <c r="G116" s="64">
        <v>6</v>
      </c>
      <c r="H116" s="64">
        <f t="shared" si="1"/>
        <v>6</v>
      </c>
      <c r="I116" s="66" t="s">
        <v>92</v>
      </c>
      <c r="J116" s="64" t="s">
        <v>93</v>
      </c>
      <c r="K116" s="64" t="s">
        <v>409</v>
      </c>
      <c r="L116" s="64" t="s">
        <v>65</v>
      </c>
      <c r="M116" s="64" t="s">
        <v>65</v>
      </c>
      <c r="N116" s="64" t="s">
        <v>61</v>
      </c>
      <c r="O116" s="64">
        <v>5</v>
      </c>
      <c r="P116" s="64">
        <v>5</v>
      </c>
      <c r="Q116" s="64">
        <v>5</v>
      </c>
      <c r="R116" s="64">
        <v>5</v>
      </c>
      <c r="S116" s="64">
        <v>5</v>
      </c>
      <c r="T116" s="64">
        <v>5</v>
      </c>
      <c r="U116" s="64" t="s">
        <v>435</v>
      </c>
      <c r="V116" s="64" t="s">
        <v>436</v>
      </c>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row>
    <row r="117" spans="6:75">
      <c r="F117" s="64" t="s">
        <v>437</v>
      </c>
      <c r="G117" s="64">
        <v>6</v>
      </c>
      <c r="H117" s="64">
        <f t="shared" si="1"/>
        <v>6</v>
      </c>
      <c r="I117" s="66" t="s">
        <v>92</v>
      </c>
      <c r="J117" s="64" t="s">
        <v>93</v>
      </c>
      <c r="K117" s="64" t="s">
        <v>409</v>
      </c>
      <c r="L117" s="64" t="s">
        <v>65</v>
      </c>
      <c r="M117" s="64" t="s">
        <v>65</v>
      </c>
      <c r="N117" s="64" t="s">
        <v>61</v>
      </c>
      <c r="O117" s="64">
        <v>5</v>
      </c>
      <c r="P117" s="64">
        <v>5</v>
      </c>
      <c r="Q117" s="64">
        <v>5</v>
      </c>
      <c r="R117" s="64">
        <v>5</v>
      </c>
      <c r="S117" s="64">
        <v>5</v>
      </c>
      <c r="T117" s="64">
        <v>5</v>
      </c>
      <c r="U117" s="64" t="s">
        <v>438</v>
      </c>
      <c r="V117" s="64" t="s">
        <v>439</v>
      </c>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row>
    <row r="118" spans="6:75">
      <c r="F118" s="64" t="s">
        <v>440</v>
      </c>
      <c r="G118" s="64">
        <v>6</v>
      </c>
      <c r="H118" s="64">
        <f t="shared" si="1"/>
        <v>6</v>
      </c>
      <c r="I118" s="66" t="s">
        <v>92</v>
      </c>
      <c r="J118" s="64" t="s">
        <v>93</v>
      </c>
      <c r="K118" s="64" t="s">
        <v>409</v>
      </c>
      <c r="L118" s="64" t="s">
        <v>65</v>
      </c>
      <c r="M118" s="64" t="s">
        <v>65</v>
      </c>
      <c r="N118" s="64" t="s">
        <v>61</v>
      </c>
      <c r="O118" s="64">
        <v>5</v>
      </c>
      <c r="P118" s="64">
        <v>5</v>
      </c>
      <c r="Q118" s="64">
        <v>5</v>
      </c>
      <c r="R118" s="64">
        <v>5</v>
      </c>
      <c r="S118" s="64">
        <v>5</v>
      </c>
      <c r="T118" s="64">
        <v>5</v>
      </c>
      <c r="U118" s="64" t="s">
        <v>441</v>
      </c>
      <c r="V118" s="64" t="s">
        <v>442</v>
      </c>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row>
    <row r="119" spans="6:75">
      <c r="F119" s="64" t="s">
        <v>443</v>
      </c>
      <c r="G119" s="64">
        <v>6</v>
      </c>
      <c r="H119" s="64">
        <f t="shared" si="1"/>
        <v>6</v>
      </c>
      <c r="I119" s="66" t="s">
        <v>92</v>
      </c>
      <c r="J119" s="64" t="s">
        <v>93</v>
      </c>
      <c r="K119" s="64" t="s">
        <v>409</v>
      </c>
      <c r="L119" s="64" t="s">
        <v>65</v>
      </c>
      <c r="M119" s="64" t="s">
        <v>65</v>
      </c>
      <c r="N119" s="64" t="s">
        <v>61</v>
      </c>
      <c r="O119" s="64">
        <v>5</v>
      </c>
      <c r="P119" s="64">
        <v>5</v>
      </c>
      <c r="Q119" s="64">
        <v>5</v>
      </c>
      <c r="R119" s="64">
        <v>5</v>
      </c>
      <c r="S119" s="64">
        <v>5</v>
      </c>
      <c r="T119" s="64">
        <v>5</v>
      </c>
      <c r="U119" s="64" t="s">
        <v>444</v>
      </c>
      <c r="V119" s="64" t="s">
        <v>9</v>
      </c>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row>
    <row r="120" spans="6:75">
      <c r="F120" s="64" t="s">
        <v>445</v>
      </c>
      <c r="G120" s="64">
        <v>6</v>
      </c>
      <c r="H120" s="64">
        <f t="shared" si="1"/>
        <v>6</v>
      </c>
      <c r="I120" s="66" t="s">
        <v>92</v>
      </c>
      <c r="J120" s="64" t="s">
        <v>93</v>
      </c>
      <c r="K120" s="64" t="s">
        <v>446</v>
      </c>
      <c r="L120" s="64" t="s">
        <v>65</v>
      </c>
      <c r="M120" s="64" t="s">
        <v>36</v>
      </c>
      <c r="N120" s="64" t="s">
        <v>61</v>
      </c>
      <c r="O120" s="64">
        <v>5</v>
      </c>
      <c r="P120" s="64">
        <v>5</v>
      </c>
      <c r="Q120" s="64">
        <v>5</v>
      </c>
      <c r="R120" s="64">
        <v>5</v>
      </c>
      <c r="S120" s="64">
        <v>5</v>
      </c>
      <c r="T120" s="64">
        <v>5</v>
      </c>
      <c r="U120" s="64" t="s">
        <v>447</v>
      </c>
      <c r="V120" s="64" t="s">
        <v>448</v>
      </c>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row>
    <row r="121" spans="6:75">
      <c r="F121" s="64" t="s">
        <v>449</v>
      </c>
      <c r="G121" s="64">
        <v>6</v>
      </c>
      <c r="H121" s="64">
        <f t="shared" si="1"/>
        <v>6</v>
      </c>
      <c r="I121" s="66" t="s">
        <v>92</v>
      </c>
      <c r="J121" s="64" t="s">
        <v>93</v>
      </c>
      <c r="K121" s="64" t="s">
        <v>405</v>
      </c>
      <c r="L121" s="64" t="s">
        <v>65</v>
      </c>
      <c r="M121" s="64" t="s">
        <v>23</v>
      </c>
      <c r="N121" s="64" t="s">
        <v>61</v>
      </c>
      <c r="O121" s="64">
        <v>5</v>
      </c>
      <c r="P121" s="64">
        <v>5</v>
      </c>
      <c r="Q121" s="64">
        <v>5</v>
      </c>
      <c r="R121" s="64">
        <v>5</v>
      </c>
      <c r="S121" s="64">
        <v>5</v>
      </c>
      <c r="T121" s="64">
        <v>5</v>
      </c>
      <c r="U121" s="64" t="s">
        <v>450</v>
      </c>
      <c r="V121" s="64"/>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row>
    <row r="122" spans="6:75" ht="45.75">
      <c r="F122" s="64" t="s">
        <v>451</v>
      </c>
      <c r="G122" s="64">
        <v>6</v>
      </c>
      <c r="H122" s="64">
        <f t="shared" si="1"/>
        <v>6</v>
      </c>
      <c r="I122" s="66" t="s">
        <v>92</v>
      </c>
      <c r="J122" s="64" t="s">
        <v>103</v>
      </c>
      <c r="K122" s="64" t="s">
        <v>409</v>
      </c>
      <c r="L122" s="64" t="s">
        <v>65</v>
      </c>
      <c r="M122" s="64" t="s">
        <v>36</v>
      </c>
      <c r="N122" s="64" t="s">
        <v>61</v>
      </c>
      <c r="O122" s="64">
        <v>5</v>
      </c>
      <c r="P122" s="64">
        <v>4</v>
      </c>
      <c r="Q122" s="64">
        <v>5</v>
      </c>
      <c r="R122" s="64">
        <v>4</v>
      </c>
      <c r="S122" s="64">
        <v>5</v>
      </c>
      <c r="T122" s="64">
        <v>5</v>
      </c>
      <c r="U122" s="64" t="s">
        <v>452</v>
      </c>
      <c r="V122" s="64" t="s">
        <v>453</v>
      </c>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row>
    <row r="123" spans="6:75">
      <c r="F123" s="64" t="s">
        <v>454</v>
      </c>
      <c r="G123" s="64">
        <v>6</v>
      </c>
      <c r="H123" s="64">
        <f t="shared" si="1"/>
        <v>6</v>
      </c>
      <c r="I123" s="66" t="s">
        <v>92</v>
      </c>
      <c r="J123" s="64" t="s">
        <v>231</v>
      </c>
      <c r="K123" s="64" t="s">
        <v>409</v>
      </c>
      <c r="L123" s="64" t="s">
        <v>65</v>
      </c>
      <c r="M123" s="64" t="s">
        <v>455</v>
      </c>
      <c r="N123" s="64" t="s">
        <v>61</v>
      </c>
      <c r="O123" s="64">
        <v>5</v>
      </c>
      <c r="P123" s="64">
        <v>5</v>
      </c>
      <c r="Q123" s="64">
        <v>5</v>
      </c>
      <c r="R123" s="64">
        <v>4</v>
      </c>
      <c r="S123" s="64">
        <v>5</v>
      </c>
      <c r="T123" s="64">
        <v>5</v>
      </c>
      <c r="U123" s="64" t="s">
        <v>456</v>
      </c>
      <c r="V123" s="64" t="s">
        <v>457</v>
      </c>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row>
    <row r="124" spans="6:75">
      <c r="F124" s="64" t="s">
        <v>458</v>
      </c>
      <c r="G124" s="64">
        <v>6</v>
      </c>
      <c r="H124" s="64">
        <f t="shared" si="1"/>
        <v>6</v>
      </c>
      <c r="I124" s="66" t="s">
        <v>92</v>
      </c>
      <c r="J124" s="64" t="s">
        <v>93</v>
      </c>
      <c r="K124" s="64" t="s">
        <v>446</v>
      </c>
      <c r="L124" s="64" t="s">
        <v>65</v>
      </c>
      <c r="M124" s="64" t="s">
        <v>36</v>
      </c>
      <c r="N124" s="64" t="s">
        <v>61</v>
      </c>
      <c r="O124" s="64">
        <v>4</v>
      </c>
      <c r="P124" s="64">
        <v>4</v>
      </c>
      <c r="Q124" s="64">
        <v>4</v>
      </c>
      <c r="R124" s="64">
        <v>5</v>
      </c>
      <c r="S124" s="64">
        <v>5</v>
      </c>
      <c r="T124" s="64">
        <v>5</v>
      </c>
      <c r="U124" s="64" t="s">
        <v>459</v>
      </c>
      <c r="V124" s="64" t="s">
        <v>460</v>
      </c>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row>
    <row r="125" spans="6:75">
      <c r="F125" s="64" t="s">
        <v>461</v>
      </c>
      <c r="G125" s="64">
        <v>6</v>
      </c>
      <c r="H125" s="64">
        <f t="shared" si="1"/>
        <v>6</v>
      </c>
      <c r="I125" s="66" t="s">
        <v>92</v>
      </c>
      <c r="J125" s="64" t="s">
        <v>98</v>
      </c>
      <c r="K125" s="64" t="s">
        <v>409</v>
      </c>
      <c r="L125" s="64" t="s">
        <v>65</v>
      </c>
      <c r="M125" s="64" t="s">
        <v>36</v>
      </c>
      <c r="N125" s="64" t="s">
        <v>61</v>
      </c>
      <c r="O125" s="64">
        <v>5</v>
      </c>
      <c r="P125" s="64">
        <v>4</v>
      </c>
      <c r="Q125" s="64">
        <v>5</v>
      </c>
      <c r="R125" s="64">
        <v>5</v>
      </c>
      <c r="S125" s="64">
        <v>5</v>
      </c>
      <c r="T125" s="64">
        <v>5</v>
      </c>
      <c r="U125" s="64" t="s">
        <v>462</v>
      </c>
      <c r="V125" s="64" t="s">
        <v>463</v>
      </c>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row>
    <row r="126" spans="6:75">
      <c r="F126" s="64" t="s">
        <v>464</v>
      </c>
      <c r="G126" s="64">
        <v>6</v>
      </c>
      <c r="H126" s="64">
        <f t="shared" si="1"/>
        <v>6</v>
      </c>
      <c r="I126" s="66" t="s">
        <v>92</v>
      </c>
      <c r="J126" s="64" t="s">
        <v>93</v>
      </c>
      <c r="K126" s="64" t="s">
        <v>405</v>
      </c>
      <c r="L126" s="64" t="s">
        <v>65</v>
      </c>
      <c r="M126" s="64" t="s">
        <v>23</v>
      </c>
      <c r="N126" s="64" t="s">
        <v>61</v>
      </c>
      <c r="O126" s="64">
        <v>5</v>
      </c>
      <c r="P126" s="64">
        <v>5</v>
      </c>
      <c r="Q126" s="64">
        <v>5</v>
      </c>
      <c r="R126" s="64">
        <v>5</v>
      </c>
      <c r="S126" s="64">
        <v>5</v>
      </c>
      <c r="T126" s="64">
        <v>5</v>
      </c>
      <c r="U126" s="64"/>
      <c r="V126" s="64"/>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row>
    <row r="127" spans="6:75">
      <c r="F127" s="64" t="s">
        <v>465</v>
      </c>
      <c r="G127" s="64">
        <v>6</v>
      </c>
      <c r="H127" s="64">
        <f t="shared" si="1"/>
        <v>6</v>
      </c>
      <c r="I127" s="66" t="s">
        <v>92</v>
      </c>
      <c r="J127" s="64" t="s">
        <v>93</v>
      </c>
      <c r="K127" s="64" t="s">
        <v>466</v>
      </c>
      <c r="L127" s="64" t="s">
        <v>34</v>
      </c>
      <c r="M127" s="64" t="s">
        <v>26</v>
      </c>
      <c r="N127" s="64" t="s">
        <v>61</v>
      </c>
      <c r="O127" s="64">
        <v>5</v>
      </c>
      <c r="P127" s="64">
        <v>5</v>
      </c>
      <c r="Q127" s="64">
        <v>5</v>
      </c>
      <c r="R127" s="64">
        <v>5</v>
      </c>
      <c r="S127" s="64">
        <v>5</v>
      </c>
      <c r="T127" s="64">
        <v>5</v>
      </c>
      <c r="U127" s="64" t="s">
        <v>467</v>
      </c>
      <c r="V127" s="64" t="s">
        <v>468</v>
      </c>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row>
    <row r="128" spans="6:75">
      <c r="F128" s="64" t="s">
        <v>469</v>
      </c>
      <c r="G128" s="64">
        <v>6</v>
      </c>
      <c r="H128" s="64">
        <f t="shared" si="1"/>
        <v>6</v>
      </c>
      <c r="I128" s="66" t="s">
        <v>92</v>
      </c>
      <c r="J128" s="64" t="s">
        <v>227</v>
      </c>
      <c r="K128" s="64" t="s">
        <v>470</v>
      </c>
      <c r="L128" s="64" t="s">
        <v>32</v>
      </c>
      <c r="M128" s="64" t="s">
        <v>32</v>
      </c>
      <c r="N128" s="64" t="s">
        <v>471</v>
      </c>
      <c r="O128" s="64">
        <v>4</v>
      </c>
      <c r="P128" s="64">
        <v>4</v>
      </c>
      <c r="Q128" s="64">
        <v>4</v>
      </c>
      <c r="R128" s="64">
        <v>4</v>
      </c>
      <c r="S128" s="64">
        <v>4</v>
      </c>
      <c r="T128" s="64">
        <v>4</v>
      </c>
      <c r="U128" s="64" t="s">
        <v>472</v>
      </c>
      <c r="V128" s="64" t="s">
        <v>473</v>
      </c>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row>
    <row r="129" spans="6:75">
      <c r="F129" s="64" t="s">
        <v>474</v>
      </c>
      <c r="G129" s="64">
        <v>6</v>
      </c>
      <c r="H129" s="64">
        <f t="shared" si="1"/>
        <v>5</v>
      </c>
      <c r="I129" s="66" t="s">
        <v>92</v>
      </c>
      <c r="J129" s="64" t="s">
        <v>227</v>
      </c>
      <c r="K129" s="64" t="s">
        <v>475</v>
      </c>
      <c r="L129" s="64" t="s">
        <v>32</v>
      </c>
      <c r="M129" s="64" t="s">
        <v>32</v>
      </c>
      <c r="N129" s="64" t="s">
        <v>471</v>
      </c>
      <c r="O129" s="64">
        <v>4</v>
      </c>
      <c r="P129" s="64">
        <v>4</v>
      </c>
      <c r="Q129" s="64">
        <v>4</v>
      </c>
      <c r="R129" s="64">
        <v>4</v>
      </c>
      <c r="S129" s="64">
        <v>3</v>
      </c>
      <c r="T129" s="64">
        <v>5</v>
      </c>
      <c r="U129" s="64" t="s">
        <v>476</v>
      </c>
      <c r="V129" s="64" t="s">
        <v>477</v>
      </c>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row>
    <row r="130" spans="6:75">
      <c r="F130" s="64" t="s">
        <v>478</v>
      </c>
      <c r="G130" s="64">
        <v>6</v>
      </c>
      <c r="H130" s="64">
        <f t="shared" si="1"/>
        <v>6</v>
      </c>
      <c r="I130" s="66" t="s">
        <v>92</v>
      </c>
      <c r="J130" s="64" t="s">
        <v>208</v>
      </c>
      <c r="K130" s="64" t="s">
        <v>470</v>
      </c>
      <c r="L130" s="64" t="s">
        <v>32</v>
      </c>
      <c r="M130" s="64" t="s">
        <v>32</v>
      </c>
      <c r="N130" s="64" t="s">
        <v>471</v>
      </c>
      <c r="O130" s="64">
        <v>5</v>
      </c>
      <c r="P130" s="64">
        <v>5</v>
      </c>
      <c r="Q130" s="64">
        <v>5</v>
      </c>
      <c r="R130" s="64">
        <v>5</v>
      </c>
      <c r="S130" s="64">
        <v>5</v>
      </c>
      <c r="T130" s="64">
        <v>5</v>
      </c>
      <c r="U130" s="64" t="s">
        <v>479</v>
      </c>
      <c r="V130" s="64" t="s">
        <v>480</v>
      </c>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row>
    <row r="131" spans="6:75">
      <c r="F131" s="64" t="s">
        <v>481</v>
      </c>
      <c r="G131" s="64">
        <v>6</v>
      </c>
      <c r="H131" s="64">
        <f t="shared" ref="H131:H194" si="2">COUNTIF(O131:T131,"&gt;3")</f>
        <v>6</v>
      </c>
      <c r="I131" s="66" t="s">
        <v>92</v>
      </c>
      <c r="J131" s="64" t="s">
        <v>231</v>
      </c>
      <c r="K131" s="64" t="s">
        <v>470</v>
      </c>
      <c r="L131" s="64" t="s">
        <v>32</v>
      </c>
      <c r="M131" s="64" t="s">
        <v>32</v>
      </c>
      <c r="N131" s="64" t="s">
        <v>471</v>
      </c>
      <c r="O131" s="64">
        <v>5</v>
      </c>
      <c r="P131" s="64">
        <v>5</v>
      </c>
      <c r="Q131" s="64">
        <v>5</v>
      </c>
      <c r="R131" s="64">
        <v>5</v>
      </c>
      <c r="S131" s="64">
        <v>5</v>
      </c>
      <c r="T131" s="64">
        <v>5</v>
      </c>
      <c r="U131" s="64" t="s">
        <v>482</v>
      </c>
      <c r="V131" s="64"/>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row>
    <row r="132" spans="6:75" ht="30.75">
      <c r="F132" s="64" t="s">
        <v>483</v>
      </c>
      <c r="G132" s="64">
        <v>6</v>
      </c>
      <c r="H132" s="64">
        <f t="shared" si="2"/>
        <v>6</v>
      </c>
      <c r="I132" s="66" t="s">
        <v>92</v>
      </c>
      <c r="J132" s="64" t="s">
        <v>103</v>
      </c>
      <c r="K132" s="64" t="s">
        <v>470</v>
      </c>
      <c r="L132" s="64" t="s">
        <v>32</v>
      </c>
      <c r="M132" s="64" t="s">
        <v>32</v>
      </c>
      <c r="N132" s="64" t="s">
        <v>471</v>
      </c>
      <c r="O132" s="64">
        <v>5</v>
      </c>
      <c r="P132" s="64">
        <v>5</v>
      </c>
      <c r="Q132" s="64">
        <v>5</v>
      </c>
      <c r="R132" s="64">
        <v>5</v>
      </c>
      <c r="S132" s="64">
        <v>5</v>
      </c>
      <c r="T132" s="64">
        <v>5</v>
      </c>
      <c r="U132" s="64" t="s">
        <v>484</v>
      </c>
      <c r="V132" s="64" t="s">
        <v>485</v>
      </c>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row>
    <row r="133" spans="6:75">
      <c r="F133" s="64" t="s">
        <v>486</v>
      </c>
      <c r="G133" s="64">
        <v>6</v>
      </c>
      <c r="H133" s="64">
        <f t="shared" si="2"/>
        <v>6</v>
      </c>
      <c r="I133" s="66" t="s">
        <v>92</v>
      </c>
      <c r="J133" s="64" t="s">
        <v>231</v>
      </c>
      <c r="K133" s="64" t="s">
        <v>470</v>
      </c>
      <c r="L133" s="64" t="s">
        <v>32</v>
      </c>
      <c r="M133" s="64" t="s">
        <v>34</v>
      </c>
      <c r="N133" s="64" t="s">
        <v>471</v>
      </c>
      <c r="O133" s="64">
        <v>4</v>
      </c>
      <c r="P133" s="64">
        <v>5</v>
      </c>
      <c r="Q133" s="64">
        <v>5</v>
      </c>
      <c r="R133" s="64">
        <v>5</v>
      </c>
      <c r="S133" s="64">
        <v>4</v>
      </c>
      <c r="T133" s="64">
        <v>4</v>
      </c>
      <c r="U133" s="64" t="s">
        <v>487</v>
      </c>
      <c r="V133" s="64" t="s">
        <v>488</v>
      </c>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row>
    <row r="134" spans="6:75">
      <c r="F134" s="64" t="s">
        <v>489</v>
      </c>
      <c r="G134" s="64">
        <v>6</v>
      </c>
      <c r="H134" s="64">
        <f t="shared" si="2"/>
        <v>6</v>
      </c>
      <c r="I134" s="66" t="s">
        <v>92</v>
      </c>
      <c r="J134" s="64" t="s">
        <v>98</v>
      </c>
      <c r="K134" s="64" t="s">
        <v>490</v>
      </c>
      <c r="L134" s="64" t="s">
        <v>45</v>
      </c>
      <c r="M134" s="64" t="s">
        <v>48</v>
      </c>
      <c r="N134" s="64" t="s">
        <v>95</v>
      </c>
      <c r="O134" s="64">
        <v>5</v>
      </c>
      <c r="P134" s="64">
        <v>5</v>
      </c>
      <c r="Q134" s="64">
        <v>5</v>
      </c>
      <c r="R134" s="64">
        <v>5</v>
      </c>
      <c r="S134" s="64">
        <v>5</v>
      </c>
      <c r="T134" s="64">
        <v>5</v>
      </c>
      <c r="U134" s="64" t="s">
        <v>491</v>
      </c>
      <c r="V134" s="64"/>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row>
    <row r="135" spans="6:75">
      <c r="F135" s="64" t="s">
        <v>492</v>
      </c>
      <c r="G135" s="64">
        <v>6</v>
      </c>
      <c r="H135" s="64">
        <f t="shared" si="2"/>
        <v>4</v>
      </c>
      <c r="I135" s="66" t="s">
        <v>92</v>
      </c>
      <c r="J135" s="64" t="s">
        <v>98</v>
      </c>
      <c r="K135" s="64" t="s">
        <v>493</v>
      </c>
      <c r="L135" s="64" t="s">
        <v>45</v>
      </c>
      <c r="M135" s="64" t="s">
        <v>48</v>
      </c>
      <c r="N135" s="64" t="s">
        <v>95</v>
      </c>
      <c r="O135" s="64">
        <v>4</v>
      </c>
      <c r="P135" s="64">
        <v>3</v>
      </c>
      <c r="Q135" s="64">
        <v>5</v>
      </c>
      <c r="R135" s="64">
        <v>3</v>
      </c>
      <c r="S135" s="64">
        <v>5</v>
      </c>
      <c r="T135" s="64">
        <v>5</v>
      </c>
      <c r="U135" s="64"/>
      <c r="V135" s="64"/>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row>
    <row r="136" spans="6:75">
      <c r="F136" s="64" t="s">
        <v>494</v>
      </c>
      <c r="G136" s="64">
        <v>6</v>
      </c>
      <c r="H136" s="64">
        <f t="shared" si="2"/>
        <v>6</v>
      </c>
      <c r="I136" s="66" t="s">
        <v>92</v>
      </c>
      <c r="J136" s="64" t="s">
        <v>98</v>
      </c>
      <c r="K136" s="64" t="s">
        <v>495</v>
      </c>
      <c r="L136" s="64" t="s">
        <v>64</v>
      </c>
      <c r="M136" s="64" t="s">
        <v>26</v>
      </c>
      <c r="N136" s="64" t="s">
        <v>61</v>
      </c>
      <c r="O136" s="64">
        <v>5</v>
      </c>
      <c r="P136" s="64">
        <v>5</v>
      </c>
      <c r="Q136" s="64">
        <v>5</v>
      </c>
      <c r="R136" s="64">
        <v>5</v>
      </c>
      <c r="S136" s="64">
        <v>5</v>
      </c>
      <c r="T136" s="64">
        <v>4</v>
      </c>
      <c r="U136" s="64" t="s">
        <v>496</v>
      </c>
      <c r="V136" s="64" t="s">
        <v>123</v>
      </c>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row>
    <row r="137" spans="6:75">
      <c r="F137" s="64" t="s">
        <v>497</v>
      </c>
      <c r="G137" s="64">
        <v>6</v>
      </c>
      <c r="H137" s="64">
        <f t="shared" si="2"/>
        <v>5</v>
      </c>
      <c r="I137" s="66" t="s">
        <v>92</v>
      </c>
      <c r="J137" s="64" t="s">
        <v>93</v>
      </c>
      <c r="K137" s="64" t="s">
        <v>495</v>
      </c>
      <c r="L137" s="64" t="s">
        <v>64</v>
      </c>
      <c r="M137" s="64" t="s">
        <v>26</v>
      </c>
      <c r="N137" s="64" t="s">
        <v>61</v>
      </c>
      <c r="O137" s="64">
        <v>5</v>
      </c>
      <c r="P137" s="64">
        <v>4</v>
      </c>
      <c r="Q137" s="64">
        <v>3</v>
      </c>
      <c r="R137" s="64">
        <v>4</v>
      </c>
      <c r="S137" s="64">
        <v>4</v>
      </c>
      <c r="T137" s="64">
        <v>4</v>
      </c>
      <c r="U137" s="64" t="s">
        <v>498</v>
      </c>
      <c r="V137" s="64" t="s">
        <v>499</v>
      </c>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row>
    <row r="138" spans="6:75">
      <c r="F138" s="64" t="s">
        <v>500</v>
      </c>
      <c r="G138" s="64">
        <v>6</v>
      </c>
      <c r="H138" s="64">
        <f t="shared" si="2"/>
        <v>6</v>
      </c>
      <c r="I138" s="66" t="s">
        <v>92</v>
      </c>
      <c r="J138" s="64" t="s">
        <v>93</v>
      </c>
      <c r="K138" s="64" t="s">
        <v>495</v>
      </c>
      <c r="L138" s="64" t="s">
        <v>64</v>
      </c>
      <c r="M138" s="64" t="s">
        <v>26</v>
      </c>
      <c r="N138" s="64" t="s">
        <v>61</v>
      </c>
      <c r="O138" s="64">
        <v>4</v>
      </c>
      <c r="P138" s="64">
        <v>4</v>
      </c>
      <c r="Q138" s="64">
        <v>4</v>
      </c>
      <c r="R138" s="64">
        <v>5</v>
      </c>
      <c r="S138" s="64">
        <v>4</v>
      </c>
      <c r="T138" s="64">
        <v>4</v>
      </c>
      <c r="U138" s="64" t="s">
        <v>501</v>
      </c>
      <c r="V138" s="64" t="s">
        <v>502</v>
      </c>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row>
    <row r="139" spans="6:75">
      <c r="F139" s="64" t="s">
        <v>503</v>
      </c>
      <c r="G139" s="64">
        <v>6</v>
      </c>
      <c r="H139" s="64">
        <f t="shared" si="2"/>
        <v>4</v>
      </c>
      <c r="I139" s="66" t="s">
        <v>92</v>
      </c>
      <c r="J139" s="64" t="s">
        <v>93</v>
      </c>
      <c r="K139" s="64" t="s">
        <v>346</v>
      </c>
      <c r="L139" s="64" t="s">
        <v>64</v>
      </c>
      <c r="M139" s="64" t="s">
        <v>26</v>
      </c>
      <c r="N139" s="64" t="s">
        <v>61</v>
      </c>
      <c r="O139" s="64"/>
      <c r="P139" s="64">
        <v>4</v>
      </c>
      <c r="Q139" s="64">
        <v>4</v>
      </c>
      <c r="R139" s="64">
        <v>3</v>
      </c>
      <c r="S139" s="64">
        <v>4</v>
      </c>
      <c r="T139" s="64">
        <v>4</v>
      </c>
      <c r="U139" s="64"/>
      <c r="V139" s="64"/>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row>
    <row r="140" spans="6:75">
      <c r="F140" s="64" t="s">
        <v>504</v>
      </c>
      <c r="G140" s="64">
        <v>6</v>
      </c>
      <c r="H140" s="64">
        <f t="shared" si="2"/>
        <v>4</v>
      </c>
      <c r="I140" s="66" t="s">
        <v>92</v>
      </c>
      <c r="J140" s="64" t="s">
        <v>93</v>
      </c>
      <c r="K140" s="64" t="s">
        <v>495</v>
      </c>
      <c r="L140" s="64" t="s">
        <v>64</v>
      </c>
      <c r="M140" s="64" t="s">
        <v>26</v>
      </c>
      <c r="N140" s="64" t="s">
        <v>61</v>
      </c>
      <c r="O140" s="64">
        <v>5</v>
      </c>
      <c r="P140" s="64">
        <v>3</v>
      </c>
      <c r="Q140" s="64">
        <v>4</v>
      </c>
      <c r="R140" s="64">
        <v>4</v>
      </c>
      <c r="S140" s="64">
        <v>5</v>
      </c>
      <c r="T140" s="64">
        <v>3</v>
      </c>
      <c r="U140" s="64" t="s">
        <v>505</v>
      </c>
      <c r="V140" s="64" t="s">
        <v>506</v>
      </c>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row>
    <row r="141" spans="6:75" ht="30.75">
      <c r="F141" s="64" t="s">
        <v>507</v>
      </c>
      <c r="G141" s="64">
        <v>6</v>
      </c>
      <c r="H141" s="64">
        <f t="shared" si="2"/>
        <v>6</v>
      </c>
      <c r="I141" s="66" t="s">
        <v>92</v>
      </c>
      <c r="J141" s="64" t="s">
        <v>93</v>
      </c>
      <c r="K141" s="64" t="s">
        <v>495</v>
      </c>
      <c r="L141" s="64" t="s">
        <v>64</v>
      </c>
      <c r="M141" s="64" t="s">
        <v>26</v>
      </c>
      <c r="N141" s="64" t="s">
        <v>61</v>
      </c>
      <c r="O141" s="64">
        <v>4</v>
      </c>
      <c r="P141" s="64">
        <v>4</v>
      </c>
      <c r="Q141" s="64">
        <v>5</v>
      </c>
      <c r="R141" s="64">
        <v>5</v>
      </c>
      <c r="S141" s="64">
        <v>5</v>
      </c>
      <c r="T141" s="64">
        <v>5</v>
      </c>
      <c r="U141" s="64" t="s">
        <v>508</v>
      </c>
      <c r="V141" s="64" t="s">
        <v>509</v>
      </c>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row>
    <row r="142" spans="6:75">
      <c r="F142" s="64" t="s">
        <v>510</v>
      </c>
      <c r="G142" s="64">
        <v>6</v>
      </c>
      <c r="H142" s="64">
        <f t="shared" si="2"/>
        <v>3</v>
      </c>
      <c r="I142" s="66" t="s">
        <v>92</v>
      </c>
      <c r="J142" s="64" t="s">
        <v>93</v>
      </c>
      <c r="K142" s="64" t="s">
        <v>346</v>
      </c>
      <c r="L142" s="64" t="s">
        <v>64</v>
      </c>
      <c r="M142" s="64" t="s">
        <v>26</v>
      </c>
      <c r="N142" s="64" t="s">
        <v>61</v>
      </c>
      <c r="O142" s="64">
        <v>3</v>
      </c>
      <c r="P142" s="64">
        <v>3</v>
      </c>
      <c r="Q142" s="64">
        <v>3</v>
      </c>
      <c r="R142" s="64">
        <v>4</v>
      </c>
      <c r="S142" s="64">
        <v>4</v>
      </c>
      <c r="T142" s="64">
        <v>4</v>
      </c>
      <c r="U142" s="64" t="s">
        <v>511</v>
      </c>
      <c r="V142" s="64" t="s">
        <v>512</v>
      </c>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row>
    <row r="143" spans="6:75">
      <c r="F143" s="64" t="s">
        <v>513</v>
      </c>
      <c r="G143" s="64">
        <v>6</v>
      </c>
      <c r="H143" s="64">
        <f t="shared" si="2"/>
        <v>6</v>
      </c>
      <c r="I143" s="66" t="s">
        <v>92</v>
      </c>
      <c r="J143" s="64" t="s">
        <v>93</v>
      </c>
      <c r="K143" s="64" t="s">
        <v>514</v>
      </c>
      <c r="L143" s="64" t="s">
        <v>64</v>
      </c>
      <c r="M143" s="64" t="s">
        <v>26</v>
      </c>
      <c r="N143" s="64" t="s">
        <v>61</v>
      </c>
      <c r="O143" s="64">
        <v>5</v>
      </c>
      <c r="P143" s="64">
        <v>5</v>
      </c>
      <c r="Q143" s="64">
        <v>5</v>
      </c>
      <c r="R143" s="64">
        <v>5</v>
      </c>
      <c r="S143" s="64">
        <v>4</v>
      </c>
      <c r="T143" s="64">
        <v>4</v>
      </c>
      <c r="U143" s="64" t="s">
        <v>515</v>
      </c>
      <c r="V143" s="64" t="s">
        <v>123</v>
      </c>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row>
    <row r="144" spans="6:75">
      <c r="F144" s="64" t="s">
        <v>516</v>
      </c>
      <c r="G144" s="64">
        <v>6</v>
      </c>
      <c r="H144" s="64">
        <f t="shared" si="2"/>
        <v>6</v>
      </c>
      <c r="I144" s="66" t="s">
        <v>92</v>
      </c>
      <c r="J144" s="64" t="s">
        <v>93</v>
      </c>
      <c r="K144" s="64" t="s">
        <v>346</v>
      </c>
      <c r="L144" s="64" t="s">
        <v>64</v>
      </c>
      <c r="M144" s="64" t="s">
        <v>26</v>
      </c>
      <c r="N144" s="64" t="s">
        <v>61</v>
      </c>
      <c r="O144" s="64">
        <v>4</v>
      </c>
      <c r="P144" s="64">
        <v>5</v>
      </c>
      <c r="Q144" s="64">
        <v>4</v>
      </c>
      <c r="R144" s="64">
        <v>4</v>
      </c>
      <c r="S144" s="64">
        <v>4</v>
      </c>
      <c r="T144" s="64">
        <v>4</v>
      </c>
      <c r="U144" s="64" t="s">
        <v>517</v>
      </c>
      <c r="V144" s="64" t="s">
        <v>147</v>
      </c>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row>
    <row r="145" spans="6:75">
      <c r="F145" s="64" t="s">
        <v>518</v>
      </c>
      <c r="G145" s="64">
        <v>6</v>
      </c>
      <c r="H145" s="64">
        <f t="shared" si="2"/>
        <v>5</v>
      </c>
      <c r="I145" s="66" t="s">
        <v>92</v>
      </c>
      <c r="J145" s="64" t="s">
        <v>93</v>
      </c>
      <c r="K145" s="64" t="s">
        <v>514</v>
      </c>
      <c r="L145" s="64" t="s">
        <v>64</v>
      </c>
      <c r="M145" s="64" t="s">
        <v>26</v>
      </c>
      <c r="N145" s="64"/>
      <c r="O145" s="64">
        <v>4</v>
      </c>
      <c r="P145" s="64">
        <v>4</v>
      </c>
      <c r="Q145" s="64">
        <v>4</v>
      </c>
      <c r="R145" s="64">
        <v>3</v>
      </c>
      <c r="S145" s="64">
        <v>4</v>
      </c>
      <c r="T145" s="64">
        <v>4</v>
      </c>
      <c r="U145" s="64" t="s">
        <v>519</v>
      </c>
      <c r="V145" s="64" t="s">
        <v>123</v>
      </c>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row>
    <row r="146" spans="6:75">
      <c r="F146" s="64" t="s">
        <v>520</v>
      </c>
      <c r="G146" s="64">
        <v>6</v>
      </c>
      <c r="H146" s="64">
        <f t="shared" si="2"/>
        <v>6</v>
      </c>
      <c r="I146" s="66" t="s">
        <v>92</v>
      </c>
      <c r="J146" s="64" t="s">
        <v>93</v>
      </c>
      <c r="K146" s="64" t="s">
        <v>346</v>
      </c>
      <c r="L146" s="64" t="s">
        <v>64</v>
      </c>
      <c r="M146" s="64" t="s">
        <v>26</v>
      </c>
      <c r="N146" s="64" t="s">
        <v>61</v>
      </c>
      <c r="O146" s="64">
        <v>4</v>
      </c>
      <c r="P146" s="64">
        <v>5</v>
      </c>
      <c r="Q146" s="64">
        <v>4</v>
      </c>
      <c r="R146" s="64">
        <v>4</v>
      </c>
      <c r="S146" s="64">
        <v>4</v>
      </c>
      <c r="T146" s="64">
        <v>4</v>
      </c>
      <c r="U146" s="64" t="s">
        <v>517</v>
      </c>
      <c r="V146" s="64" t="s">
        <v>147</v>
      </c>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row>
    <row r="147" spans="6:75">
      <c r="F147" s="64" t="s">
        <v>521</v>
      </c>
      <c r="G147" s="64">
        <v>6</v>
      </c>
      <c r="H147" s="64">
        <f t="shared" si="2"/>
        <v>6</v>
      </c>
      <c r="I147" s="66" t="s">
        <v>92</v>
      </c>
      <c r="J147" s="64" t="s">
        <v>93</v>
      </c>
      <c r="K147" s="64" t="s">
        <v>514</v>
      </c>
      <c r="L147" s="64" t="s">
        <v>64</v>
      </c>
      <c r="M147" s="64" t="s">
        <v>26</v>
      </c>
      <c r="N147" s="64" t="s">
        <v>61</v>
      </c>
      <c r="O147" s="64">
        <v>5</v>
      </c>
      <c r="P147" s="64">
        <v>4</v>
      </c>
      <c r="Q147" s="64">
        <v>4</v>
      </c>
      <c r="R147" s="64">
        <v>5</v>
      </c>
      <c r="S147" s="64">
        <v>5</v>
      </c>
      <c r="T147" s="64">
        <v>5</v>
      </c>
      <c r="U147" s="64" t="s">
        <v>522</v>
      </c>
      <c r="V147" s="64" t="s">
        <v>127</v>
      </c>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row>
    <row r="148" spans="6:75">
      <c r="F148" s="64" t="s">
        <v>523</v>
      </c>
      <c r="G148" s="64">
        <v>6</v>
      </c>
      <c r="H148" s="64">
        <f t="shared" si="2"/>
        <v>6</v>
      </c>
      <c r="I148" s="66" t="s">
        <v>92</v>
      </c>
      <c r="J148" s="64" t="s">
        <v>93</v>
      </c>
      <c r="K148" s="64" t="s">
        <v>346</v>
      </c>
      <c r="L148" s="64" t="s">
        <v>64</v>
      </c>
      <c r="M148" s="64" t="s">
        <v>26</v>
      </c>
      <c r="N148" s="64" t="s">
        <v>61</v>
      </c>
      <c r="O148" s="64">
        <v>5</v>
      </c>
      <c r="P148" s="64">
        <v>5</v>
      </c>
      <c r="Q148" s="64">
        <v>5</v>
      </c>
      <c r="R148" s="64">
        <v>5</v>
      </c>
      <c r="S148" s="64">
        <v>5</v>
      </c>
      <c r="T148" s="64">
        <v>5</v>
      </c>
      <c r="U148" s="64" t="s">
        <v>524</v>
      </c>
      <c r="V148" s="64" t="s">
        <v>524</v>
      </c>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row>
    <row r="149" spans="6:75">
      <c r="F149" s="64" t="s">
        <v>525</v>
      </c>
      <c r="G149" s="64">
        <v>6</v>
      </c>
      <c r="H149" s="64">
        <f t="shared" si="2"/>
        <v>6</v>
      </c>
      <c r="I149" s="66" t="s">
        <v>92</v>
      </c>
      <c r="J149" s="64" t="s">
        <v>238</v>
      </c>
      <c r="K149" s="64" t="s">
        <v>466</v>
      </c>
      <c r="L149" s="64" t="s">
        <v>45</v>
      </c>
      <c r="M149" s="64" t="s">
        <v>48</v>
      </c>
      <c r="N149" s="64" t="s">
        <v>95</v>
      </c>
      <c r="O149" s="64">
        <v>5</v>
      </c>
      <c r="P149" s="64">
        <v>4</v>
      </c>
      <c r="Q149" s="64">
        <v>5</v>
      </c>
      <c r="R149" s="64">
        <v>4</v>
      </c>
      <c r="S149" s="64">
        <v>5</v>
      </c>
      <c r="T149" s="64">
        <v>5</v>
      </c>
      <c r="U149" s="64" t="s">
        <v>526</v>
      </c>
      <c r="V149" s="64" t="s">
        <v>527</v>
      </c>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row>
    <row r="150" spans="6:75">
      <c r="F150" s="64" t="s">
        <v>528</v>
      </c>
      <c r="G150" s="64">
        <v>6</v>
      </c>
      <c r="H150" s="64">
        <f t="shared" si="2"/>
        <v>6</v>
      </c>
      <c r="I150" s="66" t="s">
        <v>92</v>
      </c>
      <c r="J150" s="64" t="s">
        <v>231</v>
      </c>
      <c r="K150" s="64" t="s">
        <v>466</v>
      </c>
      <c r="L150" s="64" t="s">
        <v>45</v>
      </c>
      <c r="M150" s="64" t="s">
        <v>48</v>
      </c>
      <c r="N150" s="64" t="s">
        <v>95</v>
      </c>
      <c r="O150" s="64">
        <v>4</v>
      </c>
      <c r="P150" s="64">
        <v>4</v>
      </c>
      <c r="Q150" s="64">
        <v>4</v>
      </c>
      <c r="R150" s="64">
        <v>4</v>
      </c>
      <c r="S150" s="64">
        <v>4</v>
      </c>
      <c r="T150" s="64">
        <v>4</v>
      </c>
      <c r="U150" s="64"/>
      <c r="V150" s="64"/>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row>
    <row r="151" spans="6:75">
      <c r="F151" s="64" t="s">
        <v>529</v>
      </c>
      <c r="G151" s="64">
        <v>6</v>
      </c>
      <c r="H151" s="64">
        <f t="shared" si="2"/>
        <v>6</v>
      </c>
      <c r="I151" s="66" t="s">
        <v>92</v>
      </c>
      <c r="J151" s="64" t="s">
        <v>227</v>
      </c>
      <c r="K151" s="64" t="s">
        <v>530</v>
      </c>
      <c r="L151" s="64" t="s">
        <v>20</v>
      </c>
      <c r="M151" s="64" t="s">
        <v>20</v>
      </c>
      <c r="N151" s="64" t="s">
        <v>471</v>
      </c>
      <c r="O151" s="64">
        <v>5</v>
      </c>
      <c r="P151" s="64">
        <v>4</v>
      </c>
      <c r="Q151" s="64">
        <v>5</v>
      </c>
      <c r="R151" s="64">
        <v>5</v>
      </c>
      <c r="S151" s="64">
        <v>5</v>
      </c>
      <c r="T151" s="64">
        <v>5</v>
      </c>
      <c r="U151" s="64" t="s">
        <v>531</v>
      </c>
      <c r="V151" s="64" t="s">
        <v>532</v>
      </c>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row>
    <row r="152" spans="6:75">
      <c r="F152" s="64" t="s">
        <v>533</v>
      </c>
      <c r="G152" s="64">
        <v>6</v>
      </c>
      <c r="H152" s="64">
        <f t="shared" si="2"/>
        <v>5</v>
      </c>
      <c r="I152" s="66" t="s">
        <v>92</v>
      </c>
      <c r="J152" s="64" t="s">
        <v>227</v>
      </c>
      <c r="K152" s="64" t="s">
        <v>530</v>
      </c>
      <c r="L152" s="64" t="s">
        <v>20</v>
      </c>
      <c r="M152" s="64" t="s">
        <v>20</v>
      </c>
      <c r="N152" s="64" t="s">
        <v>471</v>
      </c>
      <c r="O152" s="64">
        <v>4</v>
      </c>
      <c r="P152" s="64">
        <v>5</v>
      </c>
      <c r="Q152" s="64">
        <v>5</v>
      </c>
      <c r="R152" s="64">
        <v>4</v>
      </c>
      <c r="S152" s="64">
        <v>4</v>
      </c>
      <c r="T152" s="64">
        <v>3</v>
      </c>
      <c r="U152" s="64"/>
      <c r="V152" s="64"/>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row>
    <row r="153" spans="6:75">
      <c r="F153" s="64" t="s">
        <v>534</v>
      </c>
      <c r="G153" s="64">
        <v>6</v>
      </c>
      <c r="H153" s="64">
        <f t="shared" si="2"/>
        <v>6</v>
      </c>
      <c r="I153" s="66" t="s">
        <v>92</v>
      </c>
      <c r="J153" s="64" t="s">
        <v>103</v>
      </c>
      <c r="K153" s="64" t="s">
        <v>470</v>
      </c>
      <c r="L153" s="64" t="s">
        <v>20</v>
      </c>
      <c r="M153" s="64" t="s">
        <v>20</v>
      </c>
      <c r="N153" s="64" t="s">
        <v>471</v>
      </c>
      <c r="O153" s="64">
        <v>4</v>
      </c>
      <c r="P153" s="64">
        <v>4</v>
      </c>
      <c r="Q153" s="64">
        <v>4</v>
      </c>
      <c r="R153" s="64">
        <v>5</v>
      </c>
      <c r="S153" s="64">
        <v>4</v>
      </c>
      <c r="T153" s="64">
        <v>5</v>
      </c>
      <c r="U153" s="64" t="s">
        <v>535</v>
      </c>
      <c r="V153" s="64"/>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row>
    <row r="154" spans="6:75">
      <c r="F154" s="64" t="s">
        <v>536</v>
      </c>
      <c r="G154" s="64">
        <v>6</v>
      </c>
      <c r="H154" s="64">
        <f t="shared" si="2"/>
        <v>6</v>
      </c>
      <c r="I154" s="66" t="s">
        <v>92</v>
      </c>
      <c r="J154" s="64" t="s">
        <v>227</v>
      </c>
      <c r="K154" s="64" t="s">
        <v>530</v>
      </c>
      <c r="L154" s="64" t="s">
        <v>20</v>
      </c>
      <c r="M154" s="64" t="s">
        <v>32</v>
      </c>
      <c r="N154" s="64" t="s">
        <v>471</v>
      </c>
      <c r="O154" s="64">
        <v>5</v>
      </c>
      <c r="P154" s="64">
        <v>5</v>
      </c>
      <c r="Q154" s="64">
        <v>5</v>
      </c>
      <c r="R154" s="64">
        <v>5</v>
      </c>
      <c r="S154" s="64">
        <v>5</v>
      </c>
      <c r="T154" s="64">
        <v>5</v>
      </c>
      <c r="U154" s="64" t="s">
        <v>537</v>
      </c>
      <c r="V154" s="64" t="s">
        <v>538</v>
      </c>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row>
    <row r="155" spans="6:75">
      <c r="F155" s="64" t="s">
        <v>539</v>
      </c>
      <c r="G155" s="64">
        <v>6</v>
      </c>
      <c r="H155" s="64">
        <f t="shared" si="2"/>
        <v>0</v>
      </c>
      <c r="I155" s="66" t="s">
        <v>92</v>
      </c>
      <c r="J155" s="64" t="s">
        <v>231</v>
      </c>
      <c r="K155" s="64" t="s">
        <v>540</v>
      </c>
      <c r="L155" s="64" t="s">
        <v>45</v>
      </c>
      <c r="M155" s="64" t="s">
        <v>48</v>
      </c>
      <c r="N155" s="64" t="s">
        <v>95</v>
      </c>
      <c r="O155" s="64">
        <v>3</v>
      </c>
      <c r="P155" s="64">
        <v>3</v>
      </c>
      <c r="Q155" s="64">
        <v>3</v>
      </c>
      <c r="R155" s="64">
        <v>2</v>
      </c>
      <c r="S155" s="64">
        <v>3</v>
      </c>
      <c r="T155" s="64">
        <v>3</v>
      </c>
      <c r="U155" s="64" t="s">
        <v>334</v>
      </c>
      <c r="V155" s="64" t="s">
        <v>541</v>
      </c>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row>
    <row r="156" spans="6:75" ht="30.75">
      <c r="F156" s="64" t="s">
        <v>542</v>
      </c>
      <c r="G156" s="64">
        <v>6</v>
      </c>
      <c r="H156" s="64">
        <f t="shared" si="2"/>
        <v>6</v>
      </c>
      <c r="I156" s="66" t="s">
        <v>92</v>
      </c>
      <c r="J156" s="64" t="s">
        <v>103</v>
      </c>
      <c r="K156" s="64" t="s">
        <v>466</v>
      </c>
      <c r="L156" s="64" t="s">
        <v>45</v>
      </c>
      <c r="M156" s="64" t="s">
        <v>45</v>
      </c>
      <c r="N156" s="64" t="s">
        <v>95</v>
      </c>
      <c r="O156" s="64">
        <v>5</v>
      </c>
      <c r="P156" s="64">
        <v>5</v>
      </c>
      <c r="Q156" s="64">
        <v>5</v>
      </c>
      <c r="R156" s="64">
        <v>5</v>
      </c>
      <c r="S156" s="64">
        <v>5</v>
      </c>
      <c r="T156" s="64">
        <v>5</v>
      </c>
      <c r="U156" s="64" t="s">
        <v>543</v>
      </c>
      <c r="V156" s="64" t="s">
        <v>544</v>
      </c>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row>
    <row r="157" spans="6:75">
      <c r="F157" s="64" t="s">
        <v>545</v>
      </c>
      <c r="G157" s="64">
        <v>6</v>
      </c>
      <c r="H157" s="64">
        <f t="shared" si="2"/>
        <v>6</v>
      </c>
      <c r="I157" s="66" t="s">
        <v>92</v>
      </c>
      <c r="J157" s="64" t="s">
        <v>98</v>
      </c>
      <c r="K157" s="64" t="s">
        <v>546</v>
      </c>
      <c r="L157" s="64" t="s">
        <v>45</v>
      </c>
      <c r="M157" s="64" t="s">
        <v>48</v>
      </c>
      <c r="N157" s="64" t="s">
        <v>95</v>
      </c>
      <c r="O157" s="64">
        <v>5</v>
      </c>
      <c r="P157" s="64">
        <v>5</v>
      </c>
      <c r="Q157" s="64">
        <v>5</v>
      </c>
      <c r="R157" s="64">
        <v>5</v>
      </c>
      <c r="S157" s="64">
        <v>5</v>
      </c>
      <c r="T157" s="64">
        <v>5</v>
      </c>
      <c r="U157" s="64" t="s">
        <v>547</v>
      </c>
      <c r="V157" s="64" t="s">
        <v>548</v>
      </c>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row>
    <row r="158" spans="6:75">
      <c r="F158" s="64" t="s">
        <v>549</v>
      </c>
      <c r="G158" s="64">
        <v>6</v>
      </c>
      <c r="H158" s="64">
        <f t="shared" si="2"/>
        <v>6</v>
      </c>
      <c r="I158" s="66" t="s">
        <v>92</v>
      </c>
      <c r="J158" s="64" t="s">
        <v>227</v>
      </c>
      <c r="K158" s="64" t="s">
        <v>466</v>
      </c>
      <c r="L158" s="64" t="s">
        <v>45</v>
      </c>
      <c r="M158" s="64" t="s">
        <v>48</v>
      </c>
      <c r="N158" s="64" t="s">
        <v>95</v>
      </c>
      <c r="O158" s="64">
        <v>5</v>
      </c>
      <c r="P158" s="64">
        <v>5</v>
      </c>
      <c r="Q158" s="64">
        <v>5</v>
      </c>
      <c r="R158" s="64">
        <v>5</v>
      </c>
      <c r="S158" s="64">
        <v>5</v>
      </c>
      <c r="T158" s="64">
        <v>5</v>
      </c>
      <c r="U158" s="64" t="s">
        <v>550</v>
      </c>
      <c r="V158" s="64" t="s">
        <v>551</v>
      </c>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row>
    <row r="159" spans="6:75">
      <c r="F159" s="64" t="s">
        <v>552</v>
      </c>
      <c r="G159" s="64">
        <v>6</v>
      </c>
      <c r="H159" s="64">
        <f t="shared" si="2"/>
        <v>6</v>
      </c>
      <c r="I159" s="66" t="s">
        <v>92</v>
      </c>
      <c r="J159" s="64" t="s">
        <v>98</v>
      </c>
      <c r="K159" s="64" t="s">
        <v>514</v>
      </c>
      <c r="L159" s="64" t="s">
        <v>45</v>
      </c>
      <c r="M159" s="64" t="s">
        <v>48</v>
      </c>
      <c r="N159" s="64" t="s">
        <v>95</v>
      </c>
      <c r="O159" s="64">
        <v>5</v>
      </c>
      <c r="P159" s="64">
        <v>5</v>
      </c>
      <c r="Q159" s="64">
        <v>5</v>
      </c>
      <c r="R159" s="64">
        <v>5</v>
      </c>
      <c r="S159" s="64">
        <v>4</v>
      </c>
      <c r="T159" s="64">
        <v>4</v>
      </c>
      <c r="U159" s="64" t="s">
        <v>553</v>
      </c>
      <c r="V159" s="64" t="s">
        <v>554</v>
      </c>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row>
    <row r="160" spans="6:75">
      <c r="F160" s="64" t="s">
        <v>555</v>
      </c>
      <c r="G160" s="64">
        <v>6</v>
      </c>
      <c r="H160" s="64">
        <f t="shared" si="2"/>
        <v>6</v>
      </c>
      <c r="I160" s="66" t="s">
        <v>92</v>
      </c>
      <c r="J160" s="64" t="s">
        <v>98</v>
      </c>
      <c r="K160" s="64" t="s">
        <v>466</v>
      </c>
      <c r="L160" s="64" t="s">
        <v>45</v>
      </c>
      <c r="M160" s="64" t="s">
        <v>48</v>
      </c>
      <c r="N160" s="64" t="s">
        <v>95</v>
      </c>
      <c r="O160" s="64">
        <v>5</v>
      </c>
      <c r="P160" s="64">
        <v>4</v>
      </c>
      <c r="Q160" s="64">
        <v>5</v>
      </c>
      <c r="R160" s="64">
        <v>5</v>
      </c>
      <c r="S160" s="64">
        <v>5</v>
      </c>
      <c r="T160" s="64">
        <v>5</v>
      </c>
      <c r="U160" s="64" t="s">
        <v>556</v>
      </c>
      <c r="V160" s="64"/>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row>
    <row r="161" spans="6:75">
      <c r="F161" s="64" t="s">
        <v>557</v>
      </c>
      <c r="G161" s="64">
        <v>6</v>
      </c>
      <c r="H161" s="64">
        <f t="shared" si="2"/>
        <v>6</v>
      </c>
      <c r="I161" s="66" t="s">
        <v>92</v>
      </c>
      <c r="J161" s="64" t="s">
        <v>227</v>
      </c>
      <c r="K161" s="64" t="s">
        <v>546</v>
      </c>
      <c r="L161" s="64" t="s">
        <v>45</v>
      </c>
      <c r="M161" s="64" t="s">
        <v>48</v>
      </c>
      <c r="N161" s="64" t="s">
        <v>95</v>
      </c>
      <c r="O161" s="64">
        <v>5</v>
      </c>
      <c r="P161" s="64">
        <v>5</v>
      </c>
      <c r="Q161" s="64">
        <v>5</v>
      </c>
      <c r="R161" s="64">
        <v>5</v>
      </c>
      <c r="S161" s="64">
        <v>5</v>
      </c>
      <c r="T161" s="64">
        <v>5</v>
      </c>
      <c r="U161" s="64" t="s">
        <v>558</v>
      </c>
      <c r="V161" s="64" t="s">
        <v>559</v>
      </c>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row>
    <row r="162" spans="6:75">
      <c r="F162" s="64" t="s">
        <v>560</v>
      </c>
      <c r="G162" s="64">
        <v>6</v>
      </c>
      <c r="H162" s="64">
        <f t="shared" si="2"/>
        <v>6</v>
      </c>
      <c r="I162" s="66" t="s">
        <v>92</v>
      </c>
      <c r="J162" s="64" t="s">
        <v>98</v>
      </c>
      <c r="K162" s="64" t="s">
        <v>561</v>
      </c>
      <c r="L162" s="64" t="s">
        <v>62</v>
      </c>
      <c r="M162" s="64" t="s">
        <v>62</v>
      </c>
      <c r="N162" s="64" t="s">
        <v>61</v>
      </c>
      <c r="O162" s="64">
        <v>5</v>
      </c>
      <c r="P162" s="64">
        <v>5</v>
      </c>
      <c r="Q162" s="64">
        <v>5</v>
      </c>
      <c r="R162" s="64">
        <v>5</v>
      </c>
      <c r="S162" s="64">
        <v>5</v>
      </c>
      <c r="T162" s="64">
        <v>5</v>
      </c>
      <c r="U162" s="64" t="s">
        <v>562</v>
      </c>
      <c r="V162" s="64" t="s">
        <v>123</v>
      </c>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row>
    <row r="163" spans="6:75" ht="30.75">
      <c r="F163" s="64" t="s">
        <v>563</v>
      </c>
      <c r="G163" s="64">
        <v>6</v>
      </c>
      <c r="H163" s="64">
        <f t="shared" si="2"/>
        <v>6</v>
      </c>
      <c r="I163" s="66" t="s">
        <v>92</v>
      </c>
      <c r="J163" s="64" t="s">
        <v>98</v>
      </c>
      <c r="K163" s="64" t="s">
        <v>561</v>
      </c>
      <c r="L163" s="64" t="s">
        <v>62</v>
      </c>
      <c r="M163" s="64" t="s">
        <v>62</v>
      </c>
      <c r="N163" s="64" t="s">
        <v>61</v>
      </c>
      <c r="O163" s="64">
        <v>5</v>
      </c>
      <c r="P163" s="64">
        <v>5</v>
      </c>
      <c r="Q163" s="64">
        <v>5</v>
      </c>
      <c r="R163" s="64">
        <v>5</v>
      </c>
      <c r="S163" s="64">
        <v>5</v>
      </c>
      <c r="T163" s="64">
        <v>5</v>
      </c>
      <c r="U163" s="64" t="s">
        <v>564</v>
      </c>
      <c r="V163" s="64" t="s">
        <v>565</v>
      </c>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row>
    <row r="164" spans="6:75">
      <c r="F164" s="64" t="s">
        <v>566</v>
      </c>
      <c r="G164" s="64">
        <v>6</v>
      </c>
      <c r="H164" s="64">
        <f t="shared" si="2"/>
        <v>6</v>
      </c>
      <c r="I164" s="66" t="s">
        <v>92</v>
      </c>
      <c r="J164" s="64" t="s">
        <v>103</v>
      </c>
      <c r="K164" s="64" t="s">
        <v>561</v>
      </c>
      <c r="L164" s="64" t="s">
        <v>62</v>
      </c>
      <c r="M164" s="64" t="s">
        <v>62</v>
      </c>
      <c r="N164" s="64" t="s">
        <v>61</v>
      </c>
      <c r="O164" s="64">
        <v>4</v>
      </c>
      <c r="P164" s="64">
        <v>5</v>
      </c>
      <c r="Q164" s="64">
        <v>5</v>
      </c>
      <c r="R164" s="64">
        <v>4</v>
      </c>
      <c r="S164" s="64">
        <v>5</v>
      </c>
      <c r="T164" s="64">
        <v>5</v>
      </c>
      <c r="U164" s="64" t="s">
        <v>567</v>
      </c>
      <c r="V164" s="64" t="s">
        <v>568</v>
      </c>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row>
    <row r="165" spans="6:75">
      <c r="F165" s="64" t="s">
        <v>569</v>
      </c>
      <c r="G165" s="64">
        <v>6</v>
      </c>
      <c r="H165" s="64">
        <f t="shared" si="2"/>
        <v>6</v>
      </c>
      <c r="I165" s="66" t="s">
        <v>92</v>
      </c>
      <c r="J165" s="64" t="s">
        <v>93</v>
      </c>
      <c r="K165" s="64" t="s">
        <v>561</v>
      </c>
      <c r="L165" s="64" t="s">
        <v>62</v>
      </c>
      <c r="M165" s="64" t="s">
        <v>62</v>
      </c>
      <c r="N165" s="64" t="s">
        <v>61</v>
      </c>
      <c r="O165" s="64">
        <v>4</v>
      </c>
      <c r="P165" s="64">
        <v>4</v>
      </c>
      <c r="Q165" s="64">
        <v>4</v>
      </c>
      <c r="R165" s="64">
        <v>4</v>
      </c>
      <c r="S165" s="64">
        <v>4</v>
      </c>
      <c r="T165" s="64">
        <v>4</v>
      </c>
      <c r="U165" s="64" t="s">
        <v>570</v>
      </c>
      <c r="V165" s="64" t="s">
        <v>571</v>
      </c>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row>
    <row r="166" spans="6:75">
      <c r="F166" s="64" t="s">
        <v>572</v>
      </c>
      <c r="G166" s="64">
        <v>6</v>
      </c>
      <c r="H166" s="64">
        <f t="shared" si="2"/>
        <v>6</v>
      </c>
      <c r="I166" s="66" t="s">
        <v>92</v>
      </c>
      <c r="J166" s="64" t="s">
        <v>93</v>
      </c>
      <c r="K166" s="64" t="s">
        <v>561</v>
      </c>
      <c r="L166" s="64" t="s">
        <v>62</v>
      </c>
      <c r="M166" s="64" t="s">
        <v>36</v>
      </c>
      <c r="N166" s="64" t="s">
        <v>61</v>
      </c>
      <c r="O166" s="64">
        <v>5</v>
      </c>
      <c r="P166" s="64">
        <v>5</v>
      </c>
      <c r="Q166" s="64">
        <v>5</v>
      </c>
      <c r="R166" s="64">
        <v>5</v>
      </c>
      <c r="S166" s="64">
        <v>5</v>
      </c>
      <c r="T166" s="64">
        <v>5</v>
      </c>
      <c r="U166" s="64" t="s">
        <v>573</v>
      </c>
      <c r="V166" s="64" t="s">
        <v>574</v>
      </c>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row>
    <row r="167" spans="6:75">
      <c r="F167" s="64" t="s">
        <v>575</v>
      </c>
      <c r="G167" s="64">
        <v>6</v>
      </c>
      <c r="H167" s="64">
        <f t="shared" si="2"/>
        <v>6</v>
      </c>
      <c r="I167" s="66" t="s">
        <v>92</v>
      </c>
      <c r="J167" s="64" t="s">
        <v>93</v>
      </c>
      <c r="K167" s="64" t="s">
        <v>561</v>
      </c>
      <c r="L167" s="64" t="s">
        <v>62</v>
      </c>
      <c r="M167" s="64" t="s">
        <v>62</v>
      </c>
      <c r="N167" s="64" t="s">
        <v>61</v>
      </c>
      <c r="O167" s="64">
        <v>5</v>
      </c>
      <c r="P167" s="64">
        <v>5</v>
      </c>
      <c r="Q167" s="64">
        <v>5</v>
      </c>
      <c r="R167" s="64">
        <v>5</v>
      </c>
      <c r="S167" s="64">
        <v>5</v>
      </c>
      <c r="T167" s="64">
        <v>5</v>
      </c>
      <c r="U167" s="64" t="s">
        <v>576</v>
      </c>
      <c r="V167" s="64" t="s">
        <v>577</v>
      </c>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row>
    <row r="168" spans="6:75" ht="30.75">
      <c r="F168" s="64" t="s">
        <v>578</v>
      </c>
      <c r="G168" s="64">
        <v>6</v>
      </c>
      <c r="H168" s="64">
        <f t="shared" si="2"/>
        <v>6</v>
      </c>
      <c r="I168" s="66" t="s">
        <v>92</v>
      </c>
      <c r="J168" s="64" t="s">
        <v>93</v>
      </c>
      <c r="K168" s="64" t="s">
        <v>561</v>
      </c>
      <c r="L168" s="64" t="s">
        <v>62</v>
      </c>
      <c r="M168" s="64" t="s">
        <v>62</v>
      </c>
      <c r="N168" s="64" t="s">
        <v>61</v>
      </c>
      <c r="O168" s="64">
        <v>5</v>
      </c>
      <c r="P168" s="64">
        <v>5</v>
      </c>
      <c r="Q168" s="64">
        <v>5</v>
      </c>
      <c r="R168" s="64">
        <v>5</v>
      </c>
      <c r="S168" s="64">
        <v>5</v>
      </c>
      <c r="T168" s="64">
        <v>5</v>
      </c>
      <c r="U168" s="64" t="s">
        <v>579</v>
      </c>
      <c r="V168" s="64" t="s">
        <v>580</v>
      </c>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row>
    <row r="169" spans="6:75">
      <c r="F169" s="64" t="s">
        <v>581</v>
      </c>
      <c r="G169" s="64">
        <v>6</v>
      </c>
      <c r="H169" s="64">
        <f t="shared" si="2"/>
        <v>6</v>
      </c>
      <c r="I169" s="66" t="s">
        <v>92</v>
      </c>
      <c r="J169" s="64" t="s">
        <v>93</v>
      </c>
      <c r="K169" s="64" t="s">
        <v>561</v>
      </c>
      <c r="L169" s="64" t="s">
        <v>62</v>
      </c>
      <c r="M169" s="64" t="s">
        <v>62</v>
      </c>
      <c r="N169" s="64" t="s">
        <v>61</v>
      </c>
      <c r="O169" s="64">
        <v>5</v>
      </c>
      <c r="P169" s="64">
        <v>5</v>
      </c>
      <c r="Q169" s="64">
        <v>5</v>
      </c>
      <c r="R169" s="64">
        <v>5</v>
      </c>
      <c r="S169" s="64">
        <v>5</v>
      </c>
      <c r="T169" s="64">
        <v>5</v>
      </c>
      <c r="U169" s="64" t="s">
        <v>582</v>
      </c>
      <c r="V169" s="64" t="s">
        <v>583</v>
      </c>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row>
    <row r="170" spans="6:75">
      <c r="F170" s="64" t="s">
        <v>584</v>
      </c>
      <c r="G170" s="64">
        <v>6</v>
      </c>
      <c r="H170" s="64">
        <f t="shared" si="2"/>
        <v>5</v>
      </c>
      <c r="I170" s="66" t="s">
        <v>92</v>
      </c>
      <c r="J170" s="64" t="s">
        <v>98</v>
      </c>
      <c r="K170" s="64" t="s">
        <v>561</v>
      </c>
      <c r="L170" s="64" t="s">
        <v>62</v>
      </c>
      <c r="M170" s="64" t="s">
        <v>62</v>
      </c>
      <c r="N170" s="64" t="s">
        <v>61</v>
      </c>
      <c r="O170" s="64">
        <v>5</v>
      </c>
      <c r="P170" s="64">
        <v>3</v>
      </c>
      <c r="Q170" s="64">
        <v>5</v>
      </c>
      <c r="R170" s="64">
        <v>4</v>
      </c>
      <c r="S170" s="64">
        <v>5</v>
      </c>
      <c r="T170" s="64">
        <v>5</v>
      </c>
      <c r="U170" s="64" t="s">
        <v>585</v>
      </c>
      <c r="V170" s="64"/>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row>
    <row r="171" spans="6:75">
      <c r="F171" s="64" t="s">
        <v>586</v>
      </c>
      <c r="G171" s="64">
        <v>6</v>
      </c>
      <c r="H171" s="64">
        <f t="shared" si="2"/>
        <v>6</v>
      </c>
      <c r="I171" s="66" t="s">
        <v>92</v>
      </c>
      <c r="J171" s="64" t="s">
        <v>93</v>
      </c>
      <c r="K171" s="64" t="s">
        <v>561</v>
      </c>
      <c r="L171" s="64" t="s">
        <v>62</v>
      </c>
      <c r="M171" s="64" t="s">
        <v>62</v>
      </c>
      <c r="N171" s="64" t="s">
        <v>61</v>
      </c>
      <c r="O171" s="64">
        <v>4</v>
      </c>
      <c r="P171" s="64">
        <v>4</v>
      </c>
      <c r="Q171" s="64">
        <v>5</v>
      </c>
      <c r="R171" s="64">
        <v>5</v>
      </c>
      <c r="S171" s="64">
        <v>5</v>
      </c>
      <c r="T171" s="64">
        <v>5</v>
      </c>
      <c r="U171" s="64" t="s">
        <v>587</v>
      </c>
      <c r="V171" s="64" t="s">
        <v>588</v>
      </c>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31"/>
      <c r="BJ171" s="31"/>
      <c r="BK171" s="31"/>
      <c r="BL171" s="31"/>
      <c r="BM171" s="31"/>
      <c r="BN171" s="31"/>
      <c r="BO171" s="31"/>
      <c r="BP171" s="31"/>
      <c r="BQ171" s="31"/>
      <c r="BR171" s="31"/>
      <c r="BS171" s="31"/>
      <c r="BT171" s="31"/>
      <c r="BU171" s="31"/>
      <c r="BV171" s="31"/>
      <c r="BW171" s="31"/>
    </row>
    <row r="172" spans="6:75">
      <c r="F172" s="64" t="s">
        <v>589</v>
      </c>
      <c r="G172" s="64">
        <v>6</v>
      </c>
      <c r="H172" s="64">
        <f t="shared" si="2"/>
        <v>6</v>
      </c>
      <c r="I172" s="66" t="s">
        <v>92</v>
      </c>
      <c r="J172" s="64" t="s">
        <v>98</v>
      </c>
      <c r="K172" s="64" t="s">
        <v>561</v>
      </c>
      <c r="L172" s="64" t="s">
        <v>62</v>
      </c>
      <c r="M172" s="64" t="s">
        <v>62</v>
      </c>
      <c r="N172" s="64" t="s">
        <v>61</v>
      </c>
      <c r="O172" s="64">
        <v>5</v>
      </c>
      <c r="P172" s="64">
        <v>5</v>
      </c>
      <c r="Q172" s="64">
        <v>5</v>
      </c>
      <c r="R172" s="64">
        <v>5</v>
      </c>
      <c r="S172" s="64">
        <v>5</v>
      </c>
      <c r="T172" s="64">
        <v>5</v>
      </c>
      <c r="U172" s="64" t="s">
        <v>590</v>
      </c>
      <c r="V172" s="64" t="s">
        <v>591</v>
      </c>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31"/>
      <c r="BU172" s="31"/>
      <c r="BV172" s="31"/>
      <c r="BW172" s="31"/>
    </row>
    <row r="173" spans="6:75">
      <c r="F173" s="64" t="s">
        <v>589</v>
      </c>
      <c r="G173" s="64">
        <v>6</v>
      </c>
      <c r="H173" s="64">
        <f t="shared" si="2"/>
        <v>6</v>
      </c>
      <c r="I173" s="66" t="s">
        <v>92</v>
      </c>
      <c r="J173" s="64" t="s">
        <v>93</v>
      </c>
      <c r="K173" s="64" t="s">
        <v>592</v>
      </c>
      <c r="L173" s="64" t="s">
        <v>62</v>
      </c>
      <c r="M173" s="64" t="s">
        <v>62</v>
      </c>
      <c r="N173" s="64" t="s">
        <v>61</v>
      </c>
      <c r="O173" s="64">
        <v>4</v>
      </c>
      <c r="P173" s="64">
        <v>4</v>
      </c>
      <c r="Q173" s="64">
        <v>4</v>
      </c>
      <c r="R173" s="64">
        <v>4</v>
      </c>
      <c r="S173" s="64">
        <v>4</v>
      </c>
      <c r="T173" s="64">
        <v>4</v>
      </c>
      <c r="U173" s="64"/>
      <c r="V173" s="64"/>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row>
    <row r="174" spans="6:75">
      <c r="F174" s="64" t="s">
        <v>593</v>
      </c>
      <c r="G174" s="64">
        <v>6</v>
      </c>
      <c r="H174" s="64">
        <f t="shared" si="2"/>
        <v>6</v>
      </c>
      <c r="I174" s="66" t="s">
        <v>92</v>
      </c>
      <c r="J174" s="64" t="s">
        <v>93</v>
      </c>
      <c r="K174" s="64" t="s">
        <v>594</v>
      </c>
      <c r="L174" s="64" t="s">
        <v>37</v>
      </c>
      <c r="M174" s="64" t="s">
        <v>21</v>
      </c>
      <c r="N174" s="64" t="s">
        <v>61</v>
      </c>
      <c r="O174" s="64">
        <v>5</v>
      </c>
      <c r="P174" s="64">
        <v>5</v>
      </c>
      <c r="Q174" s="64">
        <v>4</v>
      </c>
      <c r="R174" s="64">
        <v>5</v>
      </c>
      <c r="S174" s="64">
        <v>4</v>
      </c>
      <c r="T174" s="64">
        <v>4</v>
      </c>
      <c r="U174" s="64" t="s">
        <v>595</v>
      </c>
      <c r="V174" s="64" t="s">
        <v>596</v>
      </c>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31"/>
      <c r="BU174" s="31"/>
      <c r="BV174" s="31"/>
      <c r="BW174" s="31"/>
    </row>
    <row r="175" spans="6:75">
      <c r="F175" s="64" t="s">
        <v>597</v>
      </c>
      <c r="G175" s="64">
        <v>6</v>
      </c>
      <c r="H175" s="64">
        <f t="shared" si="2"/>
        <v>6</v>
      </c>
      <c r="I175" s="66" t="s">
        <v>92</v>
      </c>
      <c r="J175" s="64" t="s">
        <v>93</v>
      </c>
      <c r="K175" s="64" t="s">
        <v>598</v>
      </c>
      <c r="L175" s="64" t="s">
        <v>37</v>
      </c>
      <c r="M175" s="64" t="s">
        <v>21</v>
      </c>
      <c r="N175" s="64" t="s">
        <v>61</v>
      </c>
      <c r="O175" s="64">
        <v>4</v>
      </c>
      <c r="P175" s="64">
        <v>4</v>
      </c>
      <c r="Q175" s="64">
        <v>4</v>
      </c>
      <c r="R175" s="64">
        <v>4</v>
      </c>
      <c r="S175" s="64">
        <v>4</v>
      </c>
      <c r="T175" s="64">
        <v>4</v>
      </c>
      <c r="U175" s="64" t="s">
        <v>599</v>
      </c>
      <c r="V175" s="64" t="s">
        <v>127</v>
      </c>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c r="BR175" s="31"/>
      <c r="BS175" s="31"/>
      <c r="BT175" s="31"/>
      <c r="BU175" s="31"/>
      <c r="BV175" s="31"/>
      <c r="BW175" s="31"/>
    </row>
    <row r="176" spans="6:75">
      <c r="F176" s="64" t="s">
        <v>600</v>
      </c>
      <c r="G176" s="64">
        <v>6</v>
      </c>
      <c r="H176" s="64">
        <f t="shared" si="2"/>
        <v>3</v>
      </c>
      <c r="I176" s="66" t="s">
        <v>92</v>
      </c>
      <c r="J176" s="64" t="s">
        <v>93</v>
      </c>
      <c r="K176" s="64" t="s">
        <v>594</v>
      </c>
      <c r="L176" s="64" t="s">
        <v>37</v>
      </c>
      <c r="M176" s="64" t="s">
        <v>21</v>
      </c>
      <c r="N176" s="64" t="s">
        <v>61</v>
      </c>
      <c r="O176" s="64">
        <v>3</v>
      </c>
      <c r="P176" s="64">
        <v>3</v>
      </c>
      <c r="Q176" s="64">
        <v>4</v>
      </c>
      <c r="R176" s="64">
        <v>3</v>
      </c>
      <c r="S176" s="64">
        <v>4</v>
      </c>
      <c r="T176" s="64">
        <v>4</v>
      </c>
      <c r="U176" s="64" t="s">
        <v>601</v>
      </c>
      <c r="V176" s="64" t="s">
        <v>602</v>
      </c>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c r="BO176" s="31"/>
      <c r="BP176" s="31"/>
      <c r="BQ176" s="31"/>
      <c r="BR176" s="31"/>
      <c r="BS176" s="31"/>
      <c r="BT176" s="31"/>
      <c r="BU176" s="31"/>
      <c r="BV176" s="31"/>
      <c r="BW176" s="31"/>
    </row>
    <row r="177" spans="6:75">
      <c r="F177" s="64" t="s">
        <v>603</v>
      </c>
      <c r="G177" s="64">
        <v>6</v>
      </c>
      <c r="H177" s="64">
        <f t="shared" si="2"/>
        <v>6</v>
      </c>
      <c r="I177" s="66" t="s">
        <v>92</v>
      </c>
      <c r="J177" s="64" t="s">
        <v>93</v>
      </c>
      <c r="K177" s="64" t="s">
        <v>594</v>
      </c>
      <c r="L177" s="64" t="s">
        <v>37</v>
      </c>
      <c r="M177" s="64" t="s">
        <v>21</v>
      </c>
      <c r="N177" s="64" t="s">
        <v>61</v>
      </c>
      <c r="O177" s="64">
        <v>5</v>
      </c>
      <c r="P177" s="64">
        <v>5</v>
      </c>
      <c r="Q177" s="64">
        <v>5</v>
      </c>
      <c r="R177" s="64">
        <v>4</v>
      </c>
      <c r="S177" s="64">
        <v>5</v>
      </c>
      <c r="T177" s="64">
        <v>5</v>
      </c>
      <c r="U177" s="64" t="s">
        <v>604</v>
      </c>
      <c r="V177" s="64" t="s">
        <v>605</v>
      </c>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c r="BR177" s="31"/>
      <c r="BS177" s="31"/>
      <c r="BT177" s="31"/>
      <c r="BU177" s="31"/>
      <c r="BV177" s="31"/>
      <c r="BW177" s="31"/>
    </row>
    <row r="178" spans="6:75">
      <c r="F178" s="64" t="s">
        <v>606</v>
      </c>
      <c r="G178" s="64">
        <v>6</v>
      </c>
      <c r="H178" s="64">
        <f t="shared" si="2"/>
        <v>6</v>
      </c>
      <c r="I178" s="66" t="s">
        <v>92</v>
      </c>
      <c r="J178" s="64" t="s">
        <v>98</v>
      </c>
      <c r="K178" s="64" t="s">
        <v>594</v>
      </c>
      <c r="L178" s="64" t="s">
        <v>37</v>
      </c>
      <c r="M178" s="64" t="s">
        <v>21</v>
      </c>
      <c r="N178" s="64" t="s">
        <v>61</v>
      </c>
      <c r="O178" s="64">
        <v>5</v>
      </c>
      <c r="P178" s="64">
        <v>5</v>
      </c>
      <c r="Q178" s="64">
        <v>5</v>
      </c>
      <c r="R178" s="64">
        <v>5</v>
      </c>
      <c r="S178" s="64">
        <v>5</v>
      </c>
      <c r="T178" s="64">
        <v>5</v>
      </c>
      <c r="U178" s="64" t="s">
        <v>607</v>
      </c>
      <c r="V178" s="64" t="s">
        <v>608</v>
      </c>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c r="BO178" s="31"/>
      <c r="BP178" s="31"/>
      <c r="BQ178" s="31"/>
      <c r="BR178" s="31"/>
      <c r="BS178" s="31"/>
      <c r="BT178" s="31"/>
      <c r="BU178" s="31"/>
      <c r="BV178" s="31"/>
      <c r="BW178" s="31"/>
    </row>
    <row r="179" spans="6:75" ht="30.75">
      <c r="F179" s="64" t="s">
        <v>609</v>
      </c>
      <c r="G179" s="64">
        <v>6</v>
      </c>
      <c r="H179" s="64">
        <f t="shared" si="2"/>
        <v>5</v>
      </c>
      <c r="I179" s="66" t="s">
        <v>92</v>
      </c>
      <c r="J179" s="64" t="s">
        <v>98</v>
      </c>
      <c r="K179" s="64" t="s">
        <v>610</v>
      </c>
      <c r="L179" s="64" t="s">
        <v>48</v>
      </c>
      <c r="M179" s="64" t="s">
        <v>26</v>
      </c>
      <c r="N179" s="64" t="s">
        <v>95</v>
      </c>
      <c r="O179" s="64">
        <v>5</v>
      </c>
      <c r="P179" s="64">
        <v>3</v>
      </c>
      <c r="Q179" s="64">
        <v>5</v>
      </c>
      <c r="R179" s="64">
        <v>4</v>
      </c>
      <c r="S179" s="64">
        <v>5</v>
      </c>
      <c r="T179" s="64">
        <v>5</v>
      </c>
      <c r="U179" s="64" t="s">
        <v>611</v>
      </c>
      <c r="V179" s="64" t="s">
        <v>612</v>
      </c>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c r="BO179" s="31"/>
      <c r="BP179" s="31"/>
      <c r="BQ179" s="31"/>
      <c r="BR179" s="31"/>
      <c r="BS179" s="31"/>
      <c r="BT179" s="31"/>
      <c r="BU179" s="31"/>
      <c r="BV179" s="31"/>
      <c r="BW179" s="31"/>
    </row>
    <row r="180" spans="6:75" ht="60.75">
      <c r="F180" s="64" t="s">
        <v>613</v>
      </c>
      <c r="G180" s="64">
        <v>6</v>
      </c>
      <c r="H180" s="64">
        <f t="shared" si="2"/>
        <v>6</v>
      </c>
      <c r="I180" s="66" t="s">
        <v>92</v>
      </c>
      <c r="J180" s="64" t="s">
        <v>98</v>
      </c>
      <c r="K180" s="64" t="s">
        <v>614</v>
      </c>
      <c r="L180" s="64" t="s">
        <v>107</v>
      </c>
      <c r="M180" s="64" t="s">
        <v>20</v>
      </c>
      <c r="N180" s="64" t="s">
        <v>61</v>
      </c>
      <c r="O180" s="64">
        <v>5</v>
      </c>
      <c r="P180" s="64">
        <v>5</v>
      </c>
      <c r="Q180" s="64">
        <v>5</v>
      </c>
      <c r="R180" s="64">
        <v>4</v>
      </c>
      <c r="S180" s="64">
        <v>5</v>
      </c>
      <c r="T180" s="64">
        <v>5</v>
      </c>
      <c r="U180" s="64" t="s">
        <v>615</v>
      </c>
      <c r="V180" s="64" t="s">
        <v>616</v>
      </c>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31"/>
      <c r="BP180" s="31"/>
      <c r="BQ180" s="31"/>
      <c r="BR180" s="31"/>
      <c r="BS180" s="31"/>
      <c r="BT180" s="31"/>
      <c r="BU180" s="31"/>
      <c r="BV180" s="31"/>
      <c r="BW180" s="31"/>
    </row>
    <row r="181" spans="6:75">
      <c r="F181" s="64" t="s">
        <v>617</v>
      </c>
      <c r="G181" s="64">
        <v>6</v>
      </c>
      <c r="H181" s="64">
        <f t="shared" si="2"/>
        <v>4</v>
      </c>
      <c r="I181" s="66" t="s">
        <v>92</v>
      </c>
      <c r="J181" s="64" t="s">
        <v>231</v>
      </c>
      <c r="K181" s="64" t="s">
        <v>614</v>
      </c>
      <c r="L181" s="64" t="s">
        <v>107</v>
      </c>
      <c r="M181" s="64" t="s">
        <v>20</v>
      </c>
      <c r="N181" s="64" t="s">
        <v>61</v>
      </c>
      <c r="O181" s="64">
        <v>4</v>
      </c>
      <c r="P181" s="64">
        <v>3</v>
      </c>
      <c r="Q181" s="64">
        <v>4</v>
      </c>
      <c r="R181" s="64">
        <v>1</v>
      </c>
      <c r="S181" s="64">
        <v>4</v>
      </c>
      <c r="T181" s="64">
        <v>4</v>
      </c>
      <c r="U181" s="64" t="s">
        <v>618</v>
      </c>
      <c r="V181" s="64" t="s">
        <v>619</v>
      </c>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c r="BR181" s="31"/>
      <c r="BS181" s="31"/>
      <c r="BT181" s="31"/>
      <c r="BU181" s="31"/>
      <c r="BV181" s="31"/>
      <c r="BW181" s="31"/>
    </row>
    <row r="182" spans="6:75">
      <c r="F182" s="64" t="s">
        <v>620</v>
      </c>
      <c r="G182" s="64">
        <v>6</v>
      </c>
      <c r="H182" s="64">
        <f t="shared" si="2"/>
        <v>6</v>
      </c>
      <c r="I182" s="66" t="s">
        <v>92</v>
      </c>
      <c r="J182" s="64" t="s">
        <v>93</v>
      </c>
      <c r="K182" s="64" t="s">
        <v>614</v>
      </c>
      <c r="L182" s="64" t="s">
        <v>107</v>
      </c>
      <c r="M182" s="64" t="s">
        <v>20</v>
      </c>
      <c r="N182" s="64" t="s">
        <v>61</v>
      </c>
      <c r="O182" s="64">
        <v>5</v>
      </c>
      <c r="P182" s="64">
        <v>5</v>
      </c>
      <c r="Q182" s="64">
        <v>5</v>
      </c>
      <c r="R182" s="64">
        <v>5</v>
      </c>
      <c r="S182" s="64">
        <v>5</v>
      </c>
      <c r="T182" s="64">
        <v>5</v>
      </c>
      <c r="U182" s="64" t="s">
        <v>621</v>
      </c>
      <c r="V182" s="64" t="s">
        <v>123</v>
      </c>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c r="BO182" s="31"/>
      <c r="BP182" s="31"/>
      <c r="BQ182" s="31"/>
      <c r="BR182" s="31"/>
      <c r="BS182" s="31"/>
      <c r="BT182" s="31"/>
      <c r="BU182" s="31"/>
      <c r="BV182" s="31"/>
      <c r="BW182" s="31"/>
    </row>
    <row r="183" spans="6:75">
      <c r="F183" s="64" t="s">
        <v>622</v>
      </c>
      <c r="G183" s="64">
        <v>6</v>
      </c>
      <c r="H183" s="64">
        <f t="shared" si="2"/>
        <v>6</v>
      </c>
      <c r="I183" s="66" t="s">
        <v>92</v>
      </c>
      <c r="J183" s="64" t="s">
        <v>98</v>
      </c>
      <c r="K183" s="64" t="s">
        <v>614</v>
      </c>
      <c r="L183" s="64" t="s">
        <v>107</v>
      </c>
      <c r="M183" s="64" t="s">
        <v>20</v>
      </c>
      <c r="N183" s="64" t="s">
        <v>61</v>
      </c>
      <c r="O183" s="64">
        <v>5</v>
      </c>
      <c r="P183" s="64">
        <v>4</v>
      </c>
      <c r="Q183" s="64">
        <v>5</v>
      </c>
      <c r="R183" s="64">
        <v>4</v>
      </c>
      <c r="S183" s="64">
        <v>4</v>
      </c>
      <c r="T183" s="64">
        <v>4</v>
      </c>
      <c r="U183" s="64" t="s">
        <v>623</v>
      </c>
      <c r="V183" s="64" t="s">
        <v>624</v>
      </c>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c r="BR183" s="31"/>
      <c r="BS183" s="31"/>
      <c r="BT183" s="31"/>
      <c r="BU183" s="31"/>
      <c r="BV183" s="31"/>
      <c r="BW183" s="31"/>
    </row>
    <row r="184" spans="6:75" ht="30.75">
      <c r="F184" s="64" t="s">
        <v>625</v>
      </c>
      <c r="G184" s="64">
        <v>6</v>
      </c>
      <c r="H184" s="64">
        <f t="shared" si="2"/>
        <v>6</v>
      </c>
      <c r="I184" s="66" t="s">
        <v>92</v>
      </c>
      <c r="J184" s="64" t="s">
        <v>93</v>
      </c>
      <c r="K184" s="64" t="s">
        <v>614</v>
      </c>
      <c r="L184" s="64" t="s">
        <v>107</v>
      </c>
      <c r="M184" s="64" t="s">
        <v>20</v>
      </c>
      <c r="N184" s="64" t="s">
        <v>61</v>
      </c>
      <c r="O184" s="64">
        <v>4</v>
      </c>
      <c r="P184" s="64">
        <v>4</v>
      </c>
      <c r="Q184" s="64">
        <v>4</v>
      </c>
      <c r="R184" s="64">
        <v>5</v>
      </c>
      <c r="S184" s="64">
        <v>4</v>
      </c>
      <c r="T184" s="64">
        <v>4</v>
      </c>
      <c r="U184" s="64" t="s">
        <v>626</v>
      </c>
      <c r="V184" s="64"/>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31"/>
      <c r="BJ184" s="31"/>
      <c r="BK184" s="31"/>
      <c r="BL184" s="31"/>
      <c r="BM184" s="31"/>
      <c r="BN184" s="31"/>
      <c r="BO184" s="31"/>
      <c r="BP184" s="31"/>
      <c r="BQ184" s="31"/>
      <c r="BR184" s="31"/>
      <c r="BS184" s="31"/>
      <c r="BT184" s="31"/>
      <c r="BU184" s="31"/>
      <c r="BV184" s="31"/>
      <c r="BW184" s="31"/>
    </row>
    <row r="185" spans="6:75">
      <c r="F185" s="64" t="s">
        <v>627</v>
      </c>
      <c r="G185" s="64">
        <v>6</v>
      </c>
      <c r="H185" s="64">
        <f t="shared" si="2"/>
        <v>6</v>
      </c>
      <c r="I185" s="66" t="s">
        <v>92</v>
      </c>
      <c r="J185" s="64" t="s">
        <v>103</v>
      </c>
      <c r="K185" s="64" t="s">
        <v>614</v>
      </c>
      <c r="L185" s="64" t="s">
        <v>107</v>
      </c>
      <c r="M185" s="64" t="s">
        <v>20</v>
      </c>
      <c r="N185" s="64" t="s">
        <v>61</v>
      </c>
      <c r="O185" s="64">
        <v>5</v>
      </c>
      <c r="P185" s="64">
        <v>4</v>
      </c>
      <c r="Q185" s="64">
        <v>5</v>
      </c>
      <c r="R185" s="64">
        <v>5</v>
      </c>
      <c r="S185" s="64">
        <v>4</v>
      </c>
      <c r="T185" s="64">
        <v>5</v>
      </c>
      <c r="U185" s="64" t="s">
        <v>628</v>
      </c>
      <c r="V185" s="64" t="s">
        <v>127</v>
      </c>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31"/>
      <c r="BJ185" s="31"/>
      <c r="BK185" s="31"/>
      <c r="BL185" s="31"/>
      <c r="BM185" s="31"/>
      <c r="BN185" s="31"/>
      <c r="BO185" s="31"/>
      <c r="BP185" s="31"/>
      <c r="BQ185" s="31"/>
      <c r="BR185" s="31"/>
      <c r="BS185" s="31"/>
      <c r="BT185" s="31"/>
      <c r="BU185" s="31"/>
      <c r="BV185" s="31"/>
      <c r="BW185" s="31"/>
    </row>
    <row r="186" spans="6:75" ht="30.75">
      <c r="F186" s="64" t="s">
        <v>629</v>
      </c>
      <c r="G186" s="64">
        <v>6</v>
      </c>
      <c r="H186" s="64">
        <f t="shared" si="2"/>
        <v>6</v>
      </c>
      <c r="I186" s="66" t="s">
        <v>92</v>
      </c>
      <c r="J186" s="64" t="s">
        <v>93</v>
      </c>
      <c r="K186" s="64" t="s">
        <v>614</v>
      </c>
      <c r="L186" s="64" t="s">
        <v>107</v>
      </c>
      <c r="M186" s="64" t="s">
        <v>20</v>
      </c>
      <c r="N186" s="64" t="s">
        <v>61</v>
      </c>
      <c r="O186" s="64">
        <v>5</v>
      </c>
      <c r="P186" s="64">
        <v>5</v>
      </c>
      <c r="Q186" s="64">
        <v>4</v>
      </c>
      <c r="R186" s="64">
        <v>5</v>
      </c>
      <c r="S186" s="64">
        <v>5</v>
      </c>
      <c r="T186" s="64">
        <v>5</v>
      </c>
      <c r="U186" s="64" t="s">
        <v>630</v>
      </c>
      <c r="V186" s="64" t="s">
        <v>631</v>
      </c>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31"/>
      <c r="BJ186" s="31"/>
      <c r="BK186" s="31"/>
      <c r="BL186" s="31"/>
      <c r="BM186" s="31"/>
      <c r="BN186" s="31"/>
      <c r="BO186" s="31"/>
      <c r="BP186" s="31"/>
      <c r="BQ186" s="31"/>
      <c r="BR186" s="31"/>
      <c r="BS186" s="31"/>
      <c r="BT186" s="31"/>
      <c r="BU186" s="31"/>
      <c r="BV186" s="31"/>
      <c r="BW186" s="31"/>
    </row>
    <row r="187" spans="6:75">
      <c r="F187" s="64" t="s">
        <v>632</v>
      </c>
      <c r="G187" s="64">
        <v>6</v>
      </c>
      <c r="H187" s="64">
        <f t="shared" si="2"/>
        <v>6</v>
      </c>
      <c r="I187" s="66" t="s">
        <v>92</v>
      </c>
      <c r="J187" s="64" t="s">
        <v>93</v>
      </c>
      <c r="K187" s="64" t="s">
        <v>614</v>
      </c>
      <c r="L187" s="64" t="s">
        <v>107</v>
      </c>
      <c r="M187" s="64" t="s">
        <v>20</v>
      </c>
      <c r="N187" s="64" t="s">
        <v>61</v>
      </c>
      <c r="O187" s="64">
        <v>5</v>
      </c>
      <c r="P187" s="64">
        <v>5</v>
      </c>
      <c r="Q187" s="64">
        <v>5</v>
      </c>
      <c r="R187" s="64">
        <v>5</v>
      </c>
      <c r="S187" s="64">
        <v>5</v>
      </c>
      <c r="T187" s="64">
        <v>5</v>
      </c>
      <c r="U187" s="64" t="s">
        <v>633</v>
      </c>
      <c r="V187" s="64" t="s">
        <v>634</v>
      </c>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1"/>
      <c r="BL187" s="31"/>
      <c r="BM187" s="31"/>
      <c r="BN187" s="31"/>
      <c r="BO187" s="31"/>
      <c r="BP187" s="31"/>
      <c r="BQ187" s="31"/>
      <c r="BR187" s="31"/>
      <c r="BS187" s="31"/>
      <c r="BT187" s="31"/>
      <c r="BU187" s="31"/>
      <c r="BV187" s="31"/>
      <c r="BW187" s="31"/>
    </row>
    <row r="188" spans="6:75">
      <c r="F188" s="64" t="s">
        <v>635</v>
      </c>
      <c r="G188" s="64">
        <v>6</v>
      </c>
      <c r="H188" s="64">
        <f t="shared" si="2"/>
        <v>6</v>
      </c>
      <c r="I188" s="66" t="s">
        <v>92</v>
      </c>
      <c r="J188" s="64" t="s">
        <v>93</v>
      </c>
      <c r="K188" s="64" t="s">
        <v>614</v>
      </c>
      <c r="L188" s="64" t="s">
        <v>107</v>
      </c>
      <c r="M188" s="64" t="s">
        <v>20</v>
      </c>
      <c r="N188" s="64" t="s">
        <v>61</v>
      </c>
      <c r="O188" s="64">
        <v>5</v>
      </c>
      <c r="P188" s="64">
        <v>5</v>
      </c>
      <c r="Q188" s="64">
        <v>5</v>
      </c>
      <c r="R188" s="64">
        <v>5</v>
      </c>
      <c r="S188" s="64">
        <v>5</v>
      </c>
      <c r="T188" s="64">
        <v>5</v>
      </c>
      <c r="U188" s="64" t="s">
        <v>636</v>
      </c>
      <c r="V188" s="64" t="s">
        <v>637</v>
      </c>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31"/>
      <c r="BJ188" s="31"/>
      <c r="BK188" s="31"/>
      <c r="BL188" s="31"/>
      <c r="BM188" s="31"/>
      <c r="BN188" s="31"/>
      <c r="BO188" s="31"/>
      <c r="BP188" s="31"/>
      <c r="BQ188" s="31"/>
      <c r="BR188" s="31"/>
      <c r="BS188" s="31"/>
      <c r="BT188" s="31"/>
      <c r="BU188" s="31"/>
      <c r="BV188" s="31"/>
      <c r="BW188" s="31"/>
    </row>
    <row r="189" spans="6:75">
      <c r="F189" s="64" t="s">
        <v>638</v>
      </c>
      <c r="G189" s="64">
        <v>6</v>
      </c>
      <c r="H189" s="64">
        <f t="shared" si="2"/>
        <v>5</v>
      </c>
      <c r="I189" s="66" t="s">
        <v>92</v>
      </c>
      <c r="J189" s="64" t="s">
        <v>93</v>
      </c>
      <c r="K189" s="64" t="s">
        <v>614</v>
      </c>
      <c r="L189" s="64" t="s">
        <v>107</v>
      </c>
      <c r="M189" s="64" t="s">
        <v>20</v>
      </c>
      <c r="N189" s="64" t="s">
        <v>61</v>
      </c>
      <c r="O189" s="64">
        <v>4</v>
      </c>
      <c r="P189" s="64">
        <v>3</v>
      </c>
      <c r="Q189" s="64">
        <v>5</v>
      </c>
      <c r="R189" s="64">
        <v>4</v>
      </c>
      <c r="S189" s="64">
        <v>4</v>
      </c>
      <c r="T189" s="64">
        <v>4</v>
      </c>
      <c r="U189" s="64" t="s">
        <v>639</v>
      </c>
      <c r="V189" s="64" t="s">
        <v>640</v>
      </c>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c r="BL189" s="31"/>
      <c r="BM189" s="31"/>
      <c r="BN189" s="31"/>
      <c r="BO189" s="31"/>
      <c r="BP189" s="31"/>
      <c r="BQ189" s="31"/>
      <c r="BR189" s="31"/>
      <c r="BS189" s="31"/>
      <c r="BT189" s="31"/>
      <c r="BU189" s="31"/>
      <c r="BV189" s="31"/>
      <c r="BW189" s="31"/>
    </row>
    <row r="190" spans="6:75">
      <c r="F190" s="64" t="s">
        <v>641</v>
      </c>
      <c r="G190" s="64">
        <v>6</v>
      </c>
      <c r="H190" s="64">
        <f t="shared" si="2"/>
        <v>6</v>
      </c>
      <c r="I190" s="66" t="s">
        <v>92</v>
      </c>
      <c r="J190" s="64" t="s">
        <v>93</v>
      </c>
      <c r="K190" s="64" t="s">
        <v>614</v>
      </c>
      <c r="L190" s="64" t="s">
        <v>107</v>
      </c>
      <c r="M190" s="64" t="s">
        <v>20</v>
      </c>
      <c r="N190" s="64" t="s">
        <v>61</v>
      </c>
      <c r="O190" s="64">
        <v>5</v>
      </c>
      <c r="P190" s="64">
        <v>5</v>
      </c>
      <c r="Q190" s="64">
        <v>5</v>
      </c>
      <c r="R190" s="64">
        <v>5</v>
      </c>
      <c r="S190" s="64">
        <v>5</v>
      </c>
      <c r="T190" s="64">
        <v>5</v>
      </c>
      <c r="U190" s="64" t="s">
        <v>642</v>
      </c>
      <c r="V190" s="64" t="s">
        <v>643</v>
      </c>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c r="BO190" s="31"/>
      <c r="BP190" s="31"/>
      <c r="BQ190" s="31"/>
      <c r="BR190" s="31"/>
      <c r="BS190" s="31"/>
      <c r="BT190" s="31"/>
      <c r="BU190" s="31"/>
      <c r="BV190" s="31"/>
      <c r="BW190" s="31"/>
    </row>
    <row r="191" spans="6:75">
      <c r="F191" s="64" t="s">
        <v>644</v>
      </c>
      <c r="G191" s="64">
        <v>6</v>
      </c>
      <c r="H191" s="64">
        <f t="shared" si="2"/>
        <v>6</v>
      </c>
      <c r="I191" s="66" t="s">
        <v>92</v>
      </c>
      <c r="J191" s="64" t="s">
        <v>208</v>
      </c>
      <c r="K191" s="64" t="s">
        <v>614</v>
      </c>
      <c r="L191" s="64" t="s">
        <v>107</v>
      </c>
      <c r="M191" s="64" t="s">
        <v>20</v>
      </c>
      <c r="N191" s="64" t="s">
        <v>61</v>
      </c>
      <c r="O191" s="64">
        <v>4</v>
      </c>
      <c r="P191" s="64">
        <v>4</v>
      </c>
      <c r="Q191" s="64">
        <v>4</v>
      </c>
      <c r="R191" s="64">
        <v>4</v>
      </c>
      <c r="S191" s="64">
        <v>4</v>
      </c>
      <c r="T191" s="64">
        <v>4</v>
      </c>
      <c r="U191" s="64" t="s">
        <v>645</v>
      </c>
      <c r="V191" s="64" t="s">
        <v>646</v>
      </c>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c r="BO191" s="31"/>
      <c r="BP191" s="31"/>
      <c r="BQ191" s="31"/>
      <c r="BR191" s="31"/>
      <c r="BS191" s="31"/>
      <c r="BT191" s="31"/>
      <c r="BU191" s="31"/>
      <c r="BV191" s="31"/>
      <c r="BW191" s="31"/>
    </row>
    <row r="192" spans="6:75">
      <c r="F192" s="64" t="s">
        <v>647</v>
      </c>
      <c r="G192" s="64">
        <v>6</v>
      </c>
      <c r="H192" s="64">
        <f t="shared" si="2"/>
        <v>6</v>
      </c>
      <c r="I192" s="66" t="s">
        <v>92</v>
      </c>
      <c r="J192" s="64" t="s">
        <v>227</v>
      </c>
      <c r="K192" s="64" t="s">
        <v>648</v>
      </c>
      <c r="L192" s="64" t="s">
        <v>48</v>
      </c>
      <c r="M192" s="64" t="s">
        <v>45</v>
      </c>
      <c r="N192" s="64" t="s">
        <v>95</v>
      </c>
      <c r="O192" s="64">
        <v>5</v>
      </c>
      <c r="P192" s="64">
        <v>5</v>
      </c>
      <c r="Q192" s="64">
        <v>5</v>
      </c>
      <c r="R192" s="64">
        <v>5</v>
      </c>
      <c r="S192" s="64">
        <v>5</v>
      </c>
      <c r="T192" s="64">
        <v>5</v>
      </c>
      <c r="U192" s="64" t="s">
        <v>649</v>
      </c>
      <c r="V192" s="64" t="s">
        <v>650</v>
      </c>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31"/>
      <c r="BI192" s="31"/>
      <c r="BJ192" s="31"/>
      <c r="BK192" s="31"/>
      <c r="BL192" s="31"/>
      <c r="BM192" s="31"/>
      <c r="BN192" s="31"/>
      <c r="BO192" s="31"/>
      <c r="BP192" s="31"/>
      <c r="BQ192" s="31"/>
      <c r="BR192" s="31"/>
      <c r="BS192" s="31"/>
      <c r="BT192" s="31"/>
      <c r="BU192" s="31"/>
      <c r="BV192" s="31"/>
      <c r="BW192" s="31"/>
    </row>
    <row r="193" spans="6:75">
      <c r="F193" s="64" t="s">
        <v>651</v>
      </c>
      <c r="G193" s="64">
        <v>6</v>
      </c>
      <c r="H193" s="64">
        <f t="shared" si="2"/>
        <v>6</v>
      </c>
      <c r="I193" s="66" t="s">
        <v>92</v>
      </c>
      <c r="J193" s="64" t="s">
        <v>98</v>
      </c>
      <c r="K193" s="64" t="s">
        <v>648</v>
      </c>
      <c r="L193" s="64" t="s">
        <v>48</v>
      </c>
      <c r="M193" s="64" t="s">
        <v>20</v>
      </c>
      <c r="N193" s="64" t="s">
        <v>95</v>
      </c>
      <c r="O193" s="64">
        <v>5</v>
      </c>
      <c r="P193" s="64">
        <v>4</v>
      </c>
      <c r="Q193" s="64">
        <v>5</v>
      </c>
      <c r="R193" s="64">
        <v>4</v>
      </c>
      <c r="S193" s="64">
        <v>5</v>
      </c>
      <c r="T193" s="64">
        <v>5</v>
      </c>
      <c r="U193" s="64" t="s">
        <v>652</v>
      </c>
      <c r="V193" s="64" t="s">
        <v>653</v>
      </c>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c r="BO193" s="31"/>
      <c r="BP193" s="31"/>
      <c r="BQ193" s="31"/>
      <c r="BR193" s="31"/>
      <c r="BS193" s="31"/>
      <c r="BT193" s="31"/>
      <c r="BU193" s="31"/>
      <c r="BV193" s="31"/>
      <c r="BW193" s="31"/>
    </row>
    <row r="194" spans="6:75">
      <c r="F194" s="64" t="s">
        <v>654</v>
      </c>
      <c r="G194" s="64">
        <v>6</v>
      </c>
      <c r="H194" s="64">
        <f t="shared" si="2"/>
        <v>5</v>
      </c>
      <c r="I194" s="66" t="s">
        <v>92</v>
      </c>
      <c r="J194" s="64" t="s">
        <v>227</v>
      </c>
      <c r="K194" s="64" t="s">
        <v>648</v>
      </c>
      <c r="L194" s="64" t="s">
        <v>48</v>
      </c>
      <c r="M194" s="64" t="s">
        <v>26</v>
      </c>
      <c r="N194" s="64" t="s">
        <v>95</v>
      </c>
      <c r="O194" s="64">
        <v>4</v>
      </c>
      <c r="P194" s="64">
        <v>3</v>
      </c>
      <c r="Q194" s="64">
        <v>5</v>
      </c>
      <c r="R194" s="64">
        <v>4</v>
      </c>
      <c r="S194" s="64">
        <v>5</v>
      </c>
      <c r="T194" s="64">
        <v>5</v>
      </c>
      <c r="U194" s="64" t="s">
        <v>655</v>
      </c>
      <c r="V194" s="64" t="s">
        <v>9</v>
      </c>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1"/>
      <c r="BL194" s="31"/>
      <c r="BM194" s="31"/>
      <c r="BN194" s="31"/>
      <c r="BO194" s="31"/>
      <c r="BP194" s="31"/>
      <c r="BQ194" s="31"/>
      <c r="BR194" s="31"/>
      <c r="BS194" s="31"/>
      <c r="BT194" s="31"/>
      <c r="BU194" s="31"/>
      <c r="BV194" s="31"/>
      <c r="BW194" s="31"/>
    </row>
    <row r="195" spans="6:75">
      <c r="F195" s="64" t="s">
        <v>656</v>
      </c>
      <c r="G195" s="64">
        <v>6</v>
      </c>
      <c r="H195" s="64">
        <f t="shared" ref="H195:H258" si="3">COUNTIF(O195:T195,"&gt;3")</f>
        <v>6</v>
      </c>
      <c r="I195" s="66" t="s">
        <v>92</v>
      </c>
      <c r="J195" s="64" t="s">
        <v>98</v>
      </c>
      <c r="K195" s="64" t="s">
        <v>657</v>
      </c>
      <c r="L195" s="64" t="s">
        <v>48</v>
      </c>
      <c r="M195" s="64" t="s">
        <v>45</v>
      </c>
      <c r="N195" s="64" t="s">
        <v>95</v>
      </c>
      <c r="O195" s="64">
        <v>5</v>
      </c>
      <c r="P195" s="64">
        <v>5</v>
      </c>
      <c r="Q195" s="64">
        <v>4</v>
      </c>
      <c r="R195" s="64">
        <v>5</v>
      </c>
      <c r="S195" s="64">
        <v>5</v>
      </c>
      <c r="T195" s="64">
        <v>5</v>
      </c>
      <c r="U195" s="64" t="s">
        <v>658</v>
      </c>
      <c r="V195" s="64" t="s">
        <v>659</v>
      </c>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1"/>
      <c r="BL195" s="31"/>
      <c r="BM195" s="31"/>
      <c r="BN195" s="31"/>
      <c r="BO195" s="31"/>
      <c r="BP195" s="31"/>
      <c r="BQ195" s="31"/>
      <c r="BR195" s="31"/>
      <c r="BS195" s="31"/>
      <c r="BT195" s="31"/>
      <c r="BU195" s="31"/>
      <c r="BV195" s="31"/>
      <c r="BW195" s="31"/>
    </row>
    <row r="196" spans="6:75">
      <c r="F196" s="64" t="s">
        <v>660</v>
      </c>
      <c r="G196" s="64">
        <v>6</v>
      </c>
      <c r="H196" s="64">
        <f t="shared" si="3"/>
        <v>5</v>
      </c>
      <c r="I196" s="66" t="s">
        <v>92</v>
      </c>
      <c r="J196" s="64" t="s">
        <v>231</v>
      </c>
      <c r="K196" s="64" t="s">
        <v>657</v>
      </c>
      <c r="L196" s="64" t="s">
        <v>48</v>
      </c>
      <c r="M196" s="64" t="s">
        <v>26</v>
      </c>
      <c r="N196" s="64" t="s">
        <v>95</v>
      </c>
      <c r="O196" s="64">
        <v>3</v>
      </c>
      <c r="P196" s="64">
        <v>4</v>
      </c>
      <c r="Q196" s="64">
        <v>5</v>
      </c>
      <c r="R196" s="64">
        <v>4</v>
      </c>
      <c r="S196" s="64">
        <v>5</v>
      </c>
      <c r="T196" s="64">
        <v>4</v>
      </c>
      <c r="U196" s="64"/>
      <c r="V196" s="64"/>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31"/>
      <c r="BJ196" s="31"/>
      <c r="BK196" s="31"/>
      <c r="BL196" s="31"/>
      <c r="BM196" s="31"/>
      <c r="BN196" s="31"/>
      <c r="BO196" s="31"/>
      <c r="BP196" s="31"/>
      <c r="BQ196" s="31"/>
      <c r="BR196" s="31"/>
      <c r="BS196" s="31"/>
      <c r="BT196" s="31"/>
      <c r="BU196" s="31"/>
      <c r="BV196" s="31"/>
      <c r="BW196" s="31"/>
    </row>
    <row r="197" spans="6:75" ht="30.75">
      <c r="F197" s="64" t="s">
        <v>661</v>
      </c>
      <c r="G197" s="64">
        <v>6</v>
      </c>
      <c r="H197" s="64">
        <f t="shared" si="3"/>
        <v>4</v>
      </c>
      <c r="I197" s="66" t="s">
        <v>92</v>
      </c>
      <c r="J197" s="64" t="s">
        <v>231</v>
      </c>
      <c r="K197" s="64" t="s">
        <v>648</v>
      </c>
      <c r="L197" s="64" t="s">
        <v>48</v>
      </c>
      <c r="M197" s="64" t="s">
        <v>26</v>
      </c>
      <c r="N197" s="64" t="s">
        <v>95</v>
      </c>
      <c r="O197" s="64">
        <v>5</v>
      </c>
      <c r="P197" s="64">
        <v>3</v>
      </c>
      <c r="Q197" s="64">
        <v>5</v>
      </c>
      <c r="R197" s="64">
        <v>3</v>
      </c>
      <c r="S197" s="64">
        <v>5</v>
      </c>
      <c r="T197" s="64">
        <v>4</v>
      </c>
      <c r="U197" s="64" t="s">
        <v>662</v>
      </c>
      <c r="V197" s="64" t="s">
        <v>663</v>
      </c>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c r="BL197" s="31"/>
      <c r="BM197" s="31"/>
      <c r="BN197" s="31"/>
      <c r="BO197" s="31"/>
      <c r="BP197" s="31"/>
      <c r="BQ197" s="31"/>
      <c r="BR197" s="31"/>
      <c r="BS197" s="31"/>
      <c r="BT197" s="31"/>
      <c r="BU197" s="31"/>
      <c r="BV197" s="31"/>
      <c r="BW197" s="31"/>
    </row>
    <row r="198" spans="6:75">
      <c r="F198" s="64" t="s">
        <v>664</v>
      </c>
      <c r="G198" s="64">
        <v>6</v>
      </c>
      <c r="H198" s="64">
        <f t="shared" si="3"/>
        <v>6</v>
      </c>
      <c r="I198" s="66" t="s">
        <v>92</v>
      </c>
      <c r="J198" s="64" t="s">
        <v>231</v>
      </c>
      <c r="K198" s="64" t="s">
        <v>648</v>
      </c>
      <c r="L198" s="64" t="s">
        <v>48</v>
      </c>
      <c r="M198" s="64" t="s">
        <v>26</v>
      </c>
      <c r="N198" s="64" t="s">
        <v>95</v>
      </c>
      <c r="O198" s="64">
        <v>4</v>
      </c>
      <c r="P198" s="64">
        <v>4</v>
      </c>
      <c r="Q198" s="64">
        <v>5</v>
      </c>
      <c r="R198" s="64">
        <v>5</v>
      </c>
      <c r="S198" s="64">
        <v>4</v>
      </c>
      <c r="T198" s="64">
        <v>4</v>
      </c>
      <c r="U198" s="64"/>
      <c r="V198" s="64"/>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31"/>
      <c r="BE198" s="31"/>
      <c r="BF198" s="31"/>
      <c r="BG198" s="31"/>
      <c r="BH198" s="31"/>
      <c r="BI198" s="31"/>
      <c r="BJ198" s="31"/>
      <c r="BK198" s="31"/>
      <c r="BL198" s="31"/>
      <c r="BM198" s="31"/>
      <c r="BN198" s="31"/>
      <c r="BO198" s="31"/>
      <c r="BP198" s="31"/>
      <c r="BQ198" s="31"/>
      <c r="BR198" s="31"/>
      <c r="BS198" s="31"/>
      <c r="BT198" s="31"/>
      <c r="BU198" s="31"/>
      <c r="BV198" s="31"/>
      <c r="BW198" s="31"/>
    </row>
    <row r="199" spans="6:75">
      <c r="F199" s="64" t="s">
        <v>665</v>
      </c>
      <c r="G199" s="64">
        <v>6</v>
      </c>
      <c r="H199" s="64">
        <f t="shared" si="3"/>
        <v>6</v>
      </c>
      <c r="I199" s="66" t="s">
        <v>92</v>
      </c>
      <c r="J199" s="64" t="s">
        <v>208</v>
      </c>
      <c r="K199" s="64" t="s">
        <v>666</v>
      </c>
      <c r="L199" s="64" t="s">
        <v>48</v>
      </c>
      <c r="M199" s="64" t="s">
        <v>45</v>
      </c>
      <c r="N199" s="64" t="s">
        <v>95</v>
      </c>
      <c r="O199" s="64">
        <v>5</v>
      </c>
      <c r="P199" s="64">
        <v>4</v>
      </c>
      <c r="Q199" s="64">
        <v>5</v>
      </c>
      <c r="R199" s="64">
        <v>5</v>
      </c>
      <c r="S199" s="64">
        <v>5</v>
      </c>
      <c r="T199" s="64">
        <v>5</v>
      </c>
      <c r="U199" s="64" t="s">
        <v>667</v>
      </c>
      <c r="V199" s="64" t="s">
        <v>127</v>
      </c>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31"/>
      <c r="BI199" s="31"/>
      <c r="BJ199" s="31"/>
      <c r="BK199" s="31"/>
      <c r="BL199" s="31"/>
      <c r="BM199" s="31"/>
      <c r="BN199" s="31"/>
      <c r="BO199" s="31"/>
      <c r="BP199" s="31"/>
      <c r="BQ199" s="31"/>
      <c r="BR199" s="31"/>
      <c r="BS199" s="31"/>
      <c r="BT199" s="31"/>
      <c r="BU199" s="31"/>
      <c r="BV199" s="31"/>
      <c r="BW199" s="31"/>
    </row>
    <row r="200" spans="6:75" ht="45.75">
      <c r="F200" s="64" t="s">
        <v>668</v>
      </c>
      <c r="G200" s="64">
        <v>6</v>
      </c>
      <c r="H200" s="64">
        <f t="shared" si="3"/>
        <v>6</v>
      </c>
      <c r="I200" s="66" t="s">
        <v>92</v>
      </c>
      <c r="J200" s="64" t="s">
        <v>98</v>
      </c>
      <c r="K200" s="64" t="s">
        <v>648</v>
      </c>
      <c r="L200" s="64" t="s">
        <v>48</v>
      </c>
      <c r="M200" s="64" t="s">
        <v>26</v>
      </c>
      <c r="N200" s="64" t="s">
        <v>95</v>
      </c>
      <c r="O200" s="64">
        <v>4</v>
      </c>
      <c r="P200" s="64">
        <v>5</v>
      </c>
      <c r="Q200" s="64">
        <v>5</v>
      </c>
      <c r="R200" s="64">
        <v>5</v>
      </c>
      <c r="S200" s="64">
        <v>5</v>
      </c>
      <c r="T200" s="64">
        <v>4</v>
      </c>
      <c r="U200" s="64" t="s">
        <v>669</v>
      </c>
      <c r="V200" s="64" t="s">
        <v>670</v>
      </c>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31"/>
      <c r="BL200" s="31"/>
      <c r="BM200" s="31"/>
      <c r="BN200" s="31"/>
      <c r="BO200" s="31"/>
      <c r="BP200" s="31"/>
      <c r="BQ200" s="31"/>
      <c r="BR200" s="31"/>
      <c r="BS200" s="31"/>
      <c r="BT200" s="31"/>
      <c r="BU200" s="31"/>
      <c r="BV200" s="31"/>
      <c r="BW200" s="31"/>
    </row>
    <row r="201" spans="6:75">
      <c r="F201" s="64" t="s">
        <v>671</v>
      </c>
      <c r="G201" s="64">
        <v>6</v>
      </c>
      <c r="H201" s="64">
        <f t="shared" si="3"/>
        <v>5</v>
      </c>
      <c r="I201" s="66" t="s">
        <v>92</v>
      </c>
      <c r="J201" s="64" t="s">
        <v>231</v>
      </c>
      <c r="K201" s="64" t="s">
        <v>672</v>
      </c>
      <c r="L201" s="64" t="s">
        <v>31</v>
      </c>
      <c r="M201" s="64" t="s">
        <v>31</v>
      </c>
      <c r="N201" s="64" t="s">
        <v>61</v>
      </c>
      <c r="O201" s="64">
        <v>4</v>
      </c>
      <c r="P201" s="64">
        <v>3</v>
      </c>
      <c r="Q201" s="64">
        <v>5</v>
      </c>
      <c r="R201" s="64">
        <v>4</v>
      </c>
      <c r="S201" s="64">
        <v>5</v>
      </c>
      <c r="T201" s="64">
        <v>4</v>
      </c>
      <c r="U201" s="64" t="s">
        <v>673</v>
      </c>
      <c r="V201" s="64" t="s">
        <v>674</v>
      </c>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31"/>
      <c r="BH201" s="31"/>
      <c r="BI201" s="31"/>
      <c r="BJ201" s="31"/>
      <c r="BK201" s="31"/>
      <c r="BL201" s="31"/>
      <c r="BM201" s="31"/>
      <c r="BN201" s="31"/>
      <c r="BO201" s="31"/>
      <c r="BP201" s="31"/>
      <c r="BQ201" s="31"/>
      <c r="BR201" s="31"/>
      <c r="BS201" s="31"/>
      <c r="BT201" s="31"/>
      <c r="BU201" s="31"/>
      <c r="BV201" s="31"/>
      <c r="BW201" s="31"/>
    </row>
    <row r="202" spans="6:75">
      <c r="F202" s="64" t="s">
        <v>675</v>
      </c>
      <c r="G202" s="64">
        <v>6</v>
      </c>
      <c r="H202" s="64">
        <f t="shared" si="3"/>
        <v>2</v>
      </c>
      <c r="I202" s="66" t="s">
        <v>92</v>
      </c>
      <c r="J202" s="64" t="s">
        <v>98</v>
      </c>
      <c r="K202" s="64" t="s">
        <v>672</v>
      </c>
      <c r="L202" s="64" t="s">
        <v>31</v>
      </c>
      <c r="M202" s="64" t="s">
        <v>31</v>
      </c>
      <c r="N202" s="64" t="s">
        <v>61</v>
      </c>
      <c r="O202" s="64">
        <v>4</v>
      </c>
      <c r="P202" s="64">
        <v>4</v>
      </c>
      <c r="Q202" s="64">
        <v>3</v>
      </c>
      <c r="R202" s="64">
        <v>2</v>
      </c>
      <c r="S202" s="64">
        <v>3</v>
      </c>
      <c r="T202" s="64">
        <v>3</v>
      </c>
      <c r="U202" s="64" t="s">
        <v>676</v>
      </c>
      <c r="V202" s="64" t="s">
        <v>677</v>
      </c>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31"/>
      <c r="BE202" s="31"/>
      <c r="BF202" s="31"/>
      <c r="BG202" s="31"/>
      <c r="BH202" s="31"/>
      <c r="BI202" s="31"/>
      <c r="BJ202" s="31"/>
      <c r="BK202" s="31"/>
      <c r="BL202" s="31"/>
      <c r="BM202" s="31"/>
      <c r="BN202" s="31"/>
      <c r="BO202" s="31"/>
      <c r="BP202" s="31"/>
      <c r="BQ202" s="31"/>
      <c r="BR202" s="31"/>
      <c r="BS202" s="31"/>
      <c r="BT202" s="31"/>
      <c r="BU202" s="31"/>
      <c r="BV202" s="31"/>
      <c r="BW202" s="31"/>
    </row>
    <row r="203" spans="6:75" ht="30.75">
      <c r="F203" s="64" t="s">
        <v>678</v>
      </c>
      <c r="G203" s="64">
        <v>6</v>
      </c>
      <c r="H203" s="64">
        <f t="shared" si="3"/>
        <v>6</v>
      </c>
      <c r="I203" s="66" t="s">
        <v>92</v>
      </c>
      <c r="J203" s="64" t="s">
        <v>231</v>
      </c>
      <c r="K203" s="64" t="s">
        <v>672</v>
      </c>
      <c r="L203" s="64" t="s">
        <v>31</v>
      </c>
      <c r="M203" s="64" t="s">
        <v>31</v>
      </c>
      <c r="N203" s="64" t="s">
        <v>61</v>
      </c>
      <c r="O203" s="64">
        <v>5</v>
      </c>
      <c r="P203" s="64">
        <v>4</v>
      </c>
      <c r="Q203" s="64">
        <v>5</v>
      </c>
      <c r="R203" s="64">
        <v>5</v>
      </c>
      <c r="S203" s="64">
        <v>5</v>
      </c>
      <c r="T203" s="64">
        <v>5</v>
      </c>
      <c r="U203" s="64" t="s">
        <v>679</v>
      </c>
      <c r="V203" s="64" t="s">
        <v>680</v>
      </c>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31"/>
      <c r="BH203" s="31"/>
      <c r="BI203" s="31"/>
      <c r="BJ203" s="31"/>
      <c r="BK203" s="31"/>
      <c r="BL203" s="31"/>
      <c r="BM203" s="31"/>
      <c r="BN203" s="31"/>
      <c r="BO203" s="31"/>
      <c r="BP203" s="31"/>
      <c r="BQ203" s="31"/>
      <c r="BR203" s="31"/>
      <c r="BS203" s="31"/>
      <c r="BT203" s="31"/>
      <c r="BU203" s="31"/>
      <c r="BV203" s="31"/>
      <c r="BW203" s="31"/>
    </row>
    <row r="204" spans="6:75" ht="30.75">
      <c r="F204" s="64" t="s">
        <v>681</v>
      </c>
      <c r="G204" s="64">
        <v>6</v>
      </c>
      <c r="H204" s="64">
        <f t="shared" si="3"/>
        <v>6</v>
      </c>
      <c r="I204" s="66" t="s">
        <v>92</v>
      </c>
      <c r="J204" s="64" t="s">
        <v>231</v>
      </c>
      <c r="K204" s="64" t="s">
        <v>682</v>
      </c>
      <c r="L204" s="64" t="s">
        <v>31</v>
      </c>
      <c r="M204" s="64" t="s">
        <v>31</v>
      </c>
      <c r="N204" s="64" t="s">
        <v>61</v>
      </c>
      <c r="O204" s="64">
        <v>4</v>
      </c>
      <c r="P204" s="64">
        <v>5</v>
      </c>
      <c r="Q204" s="64">
        <v>5</v>
      </c>
      <c r="R204" s="64">
        <v>4</v>
      </c>
      <c r="S204" s="64">
        <v>5</v>
      </c>
      <c r="T204" s="64">
        <v>5</v>
      </c>
      <c r="U204" s="64" t="s">
        <v>683</v>
      </c>
      <c r="V204" s="64" t="s">
        <v>123</v>
      </c>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31"/>
      <c r="BE204" s="31"/>
      <c r="BF204" s="31"/>
      <c r="BG204" s="31"/>
      <c r="BH204" s="31"/>
      <c r="BI204" s="31"/>
      <c r="BJ204" s="31"/>
      <c r="BK204" s="31"/>
      <c r="BL204" s="31"/>
      <c r="BM204" s="31"/>
      <c r="BN204" s="31"/>
      <c r="BO204" s="31"/>
      <c r="BP204" s="31"/>
      <c r="BQ204" s="31"/>
      <c r="BR204" s="31"/>
      <c r="BS204" s="31"/>
      <c r="BT204" s="31"/>
      <c r="BU204" s="31"/>
      <c r="BV204" s="31"/>
      <c r="BW204" s="31"/>
    </row>
    <row r="205" spans="6:75">
      <c r="F205" s="64" t="s">
        <v>684</v>
      </c>
      <c r="G205" s="64">
        <v>6</v>
      </c>
      <c r="H205" s="64">
        <f t="shared" si="3"/>
        <v>5</v>
      </c>
      <c r="I205" s="66" t="s">
        <v>92</v>
      </c>
      <c r="J205" s="64" t="s">
        <v>227</v>
      </c>
      <c r="K205" s="64" t="s">
        <v>672</v>
      </c>
      <c r="L205" s="64" t="s">
        <v>31</v>
      </c>
      <c r="M205" s="64" t="s">
        <v>21</v>
      </c>
      <c r="N205" s="64" t="s">
        <v>61</v>
      </c>
      <c r="O205" s="64">
        <v>4</v>
      </c>
      <c r="P205" s="64">
        <v>3</v>
      </c>
      <c r="Q205" s="64">
        <v>4</v>
      </c>
      <c r="R205" s="64">
        <v>4</v>
      </c>
      <c r="S205" s="64">
        <v>4</v>
      </c>
      <c r="T205" s="64">
        <v>4</v>
      </c>
      <c r="U205" s="64" t="s">
        <v>685</v>
      </c>
      <c r="V205" s="64" t="s">
        <v>686</v>
      </c>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1"/>
      <c r="BE205" s="31"/>
      <c r="BF205" s="31"/>
      <c r="BG205" s="31"/>
      <c r="BH205" s="31"/>
      <c r="BI205" s="31"/>
      <c r="BJ205" s="31"/>
      <c r="BK205" s="31"/>
      <c r="BL205" s="31"/>
      <c r="BM205" s="31"/>
      <c r="BN205" s="31"/>
      <c r="BO205" s="31"/>
      <c r="BP205" s="31"/>
      <c r="BQ205" s="31"/>
      <c r="BR205" s="31"/>
      <c r="BS205" s="31"/>
      <c r="BT205" s="31"/>
      <c r="BU205" s="31"/>
      <c r="BV205" s="31"/>
      <c r="BW205" s="31"/>
    </row>
    <row r="206" spans="6:75">
      <c r="F206" s="64" t="s">
        <v>687</v>
      </c>
      <c r="G206" s="64">
        <v>6</v>
      </c>
      <c r="H206" s="64">
        <f t="shared" si="3"/>
        <v>6</v>
      </c>
      <c r="I206" s="66" t="s">
        <v>92</v>
      </c>
      <c r="J206" s="64" t="s">
        <v>231</v>
      </c>
      <c r="K206" s="64" t="s">
        <v>672</v>
      </c>
      <c r="L206" s="64" t="s">
        <v>31</v>
      </c>
      <c r="M206" s="64" t="s">
        <v>31</v>
      </c>
      <c r="N206" s="64" t="s">
        <v>61</v>
      </c>
      <c r="O206" s="64">
        <v>5</v>
      </c>
      <c r="P206" s="64">
        <v>5</v>
      </c>
      <c r="Q206" s="64">
        <v>5</v>
      </c>
      <c r="R206" s="64">
        <v>5</v>
      </c>
      <c r="S206" s="64">
        <v>5</v>
      </c>
      <c r="T206" s="64">
        <v>5</v>
      </c>
      <c r="U206" s="64" t="s">
        <v>688</v>
      </c>
      <c r="V206" s="64" t="s">
        <v>689</v>
      </c>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31"/>
      <c r="BE206" s="31"/>
      <c r="BF206" s="31"/>
      <c r="BG206" s="31"/>
      <c r="BH206" s="31"/>
      <c r="BI206" s="31"/>
      <c r="BJ206" s="31"/>
      <c r="BK206" s="31"/>
      <c r="BL206" s="31"/>
      <c r="BM206" s="31"/>
      <c r="BN206" s="31"/>
      <c r="BO206" s="31"/>
      <c r="BP206" s="31"/>
      <c r="BQ206" s="31"/>
      <c r="BR206" s="31"/>
      <c r="BS206" s="31"/>
      <c r="BT206" s="31"/>
      <c r="BU206" s="31"/>
      <c r="BV206" s="31"/>
      <c r="BW206" s="31"/>
    </row>
    <row r="207" spans="6:75">
      <c r="F207" s="64" t="s">
        <v>690</v>
      </c>
      <c r="G207" s="64">
        <v>6</v>
      </c>
      <c r="H207" s="64">
        <f t="shared" si="3"/>
        <v>6</v>
      </c>
      <c r="I207" s="66" t="s">
        <v>92</v>
      </c>
      <c r="J207" s="64" t="s">
        <v>231</v>
      </c>
      <c r="K207" s="64" t="s">
        <v>672</v>
      </c>
      <c r="L207" s="64" t="s">
        <v>31</v>
      </c>
      <c r="M207" s="64" t="s">
        <v>31</v>
      </c>
      <c r="N207" s="64" t="s">
        <v>61</v>
      </c>
      <c r="O207" s="64">
        <v>5</v>
      </c>
      <c r="P207" s="64">
        <v>4</v>
      </c>
      <c r="Q207" s="64">
        <v>5</v>
      </c>
      <c r="R207" s="64">
        <v>4</v>
      </c>
      <c r="S207" s="64">
        <v>5</v>
      </c>
      <c r="T207" s="64">
        <v>5</v>
      </c>
      <c r="U207" s="64" t="s">
        <v>691</v>
      </c>
      <c r="V207" s="64" t="s">
        <v>692</v>
      </c>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31"/>
      <c r="BM207" s="31"/>
      <c r="BN207" s="31"/>
      <c r="BO207" s="31"/>
      <c r="BP207" s="31"/>
      <c r="BQ207" s="31"/>
      <c r="BR207" s="31"/>
      <c r="BS207" s="31"/>
      <c r="BT207" s="31"/>
      <c r="BU207" s="31"/>
      <c r="BV207" s="31"/>
      <c r="BW207" s="31"/>
    </row>
    <row r="208" spans="6:75" ht="30.75">
      <c r="F208" s="64" t="s">
        <v>693</v>
      </c>
      <c r="G208" s="64">
        <v>6</v>
      </c>
      <c r="H208" s="64">
        <f t="shared" si="3"/>
        <v>6</v>
      </c>
      <c r="I208" s="66" t="s">
        <v>92</v>
      </c>
      <c r="J208" s="64" t="s">
        <v>93</v>
      </c>
      <c r="K208" s="64" t="s">
        <v>694</v>
      </c>
      <c r="L208" s="64" t="s">
        <v>65</v>
      </c>
      <c r="M208" s="64" t="s">
        <v>36</v>
      </c>
      <c r="N208" s="64" t="s">
        <v>61</v>
      </c>
      <c r="O208" s="64">
        <v>5</v>
      </c>
      <c r="P208" s="64">
        <v>5</v>
      </c>
      <c r="Q208" s="64">
        <v>5</v>
      </c>
      <c r="R208" s="64">
        <v>5</v>
      </c>
      <c r="S208" s="64">
        <v>5</v>
      </c>
      <c r="T208" s="64">
        <v>5</v>
      </c>
      <c r="U208" s="64" t="s">
        <v>695</v>
      </c>
      <c r="V208" s="64" t="s">
        <v>696</v>
      </c>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c r="BI208" s="31"/>
      <c r="BJ208" s="31"/>
      <c r="BK208" s="31"/>
      <c r="BL208" s="31"/>
      <c r="BM208" s="31"/>
      <c r="BN208" s="31"/>
      <c r="BO208" s="31"/>
      <c r="BP208" s="31"/>
      <c r="BQ208" s="31"/>
      <c r="BR208" s="31"/>
      <c r="BS208" s="31"/>
      <c r="BT208" s="31"/>
      <c r="BU208" s="31"/>
      <c r="BV208" s="31"/>
      <c r="BW208" s="31"/>
    </row>
    <row r="209" spans="6:75">
      <c r="F209" s="64" t="s">
        <v>697</v>
      </c>
      <c r="G209" s="64">
        <v>6</v>
      </c>
      <c r="H209" s="64">
        <f t="shared" si="3"/>
        <v>6</v>
      </c>
      <c r="I209" s="66" t="s">
        <v>92</v>
      </c>
      <c r="J209" s="64" t="s">
        <v>93</v>
      </c>
      <c r="K209" s="64" t="s">
        <v>694</v>
      </c>
      <c r="L209" s="64" t="s">
        <v>65</v>
      </c>
      <c r="M209" s="64" t="s">
        <v>36</v>
      </c>
      <c r="N209" s="64" t="s">
        <v>61</v>
      </c>
      <c r="O209" s="64">
        <v>5</v>
      </c>
      <c r="P209" s="64">
        <v>5</v>
      </c>
      <c r="Q209" s="64">
        <v>5</v>
      </c>
      <c r="R209" s="64">
        <v>5</v>
      </c>
      <c r="S209" s="64">
        <v>5</v>
      </c>
      <c r="T209" s="64">
        <v>5</v>
      </c>
      <c r="U209" s="64" t="s">
        <v>698</v>
      </c>
      <c r="V209" s="64" t="s">
        <v>699</v>
      </c>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1"/>
      <c r="BL209" s="31"/>
      <c r="BM209" s="31"/>
      <c r="BN209" s="31"/>
      <c r="BO209" s="31"/>
      <c r="BP209" s="31"/>
      <c r="BQ209" s="31"/>
      <c r="BR209" s="31"/>
      <c r="BS209" s="31"/>
      <c r="BT209" s="31"/>
      <c r="BU209" s="31"/>
      <c r="BV209" s="31"/>
      <c r="BW209" s="31"/>
    </row>
    <row r="210" spans="6:75">
      <c r="F210" s="64" t="s">
        <v>700</v>
      </c>
      <c r="G210" s="64">
        <v>6</v>
      </c>
      <c r="H210" s="64">
        <f t="shared" si="3"/>
        <v>6</v>
      </c>
      <c r="I210" s="66" t="s">
        <v>92</v>
      </c>
      <c r="J210" s="64" t="s">
        <v>93</v>
      </c>
      <c r="K210" s="64" t="s">
        <v>694</v>
      </c>
      <c r="L210" s="64" t="s">
        <v>65</v>
      </c>
      <c r="M210" s="64" t="s">
        <v>36</v>
      </c>
      <c r="N210" s="64" t="s">
        <v>61</v>
      </c>
      <c r="O210" s="64">
        <v>5</v>
      </c>
      <c r="P210" s="64">
        <v>5</v>
      </c>
      <c r="Q210" s="64">
        <v>5</v>
      </c>
      <c r="R210" s="64">
        <v>5</v>
      </c>
      <c r="S210" s="64">
        <v>5</v>
      </c>
      <c r="T210" s="64">
        <v>5</v>
      </c>
      <c r="U210" s="64" t="s">
        <v>701</v>
      </c>
      <c r="V210" s="64" t="s">
        <v>643</v>
      </c>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31"/>
      <c r="BJ210" s="31"/>
      <c r="BK210" s="31"/>
      <c r="BL210" s="31"/>
      <c r="BM210" s="31"/>
      <c r="BN210" s="31"/>
      <c r="BO210" s="31"/>
      <c r="BP210" s="31"/>
      <c r="BQ210" s="31"/>
      <c r="BR210" s="31"/>
      <c r="BS210" s="31"/>
      <c r="BT210" s="31"/>
      <c r="BU210" s="31"/>
      <c r="BV210" s="31"/>
      <c r="BW210" s="31"/>
    </row>
    <row r="211" spans="6:75">
      <c r="F211" s="64" t="s">
        <v>702</v>
      </c>
      <c r="G211" s="64">
        <v>6</v>
      </c>
      <c r="H211" s="64">
        <f t="shared" si="3"/>
        <v>6</v>
      </c>
      <c r="I211" s="66" t="s">
        <v>92</v>
      </c>
      <c r="J211" s="64" t="s">
        <v>98</v>
      </c>
      <c r="K211" s="64" t="s">
        <v>703</v>
      </c>
      <c r="L211" s="64" t="s">
        <v>34</v>
      </c>
      <c r="M211" s="64" t="s">
        <v>20</v>
      </c>
      <c r="N211" s="64" t="s">
        <v>61</v>
      </c>
      <c r="O211" s="64">
        <v>4</v>
      </c>
      <c r="P211" s="64">
        <v>4</v>
      </c>
      <c r="Q211" s="64">
        <v>4</v>
      </c>
      <c r="R211" s="64">
        <v>4</v>
      </c>
      <c r="S211" s="64">
        <v>4</v>
      </c>
      <c r="T211" s="64">
        <v>4</v>
      </c>
      <c r="U211" s="64" t="s">
        <v>704</v>
      </c>
      <c r="V211" s="64" t="s">
        <v>705</v>
      </c>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c r="BL211" s="31"/>
      <c r="BM211" s="31"/>
      <c r="BN211" s="31"/>
      <c r="BO211" s="31"/>
      <c r="BP211" s="31"/>
      <c r="BQ211" s="31"/>
      <c r="BR211" s="31"/>
      <c r="BS211" s="31"/>
      <c r="BT211" s="31"/>
      <c r="BU211" s="31"/>
      <c r="BV211" s="31"/>
      <c r="BW211" s="31"/>
    </row>
    <row r="212" spans="6:75">
      <c r="F212" s="64" t="s">
        <v>706</v>
      </c>
      <c r="G212" s="64">
        <v>6</v>
      </c>
      <c r="H212" s="64">
        <f t="shared" si="3"/>
        <v>6</v>
      </c>
      <c r="I212" s="66" t="s">
        <v>92</v>
      </c>
      <c r="J212" s="64" t="s">
        <v>227</v>
      </c>
      <c r="K212" s="64" t="s">
        <v>707</v>
      </c>
      <c r="L212" s="64" t="s">
        <v>34</v>
      </c>
      <c r="M212" s="64" t="s">
        <v>34</v>
      </c>
      <c r="N212" s="64" t="s">
        <v>61</v>
      </c>
      <c r="O212" s="64">
        <v>5</v>
      </c>
      <c r="P212" s="64">
        <v>5</v>
      </c>
      <c r="Q212" s="64">
        <v>5</v>
      </c>
      <c r="R212" s="64">
        <v>5</v>
      </c>
      <c r="S212" s="64">
        <v>5</v>
      </c>
      <c r="T212" s="64">
        <v>5</v>
      </c>
      <c r="U212" s="64" t="s">
        <v>708</v>
      </c>
      <c r="V212" s="64" t="s">
        <v>709</v>
      </c>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1"/>
      <c r="BL212" s="31"/>
      <c r="BM212" s="31"/>
      <c r="BN212" s="31"/>
      <c r="BO212" s="31"/>
      <c r="BP212" s="31"/>
      <c r="BQ212" s="31"/>
      <c r="BR212" s="31"/>
      <c r="BS212" s="31"/>
      <c r="BT212" s="31"/>
      <c r="BU212" s="31"/>
      <c r="BV212" s="31"/>
      <c r="BW212" s="31"/>
    </row>
    <row r="213" spans="6:75">
      <c r="F213" s="64" t="s">
        <v>710</v>
      </c>
      <c r="G213" s="64">
        <v>6</v>
      </c>
      <c r="H213" s="64">
        <f t="shared" si="3"/>
        <v>6</v>
      </c>
      <c r="I213" s="66" t="s">
        <v>92</v>
      </c>
      <c r="J213" s="64" t="s">
        <v>98</v>
      </c>
      <c r="K213" s="64" t="s">
        <v>711</v>
      </c>
      <c r="L213" s="64" t="s">
        <v>23</v>
      </c>
      <c r="M213" s="64" t="s">
        <v>27</v>
      </c>
      <c r="N213" s="64" t="s">
        <v>61</v>
      </c>
      <c r="O213" s="64">
        <v>5</v>
      </c>
      <c r="P213" s="64">
        <v>5</v>
      </c>
      <c r="Q213" s="64">
        <v>5</v>
      </c>
      <c r="R213" s="64">
        <v>4</v>
      </c>
      <c r="S213" s="64">
        <v>5</v>
      </c>
      <c r="T213" s="64">
        <v>5</v>
      </c>
      <c r="U213" s="64" t="s">
        <v>712</v>
      </c>
      <c r="V213" s="64" t="s">
        <v>713</v>
      </c>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c r="BL213" s="31"/>
      <c r="BM213" s="31"/>
      <c r="BN213" s="31"/>
      <c r="BO213" s="31"/>
      <c r="BP213" s="31"/>
      <c r="BQ213" s="31"/>
      <c r="BR213" s="31"/>
      <c r="BS213" s="31"/>
      <c r="BT213" s="31"/>
      <c r="BU213" s="31"/>
      <c r="BV213" s="31"/>
      <c r="BW213" s="31"/>
    </row>
    <row r="214" spans="6:75" ht="30.75">
      <c r="F214" s="64" t="s">
        <v>714</v>
      </c>
      <c r="G214" s="64">
        <v>6</v>
      </c>
      <c r="H214" s="64">
        <f t="shared" si="3"/>
        <v>6</v>
      </c>
      <c r="I214" s="66" t="s">
        <v>92</v>
      </c>
      <c r="J214" s="64" t="s">
        <v>98</v>
      </c>
      <c r="K214" s="64" t="s">
        <v>648</v>
      </c>
      <c r="L214" s="64" t="s">
        <v>23</v>
      </c>
      <c r="M214" s="64" t="s">
        <v>27</v>
      </c>
      <c r="N214" s="64" t="s">
        <v>61</v>
      </c>
      <c r="O214" s="64">
        <v>5</v>
      </c>
      <c r="P214" s="64">
        <v>5</v>
      </c>
      <c r="Q214" s="64">
        <v>5</v>
      </c>
      <c r="R214" s="64">
        <v>5</v>
      </c>
      <c r="S214" s="64">
        <v>5</v>
      </c>
      <c r="T214" s="64">
        <v>5</v>
      </c>
      <c r="U214" s="64" t="s">
        <v>715</v>
      </c>
      <c r="V214" s="64" t="s">
        <v>716</v>
      </c>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1"/>
      <c r="BL214" s="31"/>
      <c r="BM214" s="31"/>
      <c r="BN214" s="31"/>
      <c r="BO214" s="31"/>
      <c r="BP214" s="31"/>
      <c r="BQ214" s="31"/>
      <c r="BR214" s="31"/>
      <c r="BS214" s="31"/>
      <c r="BT214" s="31"/>
      <c r="BU214" s="31"/>
      <c r="BV214" s="31"/>
      <c r="BW214" s="31"/>
    </row>
    <row r="215" spans="6:75" ht="45.75">
      <c r="F215" s="64" t="s">
        <v>717</v>
      </c>
      <c r="G215" s="64">
        <v>6</v>
      </c>
      <c r="H215" s="64">
        <f t="shared" si="3"/>
        <v>5</v>
      </c>
      <c r="I215" s="66" t="s">
        <v>92</v>
      </c>
      <c r="J215" s="64" t="s">
        <v>208</v>
      </c>
      <c r="K215" s="64" t="s">
        <v>648</v>
      </c>
      <c r="L215" s="64" t="s">
        <v>23</v>
      </c>
      <c r="M215" s="64" t="s">
        <v>27</v>
      </c>
      <c r="N215" s="64" t="s">
        <v>61</v>
      </c>
      <c r="O215" s="64">
        <v>5</v>
      </c>
      <c r="P215" s="64">
        <v>4</v>
      </c>
      <c r="Q215" s="64">
        <v>4</v>
      </c>
      <c r="R215" s="64">
        <v>2</v>
      </c>
      <c r="S215" s="64">
        <v>5</v>
      </c>
      <c r="T215" s="64">
        <v>5</v>
      </c>
      <c r="U215" s="64" t="s">
        <v>718</v>
      </c>
      <c r="V215" s="64" t="s">
        <v>719</v>
      </c>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31"/>
      <c r="BL215" s="31"/>
      <c r="BM215" s="31"/>
      <c r="BN215" s="31"/>
      <c r="BO215" s="31"/>
      <c r="BP215" s="31"/>
      <c r="BQ215" s="31"/>
      <c r="BR215" s="31"/>
      <c r="BS215" s="31"/>
      <c r="BT215" s="31"/>
      <c r="BU215" s="31"/>
      <c r="BV215" s="31"/>
      <c r="BW215" s="31"/>
    </row>
    <row r="216" spans="6:75">
      <c r="F216" s="64" t="s">
        <v>720</v>
      </c>
      <c r="G216" s="64">
        <v>6</v>
      </c>
      <c r="H216" s="64">
        <f t="shared" si="3"/>
        <v>3</v>
      </c>
      <c r="I216" s="66" t="s">
        <v>92</v>
      </c>
      <c r="J216" s="64" t="s">
        <v>208</v>
      </c>
      <c r="K216" s="64" t="s">
        <v>648</v>
      </c>
      <c r="L216" s="64" t="s">
        <v>23</v>
      </c>
      <c r="M216" s="64" t="s">
        <v>27</v>
      </c>
      <c r="N216" s="64" t="s">
        <v>61</v>
      </c>
      <c r="O216" s="64">
        <v>5</v>
      </c>
      <c r="P216" s="64">
        <v>3</v>
      </c>
      <c r="Q216" s="64">
        <v>4</v>
      </c>
      <c r="R216" s="64">
        <v>2</v>
      </c>
      <c r="S216" s="64">
        <v>4</v>
      </c>
      <c r="T216" s="64">
        <v>3</v>
      </c>
      <c r="U216" s="64" t="s">
        <v>721</v>
      </c>
      <c r="V216" s="64" t="s">
        <v>722</v>
      </c>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31"/>
      <c r="BJ216" s="31"/>
      <c r="BK216" s="31"/>
      <c r="BL216" s="31"/>
      <c r="BM216" s="31"/>
      <c r="BN216" s="31"/>
      <c r="BO216" s="31"/>
      <c r="BP216" s="31"/>
      <c r="BQ216" s="31"/>
      <c r="BR216" s="31"/>
      <c r="BS216" s="31"/>
      <c r="BT216" s="31"/>
      <c r="BU216" s="31"/>
      <c r="BV216" s="31"/>
      <c r="BW216" s="31"/>
    </row>
    <row r="217" spans="6:75">
      <c r="F217" s="64" t="s">
        <v>723</v>
      </c>
      <c r="G217" s="64">
        <v>6</v>
      </c>
      <c r="H217" s="64">
        <f t="shared" si="3"/>
        <v>5</v>
      </c>
      <c r="I217" s="66" t="s">
        <v>92</v>
      </c>
      <c r="J217" s="64" t="s">
        <v>98</v>
      </c>
      <c r="K217" s="64" t="s">
        <v>648</v>
      </c>
      <c r="L217" s="64" t="s">
        <v>23</v>
      </c>
      <c r="M217" s="64" t="s">
        <v>27</v>
      </c>
      <c r="N217" s="64" t="s">
        <v>61</v>
      </c>
      <c r="O217" s="64">
        <v>4</v>
      </c>
      <c r="P217" s="64">
        <v>5</v>
      </c>
      <c r="Q217" s="64">
        <v>5</v>
      </c>
      <c r="R217" s="64">
        <v>3</v>
      </c>
      <c r="S217" s="64">
        <v>5</v>
      </c>
      <c r="T217" s="64">
        <v>5</v>
      </c>
      <c r="U217" s="64" t="s">
        <v>724</v>
      </c>
      <c r="V217" s="64" t="s">
        <v>725</v>
      </c>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31"/>
      <c r="BE217" s="31"/>
      <c r="BF217" s="31"/>
      <c r="BG217" s="31"/>
      <c r="BH217" s="31"/>
      <c r="BI217" s="31"/>
      <c r="BJ217" s="31"/>
      <c r="BK217" s="31"/>
      <c r="BL217" s="31"/>
      <c r="BM217" s="31"/>
      <c r="BN217" s="31"/>
      <c r="BO217" s="31"/>
      <c r="BP217" s="31"/>
      <c r="BQ217" s="31"/>
      <c r="BR217" s="31"/>
      <c r="BS217" s="31"/>
      <c r="BT217" s="31"/>
      <c r="BU217" s="31"/>
      <c r="BV217" s="31"/>
      <c r="BW217" s="31"/>
    </row>
    <row r="218" spans="6:75" ht="30.75">
      <c r="F218" s="64" t="s">
        <v>726</v>
      </c>
      <c r="G218" s="64">
        <v>6</v>
      </c>
      <c r="H218" s="64">
        <f t="shared" si="3"/>
        <v>6</v>
      </c>
      <c r="I218" s="66" t="s">
        <v>92</v>
      </c>
      <c r="J218" s="64" t="s">
        <v>98</v>
      </c>
      <c r="K218" s="64" t="s">
        <v>648</v>
      </c>
      <c r="L218" s="64" t="s">
        <v>23</v>
      </c>
      <c r="M218" s="64" t="s">
        <v>27</v>
      </c>
      <c r="N218" s="64" t="s">
        <v>61</v>
      </c>
      <c r="O218" s="64">
        <v>5</v>
      </c>
      <c r="P218" s="64">
        <v>5</v>
      </c>
      <c r="Q218" s="64">
        <v>5</v>
      </c>
      <c r="R218" s="64">
        <v>5</v>
      </c>
      <c r="S218" s="64">
        <v>5</v>
      </c>
      <c r="T218" s="64">
        <v>5</v>
      </c>
      <c r="U218" s="64" t="s">
        <v>727</v>
      </c>
      <c r="V218" s="64" t="s">
        <v>728</v>
      </c>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1"/>
      <c r="BD218" s="31"/>
      <c r="BE218" s="31"/>
      <c r="BF218" s="31"/>
      <c r="BG218" s="31"/>
      <c r="BH218" s="31"/>
      <c r="BI218" s="31"/>
      <c r="BJ218" s="31"/>
      <c r="BK218" s="31"/>
      <c r="BL218" s="31"/>
      <c r="BM218" s="31"/>
      <c r="BN218" s="31"/>
      <c r="BO218" s="31"/>
      <c r="BP218" s="31"/>
      <c r="BQ218" s="31"/>
      <c r="BR218" s="31"/>
      <c r="BS218" s="31"/>
      <c r="BT218" s="31"/>
      <c r="BU218" s="31"/>
      <c r="BV218" s="31"/>
      <c r="BW218" s="31"/>
    </row>
    <row r="219" spans="6:75">
      <c r="F219" s="64" t="s">
        <v>729</v>
      </c>
      <c r="G219" s="64">
        <v>6</v>
      </c>
      <c r="H219" s="64">
        <f t="shared" si="3"/>
        <v>6</v>
      </c>
      <c r="I219" s="66" t="s">
        <v>92</v>
      </c>
      <c r="J219" s="64" t="s">
        <v>98</v>
      </c>
      <c r="K219" s="64" t="s">
        <v>648</v>
      </c>
      <c r="L219" s="64" t="s">
        <v>23</v>
      </c>
      <c r="M219" s="64" t="s">
        <v>27</v>
      </c>
      <c r="N219" s="64" t="s">
        <v>61</v>
      </c>
      <c r="O219" s="64">
        <v>5</v>
      </c>
      <c r="P219" s="64">
        <v>5</v>
      </c>
      <c r="Q219" s="64">
        <v>5</v>
      </c>
      <c r="R219" s="64">
        <v>5</v>
      </c>
      <c r="S219" s="64">
        <v>5</v>
      </c>
      <c r="T219" s="64">
        <v>5</v>
      </c>
      <c r="U219" s="64" t="s">
        <v>730</v>
      </c>
      <c r="V219" s="64" t="s">
        <v>731</v>
      </c>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c r="BO219" s="31"/>
      <c r="BP219" s="31"/>
      <c r="BQ219" s="31"/>
      <c r="BR219" s="31"/>
      <c r="BS219" s="31"/>
      <c r="BT219" s="31"/>
      <c r="BU219" s="31"/>
      <c r="BV219" s="31"/>
      <c r="BW219" s="31"/>
    </row>
    <row r="220" spans="6:75">
      <c r="F220" s="64" t="s">
        <v>732</v>
      </c>
      <c r="G220" s="64">
        <v>6</v>
      </c>
      <c r="H220" s="64">
        <f t="shared" si="3"/>
        <v>6</v>
      </c>
      <c r="I220" s="66" t="s">
        <v>92</v>
      </c>
      <c r="J220" s="64" t="s">
        <v>103</v>
      </c>
      <c r="K220" s="64" t="s">
        <v>648</v>
      </c>
      <c r="L220" s="64" t="s">
        <v>23</v>
      </c>
      <c r="M220" s="64" t="s">
        <v>27</v>
      </c>
      <c r="N220" s="64" t="s">
        <v>61</v>
      </c>
      <c r="O220" s="64">
        <v>5</v>
      </c>
      <c r="P220" s="64">
        <v>4</v>
      </c>
      <c r="Q220" s="64">
        <v>5</v>
      </c>
      <c r="R220" s="64">
        <v>5</v>
      </c>
      <c r="S220" s="64">
        <v>4</v>
      </c>
      <c r="T220" s="64">
        <v>5</v>
      </c>
      <c r="U220" s="64"/>
      <c r="V220" s="64"/>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31"/>
      <c r="BJ220" s="31"/>
      <c r="BK220" s="31"/>
      <c r="BL220" s="31"/>
      <c r="BM220" s="31"/>
      <c r="BN220" s="31"/>
      <c r="BO220" s="31"/>
      <c r="BP220" s="31"/>
      <c r="BQ220" s="31"/>
      <c r="BR220" s="31"/>
      <c r="BS220" s="31"/>
      <c r="BT220" s="31"/>
      <c r="BU220" s="31"/>
      <c r="BV220" s="31"/>
      <c r="BW220" s="31"/>
    </row>
    <row r="221" spans="6:75">
      <c r="F221" s="64" t="s">
        <v>733</v>
      </c>
      <c r="G221" s="64">
        <v>6</v>
      </c>
      <c r="H221" s="64">
        <f t="shared" si="3"/>
        <v>5</v>
      </c>
      <c r="I221" s="66" t="s">
        <v>92</v>
      </c>
      <c r="J221" s="64" t="s">
        <v>98</v>
      </c>
      <c r="K221" s="64" t="s">
        <v>648</v>
      </c>
      <c r="L221" s="64" t="s">
        <v>27</v>
      </c>
      <c r="M221" s="64" t="s">
        <v>23</v>
      </c>
      <c r="N221" s="64" t="s">
        <v>61</v>
      </c>
      <c r="O221" s="64">
        <v>4</v>
      </c>
      <c r="P221" s="64">
        <v>4</v>
      </c>
      <c r="Q221" s="64">
        <v>4</v>
      </c>
      <c r="R221" s="64">
        <v>3</v>
      </c>
      <c r="S221" s="64">
        <v>4</v>
      </c>
      <c r="T221" s="64">
        <v>4</v>
      </c>
      <c r="U221" s="64" t="s">
        <v>734</v>
      </c>
      <c r="V221" s="64"/>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c r="BR221" s="31"/>
      <c r="BS221" s="31"/>
      <c r="BT221" s="31"/>
      <c r="BU221" s="31"/>
      <c r="BV221" s="31"/>
      <c r="BW221" s="31"/>
    </row>
    <row r="222" spans="6:75">
      <c r="F222" s="64" t="s">
        <v>735</v>
      </c>
      <c r="G222" s="64">
        <v>6</v>
      </c>
      <c r="H222" s="64">
        <f t="shared" si="3"/>
        <v>5</v>
      </c>
      <c r="I222" s="66" t="s">
        <v>92</v>
      </c>
      <c r="J222" s="64" t="s">
        <v>98</v>
      </c>
      <c r="K222" s="64" t="s">
        <v>648</v>
      </c>
      <c r="L222" s="64" t="s">
        <v>23</v>
      </c>
      <c r="M222" s="64" t="s">
        <v>27</v>
      </c>
      <c r="N222" s="64" t="s">
        <v>61</v>
      </c>
      <c r="O222" s="64">
        <v>4</v>
      </c>
      <c r="P222" s="64">
        <v>3</v>
      </c>
      <c r="Q222" s="64">
        <v>5</v>
      </c>
      <c r="R222" s="64">
        <v>5</v>
      </c>
      <c r="S222" s="64">
        <v>5</v>
      </c>
      <c r="T222" s="64">
        <v>4</v>
      </c>
      <c r="U222" s="64" t="s">
        <v>736</v>
      </c>
      <c r="V222" s="64" t="s">
        <v>737</v>
      </c>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1"/>
      <c r="BL222" s="31"/>
      <c r="BM222" s="31"/>
      <c r="BN222" s="31"/>
      <c r="BO222" s="31"/>
      <c r="BP222" s="31"/>
      <c r="BQ222" s="31"/>
      <c r="BR222" s="31"/>
      <c r="BS222" s="31"/>
      <c r="BT222" s="31"/>
      <c r="BU222" s="31"/>
      <c r="BV222" s="31"/>
      <c r="BW222" s="31"/>
    </row>
    <row r="223" spans="6:75">
      <c r="F223" s="64" t="s">
        <v>738</v>
      </c>
      <c r="G223" s="64">
        <v>6</v>
      </c>
      <c r="H223" s="64">
        <f t="shared" si="3"/>
        <v>6</v>
      </c>
      <c r="I223" s="66" t="s">
        <v>92</v>
      </c>
      <c r="J223" s="64" t="s">
        <v>231</v>
      </c>
      <c r="K223" s="64" t="s">
        <v>739</v>
      </c>
      <c r="L223" s="64" t="s">
        <v>64</v>
      </c>
      <c r="M223" s="64" t="s">
        <v>64</v>
      </c>
      <c r="N223" s="64" t="s">
        <v>61</v>
      </c>
      <c r="O223" s="64">
        <v>4</v>
      </c>
      <c r="P223" s="64">
        <v>5</v>
      </c>
      <c r="Q223" s="64">
        <v>5</v>
      </c>
      <c r="R223" s="64">
        <v>5</v>
      </c>
      <c r="S223" s="64">
        <v>5</v>
      </c>
      <c r="T223" s="64">
        <v>5</v>
      </c>
      <c r="U223" s="64" t="s">
        <v>740</v>
      </c>
      <c r="V223" s="64" t="s">
        <v>741</v>
      </c>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1"/>
      <c r="BL223" s="31"/>
      <c r="BM223" s="31"/>
      <c r="BN223" s="31"/>
      <c r="BO223" s="31"/>
      <c r="BP223" s="31"/>
      <c r="BQ223" s="31"/>
      <c r="BR223" s="31"/>
      <c r="BS223" s="31"/>
      <c r="BT223" s="31"/>
      <c r="BU223" s="31"/>
      <c r="BV223" s="31"/>
      <c r="BW223" s="31"/>
    </row>
    <row r="224" spans="6:75">
      <c r="F224" s="64" t="s">
        <v>742</v>
      </c>
      <c r="G224" s="64">
        <v>6</v>
      </c>
      <c r="H224" s="64">
        <f t="shared" si="3"/>
        <v>6</v>
      </c>
      <c r="I224" s="66" t="s">
        <v>92</v>
      </c>
      <c r="J224" s="64" t="s">
        <v>103</v>
      </c>
      <c r="K224" s="64" t="s">
        <v>739</v>
      </c>
      <c r="L224" s="64" t="s">
        <v>64</v>
      </c>
      <c r="M224" s="64" t="s">
        <v>36</v>
      </c>
      <c r="N224" s="64" t="s">
        <v>61</v>
      </c>
      <c r="O224" s="64">
        <v>5</v>
      </c>
      <c r="P224" s="64">
        <v>5</v>
      </c>
      <c r="Q224" s="64">
        <v>5</v>
      </c>
      <c r="R224" s="64">
        <v>5</v>
      </c>
      <c r="S224" s="64">
        <v>5</v>
      </c>
      <c r="T224" s="64">
        <v>5</v>
      </c>
      <c r="U224" s="64" t="s">
        <v>743</v>
      </c>
      <c r="V224" s="64"/>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1"/>
      <c r="BL224" s="31"/>
      <c r="BM224" s="31"/>
      <c r="BN224" s="31"/>
      <c r="BO224" s="31"/>
      <c r="BP224" s="31"/>
      <c r="BQ224" s="31"/>
      <c r="BR224" s="31"/>
      <c r="BS224" s="31"/>
      <c r="BT224" s="31"/>
      <c r="BU224" s="31"/>
      <c r="BV224" s="31"/>
      <c r="BW224" s="31"/>
    </row>
    <row r="225" spans="6:75">
      <c r="F225" s="64" t="s">
        <v>744</v>
      </c>
      <c r="G225" s="64">
        <v>6</v>
      </c>
      <c r="H225" s="64">
        <f t="shared" si="3"/>
        <v>6</v>
      </c>
      <c r="I225" s="66" t="s">
        <v>92</v>
      </c>
      <c r="J225" s="64" t="s">
        <v>208</v>
      </c>
      <c r="K225" s="64" t="s">
        <v>739</v>
      </c>
      <c r="L225" s="64" t="s">
        <v>64</v>
      </c>
      <c r="M225" s="64" t="s">
        <v>36</v>
      </c>
      <c r="N225" s="64" t="s">
        <v>61</v>
      </c>
      <c r="O225" s="64">
        <v>4</v>
      </c>
      <c r="P225" s="64">
        <v>5</v>
      </c>
      <c r="Q225" s="64">
        <v>5</v>
      </c>
      <c r="R225" s="64">
        <v>5</v>
      </c>
      <c r="S225" s="64">
        <v>5</v>
      </c>
      <c r="T225" s="64">
        <v>5</v>
      </c>
      <c r="U225" s="64" t="s">
        <v>745</v>
      </c>
      <c r="V225" s="64" t="s">
        <v>746</v>
      </c>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1"/>
      <c r="BL225" s="31"/>
      <c r="BM225" s="31"/>
      <c r="BN225" s="31"/>
      <c r="BO225" s="31"/>
      <c r="BP225" s="31"/>
      <c r="BQ225" s="31"/>
      <c r="BR225" s="31"/>
      <c r="BS225" s="31"/>
      <c r="BT225" s="31"/>
      <c r="BU225" s="31"/>
      <c r="BV225" s="31"/>
      <c r="BW225" s="31"/>
    </row>
    <row r="226" spans="6:75">
      <c r="F226" s="64" t="s">
        <v>747</v>
      </c>
      <c r="G226" s="64">
        <v>6</v>
      </c>
      <c r="H226" s="64">
        <f t="shared" si="3"/>
        <v>6</v>
      </c>
      <c r="I226" s="66" t="s">
        <v>92</v>
      </c>
      <c r="J226" s="64" t="s">
        <v>231</v>
      </c>
      <c r="K226" s="64" t="s">
        <v>739</v>
      </c>
      <c r="L226" s="64" t="s">
        <v>64</v>
      </c>
      <c r="M226" s="64" t="s">
        <v>64</v>
      </c>
      <c r="N226" s="64" t="s">
        <v>61</v>
      </c>
      <c r="O226" s="64">
        <v>5</v>
      </c>
      <c r="P226" s="64">
        <v>5</v>
      </c>
      <c r="Q226" s="64">
        <v>5</v>
      </c>
      <c r="R226" s="64">
        <v>5</v>
      </c>
      <c r="S226" s="64">
        <v>5</v>
      </c>
      <c r="T226" s="64">
        <v>5</v>
      </c>
      <c r="U226" s="64" t="s">
        <v>748</v>
      </c>
      <c r="V226" s="64"/>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c r="BR226" s="31"/>
      <c r="BS226" s="31"/>
      <c r="BT226" s="31"/>
      <c r="BU226" s="31"/>
      <c r="BV226" s="31"/>
      <c r="BW226" s="31"/>
    </row>
    <row r="227" spans="6:75">
      <c r="F227" s="64" t="s">
        <v>749</v>
      </c>
      <c r="G227" s="64">
        <v>6</v>
      </c>
      <c r="H227" s="64">
        <f t="shared" si="3"/>
        <v>6</v>
      </c>
      <c r="I227" s="66" t="s">
        <v>92</v>
      </c>
      <c r="J227" s="64" t="s">
        <v>231</v>
      </c>
      <c r="K227" s="64" t="s">
        <v>739</v>
      </c>
      <c r="L227" s="64" t="s">
        <v>64</v>
      </c>
      <c r="M227" s="64" t="s">
        <v>64</v>
      </c>
      <c r="N227" s="64" t="s">
        <v>61</v>
      </c>
      <c r="O227" s="64">
        <v>5</v>
      </c>
      <c r="P227" s="64">
        <v>5</v>
      </c>
      <c r="Q227" s="64">
        <v>5</v>
      </c>
      <c r="R227" s="64">
        <v>5</v>
      </c>
      <c r="S227" s="64">
        <v>5</v>
      </c>
      <c r="T227" s="64">
        <v>5</v>
      </c>
      <c r="U227" s="64"/>
      <c r="V227" s="64"/>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c r="BR227" s="31"/>
      <c r="BS227" s="31"/>
      <c r="BT227" s="31"/>
      <c r="BU227" s="31"/>
      <c r="BV227" s="31"/>
      <c r="BW227" s="31"/>
    </row>
    <row r="228" spans="6:75">
      <c r="F228" s="64" t="s">
        <v>750</v>
      </c>
      <c r="G228" s="64">
        <v>6</v>
      </c>
      <c r="H228" s="64">
        <f t="shared" si="3"/>
        <v>4</v>
      </c>
      <c r="I228" s="66" t="s">
        <v>92</v>
      </c>
      <c r="J228" s="64" t="s">
        <v>98</v>
      </c>
      <c r="K228" s="64" t="s">
        <v>739</v>
      </c>
      <c r="L228" s="64" t="s">
        <v>64</v>
      </c>
      <c r="M228" s="64" t="s">
        <v>36</v>
      </c>
      <c r="N228" s="64" t="s">
        <v>61</v>
      </c>
      <c r="O228" s="64">
        <v>4</v>
      </c>
      <c r="P228" s="64">
        <v>2</v>
      </c>
      <c r="Q228" s="64">
        <v>4</v>
      </c>
      <c r="R228" s="64">
        <v>4</v>
      </c>
      <c r="S228" s="64">
        <v>4</v>
      </c>
      <c r="T228" s="64">
        <v>3</v>
      </c>
      <c r="U228" s="64"/>
      <c r="V228" s="64"/>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1"/>
      <c r="BL228" s="31"/>
      <c r="BM228" s="31"/>
      <c r="BN228" s="31"/>
      <c r="BO228" s="31"/>
      <c r="BP228" s="31"/>
      <c r="BQ228" s="31"/>
      <c r="BR228" s="31"/>
      <c r="BS228" s="31"/>
      <c r="BT228" s="31"/>
      <c r="BU228" s="31"/>
      <c r="BV228" s="31"/>
      <c r="BW228" s="31"/>
    </row>
    <row r="229" spans="6:75">
      <c r="F229" s="64" t="s">
        <v>751</v>
      </c>
      <c r="G229" s="64">
        <v>6</v>
      </c>
      <c r="H229" s="64">
        <f t="shared" si="3"/>
        <v>6</v>
      </c>
      <c r="I229" s="66" t="s">
        <v>92</v>
      </c>
      <c r="J229" s="64" t="s">
        <v>231</v>
      </c>
      <c r="K229" s="64" t="s">
        <v>739</v>
      </c>
      <c r="L229" s="64" t="s">
        <v>64</v>
      </c>
      <c r="M229" s="64" t="s">
        <v>64</v>
      </c>
      <c r="N229" s="64" t="s">
        <v>61</v>
      </c>
      <c r="O229" s="64">
        <v>5</v>
      </c>
      <c r="P229" s="64">
        <v>5</v>
      </c>
      <c r="Q229" s="64">
        <v>4</v>
      </c>
      <c r="R229" s="64">
        <v>4</v>
      </c>
      <c r="S229" s="64">
        <v>5</v>
      </c>
      <c r="T229" s="64">
        <v>5</v>
      </c>
      <c r="U229" s="64" t="s">
        <v>752</v>
      </c>
      <c r="V229" s="64" t="s">
        <v>753</v>
      </c>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c r="BL229" s="31"/>
      <c r="BM229" s="31"/>
      <c r="BN229" s="31"/>
      <c r="BO229" s="31"/>
      <c r="BP229" s="31"/>
      <c r="BQ229" s="31"/>
      <c r="BR229" s="31"/>
      <c r="BS229" s="31"/>
      <c r="BT229" s="31"/>
      <c r="BU229" s="31"/>
      <c r="BV229" s="31"/>
      <c r="BW229" s="31"/>
    </row>
    <row r="230" spans="6:75">
      <c r="F230" s="64" t="s">
        <v>754</v>
      </c>
      <c r="G230" s="64">
        <v>6</v>
      </c>
      <c r="H230" s="64">
        <f t="shared" si="3"/>
        <v>6</v>
      </c>
      <c r="I230" s="66" t="s">
        <v>92</v>
      </c>
      <c r="J230" s="64" t="s">
        <v>227</v>
      </c>
      <c r="K230" s="64" t="s">
        <v>739</v>
      </c>
      <c r="L230" s="64" t="s">
        <v>64</v>
      </c>
      <c r="M230" s="64" t="s">
        <v>36</v>
      </c>
      <c r="N230" s="64" t="s">
        <v>61</v>
      </c>
      <c r="O230" s="64">
        <v>5</v>
      </c>
      <c r="P230" s="64">
        <v>4</v>
      </c>
      <c r="Q230" s="64">
        <v>5</v>
      </c>
      <c r="R230" s="64">
        <v>4</v>
      </c>
      <c r="S230" s="64">
        <v>4</v>
      </c>
      <c r="T230" s="64">
        <v>4</v>
      </c>
      <c r="U230" s="64" t="s">
        <v>755</v>
      </c>
      <c r="V230" s="64" t="s">
        <v>756</v>
      </c>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1"/>
      <c r="BL230" s="31"/>
      <c r="BM230" s="31"/>
      <c r="BN230" s="31"/>
      <c r="BO230" s="31"/>
      <c r="BP230" s="31"/>
      <c r="BQ230" s="31"/>
      <c r="BR230" s="31"/>
      <c r="BS230" s="31"/>
      <c r="BT230" s="31"/>
      <c r="BU230" s="31"/>
      <c r="BV230" s="31"/>
      <c r="BW230" s="31"/>
    </row>
    <row r="231" spans="6:75">
      <c r="F231" s="64" t="s">
        <v>757</v>
      </c>
      <c r="G231" s="64">
        <v>6</v>
      </c>
      <c r="H231" s="64">
        <f t="shared" si="3"/>
        <v>6</v>
      </c>
      <c r="I231" s="66" t="s">
        <v>92</v>
      </c>
      <c r="J231" s="64" t="s">
        <v>98</v>
      </c>
      <c r="K231" s="64" t="s">
        <v>739</v>
      </c>
      <c r="L231" s="64" t="s">
        <v>64</v>
      </c>
      <c r="M231" s="64" t="s">
        <v>64</v>
      </c>
      <c r="N231" s="64" t="s">
        <v>61</v>
      </c>
      <c r="O231" s="64">
        <v>5</v>
      </c>
      <c r="P231" s="64">
        <v>5</v>
      </c>
      <c r="Q231" s="64">
        <v>5</v>
      </c>
      <c r="R231" s="64">
        <v>5</v>
      </c>
      <c r="S231" s="64">
        <v>5</v>
      </c>
      <c r="T231" s="64">
        <v>5</v>
      </c>
      <c r="U231" s="64" t="s">
        <v>758</v>
      </c>
      <c r="V231" s="64" t="s">
        <v>236</v>
      </c>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1"/>
      <c r="BL231" s="31"/>
      <c r="BM231" s="31"/>
      <c r="BN231" s="31"/>
      <c r="BO231" s="31"/>
      <c r="BP231" s="31"/>
      <c r="BQ231" s="31"/>
      <c r="BR231" s="31"/>
      <c r="BS231" s="31"/>
      <c r="BT231" s="31"/>
      <c r="BU231" s="31"/>
      <c r="BV231" s="31"/>
      <c r="BW231" s="31"/>
    </row>
    <row r="232" spans="6:75">
      <c r="F232" s="64" t="s">
        <v>759</v>
      </c>
      <c r="G232" s="64">
        <v>6</v>
      </c>
      <c r="H232" s="64">
        <f t="shared" si="3"/>
        <v>6</v>
      </c>
      <c r="I232" s="66" t="s">
        <v>92</v>
      </c>
      <c r="J232" s="64" t="s">
        <v>227</v>
      </c>
      <c r="K232" s="64" t="s">
        <v>739</v>
      </c>
      <c r="L232" s="64" t="s">
        <v>64</v>
      </c>
      <c r="M232" s="64" t="s">
        <v>64</v>
      </c>
      <c r="N232" s="64" t="s">
        <v>61</v>
      </c>
      <c r="O232" s="64">
        <v>5</v>
      </c>
      <c r="P232" s="64">
        <v>4</v>
      </c>
      <c r="Q232" s="64">
        <v>5</v>
      </c>
      <c r="R232" s="64">
        <v>4</v>
      </c>
      <c r="S232" s="64">
        <v>4</v>
      </c>
      <c r="T232" s="64">
        <v>4</v>
      </c>
      <c r="U232" s="64" t="s">
        <v>760</v>
      </c>
      <c r="V232" s="64"/>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1"/>
      <c r="BL232" s="31"/>
      <c r="BM232" s="31"/>
      <c r="BN232" s="31"/>
      <c r="BO232" s="31"/>
      <c r="BP232" s="31"/>
      <c r="BQ232" s="31"/>
      <c r="BR232" s="31"/>
      <c r="BS232" s="31"/>
      <c r="BT232" s="31"/>
      <c r="BU232" s="31"/>
      <c r="BV232" s="31"/>
      <c r="BW232" s="31"/>
    </row>
    <row r="233" spans="6:75">
      <c r="F233" s="64" t="s">
        <v>761</v>
      </c>
      <c r="G233" s="64">
        <v>6</v>
      </c>
      <c r="H233" s="64">
        <f t="shared" si="3"/>
        <v>6</v>
      </c>
      <c r="I233" s="66" t="s">
        <v>92</v>
      </c>
      <c r="J233" s="64" t="s">
        <v>98</v>
      </c>
      <c r="K233" s="64" t="s">
        <v>739</v>
      </c>
      <c r="L233" s="64" t="s">
        <v>64</v>
      </c>
      <c r="M233" s="64" t="s">
        <v>36</v>
      </c>
      <c r="N233" s="64" t="s">
        <v>61</v>
      </c>
      <c r="O233" s="64">
        <v>5</v>
      </c>
      <c r="P233" s="64">
        <v>4</v>
      </c>
      <c r="Q233" s="64">
        <v>5</v>
      </c>
      <c r="R233" s="64">
        <v>5</v>
      </c>
      <c r="S233" s="64">
        <v>5</v>
      </c>
      <c r="T233" s="64">
        <v>4</v>
      </c>
      <c r="U233" s="64"/>
      <c r="V233" s="64"/>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N233" s="31"/>
      <c r="BO233" s="31"/>
      <c r="BP233" s="31"/>
      <c r="BQ233" s="31"/>
      <c r="BR233" s="31"/>
      <c r="BS233" s="31"/>
      <c r="BT233" s="31"/>
      <c r="BU233" s="31"/>
      <c r="BV233" s="31"/>
      <c r="BW233" s="31"/>
    </row>
    <row r="234" spans="6:75">
      <c r="F234" s="64" t="s">
        <v>762</v>
      </c>
      <c r="G234" s="64">
        <v>6</v>
      </c>
      <c r="H234" s="64">
        <f t="shared" si="3"/>
        <v>6</v>
      </c>
      <c r="I234" s="66" t="s">
        <v>92</v>
      </c>
      <c r="J234" s="64" t="s">
        <v>227</v>
      </c>
      <c r="K234" s="64" t="s">
        <v>739</v>
      </c>
      <c r="L234" s="64" t="s">
        <v>64</v>
      </c>
      <c r="M234" s="64" t="s">
        <v>31</v>
      </c>
      <c r="N234" s="64" t="s">
        <v>61</v>
      </c>
      <c r="O234" s="64">
        <v>4</v>
      </c>
      <c r="P234" s="64">
        <v>4</v>
      </c>
      <c r="Q234" s="64">
        <v>4</v>
      </c>
      <c r="R234" s="64">
        <v>5</v>
      </c>
      <c r="S234" s="64">
        <v>4</v>
      </c>
      <c r="T234" s="64">
        <v>5</v>
      </c>
      <c r="U234" s="64"/>
      <c r="V234" s="64"/>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c r="BO234" s="31"/>
      <c r="BP234" s="31"/>
      <c r="BQ234" s="31"/>
      <c r="BR234" s="31"/>
      <c r="BS234" s="31"/>
      <c r="BT234" s="31"/>
      <c r="BU234" s="31"/>
      <c r="BV234" s="31"/>
      <c r="BW234" s="31"/>
    </row>
    <row r="235" spans="6:75">
      <c r="F235" s="64" t="s">
        <v>763</v>
      </c>
      <c r="G235" s="64">
        <v>6</v>
      </c>
      <c r="H235" s="64">
        <f t="shared" si="3"/>
        <v>6</v>
      </c>
      <c r="I235" s="66" t="s">
        <v>92</v>
      </c>
      <c r="J235" s="64" t="s">
        <v>227</v>
      </c>
      <c r="K235" s="64" t="s">
        <v>764</v>
      </c>
      <c r="L235" s="64" t="s">
        <v>107</v>
      </c>
      <c r="M235" s="64" t="s">
        <v>23</v>
      </c>
      <c r="N235" s="64" t="s">
        <v>61</v>
      </c>
      <c r="O235" s="64">
        <v>4</v>
      </c>
      <c r="P235" s="64">
        <v>5</v>
      </c>
      <c r="Q235" s="64">
        <v>5</v>
      </c>
      <c r="R235" s="64">
        <v>4</v>
      </c>
      <c r="S235" s="64">
        <v>4</v>
      </c>
      <c r="T235" s="64">
        <v>4</v>
      </c>
      <c r="U235" s="64" t="s">
        <v>765</v>
      </c>
      <c r="V235" s="64" t="s">
        <v>766</v>
      </c>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c r="BW235" s="31"/>
    </row>
    <row r="236" spans="6:75">
      <c r="F236" s="64" t="s">
        <v>767</v>
      </c>
      <c r="G236" s="64">
        <v>6</v>
      </c>
      <c r="H236" s="64">
        <f t="shared" si="3"/>
        <v>6</v>
      </c>
      <c r="I236" s="66" t="s">
        <v>92</v>
      </c>
      <c r="J236" s="64" t="s">
        <v>227</v>
      </c>
      <c r="K236" s="64" t="s">
        <v>764</v>
      </c>
      <c r="L236" s="64" t="s">
        <v>107</v>
      </c>
      <c r="M236" s="64" t="s">
        <v>23</v>
      </c>
      <c r="N236" s="64" t="s">
        <v>61</v>
      </c>
      <c r="O236" s="64">
        <v>5</v>
      </c>
      <c r="P236" s="64">
        <v>5</v>
      </c>
      <c r="Q236" s="64">
        <v>5</v>
      </c>
      <c r="R236" s="64">
        <v>5</v>
      </c>
      <c r="S236" s="64">
        <v>5</v>
      </c>
      <c r="T236" s="64">
        <v>5</v>
      </c>
      <c r="U236" s="64" t="s">
        <v>768</v>
      </c>
      <c r="V236" s="64" t="s">
        <v>769</v>
      </c>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1"/>
      <c r="BL236" s="31"/>
      <c r="BM236" s="31"/>
      <c r="BN236" s="31"/>
      <c r="BO236" s="31"/>
      <c r="BP236" s="31"/>
      <c r="BQ236" s="31"/>
      <c r="BR236" s="31"/>
      <c r="BS236" s="31"/>
      <c r="BT236" s="31"/>
      <c r="BU236" s="31"/>
      <c r="BV236" s="31"/>
      <c r="BW236" s="31"/>
    </row>
    <row r="237" spans="6:75">
      <c r="F237" s="64" t="s">
        <v>770</v>
      </c>
      <c r="G237" s="64">
        <v>6</v>
      </c>
      <c r="H237" s="64">
        <f t="shared" si="3"/>
        <v>6</v>
      </c>
      <c r="I237" s="66" t="s">
        <v>92</v>
      </c>
      <c r="J237" s="64" t="s">
        <v>227</v>
      </c>
      <c r="K237" s="64" t="s">
        <v>764</v>
      </c>
      <c r="L237" s="64" t="s">
        <v>107</v>
      </c>
      <c r="M237" s="64" t="s">
        <v>23</v>
      </c>
      <c r="N237" s="64" t="s">
        <v>61</v>
      </c>
      <c r="O237" s="64">
        <v>5</v>
      </c>
      <c r="P237" s="64">
        <v>5</v>
      </c>
      <c r="Q237" s="64">
        <v>5</v>
      </c>
      <c r="R237" s="64">
        <v>4</v>
      </c>
      <c r="S237" s="64">
        <v>5</v>
      </c>
      <c r="T237" s="64">
        <v>5</v>
      </c>
      <c r="U237" s="64" t="s">
        <v>771</v>
      </c>
      <c r="V237" s="64" t="s">
        <v>772</v>
      </c>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1"/>
      <c r="BL237" s="31"/>
      <c r="BM237" s="31"/>
      <c r="BN237" s="31"/>
      <c r="BO237" s="31"/>
      <c r="BP237" s="31"/>
      <c r="BQ237" s="31"/>
      <c r="BR237" s="31"/>
      <c r="BS237" s="31"/>
      <c r="BT237" s="31"/>
      <c r="BU237" s="31"/>
      <c r="BV237" s="31"/>
      <c r="BW237" s="31"/>
    </row>
    <row r="238" spans="6:75">
      <c r="F238" s="64" t="s">
        <v>773</v>
      </c>
      <c r="G238" s="64">
        <v>6</v>
      </c>
      <c r="H238" s="64">
        <f t="shared" si="3"/>
        <v>6</v>
      </c>
      <c r="I238" s="66" t="s">
        <v>92</v>
      </c>
      <c r="J238" s="64" t="s">
        <v>98</v>
      </c>
      <c r="K238" s="64" t="s">
        <v>764</v>
      </c>
      <c r="L238" s="64" t="s">
        <v>107</v>
      </c>
      <c r="M238" s="64" t="s">
        <v>23</v>
      </c>
      <c r="N238" s="64" t="s">
        <v>61</v>
      </c>
      <c r="O238" s="64">
        <v>4</v>
      </c>
      <c r="P238" s="64">
        <v>4</v>
      </c>
      <c r="Q238" s="64">
        <v>5</v>
      </c>
      <c r="R238" s="64">
        <v>4</v>
      </c>
      <c r="S238" s="64">
        <v>5</v>
      </c>
      <c r="T238" s="64">
        <v>5</v>
      </c>
      <c r="U238" s="64" t="s">
        <v>774</v>
      </c>
      <c r="V238" s="64" t="s">
        <v>236</v>
      </c>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1"/>
      <c r="BL238" s="31"/>
      <c r="BM238" s="31"/>
      <c r="BN238" s="31"/>
      <c r="BO238" s="31"/>
      <c r="BP238" s="31"/>
      <c r="BQ238" s="31"/>
      <c r="BR238" s="31"/>
      <c r="BS238" s="31"/>
      <c r="BT238" s="31"/>
      <c r="BU238" s="31"/>
      <c r="BV238" s="31"/>
      <c r="BW238" s="31"/>
    </row>
    <row r="239" spans="6:75">
      <c r="F239" s="64" t="s">
        <v>775</v>
      </c>
      <c r="G239" s="64">
        <v>6</v>
      </c>
      <c r="H239" s="64">
        <f t="shared" si="3"/>
        <v>6</v>
      </c>
      <c r="I239" s="66" t="s">
        <v>92</v>
      </c>
      <c r="J239" s="64" t="s">
        <v>227</v>
      </c>
      <c r="K239" s="64" t="s">
        <v>764</v>
      </c>
      <c r="L239" s="64" t="s">
        <v>107</v>
      </c>
      <c r="M239" s="64" t="s">
        <v>23</v>
      </c>
      <c r="N239" s="64" t="s">
        <v>61</v>
      </c>
      <c r="O239" s="64">
        <v>5</v>
      </c>
      <c r="P239" s="64">
        <v>5</v>
      </c>
      <c r="Q239" s="64">
        <v>5</v>
      </c>
      <c r="R239" s="64">
        <v>4</v>
      </c>
      <c r="S239" s="64">
        <v>5</v>
      </c>
      <c r="T239" s="64">
        <v>5</v>
      </c>
      <c r="U239" s="64" t="s">
        <v>776</v>
      </c>
      <c r="V239" s="64" t="s">
        <v>777</v>
      </c>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1"/>
      <c r="BL239" s="31"/>
      <c r="BM239" s="31"/>
      <c r="BN239" s="31"/>
      <c r="BO239" s="31"/>
      <c r="BP239" s="31"/>
      <c r="BQ239" s="31"/>
      <c r="BR239" s="31"/>
      <c r="BS239" s="31"/>
      <c r="BT239" s="31"/>
      <c r="BU239" s="31"/>
      <c r="BV239" s="31"/>
      <c r="BW239" s="31"/>
    </row>
    <row r="240" spans="6:75">
      <c r="F240" s="64" t="s">
        <v>778</v>
      </c>
      <c r="G240" s="64">
        <v>6</v>
      </c>
      <c r="H240" s="64">
        <f t="shared" si="3"/>
        <v>6</v>
      </c>
      <c r="I240" s="66" t="s">
        <v>92</v>
      </c>
      <c r="J240" s="64" t="s">
        <v>231</v>
      </c>
      <c r="K240" s="64" t="s">
        <v>764</v>
      </c>
      <c r="L240" s="64" t="s">
        <v>107</v>
      </c>
      <c r="M240" s="64" t="s">
        <v>23</v>
      </c>
      <c r="N240" s="64" t="s">
        <v>61</v>
      </c>
      <c r="O240" s="64">
        <v>5</v>
      </c>
      <c r="P240" s="64">
        <v>5</v>
      </c>
      <c r="Q240" s="64">
        <v>5</v>
      </c>
      <c r="R240" s="64">
        <v>5</v>
      </c>
      <c r="S240" s="64">
        <v>5</v>
      </c>
      <c r="T240" s="64">
        <v>5</v>
      </c>
      <c r="U240" s="64" t="s">
        <v>779</v>
      </c>
      <c r="V240" s="64" t="s">
        <v>334</v>
      </c>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1"/>
      <c r="BL240" s="31"/>
      <c r="BM240" s="31"/>
      <c r="BN240" s="31"/>
      <c r="BO240" s="31"/>
      <c r="BP240" s="31"/>
      <c r="BQ240" s="31"/>
      <c r="BR240" s="31"/>
      <c r="BS240" s="31"/>
      <c r="BT240" s="31"/>
      <c r="BU240" s="31"/>
      <c r="BV240" s="31"/>
      <c r="BW240" s="31"/>
    </row>
    <row r="241" spans="6:75">
      <c r="F241" s="64" t="s">
        <v>780</v>
      </c>
      <c r="G241" s="64">
        <v>6</v>
      </c>
      <c r="H241" s="64">
        <f t="shared" si="3"/>
        <v>6</v>
      </c>
      <c r="I241" s="66" t="s">
        <v>92</v>
      </c>
      <c r="J241" s="64" t="s">
        <v>227</v>
      </c>
      <c r="K241" s="64" t="s">
        <v>764</v>
      </c>
      <c r="L241" s="64" t="s">
        <v>107</v>
      </c>
      <c r="M241" s="64" t="s">
        <v>23</v>
      </c>
      <c r="N241" s="64" t="s">
        <v>61</v>
      </c>
      <c r="O241" s="64">
        <v>5</v>
      </c>
      <c r="P241" s="64">
        <v>5</v>
      </c>
      <c r="Q241" s="64">
        <v>5</v>
      </c>
      <c r="R241" s="64">
        <v>5</v>
      </c>
      <c r="S241" s="64">
        <v>5</v>
      </c>
      <c r="T241" s="64">
        <v>5</v>
      </c>
      <c r="U241" s="64" t="s">
        <v>781</v>
      </c>
      <c r="V241" s="64" t="s">
        <v>782</v>
      </c>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1"/>
      <c r="BL241" s="31"/>
      <c r="BM241" s="31"/>
      <c r="BN241" s="31"/>
      <c r="BO241" s="31"/>
      <c r="BP241" s="31"/>
      <c r="BQ241" s="31"/>
      <c r="BR241" s="31"/>
      <c r="BS241" s="31"/>
      <c r="BT241" s="31"/>
      <c r="BU241" s="31"/>
      <c r="BV241" s="31"/>
      <c r="BW241" s="31"/>
    </row>
    <row r="242" spans="6:75">
      <c r="F242" s="64" t="s">
        <v>783</v>
      </c>
      <c r="G242" s="64">
        <v>6</v>
      </c>
      <c r="H242" s="64">
        <f t="shared" si="3"/>
        <v>6</v>
      </c>
      <c r="I242" s="66" t="s">
        <v>92</v>
      </c>
      <c r="J242" s="64" t="s">
        <v>103</v>
      </c>
      <c r="K242" s="64" t="s">
        <v>764</v>
      </c>
      <c r="L242" s="64" t="s">
        <v>107</v>
      </c>
      <c r="M242" s="64" t="s">
        <v>26</v>
      </c>
      <c r="N242" s="64" t="s">
        <v>61</v>
      </c>
      <c r="O242" s="64">
        <v>5</v>
      </c>
      <c r="P242" s="64">
        <v>5</v>
      </c>
      <c r="Q242" s="64">
        <v>5</v>
      </c>
      <c r="R242" s="64">
        <v>5</v>
      </c>
      <c r="S242" s="64">
        <v>5</v>
      </c>
      <c r="T242" s="64">
        <v>5</v>
      </c>
      <c r="U242" s="64" t="s">
        <v>784</v>
      </c>
      <c r="V242" s="64" t="s">
        <v>785</v>
      </c>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1"/>
      <c r="BL242" s="31"/>
      <c r="BM242" s="31"/>
      <c r="BN242" s="31"/>
      <c r="BO242" s="31"/>
      <c r="BP242" s="31"/>
      <c r="BQ242" s="31"/>
      <c r="BR242" s="31"/>
      <c r="BS242" s="31"/>
      <c r="BT242" s="31"/>
      <c r="BU242" s="31"/>
      <c r="BV242" s="31"/>
      <c r="BW242" s="31"/>
    </row>
    <row r="243" spans="6:75">
      <c r="F243" s="64" t="s">
        <v>786</v>
      </c>
      <c r="G243" s="64">
        <v>6</v>
      </c>
      <c r="H243" s="64">
        <f t="shared" si="3"/>
        <v>5</v>
      </c>
      <c r="I243" s="66" t="s">
        <v>92</v>
      </c>
      <c r="J243" s="64" t="s">
        <v>227</v>
      </c>
      <c r="K243" s="64" t="s">
        <v>764</v>
      </c>
      <c r="L243" s="64" t="s">
        <v>107</v>
      </c>
      <c r="M243" s="64" t="s">
        <v>23</v>
      </c>
      <c r="N243" s="64" t="s">
        <v>61</v>
      </c>
      <c r="O243" s="64">
        <v>4</v>
      </c>
      <c r="P243" s="64">
        <v>3</v>
      </c>
      <c r="Q243" s="64">
        <v>5</v>
      </c>
      <c r="R243" s="64">
        <v>5</v>
      </c>
      <c r="S243" s="64">
        <v>5</v>
      </c>
      <c r="T243" s="64">
        <v>5</v>
      </c>
      <c r="U243" s="64" t="s">
        <v>787</v>
      </c>
      <c r="V243" s="64" t="s">
        <v>788</v>
      </c>
      <c r="W243" s="31"/>
      <c r="X243" s="31"/>
      <c r="Y243" s="31"/>
      <c r="Z243" s="31"/>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1"/>
      <c r="BL243" s="31"/>
      <c r="BM243" s="31"/>
      <c r="BN243" s="31"/>
      <c r="BO243" s="31"/>
      <c r="BP243" s="31"/>
      <c r="BQ243" s="31"/>
      <c r="BR243" s="31"/>
      <c r="BS243" s="31"/>
      <c r="BT243" s="31"/>
      <c r="BU243" s="31"/>
      <c r="BV243" s="31"/>
      <c r="BW243" s="31"/>
    </row>
    <row r="244" spans="6:75">
      <c r="F244" s="64" t="s">
        <v>789</v>
      </c>
      <c r="G244" s="64">
        <v>6</v>
      </c>
      <c r="H244" s="64">
        <f t="shared" si="3"/>
        <v>6</v>
      </c>
      <c r="I244" s="66" t="s">
        <v>92</v>
      </c>
      <c r="J244" s="64" t="s">
        <v>98</v>
      </c>
      <c r="K244" s="64" t="s">
        <v>764</v>
      </c>
      <c r="L244" s="64" t="s">
        <v>107</v>
      </c>
      <c r="M244" s="64" t="s">
        <v>107</v>
      </c>
      <c r="N244" s="64" t="s">
        <v>61</v>
      </c>
      <c r="O244" s="64">
        <v>5</v>
      </c>
      <c r="P244" s="64">
        <v>5</v>
      </c>
      <c r="Q244" s="64">
        <v>5</v>
      </c>
      <c r="R244" s="64">
        <v>5</v>
      </c>
      <c r="S244" s="64">
        <v>5</v>
      </c>
      <c r="T244" s="64">
        <v>5</v>
      </c>
      <c r="U244" s="64" t="s">
        <v>790</v>
      </c>
      <c r="V244" s="64" t="s">
        <v>236</v>
      </c>
      <c r="W244" s="31"/>
      <c r="X244" s="31"/>
      <c r="Y244" s="31"/>
      <c r="Z244" s="31"/>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1"/>
      <c r="BL244" s="31"/>
      <c r="BM244" s="31"/>
      <c r="BN244" s="31"/>
      <c r="BO244" s="31"/>
      <c r="BP244" s="31"/>
      <c r="BQ244" s="31"/>
      <c r="BR244" s="31"/>
      <c r="BS244" s="31"/>
      <c r="BT244" s="31"/>
      <c r="BU244" s="31"/>
      <c r="BV244" s="31"/>
      <c r="BW244" s="31"/>
    </row>
    <row r="245" spans="6:75">
      <c r="F245" s="64" t="s">
        <v>791</v>
      </c>
      <c r="G245" s="64">
        <v>6</v>
      </c>
      <c r="H245" s="64">
        <f t="shared" si="3"/>
        <v>6</v>
      </c>
      <c r="I245" s="66" t="s">
        <v>92</v>
      </c>
      <c r="J245" s="64" t="s">
        <v>227</v>
      </c>
      <c r="K245" s="64" t="s">
        <v>764</v>
      </c>
      <c r="L245" s="64" t="s">
        <v>107</v>
      </c>
      <c r="M245" s="64" t="s">
        <v>23</v>
      </c>
      <c r="N245" s="64" t="s">
        <v>61</v>
      </c>
      <c r="O245" s="64">
        <v>5</v>
      </c>
      <c r="P245" s="64">
        <v>5</v>
      </c>
      <c r="Q245" s="64">
        <v>5</v>
      </c>
      <c r="R245" s="64">
        <v>5</v>
      </c>
      <c r="S245" s="64">
        <v>5</v>
      </c>
      <c r="T245" s="64">
        <v>5</v>
      </c>
      <c r="U245" s="64" t="s">
        <v>792</v>
      </c>
      <c r="V245" s="64" t="s">
        <v>793</v>
      </c>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c r="BL245" s="31"/>
      <c r="BM245" s="31"/>
      <c r="BN245" s="31"/>
      <c r="BO245" s="31"/>
      <c r="BP245" s="31"/>
      <c r="BQ245" s="31"/>
      <c r="BR245" s="31"/>
      <c r="BS245" s="31"/>
      <c r="BT245" s="31"/>
      <c r="BU245" s="31"/>
      <c r="BV245" s="31"/>
      <c r="BW245" s="31"/>
    </row>
    <row r="246" spans="6:75">
      <c r="F246" s="64" t="s">
        <v>794</v>
      </c>
      <c r="G246" s="64">
        <v>6</v>
      </c>
      <c r="H246" s="64">
        <f t="shared" si="3"/>
        <v>4</v>
      </c>
      <c r="I246" s="66" t="s">
        <v>92</v>
      </c>
      <c r="J246" s="64" t="s">
        <v>98</v>
      </c>
      <c r="K246" s="64" t="s">
        <v>795</v>
      </c>
      <c r="L246" s="64" t="s">
        <v>62</v>
      </c>
      <c r="M246" s="64" t="s">
        <v>26</v>
      </c>
      <c r="N246" s="64" t="s">
        <v>61</v>
      </c>
      <c r="O246" s="64">
        <v>5</v>
      </c>
      <c r="P246" s="64">
        <v>3</v>
      </c>
      <c r="Q246" s="64">
        <v>5</v>
      </c>
      <c r="R246" s="64">
        <v>2</v>
      </c>
      <c r="S246" s="64">
        <v>5</v>
      </c>
      <c r="T246" s="64">
        <v>5</v>
      </c>
      <c r="U246" s="64" t="s">
        <v>796</v>
      </c>
      <c r="V246" s="64" t="s">
        <v>797</v>
      </c>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1"/>
      <c r="BL246" s="31"/>
      <c r="BM246" s="31"/>
      <c r="BN246" s="31"/>
      <c r="BO246" s="31"/>
      <c r="BP246" s="31"/>
      <c r="BQ246" s="31"/>
      <c r="BR246" s="31"/>
      <c r="BS246" s="31"/>
      <c r="BT246" s="31"/>
      <c r="BU246" s="31"/>
      <c r="BV246" s="31"/>
      <c r="BW246" s="31"/>
    </row>
    <row r="247" spans="6:75">
      <c r="F247" s="64" t="s">
        <v>798</v>
      </c>
      <c r="G247" s="64">
        <v>6</v>
      </c>
      <c r="H247" s="64">
        <f t="shared" si="3"/>
        <v>6</v>
      </c>
      <c r="I247" s="66" t="s">
        <v>92</v>
      </c>
      <c r="J247" s="64" t="s">
        <v>227</v>
      </c>
      <c r="K247" s="64" t="s">
        <v>672</v>
      </c>
      <c r="L247" s="64" t="s">
        <v>62</v>
      </c>
      <c r="M247" s="64" t="s">
        <v>26</v>
      </c>
      <c r="N247" s="64" t="s">
        <v>61</v>
      </c>
      <c r="O247" s="64">
        <v>5</v>
      </c>
      <c r="P247" s="64">
        <v>5</v>
      </c>
      <c r="Q247" s="64">
        <v>5</v>
      </c>
      <c r="R247" s="64">
        <v>5</v>
      </c>
      <c r="S247" s="64">
        <v>5</v>
      </c>
      <c r="T247" s="64">
        <v>5</v>
      </c>
      <c r="U247" s="64" t="s">
        <v>799</v>
      </c>
      <c r="V247" s="64" t="s">
        <v>800</v>
      </c>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c r="BL247" s="31"/>
      <c r="BM247" s="31"/>
      <c r="BN247" s="31"/>
      <c r="BO247" s="31"/>
      <c r="BP247" s="31"/>
      <c r="BQ247" s="31"/>
      <c r="BR247" s="31"/>
      <c r="BS247" s="31"/>
      <c r="BT247" s="31"/>
      <c r="BU247" s="31"/>
      <c r="BV247" s="31"/>
      <c r="BW247" s="31"/>
    </row>
    <row r="248" spans="6:75">
      <c r="F248" s="64" t="s">
        <v>801</v>
      </c>
      <c r="G248" s="64">
        <v>6</v>
      </c>
      <c r="H248" s="64">
        <f t="shared" si="3"/>
        <v>6</v>
      </c>
      <c r="I248" s="66" t="s">
        <v>92</v>
      </c>
      <c r="J248" s="64" t="s">
        <v>231</v>
      </c>
      <c r="K248" s="64" t="s">
        <v>795</v>
      </c>
      <c r="L248" s="64" t="s">
        <v>62</v>
      </c>
      <c r="M248" s="64" t="s">
        <v>26</v>
      </c>
      <c r="N248" s="64" t="s">
        <v>61</v>
      </c>
      <c r="O248" s="64">
        <v>4</v>
      </c>
      <c r="P248" s="64">
        <v>4</v>
      </c>
      <c r="Q248" s="64">
        <v>5</v>
      </c>
      <c r="R248" s="64">
        <v>4</v>
      </c>
      <c r="S248" s="64">
        <v>5</v>
      </c>
      <c r="T248" s="64">
        <v>5</v>
      </c>
      <c r="U248" s="64" t="s">
        <v>802</v>
      </c>
      <c r="V248" s="64" t="s">
        <v>334</v>
      </c>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1"/>
      <c r="BL248" s="31"/>
      <c r="BM248" s="31"/>
      <c r="BN248" s="31"/>
      <c r="BO248" s="31"/>
      <c r="BP248" s="31"/>
      <c r="BQ248" s="31"/>
      <c r="BR248" s="31"/>
      <c r="BS248" s="31"/>
      <c r="BT248" s="31"/>
      <c r="BU248" s="31"/>
      <c r="BV248" s="31"/>
      <c r="BW248" s="31"/>
    </row>
    <row r="249" spans="6:75">
      <c r="F249" s="64" t="s">
        <v>803</v>
      </c>
      <c r="G249" s="64">
        <v>6</v>
      </c>
      <c r="H249" s="64">
        <f t="shared" si="3"/>
        <v>4</v>
      </c>
      <c r="I249" s="66" t="s">
        <v>92</v>
      </c>
      <c r="J249" s="64" t="s">
        <v>231</v>
      </c>
      <c r="K249" s="64" t="s">
        <v>795</v>
      </c>
      <c r="L249" s="64" t="s">
        <v>62</v>
      </c>
      <c r="M249" s="64" t="s">
        <v>26</v>
      </c>
      <c r="N249" s="64" t="s">
        <v>61</v>
      </c>
      <c r="O249" s="64">
        <v>4</v>
      </c>
      <c r="P249" s="64">
        <v>3</v>
      </c>
      <c r="Q249" s="64">
        <v>4</v>
      </c>
      <c r="R249" s="64">
        <v>3</v>
      </c>
      <c r="S249" s="64">
        <v>4</v>
      </c>
      <c r="T249" s="64">
        <v>4</v>
      </c>
      <c r="U249" s="64" t="s">
        <v>804</v>
      </c>
      <c r="V249" s="64" t="s">
        <v>805</v>
      </c>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c r="BL249" s="31"/>
      <c r="BM249" s="31"/>
      <c r="BN249" s="31"/>
      <c r="BO249" s="31"/>
      <c r="BP249" s="31"/>
      <c r="BQ249" s="31"/>
      <c r="BR249" s="31"/>
      <c r="BS249" s="31"/>
      <c r="BT249" s="31"/>
      <c r="BU249" s="31"/>
      <c r="BV249" s="31"/>
      <c r="BW249" s="31"/>
    </row>
    <row r="250" spans="6:75" ht="30.75">
      <c r="F250" s="64" t="s">
        <v>806</v>
      </c>
      <c r="G250" s="64">
        <v>6</v>
      </c>
      <c r="H250" s="64">
        <f t="shared" si="3"/>
        <v>6</v>
      </c>
      <c r="I250" s="66" t="s">
        <v>92</v>
      </c>
      <c r="J250" s="64" t="s">
        <v>103</v>
      </c>
      <c r="K250" s="64" t="s">
        <v>795</v>
      </c>
      <c r="L250" s="64" t="s">
        <v>62</v>
      </c>
      <c r="M250" s="64" t="s">
        <v>26</v>
      </c>
      <c r="N250" s="64" t="s">
        <v>61</v>
      </c>
      <c r="O250" s="64">
        <v>5</v>
      </c>
      <c r="P250" s="64">
        <v>5</v>
      </c>
      <c r="Q250" s="64">
        <v>5</v>
      </c>
      <c r="R250" s="64">
        <v>4</v>
      </c>
      <c r="S250" s="64">
        <v>5</v>
      </c>
      <c r="T250" s="64">
        <v>4</v>
      </c>
      <c r="U250" s="64" t="s">
        <v>807</v>
      </c>
      <c r="V250" s="64" t="s">
        <v>808</v>
      </c>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c r="BL250" s="31"/>
      <c r="BM250" s="31"/>
      <c r="BN250" s="31"/>
      <c r="BO250" s="31"/>
      <c r="BP250" s="31"/>
      <c r="BQ250" s="31"/>
      <c r="BR250" s="31"/>
      <c r="BS250" s="31"/>
      <c r="BT250" s="31"/>
      <c r="BU250" s="31"/>
      <c r="BV250" s="31"/>
      <c r="BW250" s="31"/>
    </row>
    <row r="251" spans="6:75">
      <c r="F251" s="64" t="s">
        <v>806</v>
      </c>
      <c r="G251" s="64">
        <v>6</v>
      </c>
      <c r="H251" s="64">
        <f t="shared" si="3"/>
        <v>3</v>
      </c>
      <c r="I251" s="66" t="s">
        <v>92</v>
      </c>
      <c r="J251" s="64" t="s">
        <v>231</v>
      </c>
      <c r="K251" s="64" t="s">
        <v>795</v>
      </c>
      <c r="L251" s="64" t="s">
        <v>62</v>
      </c>
      <c r="M251" s="64" t="s">
        <v>26</v>
      </c>
      <c r="N251" s="64" t="s">
        <v>61</v>
      </c>
      <c r="O251" s="64">
        <v>4</v>
      </c>
      <c r="P251" s="64">
        <v>2</v>
      </c>
      <c r="Q251" s="64">
        <v>3</v>
      </c>
      <c r="R251" s="64">
        <v>3</v>
      </c>
      <c r="S251" s="64">
        <v>4</v>
      </c>
      <c r="T251" s="64">
        <v>4</v>
      </c>
      <c r="U251" s="64" t="s">
        <v>809</v>
      </c>
      <c r="V251" s="64" t="s">
        <v>810</v>
      </c>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c r="BL251" s="31"/>
      <c r="BM251" s="31"/>
      <c r="BN251" s="31"/>
      <c r="BO251" s="31"/>
      <c r="BP251" s="31"/>
      <c r="BQ251" s="31"/>
      <c r="BR251" s="31"/>
      <c r="BS251" s="31"/>
      <c r="BT251" s="31"/>
      <c r="BU251" s="31"/>
      <c r="BV251" s="31"/>
      <c r="BW251" s="31"/>
    </row>
    <row r="252" spans="6:75">
      <c r="F252" s="64" t="s">
        <v>811</v>
      </c>
      <c r="G252" s="64">
        <v>6</v>
      </c>
      <c r="H252" s="64">
        <f t="shared" si="3"/>
        <v>6</v>
      </c>
      <c r="I252" s="66" t="s">
        <v>92</v>
      </c>
      <c r="J252" s="64" t="s">
        <v>98</v>
      </c>
      <c r="K252" s="64" t="s">
        <v>795</v>
      </c>
      <c r="L252" s="64" t="s">
        <v>62</v>
      </c>
      <c r="M252" s="64" t="s">
        <v>26</v>
      </c>
      <c r="N252" s="64" t="s">
        <v>61</v>
      </c>
      <c r="O252" s="64">
        <v>4</v>
      </c>
      <c r="P252" s="64">
        <v>4</v>
      </c>
      <c r="Q252" s="64">
        <v>5</v>
      </c>
      <c r="R252" s="64">
        <v>4</v>
      </c>
      <c r="S252" s="64">
        <v>4</v>
      </c>
      <c r="T252" s="64">
        <v>4</v>
      </c>
      <c r="U252" s="64" t="s">
        <v>812</v>
      </c>
      <c r="V252" s="64" t="s">
        <v>813</v>
      </c>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c r="BL252" s="31"/>
      <c r="BM252" s="31"/>
      <c r="BN252" s="31"/>
      <c r="BO252" s="31"/>
      <c r="BP252" s="31"/>
      <c r="BQ252" s="31"/>
      <c r="BR252" s="31"/>
      <c r="BS252" s="31"/>
      <c r="BT252" s="31"/>
      <c r="BU252" s="31"/>
      <c r="BV252" s="31"/>
      <c r="BW252" s="31"/>
    </row>
    <row r="253" spans="6:75">
      <c r="F253" s="64" t="s">
        <v>814</v>
      </c>
      <c r="G253" s="64">
        <v>6</v>
      </c>
      <c r="H253" s="64">
        <f t="shared" si="3"/>
        <v>3</v>
      </c>
      <c r="I253" s="66" t="s">
        <v>92</v>
      </c>
      <c r="J253" s="64" t="s">
        <v>208</v>
      </c>
      <c r="K253" s="64" t="s">
        <v>795</v>
      </c>
      <c r="L253" s="64" t="s">
        <v>62</v>
      </c>
      <c r="M253" s="64" t="s">
        <v>26</v>
      </c>
      <c r="N253" s="64" t="s">
        <v>61</v>
      </c>
      <c r="O253" s="64">
        <v>3</v>
      </c>
      <c r="P253" s="64">
        <v>4</v>
      </c>
      <c r="Q253" s="64">
        <v>4</v>
      </c>
      <c r="R253" s="64">
        <v>3</v>
      </c>
      <c r="S253" s="64">
        <v>5</v>
      </c>
      <c r="T253" s="64">
        <v>3</v>
      </c>
      <c r="U253" s="64" t="s">
        <v>815</v>
      </c>
      <c r="V253" s="64" t="s">
        <v>816</v>
      </c>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1"/>
      <c r="BL253" s="31"/>
      <c r="BM253" s="31"/>
      <c r="BN253" s="31"/>
      <c r="BO253" s="31"/>
      <c r="BP253" s="31"/>
      <c r="BQ253" s="31"/>
      <c r="BR253" s="31"/>
      <c r="BS253" s="31"/>
      <c r="BT253" s="31"/>
      <c r="BU253" s="31"/>
      <c r="BV253" s="31"/>
      <c r="BW253" s="31"/>
    </row>
    <row r="254" spans="6:75">
      <c r="F254" s="64" t="s">
        <v>817</v>
      </c>
      <c r="G254" s="64">
        <v>6</v>
      </c>
      <c r="H254" s="64">
        <f t="shared" si="3"/>
        <v>6</v>
      </c>
      <c r="I254" s="66" t="s">
        <v>92</v>
      </c>
      <c r="J254" s="64" t="s">
        <v>98</v>
      </c>
      <c r="K254" s="64" t="s">
        <v>795</v>
      </c>
      <c r="L254" s="64" t="s">
        <v>62</v>
      </c>
      <c r="M254" s="64" t="s">
        <v>26</v>
      </c>
      <c r="N254" s="64" t="s">
        <v>61</v>
      </c>
      <c r="O254" s="64">
        <v>5</v>
      </c>
      <c r="P254" s="64">
        <v>4</v>
      </c>
      <c r="Q254" s="64">
        <v>5</v>
      </c>
      <c r="R254" s="64">
        <v>4</v>
      </c>
      <c r="S254" s="64">
        <v>5</v>
      </c>
      <c r="T254" s="64">
        <v>5</v>
      </c>
      <c r="U254" s="64" t="s">
        <v>818</v>
      </c>
      <c r="V254" s="64" t="s">
        <v>819</v>
      </c>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1"/>
      <c r="BL254" s="31"/>
      <c r="BM254" s="31"/>
      <c r="BN254" s="31"/>
      <c r="BO254" s="31"/>
      <c r="BP254" s="31"/>
      <c r="BQ254" s="31"/>
      <c r="BR254" s="31"/>
      <c r="BS254" s="31"/>
      <c r="BT254" s="31"/>
      <c r="BU254" s="31"/>
      <c r="BV254" s="31"/>
      <c r="BW254" s="31"/>
    </row>
    <row r="255" spans="6:75">
      <c r="F255" s="64" t="s">
        <v>817</v>
      </c>
      <c r="G255" s="64">
        <v>6</v>
      </c>
      <c r="H255" s="64">
        <f t="shared" si="3"/>
        <v>3</v>
      </c>
      <c r="I255" s="66" t="s">
        <v>92</v>
      </c>
      <c r="J255" s="64" t="s">
        <v>98</v>
      </c>
      <c r="K255" s="64" t="s">
        <v>795</v>
      </c>
      <c r="L255" s="64" t="s">
        <v>62</v>
      </c>
      <c r="M255" s="64" t="s">
        <v>26</v>
      </c>
      <c r="N255" s="64" t="s">
        <v>61</v>
      </c>
      <c r="O255" s="64">
        <v>4</v>
      </c>
      <c r="P255" s="64">
        <v>3</v>
      </c>
      <c r="Q255" s="64">
        <v>4</v>
      </c>
      <c r="R255" s="64">
        <v>2</v>
      </c>
      <c r="S255" s="64">
        <v>4</v>
      </c>
      <c r="T255" s="64">
        <v>3</v>
      </c>
      <c r="U255" s="64" t="s">
        <v>820</v>
      </c>
      <c r="V255" s="64" t="s">
        <v>821</v>
      </c>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c r="BO255" s="31"/>
      <c r="BP255" s="31"/>
      <c r="BQ255" s="31"/>
      <c r="BR255" s="31"/>
      <c r="BS255" s="31"/>
      <c r="BT255" s="31"/>
      <c r="BU255" s="31"/>
      <c r="BV255" s="31"/>
      <c r="BW255" s="31"/>
    </row>
    <row r="256" spans="6:75">
      <c r="F256" s="64" t="s">
        <v>822</v>
      </c>
      <c r="G256" s="64">
        <v>6</v>
      </c>
      <c r="H256" s="64">
        <f t="shared" si="3"/>
        <v>6</v>
      </c>
      <c r="I256" s="66" t="s">
        <v>92</v>
      </c>
      <c r="J256" s="64" t="s">
        <v>231</v>
      </c>
      <c r="K256" s="64" t="s">
        <v>795</v>
      </c>
      <c r="L256" s="64" t="s">
        <v>62</v>
      </c>
      <c r="M256" s="64" t="s">
        <v>26</v>
      </c>
      <c r="N256" s="64" t="s">
        <v>61</v>
      </c>
      <c r="O256" s="64">
        <v>4</v>
      </c>
      <c r="P256" s="64">
        <v>4</v>
      </c>
      <c r="Q256" s="64">
        <v>4</v>
      </c>
      <c r="R256" s="64">
        <v>4</v>
      </c>
      <c r="S256" s="64">
        <v>4</v>
      </c>
      <c r="T256" s="64">
        <v>4</v>
      </c>
      <c r="U256" s="64" t="s">
        <v>823</v>
      </c>
      <c r="V256" s="64" t="s">
        <v>824</v>
      </c>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1"/>
      <c r="BL256" s="31"/>
      <c r="BM256" s="31"/>
      <c r="BN256" s="31"/>
      <c r="BO256" s="31"/>
      <c r="BP256" s="31"/>
      <c r="BQ256" s="31"/>
      <c r="BR256" s="31"/>
      <c r="BS256" s="31"/>
      <c r="BT256" s="31"/>
      <c r="BU256" s="31"/>
      <c r="BV256" s="31"/>
      <c r="BW256" s="31"/>
    </row>
    <row r="257" spans="6:75">
      <c r="F257" s="64" t="s">
        <v>825</v>
      </c>
      <c r="G257" s="64">
        <v>6</v>
      </c>
      <c r="H257" s="64">
        <f t="shared" si="3"/>
        <v>6</v>
      </c>
      <c r="I257" s="66" t="s">
        <v>92</v>
      </c>
      <c r="J257" s="64" t="s">
        <v>227</v>
      </c>
      <c r="K257" s="64" t="s">
        <v>672</v>
      </c>
      <c r="L257" s="64" t="s">
        <v>62</v>
      </c>
      <c r="M257" s="64" t="s">
        <v>26</v>
      </c>
      <c r="N257" s="64" t="s">
        <v>61</v>
      </c>
      <c r="O257" s="64">
        <v>5</v>
      </c>
      <c r="P257" s="64">
        <v>5</v>
      </c>
      <c r="Q257" s="64">
        <v>5</v>
      </c>
      <c r="R257" s="64">
        <v>5</v>
      </c>
      <c r="S257" s="64">
        <v>5</v>
      </c>
      <c r="T257" s="64">
        <v>5</v>
      </c>
      <c r="U257" s="64" t="s">
        <v>826</v>
      </c>
      <c r="V257" s="64" t="s">
        <v>827</v>
      </c>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c r="BO257" s="31"/>
      <c r="BP257" s="31"/>
      <c r="BQ257" s="31"/>
      <c r="BR257" s="31"/>
      <c r="BS257" s="31"/>
      <c r="BT257" s="31"/>
      <c r="BU257" s="31"/>
      <c r="BV257" s="31"/>
      <c r="BW257" s="31"/>
    </row>
    <row r="258" spans="6:75">
      <c r="F258" s="64" t="s">
        <v>828</v>
      </c>
      <c r="G258" s="64">
        <v>6</v>
      </c>
      <c r="H258" s="64">
        <f t="shared" si="3"/>
        <v>5</v>
      </c>
      <c r="I258" s="66" t="s">
        <v>92</v>
      </c>
      <c r="J258" s="64" t="s">
        <v>98</v>
      </c>
      <c r="K258" s="64" t="s">
        <v>795</v>
      </c>
      <c r="L258" s="64" t="s">
        <v>62</v>
      </c>
      <c r="M258" s="64" t="s">
        <v>26</v>
      </c>
      <c r="N258" s="64" t="s">
        <v>61</v>
      </c>
      <c r="O258" s="64">
        <v>3</v>
      </c>
      <c r="P258" s="64">
        <v>4</v>
      </c>
      <c r="Q258" s="64">
        <v>4</v>
      </c>
      <c r="R258" s="64">
        <v>4</v>
      </c>
      <c r="S258" s="64">
        <v>4</v>
      </c>
      <c r="T258" s="64">
        <v>4</v>
      </c>
      <c r="U258" s="64" t="s">
        <v>829</v>
      </c>
      <c r="V258" s="64" t="s">
        <v>830</v>
      </c>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1"/>
      <c r="BL258" s="31"/>
      <c r="BM258" s="31"/>
      <c r="BN258" s="31"/>
      <c r="BO258" s="31"/>
      <c r="BP258" s="31"/>
      <c r="BQ258" s="31"/>
      <c r="BR258" s="31"/>
      <c r="BS258" s="31"/>
      <c r="BT258" s="31"/>
      <c r="BU258" s="31"/>
      <c r="BV258" s="31"/>
      <c r="BW258" s="31"/>
    </row>
    <row r="259" spans="6:75">
      <c r="F259" s="64" t="s">
        <v>831</v>
      </c>
      <c r="G259" s="64">
        <v>6</v>
      </c>
      <c r="H259" s="64">
        <f t="shared" ref="H259:H296" si="4">COUNTIF(O259:T259,"&gt;3")</f>
        <v>6</v>
      </c>
      <c r="I259" s="66" t="s">
        <v>92</v>
      </c>
      <c r="J259" s="64" t="s">
        <v>231</v>
      </c>
      <c r="K259" s="64" t="s">
        <v>795</v>
      </c>
      <c r="L259" s="64" t="s">
        <v>62</v>
      </c>
      <c r="M259" s="64" t="s">
        <v>26</v>
      </c>
      <c r="N259" s="64" t="s">
        <v>61</v>
      </c>
      <c r="O259" s="64">
        <v>5</v>
      </c>
      <c r="P259" s="64">
        <v>5</v>
      </c>
      <c r="Q259" s="64">
        <v>5</v>
      </c>
      <c r="R259" s="64">
        <v>5</v>
      </c>
      <c r="S259" s="64">
        <v>5</v>
      </c>
      <c r="T259" s="64">
        <v>5</v>
      </c>
      <c r="U259" s="64"/>
      <c r="V259" s="64"/>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1"/>
      <c r="BL259" s="31"/>
      <c r="BM259" s="31"/>
      <c r="BN259" s="31"/>
      <c r="BO259" s="31"/>
      <c r="BP259" s="31"/>
      <c r="BQ259" s="31"/>
      <c r="BR259" s="31"/>
      <c r="BS259" s="31"/>
      <c r="BT259" s="31"/>
      <c r="BU259" s="31"/>
      <c r="BV259" s="31"/>
      <c r="BW259" s="31"/>
    </row>
    <row r="260" spans="6:75">
      <c r="F260" s="64" t="s">
        <v>832</v>
      </c>
      <c r="G260" s="64">
        <v>6</v>
      </c>
      <c r="H260" s="64">
        <f t="shared" si="4"/>
        <v>6</v>
      </c>
      <c r="I260" s="66" t="s">
        <v>92</v>
      </c>
      <c r="J260" s="64" t="s">
        <v>98</v>
      </c>
      <c r="K260" s="64" t="s">
        <v>833</v>
      </c>
      <c r="L260" s="64" t="s">
        <v>21</v>
      </c>
      <c r="M260" s="64" t="s">
        <v>27</v>
      </c>
      <c r="N260" s="64" t="s">
        <v>61</v>
      </c>
      <c r="O260" s="64">
        <v>5</v>
      </c>
      <c r="P260" s="64">
        <v>5</v>
      </c>
      <c r="Q260" s="64">
        <v>5</v>
      </c>
      <c r="R260" s="64">
        <v>5</v>
      </c>
      <c r="S260" s="64">
        <v>5</v>
      </c>
      <c r="T260" s="64">
        <v>5</v>
      </c>
      <c r="U260" s="64" t="s">
        <v>834</v>
      </c>
      <c r="V260" s="64" t="s">
        <v>835</v>
      </c>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1"/>
      <c r="BL260" s="31"/>
      <c r="BM260" s="31"/>
      <c r="BN260" s="31"/>
      <c r="BO260" s="31"/>
      <c r="BP260" s="31"/>
      <c r="BQ260" s="31"/>
      <c r="BR260" s="31"/>
      <c r="BS260" s="31"/>
      <c r="BT260" s="31"/>
      <c r="BU260" s="31"/>
      <c r="BV260" s="31"/>
      <c r="BW260" s="31"/>
    </row>
    <row r="261" spans="6:75">
      <c r="F261" s="64" t="s">
        <v>836</v>
      </c>
      <c r="G261" s="64">
        <v>6</v>
      </c>
      <c r="H261" s="64">
        <f t="shared" si="4"/>
        <v>6</v>
      </c>
      <c r="I261" s="66" t="s">
        <v>92</v>
      </c>
      <c r="J261" s="64" t="s">
        <v>227</v>
      </c>
      <c r="K261" s="64" t="s">
        <v>833</v>
      </c>
      <c r="L261" s="64" t="s">
        <v>21</v>
      </c>
      <c r="M261" s="64" t="s">
        <v>21</v>
      </c>
      <c r="N261" s="64" t="s">
        <v>61</v>
      </c>
      <c r="O261" s="64">
        <v>5</v>
      </c>
      <c r="P261" s="64">
        <v>5</v>
      </c>
      <c r="Q261" s="64">
        <v>5</v>
      </c>
      <c r="R261" s="64">
        <v>5</v>
      </c>
      <c r="S261" s="64">
        <v>5</v>
      </c>
      <c r="T261" s="64">
        <v>5</v>
      </c>
      <c r="U261" s="64" t="s">
        <v>837</v>
      </c>
      <c r="V261" s="64" t="s">
        <v>838</v>
      </c>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c r="BL261" s="31"/>
      <c r="BM261" s="31"/>
      <c r="BN261" s="31"/>
      <c r="BO261" s="31"/>
      <c r="BP261" s="31"/>
      <c r="BQ261" s="31"/>
      <c r="BR261" s="31"/>
      <c r="BS261" s="31"/>
      <c r="BT261" s="31"/>
      <c r="BU261" s="31"/>
      <c r="BV261" s="31"/>
      <c r="BW261" s="31"/>
    </row>
    <row r="262" spans="6:75">
      <c r="F262" s="64" t="s">
        <v>839</v>
      </c>
      <c r="G262" s="64">
        <v>6</v>
      </c>
      <c r="H262" s="64">
        <f t="shared" si="4"/>
        <v>6</v>
      </c>
      <c r="I262" s="66" t="s">
        <v>92</v>
      </c>
      <c r="J262" s="64" t="s">
        <v>231</v>
      </c>
      <c r="K262" s="64" t="s">
        <v>840</v>
      </c>
      <c r="L262" s="64" t="s">
        <v>27</v>
      </c>
      <c r="M262" s="64" t="s">
        <v>21</v>
      </c>
      <c r="N262" s="64" t="s">
        <v>61</v>
      </c>
      <c r="O262" s="64">
        <v>5</v>
      </c>
      <c r="P262" s="64">
        <v>5</v>
      </c>
      <c r="Q262" s="64">
        <v>4</v>
      </c>
      <c r="R262" s="64">
        <v>5</v>
      </c>
      <c r="S262" s="64">
        <v>5</v>
      </c>
      <c r="T262" s="64">
        <v>5</v>
      </c>
      <c r="U262" s="64"/>
      <c r="V262" s="64"/>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1"/>
      <c r="BL262" s="31"/>
      <c r="BM262" s="31"/>
      <c r="BN262" s="31"/>
      <c r="BO262" s="31"/>
      <c r="BP262" s="31"/>
      <c r="BQ262" s="31"/>
      <c r="BR262" s="31"/>
      <c r="BS262" s="31"/>
      <c r="BT262" s="31"/>
      <c r="BU262" s="31"/>
      <c r="BV262" s="31"/>
      <c r="BW262" s="31"/>
    </row>
    <row r="263" spans="6:75">
      <c r="F263" s="64" t="s">
        <v>841</v>
      </c>
      <c r="G263" s="64">
        <v>6</v>
      </c>
      <c r="H263" s="64">
        <f t="shared" si="4"/>
        <v>6</v>
      </c>
      <c r="I263" s="66" t="s">
        <v>92</v>
      </c>
      <c r="J263" s="64" t="s">
        <v>98</v>
      </c>
      <c r="K263" s="64" t="s">
        <v>833</v>
      </c>
      <c r="L263" s="64" t="s">
        <v>21</v>
      </c>
      <c r="M263" s="64" t="s">
        <v>21</v>
      </c>
      <c r="N263" s="64" t="s">
        <v>61</v>
      </c>
      <c r="O263" s="64">
        <v>5</v>
      </c>
      <c r="P263" s="64">
        <v>5</v>
      </c>
      <c r="Q263" s="64">
        <v>5</v>
      </c>
      <c r="R263" s="64">
        <v>5</v>
      </c>
      <c r="S263" s="64">
        <v>5</v>
      </c>
      <c r="T263" s="64">
        <v>5</v>
      </c>
      <c r="U263" s="64" t="s">
        <v>842</v>
      </c>
      <c r="V263" s="64" t="s">
        <v>843</v>
      </c>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c r="BO263" s="31"/>
      <c r="BP263" s="31"/>
      <c r="BQ263" s="31"/>
      <c r="BR263" s="31"/>
      <c r="BS263" s="31"/>
      <c r="BT263" s="31"/>
      <c r="BU263" s="31"/>
      <c r="BV263" s="31"/>
      <c r="BW263" s="31"/>
    </row>
    <row r="264" spans="6:75">
      <c r="F264" s="64" t="s">
        <v>844</v>
      </c>
      <c r="G264" s="64">
        <v>6</v>
      </c>
      <c r="H264" s="64">
        <f t="shared" si="4"/>
        <v>6</v>
      </c>
      <c r="I264" s="66" t="s">
        <v>92</v>
      </c>
      <c r="J264" s="64" t="s">
        <v>98</v>
      </c>
      <c r="K264" s="64" t="s">
        <v>833</v>
      </c>
      <c r="L264" s="64" t="s">
        <v>21</v>
      </c>
      <c r="M264" s="64" t="s">
        <v>21</v>
      </c>
      <c r="N264" s="64" t="s">
        <v>61</v>
      </c>
      <c r="O264" s="64">
        <v>5</v>
      </c>
      <c r="P264" s="64">
        <v>5</v>
      </c>
      <c r="Q264" s="64">
        <v>5</v>
      </c>
      <c r="R264" s="64">
        <v>5</v>
      </c>
      <c r="S264" s="64">
        <v>5</v>
      </c>
      <c r="T264" s="64">
        <v>5</v>
      </c>
      <c r="U264" s="64" t="s">
        <v>845</v>
      </c>
      <c r="V264" s="64" t="s">
        <v>846</v>
      </c>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31"/>
      <c r="BN264" s="31"/>
      <c r="BO264" s="31"/>
      <c r="BP264" s="31"/>
      <c r="BQ264" s="31"/>
      <c r="BR264" s="31"/>
      <c r="BS264" s="31"/>
      <c r="BT264" s="31"/>
      <c r="BU264" s="31"/>
      <c r="BV264" s="31"/>
      <c r="BW264" s="31"/>
    </row>
    <row r="265" spans="6:75">
      <c r="F265" s="64" t="s">
        <v>847</v>
      </c>
      <c r="G265" s="64">
        <v>6</v>
      </c>
      <c r="H265" s="64">
        <f t="shared" si="4"/>
        <v>6</v>
      </c>
      <c r="I265" s="66" t="s">
        <v>92</v>
      </c>
      <c r="J265" s="64" t="s">
        <v>238</v>
      </c>
      <c r="K265" s="64" t="s">
        <v>848</v>
      </c>
      <c r="L265" s="64" t="s">
        <v>21</v>
      </c>
      <c r="M265" s="64" t="s">
        <v>21</v>
      </c>
      <c r="N265" s="64" t="s">
        <v>61</v>
      </c>
      <c r="O265" s="64">
        <v>5</v>
      </c>
      <c r="P265" s="64">
        <v>5</v>
      </c>
      <c r="Q265" s="64">
        <v>5</v>
      </c>
      <c r="R265" s="64">
        <v>5</v>
      </c>
      <c r="S265" s="64">
        <v>5</v>
      </c>
      <c r="T265" s="64">
        <v>5</v>
      </c>
      <c r="U265" s="64" t="s">
        <v>849</v>
      </c>
      <c r="V265" s="64" t="s">
        <v>850</v>
      </c>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c r="BL265" s="31"/>
      <c r="BM265" s="31"/>
      <c r="BN265" s="31"/>
      <c r="BO265" s="31"/>
      <c r="BP265" s="31"/>
      <c r="BQ265" s="31"/>
      <c r="BR265" s="31"/>
      <c r="BS265" s="31"/>
      <c r="BT265" s="31"/>
      <c r="BU265" s="31"/>
      <c r="BV265" s="31"/>
      <c r="BW265" s="31"/>
    </row>
    <row r="266" spans="6:75">
      <c r="F266" s="64" t="s">
        <v>851</v>
      </c>
      <c r="G266" s="64">
        <v>6</v>
      </c>
      <c r="H266" s="64">
        <f t="shared" si="4"/>
        <v>6</v>
      </c>
      <c r="I266" s="66" t="s">
        <v>92</v>
      </c>
      <c r="J266" s="64" t="s">
        <v>231</v>
      </c>
      <c r="K266" s="64" t="s">
        <v>833</v>
      </c>
      <c r="L266" s="64" t="s">
        <v>21</v>
      </c>
      <c r="M266" s="64" t="s">
        <v>21</v>
      </c>
      <c r="N266" s="64" t="s">
        <v>61</v>
      </c>
      <c r="O266" s="64">
        <v>5</v>
      </c>
      <c r="P266" s="64">
        <v>5</v>
      </c>
      <c r="Q266" s="64">
        <v>5</v>
      </c>
      <c r="R266" s="64">
        <v>5</v>
      </c>
      <c r="S266" s="64">
        <v>5</v>
      </c>
      <c r="T266" s="64">
        <v>5</v>
      </c>
      <c r="U266" s="64" t="s">
        <v>852</v>
      </c>
      <c r="V266" s="64"/>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1"/>
      <c r="BL266" s="31"/>
      <c r="BM266" s="31"/>
      <c r="BN266" s="31"/>
      <c r="BO266" s="31"/>
      <c r="BP266" s="31"/>
      <c r="BQ266" s="31"/>
      <c r="BR266" s="31"/>
      <c r="BS266" s="31"/>
      <c r="BT266" s="31"/>
      <c r="BU266" s="31"/>
      <c r="BV266" s="31"/>
      <c r="BW266" s="31"/>
    </row>
    <row r="267" spans="6:75">
      <c r="F267" s="64" t="s">
        <v>853</v>
      </c>
      <c r="G267" s="64">
        <v>6</v>
      </c>
      <c r="H267" s="64">
        <f t="shared" si="4"/>
        <v>6</v>
      </c>
      <c r="I267" s="66" t="s">
        <v>92</v>
      </c>
      <c r="J267" s="64" t="s">
        <v>238</v>
      </c>
      <c r="K267" s="64" t="s">
        <v>833</v>
      </c>
      <c r="L267" s="64" t="s">
        <v>21</v>
      </c>
      <c r="M267" s="64" t="s">
        <v>21</v>
      </c>
      <c r="N267" s="64" t="s">
        <v>61</v>
      </c>
      <c r="O267" s="64">
        <v>4</v>
      </c>
      <c r="P267" s="64">
        <v>5</v>
      </c>
      <c r="Q267" s="64">
        <v>5</v>
      </c>
      <c r="R267" s="64">
        <v>5</v>
      </c>
      <c r="S267" s="64">
        <v>5</v>
      </c>
      <c r="T267" s="64">
        <v>5</v>
      </c>
      <c r="U267" s="64" t="s">
        <v>854</v>
      </c>
      <c r="V267" s="64" t="s">
        <v>855</v>
      </c>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c r="BL267" s="31"/>
      <c r="BM267" s="31"/>
      <c r="BN267" s="31"/>
      <c r="BO267" s="31"/>
      <c r="BP267" s="31"/>
      <c r="BQ267" s="31"/>
      <c r="BR267" s="31"/>
      <c r="BS267" s="31"/>
      <c r="BT267" s="31"/>
      <c r="BU267" s="31"/>
      <c r="BV267" s="31"/>
      <c r="BW267" s="31"/>
    </row>
    <row r="268" spans="6:75">
      <c r="F268" s="64" t="s">
        <v>856</v>
      </c>
      <c r="G268" s="64">
        <v>6</v>
      </c>
      <c r="H268" s="64">
        <f t="shared" si="4"/>
        <v>6</v>
      </c>
      <c r="I268" s="66" t="s">
        <v>92</v>
      </c>
      <c r="J268" s="64" t="s">
        <v>98</v>
      </c>
      <c r="K268" s="64" t="s">
        <v>857</v>
      </c>
      <c r="L268" s="64" t="s">
        <v>31</v>
      </c>
      <c r="M268" s="64" t="s">
        <v>34</v>
      </c>
      <c r="N268" s="64" t="s">
        <v>61</v>
      </c>
      <c r="O268" s="64">
        <v>4</v>
      </c>
      <c r="P268" s="64">
        <v>4</v>
      </c>
      <c r="Q268" s="64">
        <v>4</v>
      </c>
      <c r="R268" s="64">
        <v>4</v>
      </c>
      <c r="S268" s="64">
        <v>4</v>
      </c>
      <c r="T268" s="64">
        <v>4</v>
      </c>
      <c r="U268" s="64"/>
      <c r="V268" s="64"/>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c r="BL268" s="31"/>
      <c r="BM268" s="31"/>
      <c r="BN268" s="31"/>
      <c r="BO268" s="31"/>
      <c r="BP268" s="31"/>
      <c r="BQ268" s="31"/>
      <c r="BR268" s="31"/>
      <c r="BS268" s="31"/>
      <c r="BT268" s="31"/>
      <c r="BU268" s="31"/>
      <c r="BV268" s="31"/>
      <c r="BW268" s="31"/>
    </row>
    <row r="269" spans="6:75" ht="30.75">
      <c r="F269" s="64" t="s">
        <v>858</v>
      </c>
      <c r="G269" s="64">
        <v>6</v>
      </c>
      <c r="H269" s="64">
        <f t="shared" si="4"/>
        <v>5</v>
      </c>
      <c r="I269" s="66" t="s">
        <v>92</v>
      </c>
      <c r="J269" s="64" t="s">
        <v>227</v>
      </c>
      <c r="K269" s="64" t="s">
        <v>859</v>
      </c>
      <c r="L269" s="64" t="s">
        <v>31</v>
      </c>
      <c r="M269" s="64" t="s">
        <v>34</v>
      </c>
      <c r="N269" s="64" t="s">
        <v>61</v>
      </c>
      <c r="O269" s="64">
        <v>5</v>
      </c>
      <c r="P269" s="64">
        <v>2</v>
      </c>
      <c r="Q269" s="64">
        <v>4</v>
      </c>
      <c r="R269" s="64">
        <v>4</v>
      </c>
      <c r="S269" s="64">
        <v>4</v>
      </c>
      <c r="T269" s="64">
        <v>4</v>
      </c>
      <c r="U269" s="64" t="s">
        <v>860</v>
      </c>
      <c r="V269" s="64" t="s">
        <v>861</v>
      </c>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1"/>
      <c r="BL269" s="31"/>
      <c r="BM269" s="31"/>
      <c r="BN269" s="31"/>
      <c r="BO269" s="31"/>
      <c r="BP269" s="31"/>
      <c r="BQ269" s="31"/>
      <c r="BR269" s="31"/>
      <c r="BS269" s="31"/>
      <c r="BT269" s="31"/>
      <c r="BU269" s="31"/>
      <c r="BV269" s="31"/>
      <c r="BW269" s="31"/>
    </row>
    <row r="270" spans="6:75">
      <c r="F270" s="64" t="s">
        <v>862</v>
      </c>
      <c r="G270" s="64">
        <v>6</v>
      </c>
      <c r="H270" s="64">
        <f t="shared" si="4"/>
        <v>6</v>
      </c>
      <c r="I270" s="66" t="s">
        <v>92</v>
      </c>
      <c r="J270" s="64" t="s">
        <v>227</v>
      </c>
      <c r="K270" s="64" t="s">
        <v>863</v>
      </c>
      <c r="L270" s="64" t="s">
        <v>31</v>
      </c>
      <c r="M270" s="64" t="s">
        <v>34</v>
      </c>
      <c r="N270" s="64" t="s">
        <v>61</v>
      </c>
      <c r="O270" s="64">
        <v>5</v>
      </c>
      <c r="P270" s="64">
        <v>5</v>
      </c>
      <c r="Q270" s="64">
        <v>5</v>
      </c>
      <c r="R270" s="64">
        <v>5</v>
      </c>
      <c r="S270" s="64">
        <v>5</v>
      </c>
      <c r="T270" s="64">
        <v>5</v>
      </c>
      <c r="U270" s="64" t="s">
        <v>864</v>
      </c>
      <c r="V270" s="64" t="s">
        <v>865</v>
      </c>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1"/>
      <c r="BL270" s="31"/>
      <c r="BM270" s="31"/>
      <c r="BN270" s="31"/>
      <c r="BO270" s="31"/>
      <c r="BP270" s="31"/>
      <c r="BQ270" s="31"/>
      <c r="BR270" s="31"/>
      <c r="BS270" s="31"/>
      <c r="BT270" s="31"/>
      <c r="BU270" s="31"/>
      <c r="BV270" s="31"/>
      <c r="BW270" s="31"/>
    </row>
    <row r="271" spans="6:75">
      <c r="F271" s="64" t="s">
        <v>866</v>
      </c>
      <c r="G271" s="64">
        <v>6</v>
      </c>
      <c r="H271" s="64">
        <f t="shared" si="4"/>
        <v>6</v>
      </c>
      <c r="I271" s="66" t="s">
        <v>92</v>
      </c>
      <c r="J271" s="64" t="s">
        <v>227</v>
      </c>
      <c r="K271" s="64" t="s">
        <v>863</v>
      </c>
      <c r="L271" s="64" t="s">
        <v>31</v>
      </c>
      <c r="M271" s="64" t="s">
        <v>34</v>
      </c>
      <c r="N271" s="64" t="s">
        <v>61</v>
      </c>
      <c r="O271" s="64">
        <v>5</v>
      </c>
      <c r="P271" s="64">
        <v>5</v>
      </c>
      <c r="Q271" s="64">
        <v>5</v>
      </c>
      <c r="R271" s="64">
        <v>5</v>
      </c>
      <c r="S271" s="64">
        <v>5</v>
      </c>
      <c r="T271" s="64">
        <v>5</v>
      </c>
      <c r="U271" s="64" t="s">
        <v>867</v>
      </c>
      <c r="V271" s="64" t="s">
        <v>868</v>
      </c>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1"/>
      <c r="BL271" s="31"/>
      <c r="BM271" s="31"/>
      <c r="BN271" s="31"/>
      <c r="BO271" s="31"/>
      <c r="BP271" s="31"/>
      <c r="BQ271" s="31"/>
      <c r="BR271" s="31"/>
      <c r="BS271" s="31"/>
      <c r="BT271" s="31"/>
      <c r="BU271" s="31"/>
      <c r="BV271" s="31"/>
      <c r="BW271" s="31"/>
    </row>
    <row r="272" spans="6:75">
      <c r="F272" s="64" t="s">
        <v>869</v>
      </c>
      <c r="G272" s="64">
        <v>6</v>
      </c>
      <c r="H272" s="64">
        <f t="shared" si="4"/>
        <v>2</v>
      </c>
      <c r="I272" s="66" t="s">
        <v>92</v>
      </c>
      <c r="J272" s="64" t="s">
        <v>227</v>
      </c>
      <c r="K272" s="64" t="s">
        <v>859</v>
      </c>
      <c r="L272" s="64" t="s">
        <v>31</v>
      </c>
      <c r="M272" s="64" t="s">
        <v>34</v>
      </c>
      <c r="N272" s="64" t="s">
        <v>61</v>
      </c>
      <c r="O272" s="64">
        <v>4</v>
      </c>
      <c r="P272" s="64">
        <v>3</v>
      </c>
      <c r="Q272" s="64">
        <v>4</v>
      </c>
      <c r="R272" s="64">
        <v>3</v>
      </c>
      <c r="S272" s="64">
        <v>3</v>
      </c>
      <c r="T272" s="64">
        <v>3</v>
      </c>
      <c r="U272" s="64" t="s">
        <v>870</v>
      </c>
      <c r="V272" s="64" t="s">
        <v>871</v>
      </c>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1"/>
      <c r="BL272" s="31"/>
      <c r="BM272" s="31"/>
      <c r="BN272" s="31"/>
      <c r="BO272" s="31"/>
      <c r="BP272" s="31"/>
      <c r="BQ272" s="31"/>
      <c r="BR272" s="31"/>
      <c r="BS272" s="31"/>
      <c r="BT272" s="31"/>
      <c r="BU272" s="31"/>
      <c r="BV272" s="31"/>
      <c r="BW272" s="31"/>
    </row>
    <row r="273" spans="6:75">
      <c r="F273" s="64" t="s">
        <v>872</v>
      </c>
      <c r="G273" s="64">
        <v>6</v>
      </c>
      <c r="H273" s="64">
        <f t="shared" si="4"/>
        <v>6</v>
      </c>
      <c r="I273" s="66" t="s">
        <v>92</v>
      </c>
      <c r="J273" s="64" t="s">
        <v>227</v>
      </c>
      <c r="K273" s="64" t="s">
        <v>863</v>
      </c>
      <c r="L273" s="64" t="s">
        <v>31</v>
      </c>
      <c r="M273" s="64" t="s">
        <v>34</v>
      </c>
      <c r="N273" s="64" t="s">
        <v>61</v>
      </c>
      <c r="O273" s="64">
        <v>5</v>
      </c>
      <c r="P273" s="64">
        <v>5</v>
      </c>
      <c r="Q273" s="64">
        <v>4</v>
      </c>
      <c r="R273" s="64">
        <v>5</v>
      </c>
      <c r="S273" s="64">
        <v>4</v>
      </c>
      <c r="T273" s="64">
        <v>4</v>
      </c>
      <c r="U273" s="64" t="s">
        <v>873</v>
      </c>
      <c r="V273" s="64" t="s">
        <v>874</v>
      </c>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c r="BL273" s="31"/>
      <c r="BM273" s="31"/>
      <c r="BN273" s="31"/>
      <c r="BO273" s="31"/>
      <c r="BP273" s="31"/>
      <c r="BQ273" s="31"/>
      <c r="BR273" s="31"/>
      <c r="BS273" s="31"/>
      <c r="BT273" s="31"/>
      <c r="BU273" s="31"/>
      <c r="BV273" s="31"/>
      <c r="BW273" s="31"/>
    </row>
    <row r="274" spans="6:75">
      <c r="F274" s="64" t="s">
        <v>875</v>
      </c>
      <c r="G274" s="64">
        <v>6</v>
      </c>
      <c r="H274" s="64">
        <f t="shared" si="4"/>
        <v>6</v>
      </c>
      <c r="I274" s="66" t="s">
        <v>92</v>
      </c>
      <c r="J274" s="64" t="s">
        <v>227</v>
      </c>
      <c r="K274" s="64" t="s">
        <v>859</v>
      </c>
      <c r="L274" s="64" t="s">
        <v>31</v>
      </c>
      <c r="M274" s="64" t="s">
        <v>34</v>
      </c>
      <c r="N274" s="64" t="s">
        <v>61</v>
      </c>
      <c r="O274" s="64">
        <v>5</v>
      </c>
      <c r="P274" s="64">
        <v>5</v>
      </c>
      <c r="Q274" s="64">
        <v>5</v>
      </c>
      <c r="R274" s="64">
        <v>5</v>
      </c>
      <c r="S274" s="64">
        <v>5</v>
      </c>
      <c r="T274" s="64">
        <v>5</v>
      </c>
      <c r="U274" s="64"/>
      <c r="V274" s="64"/>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1"/>
      <c r="BL274" s="31"/>
      <c r="BM274" s="31"/>
      <c r="BN274" s="31"/>
      <c r="BO274" s="31"/>
      <c r="BP274" s="31"/>
      <c r="BQ274" s="31"/>
      <c r="BR274" s="31"/>
      <c r="BS274" s="31"/>
      <c r="BT274" s="31"/>
      <c r="BU274" s="31"/>
      <c r="BV274" s="31"/>
      <c r="BW274" s="31"/>
    </row>
    <row r="275" spans="6:75">
      <c r="F275" s="64" t="s">
        <v>876</v>
      </c>
      <c r="G275" s="64">
        <v>6</v>
      </c>
      <c r="H275" s="64">
        <f t="shared" si="4"/>
        <v>6</v>
      </c>
      <c r="I275" s="66" t="s">
        <v>92</v>
      </c>
      <c r="J275" s="64" t="s">
        <v>231</v>
      </c>
      <c r="K275" s="64" t="s">
        <v>877</v>
      </c>
      <c r="L275" s="64" t="s">
        <v>32</v>
      </c>
      <c r="M275" s="64" t="s">
        <v>20</v>
      </c>
      <c r="N275" s="64" t="s">
        <v>210</v>
      </c>
      <c r="O275" s="64">
        <v>4</v>
      </c>
      <c r="P275" s="64">
        <v>4</v>
      </c>
      <c r="Q275" s="64">
        <v>4</v>
      </c>
      <c r="R275" s="64">
        <v>4</v>
      </c>
      <c r="S275" s="64">
        <v>4</v>
      </c>
      <c r="T275" s="64">
        <v>4</v>
      </c>
      <c r="U275" s="64"/>
      <c r="V275" s="64"/>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1"/>
      <c r="BL275" s="31"/>
      <c r="BM275" s="31"/>
      <c r="BN275" s="31"/>
      <c r="BO275" s="31"/>
      <c r="BP275" s="31"/>
      <c r="BQ275" s="31"/>
      <c r="BR275" s="31"/>
      <c r="BS275" s="31"/>
      <c r="BT275" s="31"/>
      <c r="BU275" s="31"/>
      <c r="BV275" s="31"/>
      <c r="BW275" s="31"/>
    </row>
    <row r="276" spans="6:75">
      <c r="F276" s="64" t="s">
        <v>878</v>
      </c>
      <c r="G276" s="64">
        <v>6</v>
      </c>
      <c r="H276" s="64">
        <f t="shared" si="4"/>
        <v>6</v>
      </c>
      <c r="I276" s="66" t="s">
        <v>92</v>
      </c>
      <c r="J276" s="64" t="s">
        <v>238</v>
      </c>
      <c r="K276" s="64" t="s">
        <v>877</v>
      </c>
      <c r="L276" s="64" t="s">
        <v>20</v>
      </c>
      <c r="M276" s="64" t="s">
        <v>32</v>
      </c>
      <c r="N276" s="64" t="s">
        <v>210</v>
      </c>
      <c r="O276" s="64">
        <v>4</v>
      </c>
      <c r="P276" s="64">
        <v>4</v>
      </c>
      <c r="Q276" s="64">
        <v>4</v>
      </c>
      <c r="R276" s="64">
        <v>4</v>
      </c>
      <c r="S276" s="64">
        <v>4</v>
      </c>
      <c r="T276" s="64">
        <v>4</v>
      </c>
      <c r="U276" s="64"/>
      <c r="V276" s="64"/>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1"/>
      <c r="BL276" s="31"/>
      <c r="BM276" s="31"/>
      <c r="BN276" s="31"/>
      <c r="BO276" s="31"/>
      <c r="BP276" s="31"/>
      <c r="BQ276" s="31"/>
      <c r="BR276" s="31"/>
      <c r="BS276" s="31"/>
      <c r="BT276" s="31"/>
      <c r="BU276" s="31"/>
      <c r="BV276" s="31"/>
      <c r="BW276" s="31"/>
    </row>
    <row r="277" spans="6:75">
      <c r="F277" s="64" t="s">
        <v>879</v>
      </c>
      <c r="G277" s="64">
        <v>6</v>
      </c>
      <c r="H277" s="64">
        <f t="shared" si="4"/>
        <v>6</v>
      </c>
      <c r="I277" s="66" t="s">
        <v>92</v>
      </c>
      <c r="J277" s="64" t="s">
        <v>231</v>
      </c>
      <c r="K277" s="64" t="s">
        <v>877</v>
      </c>
      <c r="L277" s="64" t="s">
        <v>32</v>
      </c>
      <c r="M277" s="64" t="s">
        <v>20</v>
      </c>
      <c r="N277" s="64" t="s">
        <v>210</v>
      </c>
      <c r="O277" s="64">
        <v>5</v>
      </c>
      <c r="P277" s="64">
        <v>5</v>
      </c>
      <c r="Q277" s="64">
        <v>5</v>
      </c>
      <c r="R277" s="64">
        <v>5</v>
      </c>
      <c r="S277" s="64">
        <v>5</v>
      </c>
      <c r="T277" s="64">
        <v>5</v>
      </c>
      <c r="U277" s="64" t="s">
        <v>880</v>
      </c>
      <c r="V277" s="64" t="s">
        <v>881</v>
      </c>
      <c r="W277" s="31"/>
      <c r="X277" s="31"/>
      <c r="Y277" s="31"/>
      <c r="Z277" s="31"/>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1"/>
      <c r="BL277" s="31"/>
      <c r="BM277" s="31"/>
      <c r="BN277" s="31"/>
      <c r="BO277" s="31"/>
      <c r="BP277" s="31"/>
      <c r="BQ277" s="31"/>
      <c r="BR277" s="31"/>
      <c r="BS277" s="31"/>
      <c r="BT277" s="31"/>
      <c r="BU277" s="31"/>
      <c r="BV277" s="31"/>
      <c r="BW277" s="31"/>
    </row>
    <row r="278" spans="6:75">
      <c r="F278" s="64" t="s">
        <v>882</v>
      </c>
      <c r="G278" s="64">
        <v>6</v>
      </c>
      <c r="H278" s="64">
        <f t="shared" si="4"/>
        <v>6</v>
      </c>
      <c r="I278" s="66" t="s">
        <v>92</v>
      </c>
      <c r="J278" s="64" t="s">
        <v>227</v>
      </c>
      <c r="K278" s="64" t="s">
        <v>883</v>
      </c>
      <c r="L278" s="64" t="s">
        <v>32</v>
      </c>
      <c r="M278" s="64" t="s">
        <v>20</v>
      </c>
      <c r="N278" s="64" t="s">
        <v>210</v>
      </c>
      <c r="O278" s="64">
        <v>5</v>
      </c>
      <c r="P278" s="64">
        <v>5</v>
      </c>
      <c r="Q278" s="64">
        <v>5</v>
      </c>
      <c r="R278" s="64">
        <v>5</v>
      </c>
      <c r="S278" s="64">
        <v>5</v>
      </c>
      <c r="T278" s="64">
        <v>5</v>
      </c>
      <c r="U278" s="64" t="s">
        <v>884</v>
      </c>
      <c r="V278" s="64" t="s">
        <v>885</v>
      </c>
      <c r="W278" s="31"/>
      <c r="X278" s="31"/>
      <c r="Y278" s="31"/>
      <c r="Z278" s="31"/>
      <c r="AA278" s="31"/>
      <c r="AB278" s="31"/>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1"/>
      <c r="BL278" s="31"/>
      <c r="BM278" s="31"/>
      <c r="BN278" s="31"/>
      <c r="BO278" s="31"/>
      <c r="BP278" s="31"/>
      <c r="BQ278" s="31"/>
      <c r="BR278" s="31"/>
      <c r="BS278" s="31"/>
      <c r="BT278" s="31"/>
      <c r="BU278" s="31"/>
      <c r="BV278" s="31"/>
      <c r="BW278" s="31"/>
    </row>
    <row r="279" spans="6:75">
      <c r="F279" s="64" t="s">
        <v>886</v>
      </c>
      <c r="G279" s="64">
        <v>6</v>
      </c>
      <c r="H279" s="64">
        <f t="shared" si="4"/>
        <v>6</v>
      </c>
      <c r="I279" s="66" t="s">
        <v>92</v>
      </c>
      <c r="J279" s="64" t="s">
        <v>231</v>
      </c>
      <c r="K279" s="64" t="s">
        <v>877</v>
      </c>
      <c r="L279" s="64" t="s">
        <v>32</v>
      </c>
      <c r="M279" s="64" t="s">
        <v>20</v>
      </c>
      <c r="N279" s="64" t="s">
        <v>210</v>
      </c>
      <c r="O279" s="64">
        <v>5</v>
      </c>
      <c r="P279" s="64">
        <v>4</v>
      </c>
      <c r="Q279" s="64">
        <v>5</v>
      </c>
      <c r="R279" s="64">
        <v>4</v>
      </c>
      <c r="S279" s="64">
        <v>5</v>
      </c>
      <c r="T279" s="64">
        <v>5</v>
      </c>
      <c r="U279" s="64" t="s">
        <v>887</v>
      </c>
      <c r="V279" s="64" t="s">
        <v>147</v>
      </c>
      <c r="W279" s="31"/>
      <c r="X279" s="31"/>
      <c r="Y279" s="31"/>
      <c r="Z279" s="31"/>
      <c r="AA279" s="31"/>
      <c r="AB279" s="31"/>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1"/>
      <c r="BL279" s="31"/>
      <c r="BM279" s="31"/>
      <c r="BN279" s="31"/>
      <c r="BO279" s="31"/>
      <c r="BP279" s="31"/>
      <c r="BQ279" s="31"/>
      <c r="BR279" s="31"/>
      <c r="BS279" s="31"/>
      <c r="BT279" s="31"/>
      <c r="BU279" s="31"/>
      <c r="BV279" s="31"/>
      <c r="BW279" s="31"/>
    </row>
    <row r="280" spans="6:75">
      <c r="F280" s="64" t="s">
        <v>888</v>
      </c>
      <c r="G280" s="64">
        <v>6</v>
      </c>
      <c r="H280" s="64">
        <f t="shared" si="4"/>
        <v>2</v>
      </c>
      <c r="I280" s="66" t="s">
        <v>92</v>
      </c>
      <c r="J280" s="64" t="s">
        <v>98</v>
      </c>
      <c r="K280" s="64" t="s">
        <v>877</v>
      </c>
      <c r="L280" s="64" t="s">
        <v>32</v>
      </c>
      <c r="M280" s="64" t="s">
        <v>20</v>
      </c>
      <c r="N280" s="64" t="s">
        <v>210</v>
      </c>
      <c r="O280" s="64">
        <v>4</v>
      </c>
      <c r="P280" s="64">
        <v>3</v>
      </c>
      <c r="Q280" s="64">
        <v>4</v>
      </c>
      <c r="R280" s="64">
        <v>3</v>
      </c>
      <c r="S280" s="64">
        <v>2</v>
      </c>
      <c r="T280" s="64">
        <v>2</v>
      </c>
      <c r="U280" s="64"/>
      <c r="V280" s="64"/>
      <c r="W280" s="31"/>
      <c r="X280" s="31"/>
      <c r="Y280" s="31"/>
      <c r="Z280" s="31"/>
      <c r="AA280" s="31"/>
      <c r="AB280" s="31"/>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1"/>
      <c r="BL280" s="31"/>
      <c r="BM280" s="31"/>
      <c r="BN280" s="31"/>
      <c r="BO280" s="31"/>
      <c r="BP280" s="31"/>
      <c r="BQ280" s="31"/>
      <c r="BR280" s="31"/>
      <c r="BS280" s="31"/>
      <c r="BT280" s="31"/>
      <c r="BU280" s="31"/>
      <c r="BV280" s="31"/>
      <c r="BW280" s="31"/>
    </row>
    <row r="281" spans="6:75">
      <c r="F281" s="64" t="s">
        <v>889</v>
      </c>
      <c r="G281" s="64">
        <v>6</v>
      </c>
      <c r="H281" s="64">
        <f t="shared" si="4"/>
        <v>2</v>
      </c>
      <c r="I281" s="66" t="s">
        <v>92</v>
      </c>
      <c r="J281" s="64" t="s">
        <v>103</v>
      </c>
      <c r="K281" s="64" t="s">
        <v>877</v>
      </c>
      <c r="L281" s="64" t="s">
        <v>32</v>
      </c>
      <c r="M281" s="64" t="s">
        <v>20</v>
      </c>
      <c r="N281" s="64" t="s">
        <v>210</v>
      </c>
      <c r="O281" s="64">
        <v>3</v>
      </c>
      <c r="P281" s="64">
        <v>4</v>
      </c>
      <c r="Q281" s="64">
        <v>3</v>
      </c>
      <c r="R281" s="64">
        <v>4</v>
      </c>
      <c r="S281" s="64">
        <v>3</v>
      </c>
      <c r="T281" s="64">
        <v>3</v>
      </c>
      <c r="U281" s="64" t="s">
        <v>890</v>
      </c>
      <c r="V281" s="64" t="s">
        <v>891</v>
      </c>
      <c r="W281" s="31"/>
      <c r="X281" s="31"/>
      <c r="Y281" s="31"/>
      <c r="Z281" s="31"/>
      <c r="AA281" s="31"/>
      <c r="AB281" s="31"/>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1"/>
      <c r="BL281" s="31"/>
      <c r="BM281" s="31"/>
      <c r="BN281" s="31"/>
      <c r="BO281" s="31"/>
      <c r="BP281" s="31"/>
      <c r="BQ281" s="31"/>
      <c r="BR281" s="31"/>
      <c r="BS281" s="31"/>
      <c r="BT281" s="31"/>
      <c r="BU281" s="31"/>
      <c r="BV281" s="31"/>
      <c r="BW281" s="31"/>
    </row>
    <row r="282" spans="6:75">
      <c r="F282" s="64" t="s">
        <v>892</v>
      </c>
      <c r="G282" s="64">
        <v>6</v>
      </c>
      <c r="H282" s="64">
        <f t="shared" si="4"/>
        <v>6</v>
      </c>
      <c r="I282" s="66" t="s">
        <v>92</v>
      </c>
      <c r="J282" s="64" t="s">
        <v>231</v>
      </c>
      <c r="K282" s="64" t="s">
        <v>877</v>
      </c>
      <c r="L282" s="64" t="s">
        <v>32</v>
      </c>
      <c r="M282" s="64" t="s">
        <v>20</v>
      </c>
      <c r="N282" s="64" t="s">
        <v>210</v>
      </c>
      <c r="O282" s="64">
        <v>5</v>
      </c>
      <c r="P282" s="64">
        <v>5</v>
      </c>
      <c r="Q282" s="64">
        <v>5</v>
      </c>
      <c r="R282" s="64">
        <v>5</v>
      </c>
      <c r="S282" s="64">
        <v>5</v>
      </c>
      <c r="T282" s="64">
        <v>5</v>
      </c>
      <c r="U282" s="64" t="s">
        <v>893</v>
      </c>
      <c r="V282" s="64" t="s">
        <v>894</v>
      </c>
      <c r="W282" s="31"/>
      <c r="X282" s="31"/>
      <c r="Y282" s="31"/>
      <c r="Z282" s="31"/>
      <c r="AA282" s="31"/>
      <c r="AB282" s="31"/>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1"/>
      <c r="BL282" s="31"/>
      <c r="BM282" s="31"/>
      <c r="BN282" s="31"/>
      <c r="BO282" s="31"/>
      <c r="BP282" s="31"/>
      <c r="BQ282" s="31"/>
      <c r="BR282" s="31"/>
      <c r="BS282" s="31"/>
      <c r="BT282" s="31"/>
      <c r="BU282" s="31"/>
      <c r="BV282" s="31"/>
      <c r="BW282" s="31"/>
    </row>
    <row r="283" spans="6:75">
      <c r="F283" s="64" t="s">
        <v>895</v>
      </c>
      <c r="G283" s="64">
        <v>6</v>
      </c>
      <c r="H283" s="64">
        <f t="shared" si="4"/>
        <v>6</v>
      </c>
      <c r="I283" s="66" t="s">
        <v>92</v>
      </c>
      <c r="J283" s="64" t="s">
        <v>103</v>
      </c>
      <c r="K283" s="64" t="s">
        <v>877</v>
      </c>
      <c r="L283" s="64" t="s">
        <v>32</v>
      </c>
      <c r="M283" s="64" t="s">
        <v>20</v>
      </c>
      <c r="N283" s="64" t="s">
        <v>210</v>
      </c>
      <c r="O283" s="64">
        <v>4</v>
      </c>
      <c r="P283" s="64">
        <v>4</v>
      </c>
      <c r="Q283" s="64">
        <v>4</v>
      </c>
      <c r="R283" s="64">
        <v>5</v>
      </c>
      <c r="S283" s="64">
        <v>5</v>
      </c>
      <c r="T283" s="64">
        <v>5</v>
      </c>
      <c r="U283" s="64" t="s">
        <v>896</v>
      </c>
      <c r="V283" s="64" t="s">
        <v>897</v>
      </c>
      <c r="W283" s="31"/>
      <c r="X283" s="31"/>
      <c r="Y283" s="31"/>
      <c r="Z283" s="31"/>
      <c r="AA283" s="31"/>
      <c r="AB283" s="31"/>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1"/>
      <c r="BL283" s="31"/>
      <c r="BM283" s="31"/>
      <c r="BN283" s="31"/>
      <c r="BO283" s="31"/>
      <c r="BP283" s="31"/>
      <c r="BQ283" s="31"/>
      <c r="BR283" s="31"/>
      <c r="BS283" s="31"/>
      <c r="BT283" s="31"/>
      <c r="BU283" s="31"/>
      <c r="BV283" s="31"/>
      <c r="BW283" s="31"/>
    </row>
    <row r="284" spans="6:75">
      <c r="F284" s="64" t="s">
        <v>898</v>
      </c>
      <c r="G284" s="64">
        <v>6</v>
      </c>
      <c r="H284" s="64">
        <f t="shared" si="4"/>
        <v>4</v>
      </c>
      <c r="I284" s="66" t="s">
        <v>92</v>
      </c>
      <c r="J284" s="64" t="s">
        <v>231</v>
      </c>
      <c r="K284" s="64" t="s">
        <v>877</v>
      </c>
      <c r="L284" s="64" t="s">
        <v>32</v>
      </c>
      <c r="M284" s="64" t="s">
        <v>20</v>
      </c>
      <c r="N284" s="64"/>
      <c r="O284" s="64">
        <v>5</v>
      </c>
      <c r="P284" s="64">
        <v>3</v>
      </c>
      <c r="Q284" s="64">
        <v>5</v>
      </c>
      <c r="R284" s="64">
        <v>3</v>
      </c>
      <c r="S284" s="64">
        <v>5</v>
      </c>
      <c r="T284" s="64">
        <v>5</v>
      </c>
      <c r="U284" s="64" t="s">
        <v>899</v>
      </c>
      <c r="V284" s="64" t="s">
        <v>900</v>
      </c>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1"/>
      <c r="BL284" s="31"/>
      <c r="BM284" s="31"/>
      <c r="BN284" s="31"/>
      <c r="BO284" s="31"/>
      <c r="BP284" s="31"/>
      <c r="BQ284" s="31"/>
      <c r="BR284" s="31"/>
      <c r="BS284" s="31"/>
      <c r="BT284" s="31"/>
      <c r="BU284" s="31"/>
      <c r="BV284" s="31"/>
      <c r="BW284" s="31"/>
    </row>
    <row r="285" spans="6:75" ht="30.75">
      <c r="F285" s="64" t="s">
        <v>901</v>
      </c>
      <c r="G285" s="64">
        <v>6</v>
      </c>
      <c r="H285" s="64">
        <f t="shared" si="4"/>
        <v>5</v>
      </c>
      <c r="I285" s="66" t="s">
        <v>92</v>
      </c>
      <c r="J285" s="64" t="s">
        <v>227</v>
      </c>
      <c r="K285" s="64" t="s">
        <v>877</v>
      </c>
      <c r="L285" s="64" t="s">
        <v>32</v>
      </c>
      <c r="M285" s="64" t="s">
        <v>20</v>
      </c>
      <c r="N285" s="64" t="s">
        <v>210</v>
      </c>
      <c r="O285" s="64">
        <v>5</v>
      </c>
      <c r="P285" s="64">
        <v>4</v>
      </c>
      <c r="Q285" s="64">
        <v>5</v>
      </c>
      <c r="R285" s="64">
        <v>3</v>
      </c>
      <c r="S285" s="64">
        <v>5</v>
      </c>
      <c r="T285" s="64">
        <v>5</v>
      </c>
      <c r="U285" s="64" t="s">
        <v>902</v>
      </c>
      <c r="V285" s="64" t="s">
        <v>903</v>
      </c>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c r="BL285" s="31"/>
      <c r="BM285" s="31"/>
      <c r="BN285" s="31"/>
      <c r="BO285" s="31"/>
      <c r="BP285" s="31"/>
      <c r="BQ285" s="31"/>
      <c r="BR285" s="31"/>
      <c r="BS285" s="31"/>
      <c r="BT285" s="31"/>
      <c r="BU285" s="31"/>
      <c r="BV285" s="31"/>
      <c r="BW285" s="31"/>
    </row>
    <row r="286" spans="6:75">
      <c r="F286" s="64" t="s">
        <v>904</v>
      </c>
      <c r="G286" s="64">
        <v>6</v>
      </c>
      <c r="H286" s="64">
        <f t="shared" si="4"/>
        <v>5</v>
      </c>
      <c r="I286" s="66" t="s">
        <v>92</v>
      </c>
      <c r="J286" s="64" t="s">
        <v>231</v>
      </c>
      <c r="K286" s="64" t="s">
        <v>877</v>
      </c>
      <c r="L286" s="64" t="s">
        <v>20</v>
      </c>
      <c r="M286" s="64" t="s">
        <v>32</v>
      </c>
      <c r="N286" s="64" t="s">
        <v>210</v>
      </c>
      <c r="O286" s="64">
        <v>5</v>
      </c>
      <c r="P286" s="64">
        <v>3</v>
      </c>
      <c r="Q286" s="64">
        <v>4</v>
      </c>
      <c r="R286" s="64">
        <v>5</v>
      </c>
      <c r="S286" s="64">
        <v>5</v>
      </c>
      <c r="T286" s="64">
        <v>5</v>
      </c>
      <c r="U286" s="64" t="s">
        <v>905</v>
      </c>
      <c r="V286" s="64" t="s">
        <v>906</v>
      </c>
      <c r="W286" s="31"/>
      <c r="X286" s="31"/>
      <c r="Y286" s="31"/>
      <c r="Z286" s="31"/>
      <c r="AA286" s="31"/>
      <c r="AB286" s="31"/>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1"/>
      <c r="BL286" s="31"/>
      <c r="BM286" s="31"/>
      <c r="BN286" s="31"/>
      <c r="BO286" s="31"/>
      <c r="BP286" s="31"/>
      <c r="BQ286" s="31"/>
      <c r="BR286" s="31"/>
      <c r="BS286" s="31"/>
      <c r="BT286" s="31"/>
      <c r="BU286" s="31"/>
      <c r="BV286" s="31"/>
      <c r="BW286" s="31"/>
    </row>
    <row r="287" spans="6:75">
      <c r="F287" s="64" t="s">
        <v>907</v>
      </c>
      <c r="G287" s="64">
        <v>6</v>
      </c>
      <c r="H287" s="64">
        <f t="shared" si="4"/>
        <v>6</v>
      </c>
      <c r="I287" s="66" t="s">
        <v>92</v>
      </c>
      <c r="J287" s="64" t="s">
        <v>103</v>
      </c>
      <c r="K287" s="64" t="s">
        <v>877</v>
      </c>
      <c r="L287" s="64" t="s">
        <v>32</v>
      </c>
      <c r="M287" s="64" t="s">
        <v>20</v>
      </c>
      <c r="N287" s="64" t="s">
        <v>210</v>
      </c>
      <c r="O287" s="64">
        <v>5</v>
      </c>
      <c r="P287" s="64">
        <v>5</v>
      </c>
      <c r="Q287" s="64">
        <v>5</v>
      </c>
      <c r="R287" s="64">
        <v>5</v>
      </c>
      <c r="S287" s="64">
        <v>5</v>
      </c>
      <c r="T287" s="64">
        <v>5</v>
      </c>
      <c r="U287" s="64" t="s">
        <v>908</v>
      </c>
      <c r="V287" s="64" t="s">
        <v>909</v>
      </c>
      <c r="W287" s="31"/>
      <c r="X287" s="31"/>
      <c r="Y287" s="31"/>
      <c r="Z287" s="31"/>
      <c r="AA287" s="31"/>
      <c r="AB287" s="31"/>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1"/>
      <c r="BL287" s="31"/>
      <c r="BM287" s="31"/>
      <c r="BN287" s="31"/>
      <c r="BO287" s="31"/>
      <c r="BP287" s="31"/>
      <c r="BQ287" s="31"/>
      <c r="BR287" s="31"/>
      <c r="BS287" s="31"/>
      <c r="BT287" s="31"/>
      <c r="BU287" s="31"/>
      <c r="BV287" s="31"/>
      <c r="BW287" s="31"/>
    </row>
    <row r="288" spans="6:75">
      <c r="F288" s="64" t="s">
        <v>910</v>
      </c>
      <c r="G288" s="64">
        <v>6</v>
      </c>
      <c r="H288" s="64">
        <f t="shared" si="4"/>
        <v>6</v>
      </c>
      <c r="I288" s="66" t="s">
        <v>92</v>
      </c>
      <c r="J288" s="64" t="s">
        <v>98</v>
      </c>
      <c r="K288" s="64" t="s">
        <v>911</v>
      </c>
      <c r="L288" s="64" t="s">
        <v>65</v>
      </c>
      <c r="M288" s="64" t="s">
        <v>65</v>
      </c>
      <c r="N288" s="64" t="s">
        <v>61</v>
      </c>
      <c r="O288" s="64">
        <v>4</v>
      </c>
      <c r="P288" s="64">
        <v>4</v>
      </c>
      <c r="Q288" s="64">
        <v>4</v>
      </c>
      <c r="R288" s="64">
        <v>4</v>
      </c>
      <c r="S288" s="64">
        <v>4</v>
      </c>
      <c r="T288" s="64">
        <v>4</v>
      </c>
      <c r="U288" s="64" t="s">
        <v>912</v>
      </c>
      <c r="V288" s="64" t="s">
        <v>913</v>
      </c>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c r="BL288" s="31"/>
      <c r="BM288" s="31"/>
      <c r="BN288" s="31"/>
      <c r="BO288" s="31"/>
      <c r="BP288" s="31"/>
      <c r="BQ288" s="31"/>
      <c r="BR288" s="31"/>
      <c r="BS288" s="31"/>
      <c r="BT288" s="31"/>
      <c r="BU288" s="31"/>
      <c r="BV288" s="31"/>
      <c r="BW288" s="31"/>
    </row>
    <row r="289" spans="6:75" ht="30.75">
      <c r="F289" s="64" t="s">
        <v>914</v>
      </c>
      <c r="G289" s="64">
        <v>6</v>
      </c>
      <c r="H289" s="64">
        <f t="shared" si="4"/>
        <v>6</v>
      </c>
      <c r="I289" s="66" t="s">
        <v>92</v>
      </c>
      <c r="J289" s="64" t="s">
        <v>227</v>
      </c>
      <c r="K289" s="64" t="s">
        <v>915</v>
      </c>
      <c r="L289" s="64" t="s">
        <v>65</v>
      </c>
      <c r="M289" s="64" t="s">
        <v>65</v>
      </c>
      <c r="N289" s="64" t="s">
        <v>61</v>
      </c>
      <c r="O289" s="64">
        <v>5</v>
      </c>
      <c r="P289" s="64">
        <v>4</v>
      </c>
      <c r="Q289" s="64">
        <v>4</v>
      </c>
      <c r="R289" s="64">
        <v>4</v>
      </c>
      <c r="S289" s="64">
        <v>5</v>
      </c>
      <c r="T289" s="64">
        <v>4</v>
      </c>
      <c r="U289" s="64" t="s">
        <v>916</v>
      </c>
      <c r="V289" s="64" t="s">
        <v>917</v>
      </c>
      <c r="W289" s="31"/>
      <c r="X289" s="31"/>
      <c r="Y289" s="31"/>
      <c r="Z289" s="31"/>
      <c r="AA289" s="31"/>
      <c r="AB289" s="31"/>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1"/>
      <c r="BL289" s="31"/>
      <c r="BM289" s="31"/>
      <c r="BN289" s="31"/>
      <c r="BO289" s="31"/>
      <c r="BP289" s="31"/>
      <c r="BQ289" s="31"/>
      <c r="BR289" s="31"/>
      <c r="BS289" s="31"/>
      <c r="BT289" s="31"/>
      <c r="BU289" s="31"/>
      <c r="BV289" s="31"/>
      <c r="BW289" s="31"/>
    </row>
    <row r="290" spans="6:75">
      <c r="F290" s="64" t="s">
        <v>918</v>
      </c>
      <c r="G290" s="64">
        <v>6</v>
      </c>
      <c r="H290" s="64">
        <f t="shared" si="4"/>
        <v>6</v>
      </c>
      <c r="I290" s="66" t="s">
        <v>92</v>
      </c>
      <c r="J290" s="64" t="s">
        <v>231</v>
      </c>
      <c r="K290" s="64" t="s">
        <v>915</v>
      </c>
      <c r="L290" s="64" t="s">
        <v>65</v>
      </c>
      <c r="M290" s="64" t="s">
        <v>65</v>
      </c>
      <c r="N290" s="64" t="s">
        <v>61</v>
      </c>
      <c r="O290" s="64">
        <v>5</v>
      </c>
      <c r="P290" s="64">
        <v>5</v>
      </c>
      <c r="Q290" s="64">
        <v>5</v>
      </c>
      <c r="R290" s="64">
        <v>5</v>
      </c>
      <c r="S290" s="64">
        <v>5</v>
      </c>
      <c r="T290" s="64">
        <v>5</v>
      </c>
      <c r="U290" s="64" t="s">
        <v>919</v>
      </c>
      <c r="V290" s="64" t="s">
        <v>920</v>
      </c>
      <c r="W290" s="31"/>
      <c r="X290" s="31"/>
      <c r="Y290" s="31"/>
      <c r="Z290" s="31"/>
      <c r="AA290" s="31"/>
      <c r="AB290" s="31"/>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1"/>
      <c r="BL290" s="31"/>
      <c r="BM290" s="31"/>
      <c r="BN290" s="31"/>
      <c r="BO290" s="31"/>
      <c r="BP290" s="31"/>
      <c r="BQ290" s="31"/>
      <c r="BR290" s="31"/>
      <c r="BS290" s="31"/>
      <c r="BT290" s="31"/>
      <c r="BU290" s="31"/>
      <c r="BV290" s="31"/>
      <c r="BW290" s="31"/>
    </row>
    <row r="291" spans="6:75">
      <c r="F291" s="64" t="s">
        <v>921</v>
      </c>
      <c r="G291" s="64">
        <v>6</v>
      </c>
      <c r="H291" s="64">
        <f t="shared" si="4"/>
        <v>5</v>
      </c>
      <c r="I291" s="66" t="s">
        <v>92</v>
      </c>
      <c r="J291" s="64" t="s">
        <v>103</v>
      </c>
      <c r="K291" s="64" t="s">
        <v>915</v>
      </c>
      <c r="L291" s="64" t="s">
        <v>65</v>
      </c>
      <c r="M291" s="64" t="s">
        <v>65</v>
      </c>
      <c r="N291" s="64" t="s">
        <v>61</v>
      </c>
      <c r="O291" s="64">
        <v>4</v>
      </c>
      <c r="P291" s="64">
        <v>3</v>
      </c>
      <c r="Q291" s="64">
        <v>4</v>
      </c>
      <c r="R291" s="64">
        <v>4</v>
      </c>
      <c r="S291" s="64">
        <v>5</v>
      </c>
      <c r="T291" s="64">
        <v>4</v>
      </c>
      <c r="U291" s="64" t="s">
        <v>922</v>
      </c>
      <c r="V291" s="64" t="s">
        <v>923</v>
      </c>
      <c r="W291" s="31"/>
      <c r="X291" s="31"/>
      <c r="Y291" s="31"/>
      <c r="Z291" s="31"/>
      <c r="AA291" s="31"/>
      <c r="AB291" s="31"/>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1"/>
      <c r="BL291" s="31"/>
      <c r="BM291" s="31"/>
      <c r="BN291" s="31"/>
      <c r="BO291" s="31"/>
      <c r="BP291" s="31"/>
      <c r="BQ291" s="31"/>
      <c r="BR291" s="31"/>
      <c r="BS291" s="31"/>
      <c r="BT291" s="31"/>
      <c r="BU291" s="31"/>
      <c r="BV291" s="31"/>
      <c r="BW291" s="31"/>
    </row>
    <row r="292" spans="6:75">
      <c r="F292" s="64" t="s">
        <v>924</v>
      </c>
      <c r="G292" s="64">
        <v>6</v>
      </c>
      <c r="H292" s="64">
        <f t="shared" si="4"/>
        <v>6</v>
      </c>
      <c r="I292" s="66" t="s">
        <v>92</v>
      </c>
      <c r="J292" s="64" t="s">
        <v>231</v>
      </c>
      <c r="K292" s="64" t="s">
        <v>915</v>
      </c>
      <c r="L292" s="64" t="s">
        <v>65</v>
      </c>
      <c r="M292" s="64" t="s">
        <v>65</v>
      </c>
      <c r="N292" s="64" t="s">
        <v>61</v>
      </c>
      <c r="O292" s="64">
        <v>5</v>
      </c>
      <c r="P292" s="64">
        <v>5</v>
      </c>
      <c r="Q292" s="64">
        <v>5</v>
      </c>
      <c r="R292" s="64">
        <v>5</v>
      </c>
      <c r="S292" s="64">
        <v>5</v>
      </c>
      <c r="T292" s="64">
        <v>5</v>
      </c>
      <c r="U292" s="64" t="s">
        <v>925</v>
      </c>
      <c r="V292" s="64" t="s">
        <v>926</v>
      </c>
      <c r="W292" s="31"/>
      <c r="X292" s="31"/>
      <c r="Y292" s="31"/>
      <c r="Z292" s="31"/>
      <c r="AA292" s="31"/>
      <c r="AB292" s="31"/>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1"/>
      <c r="BL292" s="31"/>
      <c r="BM292" s="31"/>
      <c r="BN292" s="31"/>
      <c r="BO292" s="31"/>
      <c r="BP292" s="31"/>
      <c r="BQ292" s="31"/>
      <c r="BR292" s="31"/>
      <c r="BS292" s="31"/>
      <c r="BT292" s="31"/>
      <c r="BU292" s="31"/>
      <c r="BV292" s="31"/>
      <c r="BW292" s="31"/>
    </row>
    <row r="293" spans="6:75">
      <c r="F293" s="64" t="s">
        <v>927</v>
      </c>
      <c r="G293" s="64">
        <v>6</v>
      </c>
      <c r="H293" s="64">
        <f t="shared" si="4"/>
        <v>6</v>
      </c>
      <c r="I293" s="66" t="s">
        <v>92</v>
      </c>
      <c r="J293" s="64" t="s">
        <v>98</v>
      </c>
      <c r="K293" s="64" t="s">
        <v>915</v>
      </c>
      <c r="L293" s="64" t="s">
        <v>65</v>
      </c>
      <c r="M293" s="64" t="s">
        <v>65</v>
      </c>
      <c r="N293" s="64" t="s">
        <v>61</v>
      </c>
      <c r="O293" s="64">
        <v>5</v>
      </c>
      <c r="P293" s="64">
        <v>5</v>
      </c>
      <c r="Q293" s="64">
        <v>5</v>
      </c>
      <c r="R293" s="64">
        <v>5</v>
      </c>
      <c r="S293" s="64">
        <v>5</v>
      </c>
      <c r="T293" s="64">
        <v>5</v>
      </c>
      <c r="U293" s="64" t="s">
        <v>928</v>
      </c>
      <c r="V293" s="64"/>
      <c r="W293" s="31"/>
      <c r="X293" s="31"/>
      <c r="Y293" s="31"/>
      <c r="Z293" s="31"/>
      <c r="AA293" s="31"/>
      <c r="AB293" s="31"/>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1"/>
      <c r="BL293" s="31"/>
      <c r="BM293" s="31"/>
      <c r="BN293" s="31"/>
      <c r="BO293" s="31"/>
      <c r="BP293" s="31"/>
      <c r="BQ293" s="31"/>
      <c r="BR293" s="31"/>
      <c r="BS293" s="31"/>
      <c r="BT293" s="31"/>
      <c r="BU293" s="31"/>
      <c r="BV293" s="31"/>
      <c r="BW293" s="31"/>
    </row>
    <row r="294" spans="6:75">
      <c r="F294" s="64" t="s">
        <v>929</v>
      </c>
      <c r="G294" s="64">
        <v>6</v>
      </c>
      <c r="H294" s="64">
        <f t="shared" si="4"/>
        <v>5</v>
      </c>
      <c r="I294" s="66" t="s">
        <v>92</v>
      </c>
      <c r="J294" s="64" t="s">
        <v>103</v>
      </c>
      <c r="K294" s="64" t="s">
        <v>915</v>
      </c>
      <c r="L294" s="64" t="s">
        <v>65</v>
      </c>
      <c r="M294" s="64" t="s">
        <v>65</v>
      </c>
      <c r="N294" s="64" t="s">
        <v>61</v>
      </c>
      <c r="O294" s="64">
        <v>4</v>
      </c>
      <c r="P294" s="64">
        <v>3</v>
      </c>
      <c r="Q294" s="64">
        <v>4</v>
      </c>
      <c r="R294" s="64">
        <v>5</v>
      </c>
      <c r="S294" s="64">
        <v>5</v>
      </c>
      <c r="T294" s="64">
        <v>4</v>
      </c>
      <c r="U294" s="64" t="s">
        <v>930</v>
      </c>
      <c r="V294" s="64" t="s">
        <v>931</v>
      </c>
      <c r="W294" s="31"/>
      <c r="X294" s="31"/>
      <c r="Y294" s="31"/>
      <c r="Z294" s="31"/>
      <c r="AA294" s="31"/>
      <c r="AB294" s="31"/>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1"/>
      <c r="BL294" s="31"/>
      <c r="BM294" s="31"/>
      <c r="BN294" s="31"/>
      <c r="BO294" s="31"/>
      <c r="BP294" s="31"/>
      <c r="BQ294" s="31"/>
      <c r="BR294" s="31"/>
      <c r="BS294" s="31"/>
      <c r="BT294" s="31"/>
      <c r="BU294" s="31"/>
      <c r="BV294" s="31"/>
      <c r="BW294" s="31"/>
    </row>
    <row r="295" spans="6:75">
      <c r="F295" s="64" t="s">
        <v>932</v>
      </c>
      <c r="G295" s="64">
        <v>6</v>
      </c>
      <c r="H295" s="64">
        <f t="shared" si="4"/>
        <v>6</v>
      </c>
      <c r="I295" s="66" t="s">
        <v>92</v>
      </c>
      <c r="J295" s="64" t="s">
        <v>227</v>
      </c>
      <c r="K295" s="64" t="s">
        <v>915</v>
      </c>
      <c r="L295" s="64" t="s">
        <v>65</v>
      </c>
      <c r="M295" s="64" t="s">
        <v>65</v>
      </c>
      <c r="N295" s="64" t="s">
        <v>61</v>
      </c>
      <c r="O295" s="64">
        <v>5</v>
      </c>
      <c r="P295" s="64">
        <v>5</v>
      </c>
      <c r="Q295" s="64">
        <v>5</v>
      </c>
      <c r="R295" s="64">
        <v>5</v>
      </c>
      <c r="S295" s="64">
        <v>5</v>
      </c>
      <c r="T295" s="64">
        <v>5</v>
      </c>
      <c r="U295" s="64" t="s">
        <v>933</v>
      </c>
      <c r="V295" s="64" t="s">
        <v>934</v>
      </c>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1"/>
      <c r="BL295" s="31"/>
      <c r="BM295" s="31"/>
      <c r="BN295" s="31"/>
      <c r="BO295" s="31"/>
      <c r="BP295" s="31"/>
      <c r="BQ295" s="31"/>
      <c r="BR295" s="31"/>
      <c r="BS295" s="31"/>
      <c r="BT295" s="31"/>
      <c r="BU295" s="31"/>
      <c r="BV295" s="31"/>
      <c r="BW295" s="31"/>
    </row>
    <row r="296" spans="6:75">
      <c r="F296" s="64" t="s">
        <v>935</v>
      </c>
      <c r="G296" s="64">
        <v>6</v>
      </c>
      <c r="H296" s="64">
        <f t="shared" si="4"/>
        <v>4</v>
      </c>
      <c r="I296" s="66" t="s">
        <v>92</v>
      </c>
      <c r="J296" s="64" t="s">
        <v>231</v>
      </c>
      <c r="K296" s="64" t="s">
        <v>915</v>
      </c>
      <c r="L296" s="64" t="s">
        <v>65</v>
      </c>
      <c r="M296" s="64" t="s">
        <v>65</v>
      </c>
      <c r="N296" s="64" t="s">
        <v>61</v>
      </c>
      <c r="O296" s="64">
        <v>4</v>
      </c>
      <c r="P296" s="64">
        <v>3</v>
      </c>
      <c r="Q296" s="64">
        <v>4</v>
      </c>
      <c r="R296" s="64">
        <v>3</v>
      </c>
      <c r="S296" s="64">
        <v>5</v>
      </c>
      <c r="T296" s="64">
        <v>4</v>
      </c>
      <c r="U296" s="64" t="s">
        <v>936</v>
      </c>
      <c r="V296" s="64" t="s">
        <v>937</v>
      </c>
      <c r="W296" s="31"/>
      <c r="X296" s="31"/>
      <c r="Y296" s="31"/>
      <c r="Z296" s="31"/>
      <c r="AA296" s="31"/>
      <c r="AB296" s="31"/>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1"/>
      <c r="BL296" s="31"/>
      <c r="BM296" s="31"/>
      <c r="BN296" s="31"/>
      <c r="BO296" s="31"/>
      <c r="BP296" s="31"/>
      <c r="BQ296" s="31"/>
      <c r="BR296" s="31"/>
      <c r="BS296" s="31"/>
      <c r="BT296" s="31"/>
      <c r="BU296" s="31"/>
      <c r="BV296" s="31"/>
      <c r="BW296" s="31"/>
    </row>
    <row r="297" spans="6:75">
      <c r="F297" s="64" t="s">
        <v>938</v>
      </c>
      <c r="G297" s="64">
        <v>6</v>
      </c>
      <c r="H297" s="64">
        <f t="shared" ref="H297:H359" si="5">COUNTIF(O297:T297,"&gt;3")</f>
        <v>4</v>
      </c>
      <c r="I297" s="66" t="s">
        <v>92</v>
      </c>
      <c r="J297" s="64" t="s">
        <v>93</v>
      </c>
      <c r="K297" s="64" t="s">
        <v>118</v>
      </c>
      <c r="L297" s="64" t="s">
        <v>36</v>
      </c>
      <c r="M297" s="64"/>
      <c r="N297" s="64"/>
      <c r="O297" s="64">
        <v>5</v>
      </c>
      <c r="P297" s="64">
        <v>5</v>
      </c>
      <c r="Q297" s="64">
        <v>3</v>
      </c>
      <c r="R297" s="64">
        <v>3</v>
      </c>
      <c r="S297" s="64">
        <v>5</v>
      </c>
      <c r="T297" s="64">
        <v>5</v>
      </c>
      <c r="U297" s="64" t="s">
        <v>939</v>
      </c>
      <c r="V297" s="64" t="s">
        <v>940</v>
      </c>
      <c r="W297" s="64"/>
      <c r="X297" s="31"/>
      <c r="Y297" s="31"/>
      <c r="Z297" s="31"/>
      <c r="AA297" s="31"/>
      <c r="AB297" s="31"/>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1"/>
      <c r="BL297" s="31"/>
      <c r="BM297" s="31"/>
      <c r="BN297" s="31"/>
      <c r="BO297" s="31"/>
      <c r="BP297" s="31"/>
      <c r="BQ297" s="31"/>
      <c r="BR297" s="31"/>
      <c r="BS297" s="31"/>
      <c r="BT297" s="31"/>
      <c r="BU297" s="31"/>
      <c r="BV297" s="31"/>
      <c r="BW297" s="31"/>
    </row>
    <row r="298" spans="6:75">
      <c r="F298" s="64" t="s">
        <v>941</v>
      </c>
      <c r="G298" s="64">
        <v>6</v>
      </c>
      <c r="H298" s="64">
        <f t="shared" si="5"/>
        <v>4</v>
      </c>
      <c r="I298" s="66" t="s">
        <v>92</v>
      </c>
      <c r="J298" s="64" t="s">
        <v>93</v>
      </c>
      <c r="K298" s="64" t="s">
        <v>118</v>
      </c>
      <c r="L298" s="64" t="s">
        <v>44</v>
      </c>
      <c r="M298" s="64"/>
      <c r="N298" s="64"/>
      <c r="O298" s="64">
        <v>5</v>
      </c>
      <c r="P298" s="64">
        <v>4</v>
      </c>
      <c r="Q298" s="64">
        <v>3</v>
      </c>
      <c r="R298" s="64">
        <v>3</v>
      </c>
      <c r="S298" s="64">
        <v>4</v>
      </c>
      <c r="T298" s="64">
        <v>5</v>
      </c>
      <c r="U298" s="64" t="s">
        <v>942</v>
      </c>
      <c r="V298" s="64" t="s">
        <v>940</v>
      </c>
      <c r="W298" s="64"/>
      <c r="X298" s="31"/>
      <c r="Y298" s="31"/>
      <c r="Z298" s="31"/>
      <c r="AA298" s="31"/>
      <c r="AB298" s="31"/>
      <c r="AC298" s="31"/>
      <c r="AD298" s="31"/>
      <c r="AE298" s="31"/>
      <c r="AF298" s="31"/>
      <c r="AG298" s="31"/>
      <c r="AH298" s="31"/>
      <c r="AI298" s="31"/>
      <c r="AJ298" s="31"/>
      <c r="AK298" s="31"/>
      <c r="AL298" s="31"/>
      <c r="AM298" s="31"/>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1"/>
      <c r="BL298" s="31"/>
      <c r="BM298" s="31"/>
      <c r="BN298" s="31"/>
      <c r="BO298" s="31"/>
      <c r="BP298" s="31"/>
      <c r="BQ298" s="31"/>
      <c r="BR298" s="31"/>
      <c r="BS298" s="31"/>
      <c r="BT298" s="31"/>
      <c r="BU298" s="31"/>
      <c r="BV298" s="31"/>
      <c r="BW298" s="31"/>
    </row>
    <row r="299" spans="6:75">
      <c r="F299" s="64" t="s">
        <v>943</v>
      </c>
      <c r="G299" s="64">
        <v>6</v>
      </c>
      <c r="H299" s="64">
        <f t="shared" si="5"/>
        <v>6</v>
      </c>
      <c r="I299" s="66" t="s">
        <v>92</v>
      </c>
      <c r="J299" s="64" t="s">
        <v>93</v>
      </c>
      <c r="K299" s="64" t="s">
        <v>118</v>
      </c>
      <c r="L299" s="64" t="s">
        <v>44</v>
      </c>
      <c r="M299" s="64"/>
      <c r="N299" s="64"/>
      <c r="O299" s="64">
        <v>4</v>
      </c>
      <c r="P299" s="64">
        <v>4</v>
      </c>
      <c r="Q299" s="64">
        <v>4</v>
      </c>
      <c r="R299" s="64">
        <v>4</v>
      </c>
      <c r="S299" s="64">
        <v>4</v>
      </c>
      <c r="T299" s="64">
        <v>4</v>
      </c>
      <c r="U299" s="64" t="s">
        <v>944</v>
      </c>
      <c r="V299" s="64" t="s">
        <v>123</v>
      </c>
      <c r="W299" s="64"/>
      <c r="X299" s="31"/>
      <c r="Y299" s="31"/>
      <c r="Z299" s="31"/>
      <c r="AA299" s="31"/>
      <c r="AB299" s="31"/>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1"/>
      <c r="BL299" s="31"/>
      <c r="BM299" s="31"/>
      <c r="BN299" s="31"/>
      <c r="BO299" s="31"/>
      <c r="BP299" s="31"/>
      <c r="BQ299" s="31"/>
      <c r="BR299" s="31"/>
      <c r="BS299" s="31"/>
      <c r="BT299" s="31"/>
      <c r="BU299" s="31"/>
      <c r="BV299" s="31"/>
      <c r="BW299" s="31"/>
    </row>
    <row r="300" spans="6:75">
      <c r="F300" s="64" t="s">
        <v>945</v>
      </c>
      <c r="G300" s="64">
        <v>6</v>
      </c>
      <c r="H300" s="64">
        <f t="shared" si="5"/>
        <v>6</v>
      </c>
      <c r="I300" s="66" t="s">
        <v>92</v>
      </c>
      <c r="J300" s="64" t="s">
        <v>93</v>
      </c>
      <c r="K300" s="64" t="s">
        <v>118</v>
      </c>
      <c r="L300" s="64" t="s">
        <v>44</v>
      </c>
      <c r="M300" s="64"/>
      <c r="N300" s="64"/>
      <c r="O300" s="64">
        <v>4</v>
      </c>
      <c r="P300" s="64">
        <v>4</v>
      </c>
      <c r="Q300" s="64">
        <v>4</v>
      </c>
      <c r="R300" s="64">
        <v>4</v>
      </c>
      <c r="S300" s="64">
        <v>4</v>
      </c>
      <c r="T300" s="64">
        <v>4</v>
      </c>
      <c r="U300" s="64" t="s">
        <v>946</v>
      </c>
      <c r="V300" s="64"/>
      <c r="W300" s="64"/>
      <c r="X300" s="31"/>
      <c r="Y300" s="31"/>
      <c r="Z300" s="31"/>
      <c r="AA300" s="31"/>
      <c r="AB300" s="31"/>
      <c r="AC300" s="31"/>
      <c r="AD300" s="31"/>
      <c r="AE300" s="31"/>
      <c r="AF300" s="31"/>
      <c r="AG300" s="31"/>
      <c r="AH300" s="31"/>
      <c r="AI300" s="31"/>
      <c r="AJ300" s="31"/>
      <c r="AK300" s="31"/>
      <c r="AL300" s="31"/>
      <c r="AM300" s="31"/>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1"/>
      <c r="BL300" s="31"/>
      <c r="BM300" s="31"/>
      <c r="BN300" s="31"/>
      <c r="BO300" s="31"/>
      <c r="BP300" s="31"/>
      <c r="BQ300" s="31"/>
      <c r="BR300" s="31"/>
      <c r="BS300" s="31"/>
      <c r="BT300" s="31"/>
      <c r="BU300" s="31"/>
      <c r="BV300" s="31"/>
      <c r="BW300" s="31"/>
    </row>
    <row r="301" spans="6:75">
      <c r="F301" s="64" t="s">
        <v>947</v>
      </c>
      <c r="G301" s="64">
        <v>6</v>
      </c>
      <c r="H301" s="64">
        <f t="shared" si="5"/>
        <v>6</v>
      </c>
      <c r="I301" s="66" t="s">
        <v>92</v>
      </c>
      <c r="J301" s="64" t="s">
        <v>93</v>
      </c>
      <c r="K301" s="64" t="s">
        <v>118</v>
      </c>
      <c r="L301" s="64" t="s">
        <v>36</v>
      </c>
      <c r="M301" s="64"/>
      <c r="N301" s="64"/>
      <c r="O301" s="64">
        <v>5</v>
      </c>
      <c r="P301" s="64">
        <v>5</v>
      </c>
      <c r="Q301" s="64">
        <v>5</v>
      </c>
      <c r="R301" s="64">
        <v>5</v>
      </c>
      <c r="S301" s="64">
        <v>5</v>
      </c>
      <c r="T301" s="64">
        <v>5</v>
      </c>
      <c r="U301" s="64" t="s">
        <v>944</v>
      </c>
      <c r="V301" s="64" t="s">
        <v>123</v>
      </c>
      <c r="W301" s="64"/>
      <c r="X301" s="31"/>
      <c r="Y301" s="31"/>
      <c r="Z301" s="31"/>
      <c r="AA301" s="31"/>
      <c r="AB301" s="31"/>
      <c r="AC301" s="31"/>
      <c r="AD301" s="31"/>
      <c r="AE301" s="31"/>
      <c r="AF301" s="31"/>
      <c r="AG301" s="31"/>
      <c r="AH301" s="31"/>
      <c r="AI301" s="31"/>
      <c r="AJ301" s="31"/>
      <c r="AK301" s="31"/>
      <c r="AL301" s="31"/>
      <c r="AM301" s="31"/>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1"/>
      <c r="BL301" s="31"/>
      <c r="BM301" s="31"/>
      <c r="BN301" s="31"/>
      <c r="BO301" s="31"/>
      <c r="BP301" s="31"/>
      <c r="BQ301" s="31"/>
      <c r="BR301" s="31"/>
      <c r="BS301" s="31"/>
      <c r="BT301" s="31"/>
      <c r="BU301" s="31"/>
      <c r="BV301" s="31"/>
      <c r="BW301" s="31"/>
    </row>
    <row r="302" spans="6:75">
      <c r="F302" s="64" t="s">
        <v>948</v>
      </c>
      <c r="G302" s="64">
        <v>6</v>
      </c>
      <c r="H302" s="64">
        <f t="shared" si="5"/>
        <v>6</v>
      </c>
      <c r="I302" s="66" t="s">
        <v>92</v>
      </c>
      <c r="J302" s="64" t="s">
        <v>93</v>
      </c>
      <c r="K302" s="64" t="s">
        <v>949</v>
      </c>
      <c r="L302" s="64" t="s">
        <v>36</v>
      </c>
      <c r="M302" s="64"/>
      <c r="N302" s="64"/>
      <c r="O302" s="64">
        <v>5</v>
      </c>
      <c r="P302" s="64">
        <v>5</v>
      </c>
      <c r="Q302" s="64">
        <v>5</v>
      </c>
      <c r="R302" s="64">
        <v>4</v>
      </c>
      <c r="S302" s="64">
        <v>4</v>
      </c>
      <c r="T302" s="64">
        <v>4</v>
      </c>
      <c r="U302" s="64" t="s">
        <v>950</v>
      </c>
      <c r="V302" s="64"/>
      <c r="W302" s="64"/>
      <c r="X302" s="31"/>
      <c r="Y302" s="31"/>
      <c r="Z302" s="31"/>
      <c r="AA302" s="31"/>
      <c r="AB302" s="31"/>
      <c r="AC302" s="31"/>
      <c r="AD302" s="31"/>
      <c r="AE302" s="31"/>
      <c r="AF302" s="31"/>
      <c r="AG302" s="31"/>
      <c r="AH302" s="31"/>
      <c r="AI302" s="31"/>
      <c r="AJ302" s="31"/>
      <c r="AK302" s="31"/>
      <c r="AL302" s="31"/>
      <c r="AM302" s="31"/>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1"/>
      <c r="BL302" s="31"/>
      <c r="BM302" s="31"/>
      <c r="BN302" s="31"/>
      <c r="BO302" s="31"/>
      <c r="BP302" s="31"/>
      <c r="BQ302" s="31"/>
      <c r="BR302" s="31"/>
      <c r="BS302" s="31"/>
      <c r="BT302" s="31"/>
      <c r="BU302" s="31"/>
      <c r="BV302" s="31"/>
      <c r="BW302" s="31"/>
    </row>
    <row r="303" spans="6:75">
      <c r="F303" s="64" t="s">
        <v>951</v>
      </c>
      <c r="G303" s="64">
        <v>6</v>
      </c>
      <c r="H303" s="64">
        <f t="shared" si="5"/>
        <v>6</v>
      </c>
      <c r="I303" s="66" t="s">
        <v>92</v>
      </c>
      <c r="J303" s="64" t="s">
        <v>93</v>
      </c>
      <c r="K303" s="64" t="s">
        <v>118</v>
      </c>
      <c r="L303" s="64" t="s">
        <v>36</v>
      </c>
      <c r="M303" s="64"/>
      <c r="N303" s="64"/>
      <c r="O303" s="64">
        <v>4</v>
      </c>
      <c r="P303" s="64">
        <v>4</v>
      </c>
      <c r="Q303" s="64">
        <v>4</v>
      </c>
      <c r="R303" s="64">
        <v>4</v>
      </c>
      <c r="S303" s="64">
        <v>5</v>
      </c>
      <c r="T303" s="64">
        <v>4</v>
      </c>
      <c r="U303" s="64" t="s">
        <v>946</v>
      </c>
      <c r="V303" s="64"/>
      <c r="W303" s="64"/>
      <c r="X303" s="31"/>
      <c r="Y303" s="31"/>
      <c r="Z303" s="31"/>
      <c r="AA303" s="31"/>
      <c r="AB303" s="31"/>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1"/>
      <c r="BL303" s="31"/>
      <c r="BM303" s="31"/>
      <c r="BN303" s="31"/>
      <c r="BO303" s="31"/>
      <c r="BP303" s="31"/>
      <c r="BQ303" s="31"/>
      <c r="BR303" s="31"/>
      <c r="BS303" s="31"/>
      <c r="BT303" s="31"/>
      <c r="BU303" s="31"/>
      <c r="BV303" s="31"/>
      <c r="BW303" s="31"/>
    </row>
    <row r="304" spans="6:75">
      <c r="F304" s="64" t="s">
        <v>952</v>
      </c>
      <c r="G304" s="64">
        <v>6</v>
      </c>
      <c r="H304" s="64">
        <f t="shared" si="5"/>
        <v>6</v>
      </c>
      <c r="I304" s="66" t="s">
        <v>92</v>
      </c>
      <c r="J304" s="64" t="s">
        <v>93</v>
      </c>
      <c r="K304" s="64" t="s">
        <v>953</v>
      </c>
      <c r="L304" s="64" t="s">
        <v>44</v>
      </c>
      <c r="M304" s="64"/>
      <c r="N304" s="64"/>
      <c r="O304" s="64">
        <v>5</v>
      </c>
      <c r="P304" s="64">
        <v>5</v>
      </c>
      <c r="Q304" s="64">
        <v>5</v>
      </c>
      <c r="R304" s="64">
        <v>5</v>
      </c>
      <c r="S304" s="64">
        <v>5</v>
      </c>
      <c r="T304" s="64">
        <v>5</v>
      </c>
      <c r="U304" s="64"/>
      <c r="V304" s="64" t="s">
        <v>954</v>
      </c>
      <c r="W304" s="64"/>
      <c r="X304" s="31"/>
      <c r="Y304" s="31"/>
      <c r="Z304" s="31"/>
      <c r="AA304" s="31"/>
      <c r="AB304" s="31"/>
      <c r="AC304" s="31"/>
      <c r="AD304" s="31"/>
      <c r="AE304" s="31"/>
      <c r="AF304" s="31"/>
      <c r="AG304" s="31"/>
      <c r="AH304" s="31"/>
      <c r="AI304" s="31"/>
      <c r="AJ304" s="31"/>
      <c r="AK304" s="31"/>
      <c r="AL304" s="31"/>
      <c r="AM304" s="31"/>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1"/>
      <c r="BL304" s="31"/>
      <c r="BM304" s="31"/>
      <c r="BN304" s="31"/>
      <c r="BO304" s="31"/>
      <c r="BP304" s="31"/>
      <c r="BQ304" s="31"/>
      <c r="BR304" s="31"/>
      <c r="BS304" s="31"/>
      <c r="BT304" s="31"/>
      <c r="BU304" s="31"/>
      <c r="BV304" s="31"/>
      <c r="BW304" s="31"/>
    </row>
    <row r="305" spans="6:75">
      <c r="F305" s="64" t="s">
        <v>955</v>
      </c>
      <c r="G305" s="64">
        <v>6</v>
      </c>
      <c r="H305" s="64">
        <f t="shared" si="5"/>
        <v>6</v>
      </c>
      <c r="I305" s="66" t="s">
        <v>92</v>
      </c>
      <c r="J305" s="64" t="s">
        <v>93</v>
      </c>
      <c r="K305" s="64" t="s">
        <v>118</v>
      </c>
      <c r="L305" s="64" t="s">
        <v>107</v>
      </c>
      <c r="M305" s="64"/>
      <c r="N305" s="64"/>
      <c r="O305" s="64">
        <v>4</v>
      </c>
      <c r="P305" s="64">
        <v>4</v>
      </c>
      <c r="Q305" s="64">
        <v>4</v>
      </c>
      <c r="R305" s="64">
        <v>4</v>
      </c>
      <c r="S305" s="64">
        <v>4</v>
      </c>
      <c r="T305" s="64">
        <v>4</v>
      </c>
      <c r="U305" s="64" t="s">
        <v>944</v>
      </c>
      <c r="V305" s="64" t="s">
        <v>123</v>
      </c>
      <c r="W305" s="64"/>
      <c r="X305" s="31"/>
      <c r="Y305" s="31"/>
      <c r="Z305" s="31"/>
      <c r="AA305" s="31"/>
      <c r="AB305" s="31"/>
      <c r="AC305" s="31"/>
      <c r="AD305" s="31"/>
      <c r="AE305" s="31"/>
      <c r="AF305" s="31"/>
      <c r="AG305" s="31"/>
      <c r="AH305" s="31"/>
      <c r="AI305" s="31"/>
      <c r="AJ305" s="31"/>
      <c r="AK305" s="31"/>
      <c r="AL305" s="31"/>
      <c r="AM305" s="31"/>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1"/>
      <c r="BL305" s="31"/>
      <c r="BM305" s="31"/>
      <c r="BN305" s="31"/>
      <c r="BO305" s="31"/>
      <c r="BP305" s="31"/>
      <c r="BQ305" s="31"/>
      <c r="BR305" s="31"/>
      <c r="BS305" s="31"/>
      <c r="BT305" s="31"/>
      <c r="BU305" s="31"/>
      <c r="BV305" s="31"/>
      <c r="BW305" s="31"/>
    </row>
    <row r="306" spans="6:75">
      <c r="F306" s="64" t="s">
        <v>956</v>
      </c>
      <c r="G306" s="64">
        <v>6</v>
      </c>
      <c r="H306" s="64">
        <f t="shared" si="5"/>
        <v>4</v>
      </c>
      <c r="I306" s="66" t="s">
        <v>92</v>
      </c>
      <c r="J306" s="64" t="s">
        <v>93</v>
      </c>
      <c r="K306" s="64" t="s">
        <v>118</v>
      </c>
      <c r="L306" s="64" t="s">
        <v>107</v>
      </c>
      <c r="M306" s="64"/>
      <c r="N306" s="64"/>
      <c r="O306" s="64">
        <v>4</v>
      </c>
      <c r="P306" s="64">
        <v>5</v>
      </c>
      <c r="Q306" s="64">
        <v>3</v>
      </c>
      <c r="R306" s="64">
        <v>3</v>
      </c>
      <c r="S306" s="64">
        <v>5</v>
      </c>
      <c r="T306" s="64">
        <v>5</v>
      </c>
      <c r="U306" s="64" t="s">
        <v>957</v>
      </c>
      <c r="V306" s="64" t="s">
        <v>958</v>
      </c>
      <c r="W306" s="64"/>
      <c r="X306" s="31"/>
      <c r="Y306" s="31"/>
      <c r="Z306" s="31"/>
      <c r="AA306" s="31"/>
      <c r="AB306" s="31"/>
      <c r="AC306" s="31"/>
      <c r="AD306" s="31"/>
      <c r="AE306" s="31"/>
      <c r="AF306" s="31"/>
      <c r="AG306" s="31"/>
      <c r="AH306" s="31"/>
      <c r="AI306" s="31"/>
      <c r="AJ306" s="31"/>
      <c r="AK306" s="31"/>
      <c r="AL306" s="31"/>
      <c r="AM306" s="31"/>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1"/>
      <c r="BL306" s="31"/>
      <c r="BM306" s="31"/>
      <c r="BN306" s="31"/>
      <c r="BO306" s="31"/>
      <c r="BP306" s="31"/>
      <c r="BQ306" s="31"/>
      <c r="BR306" s="31"/>
      <c r="BS306" s="31"/>
      <c r="BT306" s="31"/>
      <c r="BU306" s="31"/>
      <c r="BV306" s="31"/>
      <c r="BW306" s="31"/>
    </row>
    <row r="307" spans="6:75">
      <c r="F307" s="64" t="s">
        <v>959</v>
      </c>
      <c r="G307" s="64">
        <v>6</v>
      </c>
      <c r="H307" s="64">
        <f t="shared" si="5"/>
        <v>6</v>
      </c>
      <c r="I307" s="66" t="s">
        <v>92</v>
      </c>
      <c r="J307" s="64" t="s">
        <v>93</v>
      </c>
      <c r="K307" s="64" t="s">
        <v>118</v>
      </c>
      <c r="L307" s="64" t="s">
        <v>107</v>
      </c>
      <c r="M307" s="64"/>
      <c r="N307" s="64"/>
      <c r="O307" s="64">
        <v>4</v>
      </c>
      <c r="P307" s="64">
        <v>4</v>
      </c>
      <c r="Q307" s="64">
        <v>4</v>
      </c>
      <c r="R307" s="64">
        <v>4</v>
      </c>
      <c r="S307" s="64">
        <v>4</v>
      </c>
      <c r="T307" s="64">
        <v>4</v>
      </c>
      <c r="U307" s="64" t="s">
        <v>946</v>
      </c>
      <c r="V307" s="64"/>
      <c r="W307" s="64"/>
      <c r="X307" s="31"/>
      <c r="Y307" s="31"/>
      <c r="Z307" s="31"/>
      <c r="AA307" s="31"/>
      <c r="AB307" s="31"/>
      <c r="AC307" s="31"/>
      <c r="AD307" s="31"/>
      <c r="AE307" s="31"/>
      <c r="AF307" s="31"/>
      <c r="AG307" s="31"/>
      <c r="AH307" s="31"/>
      <c r="AI307" s="31"/>
      <c r="AJ307" s="31"/>
      <c r="AK307" s="31"/>
      <c r="AL307" s="31"/>
      <c r="AM307" s="31"/>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1"/>
      <c r="BL307" s="31"/>
      <c r="BM307" s="31"/>
      <c r="BN307" s="31"/>
      <c r="BO307" s="31"/>
      <c r="BP307" s="31"/>
      <c r="BQ307" s="31"/>
      <c r="BR307" s="31"/>
      <c r="BS307" s="31"/>
      <c r="BT307" s="31"/>
      <c r="BU307" s="31"/>
      <c r="BV307" s="31"/>
      <c r="BW307" s="31"/>
    </row>
    <row r="308" spans="6:75">
      <c r="F308" s="64" t="s">
        <v>960</v>
      </c>
      <c r="G308" s="64">
        <v>6</v>
      </c>
      <c r="H308" s="64">
        <f t="shared" si="5"/>
        <v>6</v>
      </c>
      <c r="I308" s="66" t="s">
        <v>92</v>
      </c>
      <c r="J308" s="64" t="s">
        <v>93</v>
      </c>
      <c r="K308" s="64" t="s">
        <v>118</v>
      </c>
      <c r="L308" s="64" t="s">
        <v>36</v>
      </c>
      <c r="M308" s="64"/>
      <c r="N308" s="64"/>
      <c r="O308" s="64">
        <v>5</v>
      </c>
      <c r="P308" s="64">
        <v>5</v>
      </c>
      <c r="Q308" s="64">
        <v>5</v>
      </c>
      <c r="R308" s="64">
        <v>5</v>
      </c>
      <c r="S308" s="64">
        <v>5</v>
      </c>
      <c r="T308" s="64">
        <v>5</v>
      </c>
      <c r="U308" s="64" t="s">
        <v>961</v>
      </c>
      <c r="V308" s="64" t="s">
        <v>962</v>
      </c>
      <c r="W308" s="64"/>
      <c r="X308" s="31"/>
      <c r="Y308" s="31"/>
      <c r="Z308" s="31"/>
      <c r="AA308" s="31"/>
      <c r="AB308" s="31"/>
      <c r="AC308" s="31"/>
      <c r="AD308" s="31"/>
      <c r="AE308" s="31"/>
      <c r="AF308" s="31"/>
      <c r="AG308" s="31"/>
      <c r="AH308" s="31"/>
      <c r="AI308" s="31"/>
      <c r="AJ308" s="31"/>
      <c r="AK308" s="31"/>
      <c r="AL308" s="31"/>
      <c r="AM308" s="31"/>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1"/>
      <c r="BL308" s="31"/>
      <c r="BM308" s="31"/>
      <c r="BN308" s="31"/>
      <c r="BO308" s="31"/>
      <c r="BP308" s="31"/>
      <c r="BQ308" s="31"/>
      <c r="BR308" s="31"/>
      <c r="BS308" s="31"/>
      <c r="BT308" s="31"/>
      <c r="BU308" s="31"/>
      <c r="BV308" s="31"/>
      <c r="BW308" s="31"/>
    </row>
    <row r="309" spans="6:75">
      <c r="F309" s="64" t="s">
        <v>963</v>
      </c>
      <c r="G309" s="64">
        <v>6</v>
      </c>
      <c r="H309" s="64">
        <f t="shared" si="5"/>
        <v>6</v>
      </c>
      <c r="I309" s="66" t="s">
        <v>92</v>
      </c>
      <c r="J309" s="64" t="s">
        <v>93</v>
      </c>
      <c r="K309" s="64" t="s">
        <v>118</v>
      </c>
      <c r="L309" s="64" t="s">
        <v>36</v>
      </c>
      <c r="M309" s="64"/>
      <c r="N309" s="64"/>
      <c r="O309" s="64">
        <v>5</v>
      </c>
      <c r="P309" s="64">
        <v>5</v>
      </c>
      <c r="Q309" s="64">
        <v>5</v>
      </c>
      <c r="R309" s="64">
        <v>5</v>
      </c>
      <c r="S309" s="64">
        <v>5</v>
      </c>
      <c r="T309" s="64">
        <v>5</v>
      </c>
      <c r="U309" s="64" t="s">
        <v>964</v>
      </c>
      <c r="V309" s="64" t="s">
        <v>954</v>
      </c>
      <c r="W309" s="64"/>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c r="BO309" s="31"/>
      <c r="BP309" s="31"/>
      <c r="BQ309" s="31"/>
      <c r="BR309" s="31"/>
      <c r="BS309" s="31"/>
      <c r="BT309" s="31"/>
      <c r="BU309" s="31"/>
      <c r="BV309" s="31"/>
      <c r="BW309" s="31"/>
    </row>
    <row r="310" spans="6:75">
      <c r="F310" s="64" t="s">
        <v>965</v>
      </c>
      <c r="G310" s="64">
        <v>6</v>
      </c>
      <c r="H310" s="64">
        <f t="shared" si="5"/>
        <v>6</v>
      </c>
      <c r="I310" s="66" t="s">
        <v>92</v>
      </c>
      <c r="J310" s="64" t="s">
        <v>93</v>
      </c>
      <c r="K310" s="64" t="s">
        <v>118</v>
      </c>
      <c r="L310" s="64" t="s">
        <v>44</v>
      </c>
      <c r="M310" s="64"/>
      <c r="N310" s="64"/>
      <c r="O310" s="64">
        <v>5</v>
      </c>
      <c r="P310" s="64">
        <v>5</v>
      </c>
      <c r="Q310" s="64">
        <v>5</v>
      </c>
      <c r="R310" s="64">
        <v>5</v>
      </c>
      <c r="S310" s="64">
        <v>5</v>
      </c>
      <c r="T310" s="64">
        <v>5</v>
      </c>
      <c r="U310" s="64" t="s">
        <v>966</v>
      </c>
      <c r="V310" s="64" t="s">
        <v>967</v>
      </c>
      <c r="W310" s="64"/>
      <c r="X310" s="31"/>
      <c r="Y310" s="31"/>
      <c r="Z310" s="31"/>
      <c r="AA310" s="31"/>
      <c r="AB310" s="31"/>
      <c r="AC310" s="31"/>
      <c r="AD310" s="31"/>
      <c r="AE310" s="31"/>
      <c r="AF310" s="31"/>
      <c r="AG310" s="31"/>
      <c r="AH310" s="31"/>
      <c r="AI310" s="31"/>
      <c r="AJ310" s="31"/>
      <c r="AK310" s="31"/>
      <c r="AL310" s="31"/>
      <c r="AM310" s="31"/>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1"/>
      <c r="BL310" s="31"/>
      <c r="BM310" s="31"/>
      <c r="BN310" s="31"/>
      <c r="BO310" s="31"/>
      <c r="BP310" s="31"/>
      <c r="BQ310" s="31"/>
      <c r="BR310" s="31"/>
      <c r="BS310" s="31"/>
      <c r="BT310" s="31"/>
      <c r="BU310" s="31"/>
      <c r="BV310" s="31"/>
      <c r="BW310" s="31"/>
    </row>
    <row r="311" spans="6:75">
      <c r="F311" s="64" t="s">
        <v>968</v>
      </c>
      <c r="G311" s="64">
        <v>6</v>
      </c>
      <c r="H311" s="64">
        <f t="shared" si="5"/>
        <v>2</v>
      </c>
      <c r="I311" s="66" t="s">
        <v>92</v>
      </c>
      <c r="J311" s="64" t="s">
        <v>93</v>
      </c>
      <c r="K311" s="64" t="s">
        <v>118</v>
      </c>
      <c r="L311" s="64" t="s">
        <v>44</v>
      </c>
      <c r="M311" s="64"/>
      <c r="N311" s="64"/>
      <c r="O311" s="64">
        <v>3</v>
      </c>
      <c r="P311" s="64">
        <v>3</v>
      </c>
      <c r="Q311" s="64">
        <v>3</v>
      </c>
      <c r="R311" s="64">
        <v>4</v>
      </c>
      <c r="S311" s="64">
        <v>4</v>
      </c>
      <c r="T311" s="64">
        <v>3</v>
      </c>
      <c r="U311" s="64"/>
      <c r="V311" s="64"/>
      <c r="W311" s="64"/>
      <c r="X311" s="31"/>
      <c r="Y311" s="31"/>
      <c r="Z311" s="31"/>
      <c r="AA311" s="31"/>
      <c r="AB311" s="31"/>
      <c r="AC311" s="31"/>
      <c r="AD311" s="31"/>
      <c r="AE311" s="31"/>
      <c r="AF311" s="31"/>
      <c r="AG311" s="31"/>
      <c r="AH311" s="31"/>
      <c r="AI311" s="31"/>
      <c r="AJ311" s="31"/>
      <c r="AK311" s="31"/>
      <c r="AL311" s="31"/>
      <c r="AM311" s="31"/>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1"/>
      <c r="BL311" s="31"/>
      <c r="BM311" s="31"/>
      <c r="BN311" s="31"/>
      <c r="BO311" s="31"/>
      <c r="BP311" s="31"/>
      <c r="BQ311" s="31"/>
      <c r="BR311" s="31"/>
      <c r="BS311" s="31"/>
      <c r="BT311" s="31"/>
      <c r="BU311" s="31"/>
      <c r="BV311" s="31"/>
      <c r="BW311" s="31"/>
    </row>
    <row r="312" spans="6:75">
      <c r="F312" s="64" t="s">
        <v>969</v>
      </c>
      <c r="G312" s="64">
        <v>6</v>
      </c>
      <c r="H312" s="64">
        <f t="shared" si="5"/>
        <v>6</v>
      </c>
      <c r="I312" s="66" t="s">
        <v>92</v>
      </c>
      <c r="J312" s="64" t="s">
        <v>93</v>
      </c>
      <c r="K312" s="64" t="s">
        <v>118</v>
      </c>
      <c r="L312" s="64" t="s">
        <v>107</v>
      </c>
      <c r="M312" s="64"/>
      <c r="N312" s="64"/>
      <c r="O312" s="64">
        <v>5</v>
      </c>
      <c r="P312" s="64">
        <v>5</v>
      </c>
      <c r="Q312" s="64">
        <v>5</v>
      </c>
      <c r="R312" s="64">
        <v>5</v>
      </c>
      <c r="S312" s="64">
        <v>5</v>
      </c>
      <c r="T312" s="64">
        <v>5</v>
      </c>
      <c r="U312" s="64" t="s">
        <v>966</v>
      </c>
      <c r="V312" s="64" t="s">
        <v>967</v>
      </c>
      <c r="W312" s="64"/>
      <c r="X312" s="31"/>
      <c r="Y312" s="31"/>
      <c r="Z312" s="31"/>
      <c r="AA312" s="31"/>
      <c r="AB312" s="31"/>
      <c r="AC312" s="31"/>
      <c r="AD312" s="31"/>
      <c r="AE312" s="31"/>
      <c r="AF312" s="31"/>
      <c r="AG312" s="31"/>
      <c r="AH312" s="31"/>
      <c r="AI312" s="31"/>
      <c r="AJ312" s="31"/>
      <c r="AK312" s="31"/>
      <c r="AL312" s="31"/>
      <c r="AM312" s="31"/>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1"/>
      <c r="BL312" s="31"/>
      <c r="BM312" s="31"/>
      <c r="BN312" s="31"/>
      <c r="BO312" s="31"/>
      <c r="BP312" s="31"/>
      <c r="BQ312" s="31"/>
      <c r="BR312" s="31"/>
      <c r="BS312" s="31"/>
      <c r="BT312" s="31"/>
      <c r="BU312" s="31"/>
      <c r="BV312" s="31"/>
      <c r="BW312" s="31"/>
    </row>
    <row r="313" spans="6:75">
      <c r="F313" s="64" t="s">
        <v>970</v>
      </c>
      <c r="G313" s="64">
        <v>6</v>
      </c>
      <c r="H313" s="64">
        <f t="shared" si="5"/>
        <v>6</v>
      </c>
      <c r="I313" s="66" t="s">
        <v>92</v>
      </c>
      <c r="J313" s="64" t="s">
        <v>93</v>
      </c>
      <c r="K313" s="64" t="s">
        <v>118</v>
      </c>
      <c r="L313" s="64" t="s">
        <v>44</v>
      </c>
      <c r="M313" s="64"/>
      <c r="N313" s="64"/>
      <c r="O313" s="64">
        <v>5</v>
      </c>
      <c r="P313" s="64">
        <v>5</v>
      </c>
      <c r="Q313" s="64">
        <v>5</v>
      </c>
      <c r="R313" s="64">
        <v>5</v>
      </c>
      <c r="S313" s="64">
        <v>5</v>
      </c>
      <c r="T313" s="64">
        <v>5</v>
      </c>
      <c r="U313" s="64" t="s">
        <v>961</v>
      </c>
      <c r="V313" s="64" t="s">
        <v>971</v>
      </c>
      <c r="W313" s="64"/>
      <c r="X313" s="31"/>
      <c r="Y313" s="31"/>
      <c r="Z313" s="31"/>
      <c r="AA313" s="31"/>
      <c r="AB313" s="31"/>
      <c r="AC313" s="31"/>
      <c r="AD313" s="31"/>
      <c r="AE313" s="31"/>
      <c r="AF313" s="31"/>
      <c r="AG313" s="31"/>
      <c r="AH313" s="31"/>
      <c r="AI313" s="31"/>
      <c r="AJ313" s="31"/>
      <c r="AK313" s="31"/>
      <c r="AL313" s="31"/>
      <c r="AM313" s="31"/>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1"/>
      <c r="BL313" s="31"/>
      <c r="BM313" s="31"/>
      <c r="BN313" s="31"/>
      <c r="BO313" s="31"/>
      <c r="BP313" s="31"/>
      <c r="BQ313" s="31"/>
      <c r="BR313" s="31"/>
      <c r="BS313" s="31"/>
      <c r="BT313" s="31"/>
      <c r="BU313" s="31"/>
      <c r="BV313" s="31"/>
      <c r="BW313" s="31"/>
    </row>
    <row r="314" spans="6:75">
      <c r="F314" s="64" t="s">
        <v>972</v>
      </c>
      <c r="G314" s="64">
        <v>6</v>
      </c>
      <c r="H314" s="64">
        <f t="shared" si="5"/>
        <v>6</v>
      </c>
      <c r="I314" s="66" t="s">
        <v>92</v>
      </c>
      <c r="J314" s="64" t="s">
        <v>93</v>
      </c>
      <c r="K314" s="64" t="s">
        <v>118</v>
      </c>
      <c r="L314" s="64" t="s">
        <v>44</v>
      </c>
      <c r="M314" s="64"/>
      <c r="N314" s="64"/>
      <c r="O314" s="64">
        <v>5</v>
      </c>
      <c r="P314" s="64">
        <v>5</v>
      </c>
      <c r="Q314" s="64">
        <v>5</v>
      </c>
      <c r="R314" s="64">
        <v>5</v>
      </c>
      <c r="S314" s="64">
        <v>5</v>
      </c>
      <c r="T314" s="64">
        <v>5</v>
      </c>
      <c r="U314" s="64" t="s">
        <v>973</v>
      </c>
      <c r="V314" s="64" t="s">
        <v>127</v>
      </c>
      <c r="W314" s="64"/>
      <c r="X314" s="31"/>
      <c r="Y314" s="31"/>
      <c r="Z314" s="31"/>
      <c r="AA314" s="31"/>
      <c r="AB314" s="31"/>
      <c r="AC314" s="31"/>
      <c r="AD314" s="31"/>
      <c r="AE314" s="31"/>
      <c r="AF314" s="31"/>
      <c r="AG314" s="31"/>
      <c r="AH314" s="31"/>
      <c r="AI314" s="31"/>
      <c r="AJ314" s="31"/>
      <c r="AK314" s="31"/>
      <c r="AL314" s="31"/>
      <c r="AM314" s="31"/>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1"/>
      <c r="BL314" s="31"/>
      <c r="BM314" s="31"/>
      <c r="BN314" s="31"/>
      <c r="BO314" s="31"/>
      <c r="BP314" s="31"/>
      <c r="BQ314" s="31"/>
      <c r="BR314" s="31"/>
      <c r="BS314" s="31"/>
      <c r="BT314" s="31"/>
      <c r="BU314" s="31"/>
      <c r="BV314" s="31"/>
      <c r="BW314" s="31"/>
    </row>
    <row r="315" spans="6:75">
      <c r="F315" s="64" t="s">
        <v>974</v>
      </c>
      <c r="G315" s="64">
        <v>6</v>
      </c>
      <c r="H315" s="64">
        <f t="shared" si="5"/>
        <v>1</v>
      </c>
      <c r="I315" s="66" t="s">
        <v>92</v>
      </c>
      <c r="J315" s="64" t="s">
        <v>93</v>
      </c>
      <c r="K315" s="64" t="s">
        <v>118</v>
      </c>
      <c r="L315" s="64" t="s">
        <v>36</v>
      </c>
      <c r="M315" s="64"/>
      <c r="N315" s="64"/>
      <c r="O315" s="64">
        <v>4</v>
      </c>
      <c r="P315" s="64">
        <v>3</v>
      </c>
      <c r="Q315" s="64">
        <v>3</v>
      </c>
      <c r="R315" s="64">
        <v>3</v>
      </c>
      <c r="S315" s="64">
        <v>3</v>
      </c>
      <c r="T315" s="64">
        <v>3</v>
      </c>
      <c r="U315" s="64"/>
      <c r="V315" s="64"/>
      <c r="W315" s="64"/>
      <c r="X315" s="31"/>
      <c r="Y315" s="31"/>
      <c r="Z315" s="31"/>
      <c r="AA315" s="31"/>
      <c r="AB315" s="31"/>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1"/>
      <c r="BL315" s="31"/>
      <c r="BM315" s="31"/>
      <c r="BN315" s="31"/>
      <c r="BO315" s="31"/>
      <c r="BP315" s="31"/>
      <c r="BQ315" s="31"/>
      <c r="BR315" s="31"/>
      <c r="BS315" s="31"/>
      <c r="BT315" s="31"/>
      <c r="BU315" s="31"/>
      <c r="BV315" s="31"/>
      <c r="BW315" s="31"/>
    </row>
    <row r="316" spans="6:75">
      <c r="F316" s="64" t="s">
        <v>975</v>
      </c>
      <c r="G316" s="64">
        <v>6</v>
      </c>
      <c r="H316" s="64">
        <f t="shared" si="5"/>
        <v>6</v>
      </c>
      <c r="I316" s="66" t="s">
        <v>92</v>
      </c>
      <c r="J316" s="64" t="s">
        <v>93</v>
      </c>
      <c r="K316" s="64" t="s">
        <v>118</v>
      </c>
      <c r="L316" s="64" t="s">
        <v>107</v>
      </c>
      <c r="M316" s="64"/>
      <c r="N316" s="64"/>
      <c r="O316" s="64">
        <v>5</v>
      </c>
      <c r="P316" s="64">
        <v>5</v>
      </c>
      <c r="Q316" s="64">
        <v>5</v>
      </c>
      <c r="R316" s="64">
        <v>5</v>
      </c>
      <c r="S316" s="64">
        <v>5</v>
      </c>
      <c r="T316" s="64">
        <v>5</v>
      </c>
      <c r="U316" s="64" t="s">
        <v>961</v>
      </c>
      <c r="V316" s="64" t="s">
        <v>962</v>
      </c>
      <c r="W316" s="64"/>
      <c r="X316" s="31"/>
      <c r="Y316" s="31"/>
      <c r="Z316" s="31"/>
      <c r="AA316" s="31"/>
      <c r="AB316" s="31"/>
      <c r="AC316" s="31"/>
      <c r="AD316" s="31"/>
      <c r="AE316" s="31"/>
      <c r="AF316" s="31"/>
      <c r="AG316" s="31"/>
      <c r="AH316" s="31"/>
      <c r="AI316" s="31"/>
      <c r="AJ316" s="31"/>
      <c r="AK316" s="31"/>
      <c r="AL316" s="31"/>
      <c r="AM316" s="31"/>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1"/>
      <c r="BL316" s="31"/>
      <c r="BM316" s="31"/>
      <c r="BN316" s="31"/>
      <c r="BO316" s="31"/>
      <c r="BP316" s="31"/>
      <c r="BQ316" s="31"/>
      <c r="BR316" s="31"/>
      <c r="BS316" s="31"/>
      <c r="BT316" s="31"/>
      <c r="BU316" s="31"/>
      <c r="BV316" s="31"/>
      <c r="BW316" s="31"/>
    </row>
    <row r="317" spans="6:75">
      <c r="F317" s="64" t="s">
        <v>976</v>
      </c>
      <c r="G317" s="64">
        <v>6</v>
      </c>
      <c r="H317" s="64">
        <f t="shared" si="5"/>
        <v>3</v>
      </c>
      <c r="I317" s="66" t="s">
        <v>92</v>
      </c>
      <c r="J317" s="64" t="s">
        <v>93</v>
      </c>
      <c r="K317" s="64" t="s">
        <v>118</v>
      </c>
      <c r="L317" s="64" t="s">
        <v>107</v>
      </c>
      <c r="M317" s="64"/>
      <c r="N317" s="64"/>
      <c r="O317" s="64">
        <v>5</v>
      </c>
      <c r="P317" s="64">
        <v>3</v>
      </c>
      <c r="Q317" s="64">
        <v>3</v>
      </c>
      <c r="R317" s="64">
        <v>4</v>
      </c>
      <c r="S317" s="64">
        <v>4</v>
      </c>
      <c r="T317" s="64">
        <v>3</v>
      </c>
      <c r="U317" s="64" t="s">
        <v>977</v>
      </c>
      <c r="V317" s="64"/>
      <c r="W317" s="64"/>
      <c r="X317" s="31"/>
      <c r="Y317" s="31"/>
      <c r="Z317" s="31"/>
      <c r="AA317" s="31"/>
      <c r="AB317" s="31"/>
      <c r="AC317" s="31"/>
      <c r="AD317" s="31"/>
      <c r="AE317" s="31"/>
      <c r="AF317" s="31"/>
      <c r="AG317" s="31"/>
      <c r="AH317" s="31"/>
      <c r="AI317" s="31"/>
      <c r="AJ317" s="31"/>
      <c r="AK317" s="31"/>
      <c r="AL317" s="31"/>
      <c r="AM317" s="31"/>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1"/>
      <c r="BL317" s="31"/>
      <c r="BM317" s="31"/>
      <c r="BN317" s="31"/>
      <c r="BO317" s="31"/>
      <c r="BP317" s="31"/>
      <c r="BQ317" s="31"/>
      <c r="BR317" s="31"/>
      <c r="BS317" s="31"/>
      <c r="BT317" s="31"/>
      <c r="BU317" s="31"/>
      <c r="BV317" s="31"/>
      <c r="BW317" s="31"/>
    </row>
    <row r="318" spans="6:75">
      <c r="F318" s="64" t="s">
        <v>978</v>
      </c>
      <c r="G318" s="64">
        <v>6</v>
      </c>
      <c r="H318" s="64">
        <f t="shared" si="5"/>
        <v>6</v>
      </c>
      <c r="I318" s="66" t="s">
        <v>92</v>
      </c>
      <c r="J318" s="64" t="s">
        <v>93</v>
      </c>
      <c r="K318" s="64" t="s">
        <v>118</v>
      </c>
      <c r="L318" s="64" t="s">
        <v>44</v>
      </c>
      <c r="M318" s="64"/>
      <c r="N318" s="64"/>
      <c r="O318" s="64">
        <v>4</v>
      </c>
      <c r="P318" s="64">
        <v>4</v>
      </c>
      <c r="Q318" s="64">
        <v>5</v>
      </c>
      <c r="R318" s="64">
        <v>5</v>
      </c>
      <c r="S318" s="64">
        <v>5</v>
      </c>
      <c r="T318" s="64">
        <v>5</v>
      </c>
      <c r="U318" s="64"/>
      <c r="V318" s="64"/>
      <c r="W318" s="64"/>
      <c r="X318" s="31"/>
      <c r="Y318" s="31"/>
      <c r="Z318" s="31"/>
      <c r="AA318" s="31"/>
      <c r="AB318" s="31"/>
      <c r="AC318" s="31"/>
      <c r="AD318" s="31"/>
      <c r="AE318" s="31"/>
      <c r="AF318" s="31"/>
      <c r="AG318" s="31"/>
      <c r="AH318" s="31"/>
      <c r="AI318" s="31"/>
      <c r="AJ318" s="31"/>
      <c r="AK318" s="31"/>
      <c r="AL318" s="31"/>
      <c r="AM318" s="31"/>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1"/>
      <c r="BL318" s="31"/>
      <c r="BM318" s="31"/>
      <c r="BN318" s="31"/>
      <c r="BO318" s="31"/>
      <c r="BP318" s="31"/>
      <c r="BQ318" s="31"/>
      <c r="BR318" s="31"/>
      <c r="BS318" s="31"/>
      <c r="BT318" s="31"/>
      <c r="BU318" s="31"/>
      <c r="BV318" s="31"/>
      <c r="BW318" s="31"/>
    </row>
    <row r="319" spans="6:75">
      <c r="F319" s="64" t="s">
        <v>979</v>
      </c>
      <c r="G319" s="64">
        <v>6</v>
      </c>
      <c r="H319" s="64">
        <f t="shared" si="5"/>
        <v>6</v>
      </c>
      <c r="I319" s="66" t="s">
        <v>92</v>
      </c>
      <c r="J319" s="64" t="s">
        <v>93</v>
      </c>
      <c r="K319" s="64" t="s">
        <v>118</v>
      </c>
      <c r="L319" s="64" t="s">
        <v>36</v>
      </c>
      <c r="M319" s="64"/>
      <c r="N319" s="64"/>
      <c r="O319" s="64">
        <v>5</v>
      </c>
      <c r="P319" s="64">
        <v>5</v>
      </c>
      <c r="Q319" s="64">
        <v>5</v>
      </c>
      <c r="R319" s="64">
        <v>5</v>
      </c>
      <c r="S319" s="64">
        <v>5</v>
      </c>
      <c r="T319" s="64">
        <v>5</v>
      </c>
      <c r="U319" s="64"/>
      <c r="V319" s="64"/>
      <c r="W319" s="64"/>
      <c r="X319" s="31"/>
      <c r="Y319" s="31"/>
      <c r="Z319" s="31"/>
      <c r="AA319" s="31"/>
      <c r="AB319" s="31"/>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1"/>
      <c r="BL319" s="31"/>
      <c r="BM319" s="31"/>
      <c r="BN319" s="31"/>
      <c r="BO319" s="31"/>
      <c r="BP319" s="31"/>
      <c r="BQ319" s="31"/>
      <c r="BR319" s="31"/>
      <c r="BS319" s="31"/>
      <c r="BT319" s="31"/>
      <c r="BU319" s="31"/>
      <c r="BV319" s="31"/>
      <c r="BW319" s="31"/>
    </row>
    <row r="320" spans="6:75">
      <c r="F320" s="64" t="s">
        <v>980</v>
      </c>
      <c r="G320" s="64">
        <v>6</v>
      </c>
      <c r="H320" s="64">
        <f t="shared" si="5"/>
        <v>6</v>
      </c>
      <c r="I320" s="66" t="s">
        <v>92</v>
      </c>
      <c r="J320" s="64" t="s">
        <v>93</v>
      </c>
      <c r="K320" s="64" t="s">
        <v>118</v>
      </c>
      <c r="L320" s="64" t="s">
        <v>107</v>
      </c>
      <c r="M320" s="64"/>
      <c r="N320" s="64"/>
      <c r="O320" s="64">
        <v>5</v>
      </c>
      <c r="P320" s="64">
        <v>5</v>
      </c>
      <c r="Q320" s="64">
        <v>5</v>
      </c>
      <c r="R320" s="64">
        <v>5</v>
      </c>
      <c r="S320" s="64">
        <v>5</v>
      </c>
      <c r="T320" s="64">
        <v>5</v>
      </c>
      <c r="U320" s="64"/>
      <c r="V320" s="64"/>
      <c r="W320" s="64"/>
      <c r="X320" s="31"/>
      <c r="Y320" s="31"/>
      <c r="Z320" s="31"/>
      <c r="AA320" s="31"/>
      <c r="AB320" s="31"/>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1"/>
      <c r="BL320" s="31"/>
      <c r="BM320" s="31"/>
      <c r="BN320" s="31"/>
      <c r="BO320" s="31"/>
      <c r="BP320" s="31"/>
      <c r="BQ320" s="31"/>
      <c r="BR320" s="31"/>
      <c r="BS320" s="31"/>
      <c r="BT320" s="31"/>
      <c r="BU320" s="31"/>
      <c r="BV320" s="31"/>
      <c r="BW320" s="31"/>
    </row>
    <row r="321" spans="6:75">
      <c r="F321" s="64" t="s">
        <v>981</v>
      </c>
      <c r="G321" s="64">
        <v>6</v>
      </c>
      <c r="H321" s="64">
        <f t="shared" si="5"/>
        <v>5</v>
      </c>
      <c r="I321" s="66" t="s">
        <v>92</v>
      </c>
      <c r="J321" s="64" t="s">
        <v>93</v>
      </c>
      <c r="K321" s="64" t="s">
        <v>118</v>
      </c>
      <c r="L321" s="64" t="s">
        <v>107</v>
      </c>
      <c r="M321" s="64"/>
      <c r="N321" s="64"/>
      <c r="O321" s="64">
        <v>4</v>
      </c>
      <c r="P321" s="64">
        <v>4</v>
      </c>
      <c r="Q321" s="64">
        <v>3</v>
      </c>
      <c r="R321" s="64">
        <v>4</v>
      </c>
      <c r="S321" s="64">
        <v>4</v>
      </c>
      <c r="T321" s="64">
        <v>4</v>
      </c>
      <c r="U321" s="64" t="s">
        <v>982</v>
      </c>
      <c r="V321" s="64"/>
      <c r="W321" s="64"/>
      <c r="X321" s="31"/>
      <c r="Y321" s="31"/>
      <c r="Z321" s="31"/>
      <c r="AA321" s="31"/>
      <c r="AB321" s="31"/>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1"/>
      <c r="BL321" s="31"/>
      <c r="BM321" s="31"/>
      <c r="BN321" s="31"/>
      <c r="BO321" s="31"/>
      <c r="BP321" s="31"/>
      <c r="BQ321" s="31"/>
      <c r="BR321" s="31"/>
      <c r="BS321" s="31"/>
      <c r="BT321" s="31"/>
      <c r="BU321" s="31"/>
      <c r="BV321" s="31"/>
      <c r="BW321" s="31"/>
    </row>
    <row r="322" spans="6:75">
      <c r="F322" s="64" t="s">
        <v>983</v>
      </c>
      <c r="G322" s="64">
        <v>6</v>
      </c>
      <c r="H322" s="64">
        <f t="shared" si="5"/>
        <v>6</v>
      </c>
      <c r="I322" s="66" t="s">
        <v>92</v>
      </c>
      <c r="J322" s="64" t="s">
        <v>93</v>
      </c>
      <c r="K322" s="64" t="s">
        <v>118</v>
      </c>
      <c r="L322" s="64" t="s">
        <v>36</v>
      </c>
      <c r="M322" s="64"/>
      <c r="N322" s="64"/>
      <c r="O322" s="64">
        <v>5</v>
      </c>
      <c r="P322" s="64">
        <v>5</v>
      </c>
      <c r="Q322" s="64">
        <v>5</v>
      </c>
      <c r="R322" s="64">
        <v>5</v>
      </c>
      <c r="S322" s="64">
        <v>5</v>
      </c>
      <c r="T322" s="64">
        <v>5</v>
      </c>
      <c r="U322" s="64" t="s">
        <v>984</v>
      </c>
      <c r="V322" s="64" t="s">
        <v>985</v>
      </c>
      <c r="W322" s="64"/>
      <c r="X322" s="31"/>
      <c r="Y322" s="31"/>
      <c r="Z322" s="31"/>
      <c r="AA322" s="31"/>
      <c r="AB322" s="31"/>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1"/>
      <c r="BL322" s="31"/>
      <c r="BM322" s="31"/>
      <c r="BN322" s="31"/>
      <c r="BO322" s="31"/>
      <c r="BP322" s="31"/>
      <c r="BQ322" s="31"/>
      <c r="BR322" s="31"/>
      <c r="BS322" s="31"/>
      <c r="BT322" s="31"/>
      <c r="BU322" s="31"/>
      <c r="BV322" s="31"/>
      <c r="BW322" s="31"/>
    </row>
    <row r="323" spans="6:75">
      <c r="F323" s="64" t="s">
        <v>986</v>
      </c>
      <c r="G323" s="64">
        <v>6</v>
      </c>
      <c r="H323" s="64">
        <f t="shared" si="5"/>
        <v>6</v>
      </c>
      <c r="I323" s="66" t="s">
        <v>92</v>
      </c>
      <c r="J323" s="64" t="s">
        <v>93</v>
      </c>
      <c r="K323" s="64" t="s">
        <v>118</v>
      </c>
      <c r="L323" s="64" t="s">
        <v>36</v>
      </c>
      <c r="M323" s="64"/>
      <c r="N323" s="64"/>
      <c r="O323" s="64">
        <v>5</v>
      </c>
      <c r="P323" s="64">
        <v>5</v>
      </c>
      <c r="Q323" s="64">
        <v>5</v>
      </c>
      <c r="R323" s="64">
        <v>5</v>
      </c>
      <c r="S323" s="64">
        <v>5</v>
      </c>
      <c r="T323" s="64">
        <v>5</v>
      </c>
      <c r="U323" s="64" t="s">
        <v>987</v>
      </c>
      <c r="V323" s="64" t="s">
        <v>127</v>
      </c>
      <c r="W323" s="64"/>
      <c r="X323" s="31"/>
      <c r="Y323" s="31"/>
      <c r="Z323" s="31"/>
      <c r="AA323" s="31"/>
      <c r="AB323" s="31"/>
      <c r="AC323" s="31"/>
      <c r="AD323" s="31"/>
      <c r="AE323" s="31"/>
      <c r="AF323" s="31"/>
      <c r="AG323" s="31"/>
      <c r="AH323" s="31"/>
      <c r="AI323" s="31"/>
      <c r="AJ323" s="31"/>
      <c r="AK323" s="31"/>
      <c r="AL323" s="31"/>
      <c r="AM323" s="31"/>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1"/>
      <c r="BL323" s="31"/>
      <c r="BM323" s="31"/>
      <c r="BN323" s="31"/>
      <c r="BO323" s="31"/>
      <c r="BP323" s="31"/>
      <c r="BQ323" s="31"/>
      <c r="BR323" s="31"/>
      <c r="BS323" s="31"/>
      <c r="BT323" s="31"/>
      <c r="BU323" s="31"/>
      <c r="BV323" s="31"/>
      <c r="BW323" s="31"/>
    </row>
    <row r="324" spans="6:75">
      <c r="F324" s="64" t="s">
        <v>988</v>
      </c>
      <c r="G324" s="64">
        <v>6</v>
      </c>
      <c r="H324" s="64">
        <f t="shared" si="5"/>
        <v>6</v>
      </c>
      <c r="I324" s="66" t="s">
        <v>92</v>
      </c>
      <c r="J324" s="64" t="s">
        <v>93</v>
      </c>
      <c r="K324" s="64" t="s">
        <v>118</v>
      </c>
      <c r="L324" s="64" t="s">
        <v>44</v>
      </c>
      <c r="M324" s="64"/>
      <c r="N324" s="64"/>
      <c r="O324" s="64">
        <v>4</v>
      </c>
      <c r="P324" s="64">
        <v>5</v>
      </c>
      <c r="Q324" s="64">
        <v>5</v>
      </c>
      <c r="R324" s="64">
        <v>5</v>
      </c>
      <c r="S324" s="64">
        <v>5</v>
      </c>
      <c r="T324" s="64">
        <v>4</v>
      </c>
      <c r="U324" s="64"/>
      <c r="V324" s="64"/>
      <c r="W324" s="64"/>
      <c r="X324" s="31"/>
      <c r="Y324" s="31"/>
      <c r="Z324" s="31"/>
      <c r="AA324" s="31"/>
      <c r="AB324" s="31"/>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1"/>
      <c r="BL324" s="31"/>
      <c r="BM324" s="31"/>
      <c r="BN324" s="31"/>
      <c r="BO324" s="31"/>
      <c r="BP324" s="31"/>
      <c r="BQ324" s="31"/>
      <c r="BR324" s="31"/>
      <c r="BS324" s="31"/>
      <c r="BT324" s="31"/>
      <c r="BU324" s="31"/>
      <c r="BV324" s="31"/>
      <c r="BW324" s="31"/>
    </row>
    <row r="325" spans="6:75">
      <c r="F325" s="64" t="s">
        <v>989</v>
      </c>
      <c r="G325" s="64">
        <v>6</v>
      </c>
      <c r="H325" s="64">
        <f t="shared" si="5"/>
        <v>6</v>
      </c>
      <c r="I325" s="66" t="s">
        <v>92</v>
      </c>
      <c r="J325" s="64" t="s">
        <v>93</v>
      </c>
      <c r="K325" s="64" t="s">
        <v>118</v>
      </c>
      <c r="L325" s="64" t="s">
        <v>107</v>
      </c>
      <c r="M325" s="64"/>
      <c r="N325" s="64"/>
      <c r="O325" s="64">
        <v>5</v>
      </c>
      <c r="P325" s="64">
        <v>5</v>
      </c>
      <c r="Q325" s="64">
        <v>5</v>
      </c>
      <c r="R325" s="64">
        <v>5</v>
      </c>
      <c r="S325" s="64">
        <v>5</v>
      </c>
      <c r="T325" s="64">
        <v>5</v>
      </c>
      <c r="U325" s="64" t="s">
        <v>990</v>
      </c>
      <c r="V325" s="64" t="s">
        <v>954</v>
      </c>
      <c r="W325" s="64"/>
      <c r="X325" s="31"/>
      <c r="Y325" s="31"/>
      <c r="Z325" s="31"/>
      <c r="AA325" s="31"/>
      <c r="AB325" s="31"/>
      <c r="AC325" s="31"/>
      <c r="AD325" s="31"/>
      <c r="AE325" s="31"/>
      <c r="AF325" s="31"/>
      <c r="AG325" s="31"/>
      <c r="AH325" s="31"/>
      <c r="AI325" s="31"/>
      <c r="AJ325" s="31"/>
      <c r="AK325" s="31"/>
      <c r="AL325" s="31"/>
      <c r="AM325" s="31"/>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1"/>
      <c r="BL325" s="31"/>
      <c r="BM325" s="31"/>
      <c r="BN325" s="31"/>
      <c r="BO325" s="31"/>
      <c r="BP325" s="31"/>
      <c r="BQ325" s="31"/>
      <c r="BR325" s="31"/>
      <c r="BS325" s="31"/>
      <c r="BT325" s="31"/>
      <c r="BU325" s="31"/>
      <c r="BV325" s="31"/>
      <c r="BW325" s="31"/>
    </row>
    <row r="326" spans="6:75">
      <c r="F326" s="64" t="s">
        <v>991</v>
      </c>
      <c r="G326" s="64">
        <v>6</v>
      </c>
      <c r="H326" s="64">
        <f t="shared" si="5"/>
        <v>6</v>
      </c>
      <c r="I326" s="66" t="s">
        <v>92</v>
      </c>
      <c r="J326" s="64" t="s">
        <v>93</v>
      </c>
      <c r="K326" s="64" t="s">
        <v>953</v>
      </c>
      <c r="L326" s="64" t="s">
        <v>107</v>
      </c>
      <c r="M326" s="64"/>
      <c r="N326" s="64"/>
      <c r="O326" s="64">
        <v>5</v>
      </c>
      <c r="P326" s="64">
        <v>5</v>
      </c>
      <c r="Q326" s="64">
        <v>5</v>
      </c>
      <c r="R326" s="64">
        <v>5</v>
      </c>
      <c r="S326" s="64">
        <v>5</v>
      </c>
      <c r="T326" s="64">
        <v>5</v>
      </c>
      <c r="U326" s="64" t="s">
        <v>992</v>
      </c>
      <c r="V326" s="64" t="s">
        <v>127</v>
      </c>
      <c r="W326" s="31"/>
      <c r="X326" s="31"/>
      <c r="Y326" s="31"/>
      <c r="Z326" s="31"/>
      <c r="AA326" s="31"/>
      <c r="AB326" s="31"/>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1"/>
      <c r="BL326" s="31"/>
      <c r="BM326" s="31"/>
      <c r="BN326" s="31"/>
      <c r="BO326" s="31"/>
      <c r="BP326" s="31"/>
      <c r="BQ326" s="31"/>
      <c r="BR326" s="31"/>
      <c r="BS326" s="31"/>
      <c r="BT326" s="31"/>
      <c r="BU326" s="31"/>
      <c r="BV326" s="31"/>
      <c r="BW326" s="31"/>
    </row>
    <row r="327" spans="6:75">
      <c r="F327" s="64" t="s">
        <v>993</v>
      </c>
      <c r="G327" s="64">
        <v>6</v>
      </c>
      <c r="H327" s="64">
        <f t="shared" si="5"/>
        <v>6</v>
      </c>
      <c r="I327" s="66" t="s">
        <v>92</v>
      </c>
      <c r="J327" s="64" t="s">
        <v>93</v>
      </c>
      <c r="K327" s="64" t="s">
        <v>994</v>
      </c>
      <c r="L327" s="64" t="s">
        <v>65</v>
      </c>
      <c r="M327" s="64"/>
      <c r="N327" s="64"/>
      <c r="O327" s="64">
        <v>5</v>
      </c>
      <c r="P327" s="64">
        <v>5</v>
      </c>
      <c r="Q327" s="64">
        <v>5</v>
      </c>
      <c r="R327" s="64">
        <v>5</v>
      </c>
      <c r="S327" s="64">
        <v>5</v>
      </c>
      <c r="T327" s="64">
        <v>5</v>
      </c>
      <c r="U327" s="64" t="s">
        <v>995</v>
      </c>
      <c r="V327" s="64" t="s">
        <v>127</v>
      </c>
      <c r="W327" s="31"/>
      <c r="X327" s="31"/>
      <c r="Y327" s="31"/>
      <c r="Z327" s="31"/>
      <c r="AA327" s="31"/>
      <c r="AB327" s="31"/>
      <c r="AC327" s="31"/>
      <c r="AD327" s="31"/>
      <c r="AE327" s="31"/>
      <c r="AF327" s="31"/>
      <c r="AG327" s="31"/>
      <c r="AH327" s="31"/>
      <c r="AI327" s="31"/>
      <c r="AJ327" s="31"/>
      <c r="AK327" s="31"/>
      <c r="AL327" s="31"/>
      <c r="AM327" s="31"/>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1"/>
      <c r="BL327" s="31"/>
      <c r="BM327" s="31"/>
      <c r="BN327" s="31"/>
      <c r="BO327" s="31"/>
      <c r="BP327" s="31"/>
      <c r="BQ327" s="31"/>
      <c r="BR327" s="31"/>
      <c r="BS327" s="31"/>
      <c r="BT327" s="31"/>
      <c r="BU327" s="31"/>
      <c r="BV327" s="31"/>
      <c r="BW327" s="31"/>
    </row>
    <row r="328" spans="6:75">
      <c r="F328" s="64" t="s">
        <v>996</v>
      </c>
      <c r="G328" s="64">
        <v>6</v>
      </c>
      <c r="H328" s="64">
        <f t="shared" si="5"/>
        <v>6</v>
      </c>
      <c r="I328" s="66" t="s">
        <v>92</v>
      </c>
      <c r="J328" s="64" t="s">
        <v>93</v>
      </c>
      <c r="K328" s="64" t="s">
        <v>994</v>
      </c>
      <c r="L328" s="64" t="s">
        <v>32</v>
      </c>
      <c r="M328" s="64"/>
      <c r="N328" s="64"/>
      <c r="O328" s="64">
        <v>4</v>
      </c>
      <c r="P328" s="64">
        <v>4</v>
      </c>
      <c r="Q328" s="64">
        <v>5</v>
      </c>
      <c r="R328" s="64">
        <v>4</v>
      </c>
      <c r="S328" s="64">
        <v>5</v>
      </c>
      <c r="T328" s="64">
        <v>5</v>
      </c>
      <c r="U328" s="64" t="s">
        <v>997</v>
      </c>
      <c r="V328" s="64" t="s">
        <v>998</v>
      </c>
      <c r="W328" s="31"/>
      <c r="X328" s="31"/>
      <c r="Y328" s="31"/>
      <c r="Z328" s="31"/>
      <c r="AA328" s="31"/>
      <c r="AB328" s="31"/>
      <c r="AC328" s="31"/>
      <c r="AD328" s="31"/>
      <c r="AE328" s="31"/>
      <c r="AF328" s="31"/>
      <c r="AG328" s="31"/>
      <c r="AH328" s="31"/>
      <c r="AI328" s="31"/>
      <c r="AJ328" s="31"/>
      <c r="AK328" s="31"/>
      <c r="AL328" s="31"/>
      <c r="AM328" s="31"/>
      <c r="AN328" s="31"/>
      <c r="AO328" s="31"/>
      <c r="AP328" s="31"/>
      <c r="AQ328" s="31"/>
      <c r="AR328" s="31"/>
      <c r="AS328" s="31"/>
      <c r="AT328" s="31"/>
      <c r="AU328" s="31"/>
      <c r="AV328" s="31"/>
      <c r="AW328" s="31"/>
      <c r="AX328" s="31"/>
      <c r="AY328" s="31"/>
      <c r="AZ328" s="31"/>
      <c r="BA328" s="31"/>
      <c r="BB328" s="31"/>
      <c r="BC328" s="31"/>
      <c r="BD328" s="31"/>
      <c r="BE328" s="31"/>
      <c r="BF328" s="31"/>
      <c r="BG328" s="31"/>
      <c r="BH328" s="31"/>
      <c r="BI328" s="31"/>
      <c r="BJ328" s="31"/>
      <c r="BK328" s="31"/>
      <c r="BL328" s="31"/>
      <c r="BM328" s="31"/>
      <c r="BN328" s="31"/>
      <c r="BO328" s="31"/>
      <c r="BP328" s="31"/>
      <c r="BQ328" s="31"/>
      <c r="BR328" s="31"/>
      <c r="BS328" s="31"/>
      <c r="BT328" s="31"/>
      <c r="BU328" s="31"/>
      <c r="BV328" s="31"/>
      <c r="BW328" s="31"/>
    </row>
    <row r="329" spans="6:75" ht="30.75">
      <c r="F329" s="64" t="s">
        <v>999</v>
      </c>
      <c r="G329" s="64">
        <v>6</v>
      </c>
      <c r="H329" s="64">
        <f t="shared" si="5"/>
        <v>6</v>
      </c>
      <c r="I329" s="66" t="s">
        <v>92</v>
      </c>
      <c r="J329" s="64" t="s">
        <v>93</v>
      </c>
      <c r="K329" s="64" t="s">
        <v>994</v>
      </c>
      <c r="L329" s="64" t="s">
        <v>27</v>
      </c>
      <c r="M329" s="64"/>
      <c r="N329" s="64"/>
      <c r="O329" s="64">
        <v>4</v>
      </c>
      <c r="P329" s="64">
        <v>4</v>
      </c>
      <c r="Q329" s="64">
        <v>5</v>
      </c>
      <c r="R329" s="64">
        <v>4</v>
      </c>
      <c r="S329" s="64">
        <v>4</v>
      </c>
      <c r="T329" s="64">
        <v>4</v>
      </c>
      <c r="U329" s="64" t="s">
        <v>1000</v>
      </c>
      <c r="V329" s="64" t="s">
        <v>1001</v>
      </c>
      <c r="W329" s="31"/>
      <c r="X329" s="31"/>
      <c r="Y329" s="31"/>
      <c r="Z329" s="31"/>
      <c r="AA329" s="31"/>
      <c r="AB329" s="31"/>
      <c r="AC329" s="31"/>
      <c r="AD329" s="31"/>
      <c r="AE329" s="31"/>
      <c r="AF329" s="31"/>
      <c r="AG329" s="31"/>
      <c r="AH329" s="31"/>
      <c r="AI329" s="31"/>
      <c r="AJ329" s="31"/>
      <c r="AK329" s="31"/>
      <c r="AL329" s="31"/>
      <c r="AM329" s="31"/>
      <c r="AN329" s="31"/>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1"/>
      <c r="BL329" s="31"/>
      <c r="BM329" s="31"/>
      <c r="BN329" s="31"/>
      <c r="BO329" s="31"/>
      <c r="BP329" s="31"/>
      <c r="BQ329" s="31"/>
      <c r="BR329" s="31"/>
      <c r="BS329" s="31"/>
      <c r="BT329" s="31"/>
      <c r="BU329" s="31"/>
      <c r="BV329" s="31"/>
      <c r="BW329" s="31"/>
    </row>
    <row r="330" spans="6:75">
      <c r="F330" s="64" t="s">
        <v>1002</v>
      </c>
      <c r="G330" s="64">
        <v>6</v>
      </c>
      <c r="H330" s="64">
        <f t="shared" si="5"/>
        <v>6</v>
      </c>
      <c r="I330" s="66" t="s">
        <v>92</v>
      </c>
      <c r="J330" s="64" t="s">
        <v>93</v>
      </c>
      <c r="K330" s="64" t="s">
        <v>189</v>
      </c>
      <c r="L330" s="64" t="s">
        <v>65</v>
      </c>
      <c r="M330" s="64"/>
      <c r="N330" s="64"/>
      <c r="O330" s="64">
        <v>4</v>
      </c>
      <c r="P330" s="64">
        <v>4</v>
      </c>
      <c r="Q330" s="64">
        <v>4</v>
      </c>
      <c r="R330" s="64">
        <v>4</v>
      </c>
      <c r="S330" s="64">
        <v>4</v>
      </c>
      <c r="T330" s="64">
        <v>4</v>
      </c>
      <c r="U330" s="64"/>
      <c r="V330" s="64"/>
      <c r="W330" s="31"/>
      <c r="X330" s="31"/>
      <c r="Y330" s="31"/>
      <c r="Z330" s="31"/>
      <c r="AA330" s="31"/>
      <c r="AB330" s="31"/>
      <c r="AC330" s="31"/>
      <c r="AD330" s="31"/>
      <c r="AE330" s="31"/>
      <c r="AF330" s="31"/>
      <c r="AG330" s="31"/>
      <c r="AH330" s="31"/>
      <c r="AI330" s="31"/>
      <c r="AJ330" s="31"/>
      <c r="AK330" s="31"/>
      <c r="AL330" s="31"/>
      <c r="AM330" s="31"/>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1"/>
      <c r="BL330" s="31"/>
      <c r="BM330" s="31"/>
      <c r="BN330" s="31"/>
      <c r="BO330" s="31"/>
      <c r="BP330" s="31"/>
      <c r="BQ330" s="31"/>
      <c r="BR330" s="31"/>
      <c r="BS330" s="31"/>
      <c r="BT330" s="31"/>
      <c r="BU330" s="31"/>
      <c r="BV330" s="31"/>
      <c r="BW330" s="31"/>
    </row>
    <row r="331" spans="6:75">
      <c r="F331" s="64" t="s">
        <v>1003</v>
      </c>
      <c r="G331" s="64">
        <v>6</v>
      </c>
      <c r="H331" s="64">
        <f t="shared" si="5"/>
        <v>6</v>
      </c>
      <c r="I331" s="66" t="s">
        <v>92</v>
      </c>
      <c r="J331" s="64" t="s">
        <v>93</v>
      </c>
      <c r="K331" s="64" t="s">
        <v>189</v>
      </c>
      <c r="L331" s="64" t="s">
        <v>32</v>
      </c>
      <c r="M331" s="64"/>
      <c r="N331" s="64"/>
      <c r="O331" s="64">
        <v>4</v>
      </c>
      <c r="P331" s="64">
        <v>4</v>
      </c>
      <c r="Q331" s="64">
        <v>4</v>
      </c>
      <c r="R331" s="64">
        <v>4</v>
      </c>
      <c r="S331" s="64">
        <v>4</v>
      </c>
      <c r="T331" s="64">
        <v>4</v>
      </c>
      <c r="U331" s="64"/>
      <c r="V331" s="64"/>
      <c r="W331" s="31"/>
      <c r="X331" s="31"/>
      <c r="Y331" s="31"/>
      <c r="Z331" s="31"/>
      <c r="AA331" s="31"/>
      <c r="AB331" s="31"/>
      <c r="AC331" s="31"/>
      <c r="AD331" s="31"/>
      <c r="AE331" s="31"/>
      <c r="AF331" s="31"/>
      <c r="AG331" s="31"/>
      <c r="AH331" s="31"/>
      <c r="AI331" s="31"/>
      <c r="AJ331" s="31"/>
      <c r="AK331" s="31"/>
      <c r="AL331" s="31"/>
      <c r="AM331" s="31"/>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1"/>
      <c r="BL331" s="31"/>
      <c r="BM331" s="31"/>
      <c r="BN331" s="31"/>
      <c r="BO331" s="31"/>
      <c r="BP331" s="31"/>
      <c r="BQ331" s="31"/>
      <c r="BR331" s="31"/>
      <c r="BS331" s="31"/>
      <c r="BT331" s="31"/>
      <c r="BU331" s="31"/>
      <c r="BV331" s="31"/>
      <c r="BW331" s="31"/>
    </row>
    <row r="332" spans="6:75">
      <c r="F332" s="64" t="s">
        <v>1004</v>
      </c>
      <c r="G332" s="64">
        <v>6</v>
      </c>
      <c r="H332" s="64">
        <f t="shared" si="5"/>
        <v>6</v>
      </c>
      <c r="I332" s="66" t="s">
        <v>92</v>
      </c>
      <c r="J332" s="64" t="s">
        <v>93</v>
      </c>
      <c r="K332" s="64" t="s">
        <v>189</v>
      </c>
      <c r="L332" s="64" t="s">
        <v>27</v>
      </c>
      <c r="M332" s="64"/>
      <c r="N332" s="64"/>
      <c r="O332" s="64">
        <v>4</v>
      </c>
      <c r="P332" s="64">
        <v>4</v>
      </c>
      <c r="Q332" s="64">
        <v>4</v>
      </c>
      <c r="R332" s="64">
        <v>4</v>
      </c>
      <c r="S332" s="64">
        <v>4</v>
      </c>
      <c r="T332" s="64">
        <v>4</v>
      </c>
      <c r="U332" s="64"/>
      <c r="V332" s="64"/>
      <c r="W332" s="31"/>
      <c r="X332" s="31"/>
      <c r="Y332" s="31"/>
      <c r="Z332" s="31"/>
      <c r="AA332" s="31"/>
      <c r="AB332" s="31"/>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1"/>
      <c r="BL332" s="31"/>
      <c r="BM332" s="31"/>
      <c r="BN332" s="31"/>
      <c r="BO332" s="31"/>
      <c r="BP332" s="31"/>
      <c r="BQ332" s="31"/>
      <c r="BR332" s="31"/>
      <c r="BS332" s="31"/>
      <c r="BT332" s="31"/>
      <c r="BU332" s="31"/>
      <c r="BV332" s="31"/>
      <c r="BW332" s="31"/>
    </row>
    <row r="333" spans="6:75">
      <c r="F333" s="64" t="s">
        <v>1005</v>
      </c>
      <c r="G333" s="64">
        <v>6</v>
      </c>
      <c r="H333" s="64">
        <f t="shared" si="5"/>
        <v>6</v>
      </c>
      <c r="I333" s="66" t="s">
        <v>92</v>
      </c>
      <c r="J333" s="64" t="s">
        <v>93</v>
      </c>
      <c r="K333" s="64" t="s">
        <v>994</v>
      </c>
      <c r="L333" s="64" t="s">
        <v>32</v>
      </c>
      <c r="M333" s="64"/>
      <c r="N333" s="64"/>
      <c r="O333" s="64">
        <v>5</v>
      </c>
      <c r="P333" s="64">
        <v>5</v>
      </c>
      <c r="Q333" s="64">
        <v>5</v>
      </c>
      <c r="R333" s="64">
        <v>5</v>
      </c>
      <c r="S333" s="64">
        <v>5</v>
      </c>
      <c r="T333" s="64">
        <v>5</v>
      </c>
      <c r="U333" s="64" t="s">
        <v>1006</v>
      </c>
      <c r="V333" s="64" t="s">
        <v>1007</v>
      </c>
      <c r="W333" s="31"/>
      <c r="X333" s="31"/>
      <c r="Y333" s="31"/>
      <c r="Z333" s="31"/>
      <c r="AA333" s="31"/>
      <c r="AB333" s="31"/>
      <c r="AC333" s="31"/>
      <c r="AD333" s="31"/>
      <c r="AE333" s="31"/>
      <c r="AF333" s="31"/>
      <c r="AG333" s="31"/>
      <c r="AH333" s="31"/>
      <c r="AI333" s="31"/>
      <c r="AJ333" s="31"/>
      <c r="AK333" s="31"/>
      <c r="AL333" s="31"/>
      <c r="AM333" s="31"/>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1"/>
      <c r="BL333" s="31"/>
      <c r="BM333" s="31"/>
      <c r="BN333" s="31"/>
      <c r="BO333" s="31"/>
      <c r="BP333" s="31"/>
      <c r="BQ333" s="31"/>
      <c r="BR333" s="31"/>
      <c r="BS333" s="31"/>
      <c r="BT333" s="31"/>
      <c r="BU333" s="31"/>
      <c r="BV333" s="31"/>
      <c r="BW333" s="31"/>
    </row>
    <row r="334" spans="6:75">
      <c r="F334" s="64" t="s">
        <v>1008</v>
      </c>
      <c r="G334" s="64">
        <v>6</v>
      </c>
      <c r="H334" s="64">
        <f t="shared" si="5"/>
        <v>6</v>
      </c>
      <c r="I334" s="66" t="s">
        <v>92</v>
      </c>
      <c r="J334" s="64" t="s">
        <v>93</v>
      </c>
      <c r="K334" s="64" t="s">
        <v>994</v>
      </c>
      <c r="L334" s="64" t="s">
        <v>27</v>
      </c>
      <c r="M334" s="64"/>
      <c r="N334" s="64"/>
      <c r="O334" s="64">
        <v>5</v>
      </c>
      <c r="P334" s="64">
        <v>5</v>
      </c>
      <c r="Q334" s="64">
        <v>5</v>
      </c>
      <c r="R334" s="64">
        <v>5</v>
      </c>
      <c r="S334" s="64">
        <v>5</v>
      </c>
      <c r="T334" s="64">
        <v>5</v>
      </c>
      <c r="U334" s="64" t="s">
        <v>1009</v>
      </c>
      <c r="V334" s="64" t="s">
        <v>1010</v>
      </c>
      <c r="W334" s="31"/>
      <c r="X334" s="31"/>
      <c r="Y334" s="31"/>
      <c r="Z334" s="31"/>
      <c r="AA334" s="31"/>
      <c r="AB334" s="31"/>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1"/>
      <c r="BL334" s="31"/>
      <c r="BM334" s="31"/>
      <c r="BN334" s="31"/>
      <c r="BO334" s="31"/>
      <c r="BP334" s="31"/>
      <c r="BQ334" s="31"/>
      <c r="BR334" s="31"/>
      <c r="BS334" s="31"/>
      <c r="BT334" s="31"/>
      <c r="BU334" s="31"/>
      <c r="BV334" s="31"/>
      <c r="BW334" s="31"/>
    </row>
    <row r="335" spans="6:75">
      <c r="F335" s="64" t="s">
        <v>1011</v>
      </c>
      <c r="G335" s="64">
        <v>6</v>
      </c>
      <c r="H335" s="64">
        <f t="shared" si="5"/>
        <v>6</v>
      </c>
      <c r="I335" s="66" t="s">
        <v>92</v>
      </c>
      <c r="J335" s="64" t="s">
        <v>93</v>
      </c>
      <c r="K335" s="64" t="s">
        <v>994</v>
      </c>
      <c r="L335" s="64" t="s">
        <v>65</v>
      </c>
      <c r="M335" s="64"/>
      <c r="N335" s="64"/>
      <c r="O335" s="64">
        <v>5</v>
      </c>
      <c r="P335" s="64">
        <v>5</v>
      </c>
      <c r="Q335" s="64">
        <v>5</v>
      </c>
      <c r="R335" s="64">
        <v>5</v>
      </c>
      <c r="S335" s="64">
        <v>5</v>
      </c>
      <c r="T335" s="64">
        <v>5</v>
      </c>
      <c r="U335" s="64" t="s">
        <v>1012</v>
      </c>
      <c r="V335" s="64" t="s">
        <v>1007</v>
      </c>
      <c r="W335" s="31"/>
      <c r="X335" s="31"/>
      <c r="Y335" s="31"/>
      <c r="Z335" s="31"/>
      <c r="AA335" s="31"/>
      <c r="AB335" s="31"/>
      <c r="AC335" s="31"/>
      <c r="AD335" s="31"/>
      <c r="AE335" s="31"/>
      <c r="AF335" s="31"/>
      <c r="AG335" s="31"/>
      <c r="AH335" s="31"/>
      <c r="AI335" s="31"/>
      <c r="AJ335" s="31"/>
      <c r="AK335" s="31"/>
      <c r="AL335" s="31"/>
      <c r="AM335" s="31"/>
      <c r="AN335" s="31"/>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1"/>
      <c r="BL335" s="31"/>
      <c r="BM335" s="31"/>
      <c r="BN335" s="31"/>
      <c r="BO335" s="31"/>
      <c r="BP335" s="31"/>
      <c r="BQ335" s="31"/>
      <c r="BR335" s="31"/>
      <c r="BS335" s="31"/>
      <c r="BT335" s="31"/>
      <c r="BU335" s="31"/>
      <c r="BV335" s="31"/>
      <c r="BW335" s="31"/>
    </row>
    <row r="336" spans="6:75" ht="30.75">
      <c r="F336" s="64" t="s">
        <v>1013</v>
      </c>
      <c r="G336" s="64">
        <v>6</v>
      </c>
      <c r="H336" s="64">
        <f t="shared" si="5"/>
        <v>6</v>
      </c>
      <c r="I336" s="66" t="s">
        <v>92</v>
      </c>
      <c r="J336" s="64" t="s">
        <v>93</v>
      </c>
      <c r="K336" s="64" t="s">
        <v>1014</v>
      </c>
      <c r="L336" s="64" t="s">
        <v>62</v>
      </c>
      <c r="M336" s="64"/>
      <c r="N336" s="64"/>
      <c r="O336" s="64">
        <v>5</v>
      </c>
      <c r="P336" s="64">
        <v>5</v>
      </c>
      <c r="Q336" s="64">
        <v>5</v>
      </c>
      <c r="R336" s="64">
        <v>5</v>
      </c>
      <c r="S336" s="64">
        <v>5</v>
      </c>
      <c r="T336" s="64">
        <v>5</v>
      </c>
      <c r="U336" s="64" t="s">
        <v>1015</v>
      </c>
      <c r="V336" s="64" t="s">
        <v>1016</v>
      </c>
      <c r="W336" s="31"/>
      <c r="X336" s="31"/>
      <c r="Y336" s="31"/>
      <c r="Z336" s="31"/>
      <c r="AA336" s="31"/>
      <c r="AB336" s="31"/>
      <c r="AC336" s="31"/>
      <c r="AD336" s="31"/>
      <c r="AE336" s="31"/>
      <c r="AF336" s="31"/>
      <c r="AG336" s="31"/>
      <c r="AH336" s="31"/>
      <c r="AI336" s="31"/>
      <c r="AJ336" s="31"/>
      <c r="AK336" s="31"/>
      <c r="AL336" s="31"/>
      <c r="AM336" s="31"/>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1"/>
      <c r="BL336" s="31"/>
      <c r="BM336" s="31"/>
      <c r="BN336" s="31"/>
      <c r="BO336" s="31"/>
      <c r="BP336" s="31"/>
      <c r="BQ336" s="31"/>
      <c r="BR336" s="31"/>
      <c r="BS336" s="31"/>
      <c r="BT336" s="31"/>
      <c r="BU336" s="31"/>
      <c r="BV336" s="31"/>
      <c r="BW336" s="31"/>
    </row>
    <row r="337" spans="6:75" ht="30.75">
      <c r="F337" s="64" t="s">
        <v>1017</v>
      </c>
      <c r="G337" s="64">
        <v>6</v>
      </c>
      <c r="H337" s="64">
        <f t="shared" si="5"/>
        <v>6</v>
      </c>
      <c r="I337" s="66" t="s">
        <v>92</v>
      </c>
      <c r="J337" s="64" t="s">
        <v>93</v>
      </c>
      <c r="K337" s="64" t="s">
        <v>1018</v>
      </c>
      <c r="L337" s="64" t="s">
        <v>138</v>
      </c>
      <c r="M337" s="64"/>
      <c r="N337" s="64"/>
      <c r="O337" s="64">
        <v>5</v>
      </c>
      <c r="P337" s="64">
        <v>5</v>
      </c>
      <c r="Q337" s="64">
        <v>5</v>
      </c>
      <c r="R337" s="64">
        <v>5</v>
      </c>
      <c r="S337" s="64">
        <v>5</v>
      </c>
      <c r="T337" s="64">
        <v>5</v>
      </c>
      <c r="U337" s="64" t="s">
        <v>1019</v>
      </c>
      <c r="V337" s="64" t="s">
        <v>1020</v>
      </c>
      <c r="W337" s="31"/>
      <c r="X337" s="31"/>
      <c r="Y337" s="31"/>
      <c r="Z337" s="31"/>
      <c r="AA337" s="31"/>
      <c r="AB337" s="31"/>
      <c r="AC337" s="31"/>
      <c r="AD337" s="31"/>
      <c r="AE337" s="31"/>
      <c r="AF337" s="31"/>
      <c r="AG337" s="31"/>
      <c r="AH337" s="31"/>
      <c r="AI337" s="31"/>
      <c r="AJ337" s="31"/>
      <c r="AK337" s="31"/>
      <c r="AL337" s="31"/>
      <c r="AM337" s="31"/>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1"/>
      <c r="BL337" s="31"/>
      <c r="BM337" s="31"/>
      <c r="BN337" s="31"/>
      <c r="BO337" s="31"/>
      <c r="BP337" s="31"/>
      <c r="BQ337" s="31"/>
      <c r="BR337" s="31"/>
      <c r="BS337" s="31"/>
      <c r="BT337" s="31"/>
      <c r="BU337" s="31"/>
      <c r="BV337" s="31"/>
      <c r="BW337" s="31"/>
    </row>
    <row r="338" spans="6:75">
      <c r="F338" s="64" t="s">
        <v>1021</v>
      </c>
      <c r="G338" s="64">
        <v>6</v>
      </c>
      <c r="H338" s="64">
        <f t="shared" si="5"/>
        <v>6</v>
      </c>
      <c r="I338" s="66" t="s">
        <v>92</v>
      </c>
      <c r="J338" s="64" t="s">
        <v>93</v>
      </c>
      <c r="K338" s="64" t="s">
        <v>1018</v>
      </c>
      <c r="L338" s="64" t="s">
        <v>23</v>
      </c>
      <c r="M338" s="64"/>
      <c r="N338" s="64"/>
      <c r="O338" s="64">
        <v>5</v>
      </c>
      <c r="P338" s="64">
        <v>5</v>
      </c>
      <c r="Q338" s="64">
        <v>5</v>
      </c>
      <c r="R338" s="64">
        <v>5</v>
      </c>
      <c r="S338" s="64">
        <v>5</v>
      </c>
      <c r="T338" s="64">
        <v>5</v>
      </c>
      <c r="U338" s="64" t="s">
        <v>1022</v>
      </c>
      <c r="V338" s="64" t="s">
        <v>1023</v>
      </c>
      <c r="W338" s="31"/>
      <c r="X338" s="31"/>
      <c r="Y338" s="31"/>
      <c r="Z338" s="31"/>
      <c r="AA338" s="31"/>
      <c r="AB338" s="31"/>
      <c r="AC338" s="31"/>
      <c r="AD338" s="31"/>
      <c r="AE338" s="31"/>
      <c r="AF338" s="31"/>
      <c r="AG338" s="31"/>
      <c r="AH338" s="31"/>
      <c r="AI338" s="31"/>
      <c r="AJ338" s="31"/>
      <c r="AK338" s="31"/>
      <c r="AL338" s="31"/>
      <c r="AM338" s="31"/>
      <c r="AN338" s="31"/>
      <c r="AO338" s="31"/>
      <c r="AP338" s="31"/>
      <c r="AQ338" s="31"/>
      <c r="AR338" s="31"/>
      <c r="AS338" s="31"/>
      <c r="AT338" s="31"/>
      <c r="AU338" s="31"/>
      <c r="AV338" s="31"/>
      <c r="AW338" s="31"/>
      <c r="AX338" s="31"/>
      <c r="AY338" s="31"/>
      <c r="AZ338" s="31"/>
      <c r="BA338" s="31"/>
      <c r="BB338" s="31"/>
      <c r="BC338" s="31"/>
      <c r="BD338" s="31"/>
      <c r="BE338" s="31"/>
      <c r="BF338" s="31"/>
      <c r="BG338" s="31"/>
      <c r="BH338" s="31"/>
      <c r="BI338" s="31"/>
      <c r="BJ338" s="31"/>
      <c r="BK338" s="31"/>
      <c r="BL338" s="31"/>
      <c r="BM338" s="31"/>
      <c r="BN338" s="31"/>
      <c r="BO338" s="31"/>
      <c r="BP338" s="31"/>
      <c r="BQ338" s="31"/>
      <c r="BR338" s="31"/>
      <c r="BS338" s="31"/>
      <c r="BT338" s="31"/>
      <c r="BU338" s="31"/>
      <c r="BV338" s="31"/>
      <c r="BW338" s="31"/>
    </row>
    <row r="339" spans="6:75" ht="30.75">
      <c r="F339" s="64" t="s">
        <v>1024</v>
      </c>
      <c r="G339" s="64">
        <v>6</v>
      </c>
      <c r="H339" s="64">
        <f t="shared" si="5"/>
        <v>6</v>
      </c>
      <c r="I339" s="66" t="s">
        <v>92</v>
      </c>
      <c r="J339" s="64" t="s">
        <v>93</v>
      </c>
      <c r="K339" s="64" t="s">
        <v>1018</v>
      </c>
      <c r="L339" s="64" t="s">
        <v>138</v>
      </c>
      <c r="M339" s="64"/>
      <c r="N339" s="64"/>
      <c r="O339" s="64">
        <v>5</v>
      </c>
      <c r="P339" s="64">
        <v>5</v>
      </c>
      <c r="Q339" s="64">
        <v>5</v>
      </c>
      <c r="R339" s="64">
        <v>5</v>
      </c>
      <c r="S339" s="64">
        <v>5</v>
      </c>
      <c r="T339" s="64">
        <v>5</v>
      </c>
      <c r="U339" s="64" t="s">
        <v>1025</v>
      </c>
      <c r="V339" s="64"/>
      <c r="W339" s="31"/>
      <c r="X339" s="31"/>
      <c r="Y339" s="31"/>
      <c r="Z339" s="31"/>
      <c r="AA339" s="31"/>
      <c r="AB339" s="31"/>
      <c r="AC339" s="31"/>
      <c r="AD339" s="31"/>
      <c r="AE339" s="31"/>
      <c r="AF339" s="31"/>
      <c r="AG339" s="31"/>
      <c r="AH339" s="31"/>
      <c r="AI339" s="31"/>
      <c r="AJ339" s="31"/>
      <c r="AK339" s="31"/>
      <c r="AL339" s="31"/>
      <c r="AM339" s="31"/>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1"/>
      <c r="BL339" s="31"/>
      <c r="BM339" s="31"/>
      <c r="BN339" s="31"/>
      <c r="BO339" s="31"/>
      <c r="BP339" s="31"/>
      <c r="BQ339" s="31"/>
      <c r="BR339" s="31"/>
      <c r="BS339" s="31"/>
      <c r="BT339" s="31"/>
      <c r="BU339" s="31"/>
      <c r="BV339" s="31"/>
      <c r="BW339" s="31"/>
    </row>
    <row r="340" spans="6:75">
      <c r="F340" s="64" t="s">
        <v>1026</v>
      </c>
      <c r="G340" s="64">
        <v>6</v>
      </c>
      <c r="H340" s="64">
        <f t="shared" si="5"/>
        <v>6</v>
      </c>
      <c r="I340" s="66" t="s">
        <v>92</v>
      </c>
      <c r="J340" s="64" t="s">
        <v>93</v>
      </c>
      <c r="K340" s="64" t="s">
        <v>1018</v>
      </c>
      <c r="L340" s="64" t="s">
        <v>62</v>
      </c>
      <c r="M340" s="64"/>
      <c r="N340" s="64"/>
      <c r="O340" s="64">
        <v>5</v>
      </c>
      <c r="P340" s="64">
        <v>4</v>
      </c>
      <c r="Q340" s="64">
        <v>5</v>
      </c>
      <c r="R340" s="64">
        <v>5</v>
      </c>
      <c r="S340" s="64">
        <v>5</v>
      </c>
      <c r="T340" s="64">
        <v>5</v>
      </c>
      <c r="U340" s="64" t="s">
        <v>1027</v>
      </c>
      <c r="V340" s="64" t="s">
        <v>1028</v>
      </c>
      <c r="W340" s="31"/>
      <c r="X340" s="31"/>
      <c r="Y340" s="31"/>
      <c r="Z340" s="31"/>
      <c r="AA340" s="31"/>
      <c r="AB340" s="31"/>
      <c r="AC340" s="31"/>
      <c r="AD340" s="31"/>
      <c r="AE340" s="31"/>
      <c r="AF340" s="31"/>
      <c r="AG340" s="31"/>
      <c r="AH340" s="31"/>
      <c r="AI340" s="31"/>
      <c r="AJ340" s="31"/>
      <c r="AK340" s="31"/>
      <c r="AL340" s="31"/>
      <c r="AM340" s="31"/>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1"/>
      <c r="BL340" s="31"/>
      <c r="BM340" s="31"/>
      <c r="BN340" s="31"/>
      <c r="BO340" s="31"/>
      <c r="BP340" s="31"/>
      <c r="BQ340" s="31"/>
      <c r="BR340" s="31"/>
      <c r="BS340" s="31"/>
      <c r="BT340" s="31"/>
      <c r="BU340" s="31"/>
      <c r="BV340" s="31"/>
      <c r="BW340" s="31"/>
    </row>
    <row r="341" spans="6:75">
      <c r="F341" s="64" t="s">
        <v>1029</v>
      </c>
      <c r="G341" s="64">
        <v>6</v>
      </c>
      <c r="H341" s="64">
        <f t="shared" si="5"/>
        <v>6</v>
      </c>
      <c r="I341" s="66" t="s">
        <v>92</v>
      </c>
      <c r="J341" s="64" t="s">
        <v>93</v>
      </c>
      <c r="K341" s="64" t="s">
        <v>1018</v>
      </c>
      <c r="L341" s="64" t="s">
        <v>62</v>
      </c>
      <c r="M341" s="64"/>
      <c r="N341" s="64"/>
      <c r="O341" s="64">
        <v>5</v>
      </c>
      <c r="P341" s="64">
        <v>5</v>
      </c>
      <c r="Q341" s="64">
        <v>5</v>
      </c>
      <c r="R341" s="64">
        <v>5</v>
      </c>
      <c r="S341" s="64">
        <v>5</v>
      </c>
      <c r="T341" s="64">
        <v>5</v>
      </c>
      <c r="U341" s="64" t="s">
        <v>1030</v>
      </c>
      <c r="V341" s="64" t="s">
        <v>1031</v>
      </c>
      <c r="W341" s="31"/>
      <c r="X341" s="31"/>
      <c r="Y341" s="31"/>
      <c r="Z341" s="31"/>
      <c r="AA341" s="31"/>
      <c r="AB341" s="31"/>
      <c r="AC341" s="31"/>
      <c r="AD341" s="31"/>
      <c r="AE341" s="31"/>
      <c r="AF341" s="31"/>
      <c r="AG341" s="31"/>
      <c r="AH341" s="31"/>
      <c r="AI341" s="31"/>
      <c r="AJ341" s="31"/>
      <c r="AK341" s="31"/>
      <c r="AL341" s="31"/>
      <c r="AM341" s="31"/>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1"/>
      <c r="BL341" s="31"/>
      <c r="BM341" s="31"/>
      <c r="BN341" s="31"/>
      <c r="BO341" s="31"/>
      <c r="BP341" s="31"/>
      <c r="BQ341" s="31"/>
      <c r="BR341" s="31"/>
      <c r="BS341" s="31"/>
      <c r="BT341" s="31"/>
      <c r="BU341" s="31"/>
      <c r="BV341" s="31"/>
      <c r="BW341" s="31"/>
    </row>
    <row r="342" spans="6:75">
      <c r="F342" s="64" t="s">
        <v>1032</v>
      </c>
      <c r="G342" s="64">
        <v>6</v>
      </c>
      <c r="H342" s="64">
        <f t="shared" si="5"/>
        <v>6</v>
      </c>
      <c r="I342" s="66" t="s">
        <v>92</v>
      </c>
      <c r="J342" s="64" t="s">
        <v>93</v>
      </c>
      <c r="K342" s="64" t="s">
        <v>1018</v>
      </c>
      <c r="L342" s="64" t="s">
        <v>62</v>
      </c>
      <c r="M342" s="64"/>
      <c r="N342" s="64"/>
      <c r="O342" s="64">
        <v>5</v>
      </c>
      <c r="P342" s="64">
        <v>5</v>
      </c>
      <c r="Q342" s="64">
        <v>5</v>
      </c>
      <c r="R342" s="64">
        <v>5</v>
      </c>
      <c r="S342" s="64">
        <v>5</v>
      </c>
      <c r="T342" s="64">
        <v>5</v>
      </c>
      <c r="U342" s="64" t="s">
        <v>1033</v>
      </c>
      <c r="V342" s="64" t="s">
        <v>1034</v>
      </c>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1"/>
      <c r="BL342" s="31"/>
      <c r="BM342" s="31"/>
      <c r="BN342" s="31"/>
      <c r="BO342" s="31"/>
      <c r="BP342" s="31"/>
      <c r="BQ342" s="31"/>
      <c r="BR342" s="31"/>
      <c r="BS342" s="31"/>
      <c r="BT342" s="31"/>
      <c r="BU342" s="31"/>
      <c r="BV342" s="31"/>
      <c r="BW342" s="31"/>
    </row>
    <row r="343" spans="6:75">
      <c r="F343" s="64" t="s">
        <v>1032</v>
      </c>
      <c r="G343" s="64">
        <v>6</v>
      </c>
      <c r="H343" s="64">
        <f t="shared" si="5"/>
        <v>6</v>
      </c>
      <c r="I343" s="66" t="s">
        <v>92</v>
      </c>
      <c r="J343" s="64" t="s">
        <v>93</v>
      </c>
      <c r="K343" s="64" t="s">
        <v>1018</v>
      </c>
      <c r="L343" s="64" t="s">
        <v>62</v>
      </c>
      <c r="M343" s="64"/>
      <c r="N343" s="64"/>
      <c r="O343" s="64">
        <v>5</v>
      </c>
      <c r="P343" s="64">
        <v>5</v>
      </c>
      <c r="Q343" s="64">
        <v>5</v>
      </c>
      <c r="R343" s="64">
        <v>5</v>
      </c>
      <c r="S343" s="64">
        <v>5</v>
      </c>
      <c r="T343" s="64">
        <v>5</v>
      </c>
      <c r="U343" s="64" t="s">
        <v>1035</v>
      </c>
      <c r="V343" s="64" t="s">
        <v>1036</v>
      </c>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1"/>
      <c r="BL343" s="31"/>
      <c r="BM343" s="31"/>
      <c r="BN343" s="31"/>
      <c r="BO343" s="31"/>
      <c r="BP343" s="31"/>
      <c r="BQ343" s="31"/>
      <c r="BR343" s="31"/>
      <c r="BS343" s="31"/>
      <c r="BT343" s="31"/>
      <c r="BU343" s="31"/>
      <c r="BV343" s="31"/>
      <c r="BW343" s="31"/>
    </row>
    <row r="344" spans="6:75">
      <c r="F344" s="64" t="s">
        <v>1037</v>
      </c>
      <c r="G344" s="64">
        <v>6</v>
      </c>
      <c r="H344" s="64">
        <f t="shared" si="5"/>
        <v>6</v>
      </c>
      <c r="I344" s="66" t="s">
        <v>92</v>
      </c>
      <c r="J344" s="64" t="s">
        <v>93</v>
      </c>
      <c r="K344" s="64" t="s">
        <v>1018</v>
      </c>
      <c r="L344" s="64" t="s">
        <v>62</v>
      </c>
      <c r="M344" s="64"/>
      <c r="N344" s="64"/>
      <c r="O344" s="64">
        <v>5</v>
      </c>
      <c r="P344" s="64">
        <v>5</v>
      </c>
      <c r="Q344" s="64">
        <v>5</v>
      </c>
      <c r="R344" s="64">
        <v>5</v>
      </c>
      <c r="S344" s="64">
        <v>5</v>
      </c>
      <c r="T344" s="64">
        <v>5</v>
      </c>
      <c r="U344" s="64" t="s">
        <v>1038</v>
      </c>
      <c r="V344" s="64" t="s">
        <v>1039</v>
      </c>
      <c r="W344" s="31"/>
      <c r="X344" s="31"/>
      <c r="Y344" s="31"/>
      <c r="Z344" s="31"/>
      <c r="AA344" s="31"/>
      <c r="AB344" s="31"/>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1"/>
      <c r="BL344" s="31"/>
      <c r="BM344" s="31"/>
      <c r="BN344" s="31"/>
      <c r="BO344" s="31"/>
      <c r="BP344" s="31"/>
      <c r="BQ344" s="31"/>
      <c r="BR344" s="31"/>
      <c r="BS344" s="31"/>
      <c r="BT344" s="31"/>
      <c r="BU344" s="31"/>
      <c r="BV344" s="31"/>
      <c r="BW344" s="31"/>
    </row>
    <row r="345" spans="6:75">
      <c r="F345" s="64" t="s">
        <v>1040</v>
      </c>
      <c r="G345" s="64">
        <v>6</v>
      </c>
      <c r="H345" s="64">
        <f t="shared" si="5"/>
        <v>6</v>
      </c>
      <c r="I345" s="66" t="s">
        <v>92</v>
      </c>
      <c r="J345" s="64" t="s">
        <v>93</v>
      </c>
      <c r="K345" s="64" t="s">
        <v>1018</v>
      </c>
      <c r="L345" s="64" t="s">
        <v>138</v>
      </c>
      <c r="M345" s="64"/>
      <c r="N345" s="64"/>
      <c r="O345" s="64">
        <v>5</v>
      </c>
      <c r="P345" s="64">
        <v>5</v>
      </c>
      <c r="Q345" s="64">
        <v>5</v>
      </c>
      <c r="R345" s="64">
        <v>5</v>
      </c>
      <c r="S345" s="64">
        <v>5</v>
      </c>
      <c r="T345" s="64">
        <v>5</v>
      </c>
      <c r="U345" s="64" t="s">
        <v>1030</v>
      </c>
      <c r="V345" s="64" t="s">
        <v>1031</v>
      </c>
      <c r="W345" s="31"/>
      <c r="X345" s="31"/>
      <c r="Y345" s="31"/>
      <c r="Z345" s="31"/>
      <c r="AA345" s="31"/>
      <c r="AB345" s="31"/>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1"/>
      <c r="BL345" s="31"/>
      <c r="BM345" s="31"/>
      <c r="BN345" s="31"/>
      <c r="BO345" s="31"/>
      <c r="BP345" s="31"/>
      <c r="BQ345" s="31"/>
      <c r="BR345" s="31"/>
      <c r="BS345" s="31"/>
      <c r="BT345" s="31"/>
      <c r="BU345" s="31"/>
      <c r="BV345" s="31"/>
      <c r="BW345" s="31"/>
    </row>
    <row r="346" spans="6:75" ht="45.75">
      <c r="F346" s="64" t="s">
        <v>1041</v>
      </c>
      <c r="G346" s="64">
        <v>6</v>
      </c>
      <c r="H346" s="64">
        <f t="shared" si="5"/>
        <v>6</v>
      </c>
      <c r="I346" s="66" t="s">
        <v>92</v>
      </c>
      <c r="J346" s="64" t="s">
        <v>93</v>
      </c>
      <c r="K346" s="64" t="s">
        <v>1018</v>
      </c>
      <c r="L346" s="64" t="s">
        <v>23</v>
      </c>
      <c r="M346" s="64"/>
      <c r="N346" s="64"/>
      <c r="O346" s="64">
        <v>5</v>
      </c>
      <c r="P346" s="64">
        <v>5</v>
      </c>
      <c r="Q346" s="64">
        <v>5</v>
      </c>
      <c r="R346" s="64">
        <v>5</v>
      </c>
      <c r="S346" s="64">
        <v>5</v>
      </c>
      <c r="T346" s="64">
        <v>5</v>
      </c>
      <c r="U346" s="64" t="s">
        <v>1042</v>
      </c>
      <c r="V346" s="64" t="s">
        <v>1043</v>
      </c>
      <c r="W346" s="31"/>
      <c r="X346" s="31"/>
      <c r="Y346" s="31"/>
      <c r="Z346" s="31"/>
      <c r="AA346" s="31"/>
      <c r="AB346" s="31"/>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1"/>
      <c r="BL346" s="31"/>
      <c r="BM346" s="31"/>
      <c r="BN346" s="31"/>
      <c r="BO346" s="31"/>
      <c r="BP346" s="31"/>
      <c r="BQ346" s="31"/>
      <c r="BR346" s="31"/>
      <c r="BS346" s="31"/>
      <c r="BT346" s="31"/>
      <c r="BU346" s="31"/>
      <c r="BV346" s="31"/>
      <c r="BW346" s="31"/>
    </row>
    <row r="347" spans="6:75">
      <c r="F347" s="64" t="s">
        <v>1044</v>
      </c>
      <c r="G347" s="64">
        <v>6</v>
      </c>
      <c r="H347" s="64">
        <f t="shared" si="5"/>
        <v>6</v>
      </c>
      <c r="I347" s="66" t="s">
        <v>92</v>
      </c>
      <c r="J347" s="64" t="s">
        <v>93</v>
      </c>
      <c r="K347" s="64" t="s">
        <v>1018</v>
      </c>
      <c r="L347" s="64" t="s">
        <v>138</v>
      </c>
      <c r="M347" s="64"/>
      <c r="N347" s="64"/>
      <c r="O347" s="64">
        <v>5</v>
      </c>
      <c r="P347" s="64">
        <v>5</v>
      </c>
      <c r="Q347" s="64">
        <v>5</v>
      </c>
      <c r="R347" s="64">
        <v>5</v>
      </c>
      <c r="S347" s="64">
        <v>5</v>
      </c>
      <c r="T347" s="64">
        <v>5</v>
      </c>
      <c r="U347" s="64" t="s">
        <v>1035</v>
      </c>
      <c r="V347" s="64" t="s">
        <v>1036</v>
      </c>
      <c r="W347" s="31"/>
      <c r="X347" s="31"/>
      <c r="Y347" s="31"/>
      <c r="Z347" s="31"/>
      <c r="AA347" s="31"/>
      <c r="AB347" s="31"/>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1"/>
      <c r="BL347" s="31"/>
      <c r="BM347" s="31"/>
      <c r="BN347" s="31"/>
      <c r="BO347" s="31"/>
      <c r="BP347" s="31"/>
      <c r="BQ347" s="31"/>
      <c r="BR347" s="31"/>
      <c r="BS347" s="31"/>
      <c r="BT347" s="31"/>
      <c r="BU347" s="31"/>
      <c r="BV347" s="31"/>
      <c r="BW347" s="31"/>
    </row>
    <row r="348" spans="6:75">
      <c r="F348" s="64" t="s">
        <v>1045</v>
      </c>
      <c r="G348" s="64">
        <v>6</v>
      </c>
      <c r="H348" s="64">
        <f t="shared" si="5"/>
        <v>6</v>
      </c>
      <c r="I348" s="66" t="s">
        <v>92</v>
      </c>
      <c r="J348" s="64" t="s">
        <v>93</v>
      </c>
      <c r="K348" s="64" t="s">
        <v>1018</v>
      </c>
      <c r="L348" s="64" t="s">
        <v>138</v>
      </c>
      <c r="M348" s="64"/>
      <c r="N348" s="64"/>
      <c r="O348" s="64">
        <v>5</v>
      </c>
      <c r="P348" s="64">
        <v>5</v>
      </c>
      <c r="Q348" s="64">
        <v>5</v>
      </c>
      <c r="R348" s="64">
        <v>5</v>
      </c>
      <c r="S348" s="64">
        <v>5</v>
      </c>
      <c r="T348" s="64">
        <v>5</v>
      </c>
      <c r="U348" s="64" t="s">
        <v>1046</v>
      </c>
      <c r="V348" s="64" t="s">
        <v>1047</v>
      </c>
      <c r="W348" s="31"/>
      <c r="X348" s="31"/>
      <c r="Y348" s="31"/>
      <c r="Z348" s="31"/>
      <c r="AA348" s="31"/>
      <c r="AB348" s="31"/>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1"/>
      <c r="BL348" s="31"/>
      <c r="BM348" s="31"/>
      <c r="BN348" s="31"/>
      <c r="BO348" s="31"/>
      <c r="BP348" s="31"/>
      <c r="BQ348" s="31"/>
      <c r="BR348" s="31"/>
      <c r="BS348" s="31"/>
      <c r="BT348" s="31"/>
      <c r="BU348" s="31"/>
      <c r="BV348" s="31"/>
      <c r="BW348" s="31"/>
    </row>
    <row r="349" spans="6:75">
      <c r="F349" s="64" t="s">
        <v>1048</v>
      </c>
      <c r="G349" s="64">
        <v>6</v>
      </c>
      <c r="H349" s="64">
        <f t="shared" si="5"/>
        <v>6</v>
      </c>
      <c r="I349" s="66" t="s">
        <v>92</v>
      </c>
      <c r="J349" s="64" t="s">
        <v>93</v>
      </c>
      <c r="K349" s="64" t="s">
        <v>1018</v>
      </c>
      <c r="L349" s="64" t="s">
        <v>138</v>
      </c>
      <c r="M349" s="64"/>
      <c r="N349" s="64"/>
      <c r="O349" s="64">
        <v>5</v>
      </c>
      <c r="P349" s="64">
        <v>5</v>
      </c>
      <c r="Q349" s="64">
        <v>5</v>
      </c>
      <c r="R349" s="64">
        <v>5</v>
      </c>
      <c r="S349" s="64">
        <v>5</v>
      </c>
      <c r="T349" s="64">
        <v>5</v>
      </c>
      <c r="U349" s="64" t="s">
        <v>1049</v>
      </c>
      <c r="V349" s="64" t="s">
        <v>1050</v>
      </c>
      <c r="W349" s="31"/>
      <c r="X349" s="31"/>
      <c r="Y349" s="31"/>
      <c r="Z349" s="31"/>
      <c r="AA349" s="31"/>
      <c r="AB349" s="31"/>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1"/>
      <c r="BL349" s="31"/>
      <c r="BM349" s="31"/>
      <c r="BN349" s="31"/>
      <c r="BO349" s="31"/>
      <c r="BP349" s="31"/>
      <c r="BQ349" s="31"/>
      <c r="BR349" s="31"/>
      <c r="BS349" s="31"/>
      <c r="BT349" s="31"/>
      <c r="BU349" s="31"/>
      <c r="BV349" s="31"/>
      <c r="BW349" s="31"/>
    </row>
    <row r="350" spans="6:75">
      <c r="F350" s="64" t="s">
        <v>1051</v>
      </c>
      <c r="G350" s="64">
        <v>6</v>
      </c>
      <c r="H350" s="64">
        <f t="shared" si="5"/>
        <v>6</v>
      </c>
      <c r="I350" s="66" t="s">
        <v>92</v>
      </c>
      <c r="J350" s="64" t="s">
        <v>93</v>
      </c>
      <c r="K350" s="64" t="s">
        <v>1018</v>
      </c>
      <c r="L350" s="64" t="s">
        <v>23</v>
      </c>
      <c r="M350" s="64"/>
      <c r="N350" s="64"/>
      <c r="O350" s="64">
        <v>5</v>
      </c>
      <c r="P350" s="64">
        <v>5</v>
      </c>
      <c r="Q350" s="64">
        <v>5</v>
      </c>
      <c r="R350" s="64">
        <v>5</v>
      </c>
      <c r="S350" s="64">
        <v>5</v>
      </c>
      <c r="T350" s="64">
        <v>5</v>
      </c>
      <c r="U350" s="64" t="s">
        <v>1030</v>
      </c>
      <c r="V350" s="64" t="s">
        <v>1031</v>
      </c>
      <c r="W350" s="31"/>
      <c r="X350" s="31"/>
      <c r="Y350" s="31"/>
      <c r="Z350" s="31"/>
      <c r="AA350" s="31"/>
      <c r="AB350" s="31"/>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1"/>
      <c r="BL350" s="31"/>
      <c r="BM350" s="31"/>
      <c r="BN350" s="31"/>
      <c r="BO350" s="31"/>
      <c r="BP350" s="31"/>
      <c r="BQ350" s="31"/>
      <c r="BR350" s="31"/>
      <c r="BS350" s="31"/>
      <c r="BT350" s="31"/>
      <c r="BU350" s="31"/>
      <c r="BV350" s="31"/>
      <c r="BW350" s="31"/>
    </row>
    <row r="351" spans="6:75">
      <c r="F351" s="64" t="s">
        <v>1052</v>
      </c>
      <c r="G351" s="64">
        <v>6</v>
      </c>
      <c r="H351" s="64">
        <f t="shared" si="5"/>
        <v>6</v>
      </c>
      <c r="I351" s="66" t="s">
        <v>92</v>
      </c>
      <c r="J351" s="64" t="s">
        <v>93</v>
      </c>
      <c r="K351" s="64" t="s">
        <v>1018</v>
      </c>
      <c r="L351" s="64" t="s">
        <v>138</v>
      </c>
      <c r="M351" s="64"/>
      <c r="N351" s="64"/>
      <c r="O351" s="64">
        <v>5</v>
      </c>
      <c r="P351" s="64">
        <v>5</v>
      </c>
      <c r="Q351" s="64">
        <v>5</v>
      </c>
      <c r="R351" s="64">
        <v>5</v>
      </c>
      <c r="S351" s="64">
        <v>5</v>
      </c>
      <c r="T351" s="64">
        <v>5</v>
      </c>
      <c r="U351" s="64" t="s">
        <v>1038</v>
      </c>
      <c r="V351" s="64" t="s">
        <v>1039</v>
      </c>
      <c r="W351" s="31"/>
      <c r="X351" s="31"/>
      <c r="Y351" s="31"/>
      <c r="Z351" s="31"/>
      <c r="AA351" s="31"/>
      <c r="AB351" s="31"/>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1"/>
      <c r="BL351" s="31"/>
      <c r="BM351" s="31"/>
      <c r="BN351" s="31"/>
      <c r="BO351" s="31"/>
      <c r="BP351" s="31"/>
      <c r="BQ351" s="31"/>
      <c r="BR351" s="31"/>
      <c r="BS351" s="31"/>
      <c r="BT351" s="31"/>
      <c r="BU351" s="31"/>
      <c r="BV351" s="31"/>
      <c r="BW351" s="31"/>
    </row>
    <row r="352" spans="6:75" ht="30.75">
      <c r="F352" s="64" t="s">
        <v>1053</v>
      </c>
      <c r="G352" s="64">
        <v>6</v>
      </c>
      <c r="H352" s="64">
        <f t="shared" si="5"/>
        <v>6</v>
      </c>
      <c r="I352" s="66" t="s">
        <v>92</v>
      </c>
      <c r="J352" s="64" t="s">
        <v>93</v>
      </c>
      <c r="K352" s="64" t="s">
        <v>1018</v>
      </c>
      <c r="L352" s="64" t="s">
        <v>62</v>
      </c>
      <c r="M352" s="64"/>
      <c r="N352" s="64"/>
      <c r="O352" s="64">
        <v>4</v>
      </c>
      <c r="P352" s="64">
        <v>5</v>
      </c>
      <c r="Q352" s="64">
        <v>5</v>
      </c>
      <c r="R352" s="64">
        <v>5</v>
      </c>
      <c r="S352" s="64">
        <v>5</v>
      </c>
      <c r="T352" s="64">
        <v>5</v>
      </c>
      <c r="U352" s="64" t="s">
        <v>1054</v>
      </c>
      <c r="V352" s="64" t="s">
        <v>1055</v>
      </c>
      <c r="W352" s="31"/>
      <c r="X352" s="31"/>
      <c r="Y352" s="31"/>
      <c r="Z352" s="31"/>
      <c r="AA352" s="31"/>
      <c r="AB352" s="31"/>
      <c r="AC352" s="31"/>
      <c r="AD352" s="31"/>
      <c r="AE352" s="31"/>
      <c r="AF352" s="31"/>
      <c r="AG352" s="31"/>
      <c r="AH352" s="31"/>
      <c r="AI352" s="31"/>
      <c r="AJ352" s="31"/>
      <c r="AK352" s="31"/>
      <c r="AL352" s="31"/>
      <c r="AM352" s="31"/>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1"/>
      <c r="BL352" s="31"/>
      <c r="BM352" s="31"/>
      <c r="BN352" s="31"/>
      <c r="BO352" s="31"/>
      <c r="BP352" s="31"/>
      <c r="BQ352" s="31"/>
      <c r="BR352" s="31"/>
      <c r="BS352" s="31"/>
      <c r="BT352" s="31"/>
      <c r="BU352" s="31"/>
      <c r="BV352" s="31"/>
      <c r="BW352" s="31"/>
    </row>
    <row r="353" spans="6:75" ht="30.75">
      <c r="F353" s="64" t="s">
        <v>1056</v>
      </c>
      <c r="G353" s="64">
        <v>6</v>
      </c>
      <c r="H353" s="64">
        <f t="shared" si="5"/>
        <v>6</v>
      </c>
      <c r="I353" s="66" t="s">
        <v>92</v>
      </c>
      <c r="J353" s="64" t="s">
        <v>93</v>
      </c>
      <c r="K353" s="64" t="s">
        <v>1018</v>
      </c>
      <c r="L353" s="64" t="s">
        <v>138</v>
      </c>
      <c r="M353" s="64"/>
      <c r="N353" s="64"/>
      <c r="O353" s="64">
        <v>5</v>
      </c>
      <c r="P353" s="64">
        <v>5</v>
      </c>
      <c r="Q353" s="64">
        <v>5</v>
      </c>
      <c r="R353" s="64">
        <v>5</v>
      </c>
      <c r="S353" s="64">
        <v>5</v>
      </c>
      <c r="T353" s="64">
        <v>5</v>
      </c>
      <c r="U353" s="64" t="s">
        <v>1057</v>
      </c>
      <c r="V353" s="64" t="s">
        <v>1058</v>
      </c>
      <c r="W353" s="31"/>
      <c r="X353" s="31"/>
      <c r="Y353" s="31"/>
      <c r="Z353" s="31"/>
      <c r="AA353" s="31"/>
      <c r="AB353" s="31"/>
      <c r="AC353" s="31"/>
      <c r="AD353" s="31"/>
      <c r="AE353" s="31"/>
      <c r="AF353" s="31"/>
      <c r="AG353" s="31"/>
      <c r="AH353" s="31"/>
      <c r="AI353" s="31"/>
      <c r="AJ353" s="31"/>
      <c r="AK353" s="31"/>
      <c r="AL353" s="31"/>
      <c r="AM353" s="31"/>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1"/>
      <c r="BL353" s="31"/>
      <c r="BM353" s="31"/>
      <c r="BN353" s="31"/>
      <c r="BO353" s="31"/>
      <c r="BP353" s="31"/>
      <c r="BQ353" s="31"/>
      <c r="BR353" s="31"/>
      <c r="BS353" s="31"/>
      <c r="BT353" s="31"/>
      <c r="BU353" s="31"/>
      <c r="BV353" s="31"/>
      <c r="BW353" s="31"/>
    </row>
    <row r="354" spans="6:75">
      <c r="F354" s="64" t="s">
        <v>1059</v>
      </c>
      <c r="G354" s="64">
        <v>6</v>
      </c>
      <c r="H354" s="64">
        <f t="shared" si="5"/>
        <v>6</v>
      </c>
      <c r="I354" s="66" t="s">
        <v>92</v>
      </c>
      <c r="J354" s="64" t="s">
        <v>93</v>
      </c>
      <c r="K354" s="64" t="s">
        <v>1018</v>
      </c>
      <c r="L354" s="64" t="s">
        <v>23</v>
      </c>
      <c r="M354" s="64"/>
      <c r="N354" s="64"/>
      <c r="O354" s="64">
        <v>5</v>
      </c>
      <c r="P354" s="64">
        <v>5</v>
      </c>
      <c r="Q354" s="64">
        <v>5</v>
      </c>
      <c r="R354" s="64">
        <v>5</v>
      </c>
      <c r="S354" s="64">
        <v>5</v>
      </c>
      <c r="T354" s="64">
        <v>5</v>
      </c>
      <c r="U354" s="64" t="s">
        <v>1060</v>
      </c>
      <c r="V354" s="64" t="s">
        <v>1036</v>
      </c>
      <c r="W354" s="31"/>
      <c r="X354" s="31"/>
      <c r="Y354" s="31"/>
      <c r="Z354" s="31"/>
      <c r="AA354" s="31"/>
      <c r="AB354" s="31"/>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1"/>
      <c r="BL354" s="31"/>
      <c r="BM354" s="31"/>
      <c r="BN354" s="31"/>
      <c r="BO354" s="31"/>
      <c r="BP354" s="31"/>
      <c r="BQ354" s="31"/>
      <c r="BR354" s="31"/>
      <c r="BS354" s="31"/>
      <c r="BT354" s="31"/>
      <c r="BU354" s="31"/>
      <c r="BV354" s="31"/>
      <c r="BW354" s="31"/>
    </row>
    <row r="355" spans="6:75">
      <c r="F355" s="64" t="s">
        <v>1061</v>
      </c>
      <c r="G355" s="64">
        <v>6</v>
      </c>
      <c r="H355" s="64">
        <f t="shared" si="5"/>
        <v>6</v>
      </c>
      <c r="I355" s="66" t="s">
        <v>92</v>
      </c>
      <c r="J355" s="64" t="s">
        <v>93</v>
      </c>
      <c r="K355" s="64" t="s">
        <v>1018</v>
      </c>
      <c r="L355" s="64" t="s">
        <v>23</v>
      </c>
      <c r="M355" s="64"/>
      <c r="N355" s="64"/>
      <c r="O355" s="64">
        <v>5</v>
      </c>
      <c r="P355" s="64">
        <v>5</v>
      </c>
      <c r="Q355" s="64">
        <v>5</v>
      </c>
      <c r="R355" s="64">
        <v>5</v>
      </c>
      <c r="S355" s="64">
        <v>5</v>
      </c>
      <c r="T355" s="64">
        <v>5</v>
      </c>
      <c r="U355" s="64" t="s">
        <v>1046</v>
      </c>
      <c r="V355" s="64" t="s">
        <v>1062</v>
      </c>
      <c r="W355" s="31"/>
      <c r="X355" s="31"/>
      <c r="Y355" s="31"/>
      <c r="Z355" s="31"/>
      <c r="AA355" s="31"/>
      <c r="AB355" s="31"/>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1"/>
      <c r="BL355" s="31"/>
      <c r="BM355" s="31"/>
      <c r="BN355" s="31"/>
      <c r="BO355" s="31"/>
      <c r="BP355" s="31"/>
      <c r="BQ355" s="31"/>
      <c r="BR355" s="31"/>
      <c r="BS355" s="31"/>
      <c r="BT355" s="31"/>
      <c r="BU355" s="31"/>
      <c r="BV355" s="31"/>
      <c r="BW355" s="31"/>
    </row>
    <row r="356" spans="6:75">
      <c r="F356" s="64" t="s">
        <v>1063</v>
      </c>
      <c r="G356" s="64">
        <v>6</v>
      </c>
      <c r="H356" s="64">
        <f t="shared" si="5"/>
        <v>6</v>
      </c>
      <c r="I356" s="66" t="s">
        <v>92</v>
      </c>
      <c r="J356" s="64" t="s">
        <v>93</v>
      </c>
      <c r="K356" s="64" t="s">
        <v>1018</v>
      </c>
      <c r="L356" s="64" t="s">
        <v>23</v>
      </c>
      <c r="M356" s="64"/>
      <c r="N356" s="64"/>
      <c r="O356" s="64">
        <v>5</v>
      </c>
      <c r="P356" s="64">
        <v>5</v>
      </c>
      <c r="Q356" s="64">
        <v>5</v>
      </c>
      <c r="R356" s="64">
        <v>5</v>
      </c>
      <c r="S356" s="64">
        <v>5</v>
      </c>
      <c r="T356" s="64">
        <v>5</v>
      </c>
      <c r="U356" s="64" t="s">
        <v>1038</v>
      </c>
      <c r="V356" s="64" t="s">
        <v>1064</v>
      </c>
      <c r="W356" s="31"/>
      <c r="X356" s="31"/>
      <c r="Y356" s="31"/>
      <c r="Z356" s="31"/>
      <c r="AA356" s="31"/>
      <c r="AB356" s="31"/>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1"/>
      <c r="BL356" s="31"/>
      <c r="BM356" s="31"/>
      <c r="BN356" s="31"/>
      <c r="BO356" s="31"/>
      <c r="BP356" s="31"/>
      <c r="BQ356" s="31"/>
      <c r="BR356" s="31"/>
      <c r="BS356" s="31"/>
      <c r="BT356" s="31"/>
      <c r="BU356" s="31"/>
      <c r="BV356" s="31"/>
      <c r="BW356" s="31"/>
    </row>
    <row r="357" spans="6:75">
      <c r="F357" s="64" t="s">
        <v>1065</v>
      </c>
      <c r="G357" s="64">
        <v>6</v>
      </c>
      <c r="H357" s="64">
        <f t="shared" si="5"/>
        <v>6</v>
      </c>
      <c r="I357" s="66" t="s">
        <v>92</v>
      </c>
      <c r="J357" s="64" t="s">
        <v>93</v>
      </c>
      <c r="K357" s="64" t="s">
        <v>949</v>
      </c>
      <c r="L357" s="64" t="s">
        <v>62</v>
      </c>
      <c r="M357" s="64"/>
      <c r="N357" s="64"/>
      <c r="O357" s="64">
        <v>5</v>
      </c>
      <c r="P357" s="64">
        <v>5</v>
      </c>
      <c r="Q357" s="64">
        <v>5</v>
      </c>
      <c r="R357" s="64">
        <v>5</v>
      </c>
      <c r="S357" s="64">
        <v>5</v>
      </c>
      <c r="T357" s="64">
        <v>5</v>
      </c>
      <c r="U357" s="64" t="s">
        <v>1066</v>
      </c>
      <c r="V357" s="64" t="s">
        <v>1067</v>
      </c>
      <c r="W357" s="31"/>
      <c r="X357" s="31"/>
      <c r="Y357" s="31"/>
      <c r="Z357" s="31"/>
      <c r="AA357" s="31"/>
      <c r="AB357" s="31"/>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1"/>
      <c r="BL357" s="31"/>
      <c r="BM357" s="31"/>
      <c r="BN357" s="31"/>
      <c r="BO357" s="31"/>
      <c r="BP357" s="31"/>
      <c r="BQ357" s="31"/>
      <c r="BR357" s="31"/>
      <c r="BS357" s="31"/>
      <c r="BT357" s="31"/>
      <c r="BU357" s="31"/>
      <c r="BV357" s="31"/>
      <c r="BW357" s="31"/>
    </row>
    <row r="358" spans="6:75">
      <c r="F358" s="64" t="s">
        <v>1068</v>
      </c>
      <c r="G358" s="64">
        <v>6</v>
      </c>
      <c r="H358" s="64">
        <f t="shared" si="5"/>
        <v>6</v>
      </c>
      <c r="I358" s="66" t="s">
        <v>92</v>
      </c>
      <c r="J358" s="64" t="s">
        <v>93</v>
      </c>
      <c r="K358" s="64" t="s">
        <v>1018</v>
      </c>
      <c r="L358" s="64" t="s">
        <v>23</v>
      </c>
      <c r="M358" s="64"/>
      <c r="N358" s="64"/>
      <c r="O358" s="64">
        <v>5</v>
      </c>
      <c r="P358" s="64">
        <v>5</v>
      </c>
      <c r="Q358" s="64">
        <v>5</v>
      </c>
      <c r="R358" s="64">
        <v>5</v>
      </c>
      <c r="S358" s="64">
        <v>5</v>
      </c>
      <c r="T358" s="64">
        <v>5</v>
      </c>
      <c r="U358" s="64" t="s">
        <v>1069</v>
      </c>
      <c r="V358" s="64" t="s">
        <v>1070</v>
      </c>
      <c r="W358" s="31"/>
      <c r="X358" s="31"/>
      <c r="Y358" s="31"/>
      <c r="Z358" s="31"/>
      <c r="AA358" s="31"/>
      <c r="AB358" s="31"/>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1"/>
      <c r="BL358" s="31"/>
      <c r="BM358" s="31"/>
      <c r="BN358" s="31"/>
      <c r="BO358" s="31"/>
      <c r="BP358" s="31"/>
      <c r="BQ358" s="31"/>
      <c r="BR358" s="31"/>
      <c r="BS358" s="31"/>
      <c r="BT358" s="31"/>
      <c r="BU358" s="31"/>
      <c r="BV358" s="31"/>
      <c r="BW358" s="31"/>
    </row>
    <row r="359" spans="6:75">
      <c r="F359" s="64" t="s">
        <v>1071</v>
      </c>
      <c r="G359" s="64">
        <v>6</v>
      </c>
      <c r="H359" s="64">
        <f t="shared" si="5"/>
        <v>6</v>
      </c>
      <c r="I359" s="66" t="s">
        <v>92</v>
      </c>
      <c r="J359" s="64" t="s">
        <v>93</v>
      </c>
      <c r="K359" s="64" t="s">
        <v>949</v>
      </c>
      <c r="L359" s="64" t="s">
        <v>138</v>
      </c>
      <c r="M359" s="64"/>
      <c r="N359" s="64"/>
      <c r="O359" s="64">
        <v>5</v>
      </c>
      <c r="P359" s="64">
        <v>5</v>
      </c>
      <c r="Q359" s="64">
        <v>5</v>
      </c>
      <c r="R359" s="64">
        <v>5</v>
      </c>
      <c r="S359" s="64">
        <v>5</v>
      </c>
      <c r="T359" s="64">
        <v>5</v>
      </c>
      <c r="U359" s="64" t="s">
        <v>1066</v>
      </c>
      <c r="V359" s="64" t="s">
        <v>1067</v>
      </c>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1"/>
      <c r="BL359" s="31"/>
      <c r="BM359" s="31"/>
      <c r="BN359" s="31"/>
      <c r="BO359" s="31"/>
      <c r="BP359" s="31"/>
      <c r="BQ359" s="31"/>
      <c r="BR359" s="31"/>
      <c r="BS359" s="31"/>
      <c r="BT359" s="31"/>
      <c r="BU359" s="31"/>
      <c r="BV359" s="31"/>
      <c r="BW359" s="31"/>
    </row>
    <row r="360" spans="6:75">
      <c r="F360" s="64" t="s">
        <v>1072</v>
      </c>
      <c r="G360" s="64">
        <v>6</v>
      </c>
      <c r="H360" s="64">
        <f t="shared" ref="H360:H418" si="6">COUNTIF(O360:T360,"&gt;3")</f>
        <v>6</v>
      </c>
      <c r="I360" s="66" t="s">
        <v>92</v>
      </c>
      <c r="J360" s="64" t="s">
        <v>93</v>
      </c>
      <c r="K360" s="64" t="s">
        <v>949</v>
      </c>
      <c r="L360" s="64" t="s">
        <v>23</v>
      </c>
      <c r="M360" s="64"/>
      <c r="N360" s="64"/>
      <c r="O360" s="64">
        <v>5</v>
      </c>
      <c r="P360" s="64">
        <v>4</v>
      </c>
      <c r="Q360" s="64">
        <v>5</v>
      </c>
      <c r="R360" s="64">
        <v>5</v>
      </c>
      <c r="S360" s="64">
        <v>5</v>
      </c>
      <c r="T360" s="64">
        <v>5</v>
      </c>
      <c r="U360" s="64" t="s">
        <v>1066</v>
      </c>
      <c r="V360" s="64" t="s">
        <v>1067</v>
      </c>
      <c r="W360" s="31"/>
      <c r="X360" s="31"/>
      <c r="Y360" s="31"/>
      <c r="Z360" s="31"/>
      <c r="AA360" s="31"/>
      <c r="AB360" s="31"/>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c r="AY360" s="31"/>
      <c r="AZ360" s="31"/>
      <c r="BA360" s="31"/>
      <c r="BB360" s="31"/>
      <c r="BC360" s="31"/>
      <c r="BD360" s="31"/>
      <c r="BE360" s="31"/>
      <c r="BF360" s="31"/>
      <c r="BG360" s="31"/>
      <c r="BH360" s="31"/>
      <c r="BI360" s="31"/>
      <c r="BJ360" s="31"/>
      <c r="BK360" s="31"/>
      <c r="BL360" s="31"/>
      <c r="BM360" s="31"/>
      <c r="BN360" s="31"/>
      <c r="BO360" s="31"/>
      <c r="BP360" s="31"/>
      <c r="BQ360" s="31"/>
      <c r="BR360" s="31"/>
      <c r="BS360" s="31"/>
      <c r="BT360" s="31"/>
      <c r="BU360" s="31"/>
      <c r="BV360" s="31"/>
      <c r="BW360" s="31"/>
    </row>
    <row r="361" spans="6:75">
      <c r="F361" s="64" t="s">
        <v>1073</v>
      </c>
      <c r="G361" s="64">
        <v>6</v>
      </c>
      <c r="H361" s="64">
        <f t="shared" si="6"/>
        <v>6</v>
      </c>
      <c r="I361" s="66" t="s">
        <v>92</v>
      </c>
      <c r="J361" s="64" t="s">
        <v>93</v>
      </c>
      <c r="K361" s="64" t="s">
        <v>1018</v>
      </c>
      <c r="L361" s="64" t="s">
        <v>23</v>
      </c>
      <c r="M361" s="64"/>
      <c r="N361" s="64"/>
      <c r="O361" s="64">
        <v>5</v>
      </c>
      <c r="P361" s="64">
        <v>5</v>
      </c>
      <c r="Q361" s="64">
        <v>5</v>
      </c>
      <c r="R361" s="64">
        <v>5</v>
      </c>
      <c r="S361" s="64">
        <v>5</v>
      </c>
      <c r="T361" s="64">
        <v>5</v>
      </c>
      <c r="U361" s="64" t="s">
        <v>1074</v>
      </c>
      <c r="V361" s="64"/>
      <c r="W361" s="31"/>
      <c r="X361" s="31"/>
      <c r="Y361" s="31"/>
      <c r="Z361" s="31"/>
      <c r="AA361" s="31"/>
      <c r="AB361" s="31"/>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c r="AY361" s="31"/>
      <c r="AZ361" s="31"/>
      <c r="BA361" s="31"/>
      <c r="BB361" s="31"/>
      <c r="BC361" s="31"/>
      <c r="BD361" s="31"/>
      <c r="BE361" s="31"/>
      <c r="BF361" s="31"/>
      <c r="BG361" s="31"/>
      <c r="BH361" s="31"/>
      <c r="BI361" s="31"/>
      <c r="BJ361" s="31"/>
      <c r="BK361" s="31"/>
      <c r="BL361" s="31"/>
      <c r="BM361" s="31"/>
      <c r="BN361" s="31"/>
      <c r="BO361" s="31"/>
      <c r="BP361" s="31"/>
      <c r="BQ361" s="31"/>
      <c r="BR361" s="31"/>
      <c r="BS361" s="31"/>
      <c r="BT361" s="31"/>
      <c r="BU361" s="31"/>
      <c r="BV361" s="31"/>
      <c r="BW361" s="31"/>
    </row>
    <row r="362" spans="6:75">
      <c r="F362" s="64" t="s">
        <v>1075</v>
      </c>
      <c r="G362" s="64">
        <v>6</v>
      </c>
      <c r="H362" s="64">
        <f t="shared" si="6"/>
        <v>5</v>
      </c>
      <c r="I362" s="64" t="s">
        <v>92</v>
      </c>
      <c r="J362" s="64" t="s">
        <v>1076</v>
      </c>
      <c r="K362" s="64" t="s">
        <v>1077</v>
      </c>
      <c r="L362" s="64" t="s">
        <v>38</v>
      </c>
      <c r="M362" s="64"/>
      <c r="N362" s="64"/>
      <c r="O362" s="64">
        <v>5</v>
      </c>
      <c r="P362" s="64">
        <v>4</v>
      </c>
      <c r="Q362" s="64">
        <v>4</v>
      </c>
      <c r="R362" s="64">
        <v>3</v>
      </c>
      <c r="S362" s="64">
        <v>5</v>
      </c>
      <c r="T362" s="64">
        <v>4</v>
      </c>
      <c r="U362" s="64" t="s">
        <v>1078</v>
      </c>
      <c r="V362" s="64" t="s">
        <v>1079</v>
      </c>
      <c r="W362" s="31"/>
      <c r="X362" s="31"/>
      <c r="Y362" s="31"/>
      <c r="Z362" s="31"/>
      <c r="AA362" s="31"/>
      <c r="AB362" s="31"/>
      <c r="AC362" s="31"/>
      <c r="AD362" s="31"/>
      <c r="AE362" s="31"/>
      <c r="AF362" s="31"/>
      <c r="AG362" s="31"/>
      <c r="AH362" s="31"/>
      <c r="AI362" s="31"/>
      <c r="AJ362" s="31"/>
      <c r="AK362" s="31"/>
      <c r="AL362" s="31"/>
      <c r="AM362" s="31"/>
      <c r="AN362" s="31"/>
      <c r="AO362" s="31"/>
      <c r="AP362" s="31"/>
      <c r="AQ362" s="31"/>
      <c r="AR362" s="31"/>
      <c r="AS362" s="31"/>
      <c r="AT362" s="31"/>
      <c r="AU362" s="31"/>
      <c r="AV362" s="31"/>
      <c r="AW362" s="31"/>
      <c r="AX362" s="31"/>
      <c r="AY362" s="31"/>
      <c r="AZ362" s="31"/>
      <c r="BA362" s="31"/>
      <c r="BB362" s="31"/>
      <c r="BC362" s="31"/>
      <c r="BD362" s="31"/>
      <c r="BE362" s="31"/>
      <c r="BF362" s="31"/>
      <c r="BG362" s="31"/>
      <c r="BH362" s="31"/>
      <c r="BI362" s="31"/>
      <c r="BJ362" s="31"/>
      <c r="BK362" s="31"/>
      <c r="BL362" s="31"/>
      <c r="BM362" s="31"/>
      <c r="BN362" s="31"/>
      <c r="BO362" s="31"/>
      <c r="BP362" s="31"/>
      <c r="BQ362" s="31"/>
      <c r="BR362" s="31"/>
      <c r="BS362" s="31"/>
      <c r="BT362" s="31"/>
      <c r="BU362" s="31"/>
      <c r="BV362" s="31"/>
      <c r="BW362" s="31"/>
    </row>
    <row r="363" spans="6:75">
      <c r="F363" s="64" t="s">
        <v>1080</v>
      </c>
      <c r="G363" s="64">
        <v>6</v>
      </c>
      <c r="H363" s="64">
        <f t="shared" si="6"/>
        <v>6</v>
      </c>
      <c r="I363" s="66" t="s">
        <v>92</v>
      </c>
      <c r="J363" s="64" t="s">
        <v>238</v>
      </c>
      <c r="K363" s="64" t="s">
        <v>1081</v>
      </c>
      <c r="L363" s="64" t="s">
        <v>50</v>
      </c>
      <c r="M363" s="64"/>
      <c r="N363" s="64"/>
      <c r="O363" s="64">
        <v>5</v>
      </c>
      <c r="P363" s="64">
        <v>5</v>
      </c>
      <c r="Q363" s="64">
        <v>5</v>
      </c>
      <c r="R363" s="64">
        <v>5</v>
      </c>
      <c r="S363" s="64">
        <v>5</v>
      </c>
      <c r="T363" s="64">
        <v>5</v>
      </c>
      <c r="U363" s="64" t="s">
        <v>1082</v>
      </c>
      <c r="V363" s="64" t="s">
        <v>1083</v>
      </c>
      <c r="W363" s="64"/>
      <c r="X363" s="64"/>
      <c r="Y363" s="31"/>
      <c r="Z363" s="31"/>
      <c r="AA363" s="31"/>
      <c r="AB363" s="31"/>
      <c r="AC363" s="31"/>
      <c r="AD363" s="31"/>
      <c r="AE363" s="31"/>
      <c r="AF363" s="31"/>
      <c r="AG363" s="31"/>
      <c r="AH363" s="31"/>
      <c r="AI363" s="31"/>
      <c r="AJ363" s="31"/>
      <c r="AK363" s="31"/>
      <c r="AL363" s="31"/>
      <c r="AM363" s="31"/>
      <c r="AN363" s="31"/>
      <c r="AO363" s="31"/>
      <c r="AP363" s="31"/>
      <c r="AQ363" s="31"/>
      <c r="AR363" s="31"/>
      <c r="AS363" s="31"/>
      <c r="AT363" s="31"/>
      <c r="AU363" s="31"/>
      <c r="AV363" s="31"/>
      <c r="AW363" s="31"/>
      <c r="AX363" s="31"/>
      <c r="AY363" s="31"/>
      <c r="AZ363" s="31"/>
      <c r="BA363" s="31"/>
      <c r="BB363" s="31"/>
      <c r="BC363" s="31"/>
      <c r="BD363" s="31"/>
      <c r="BE363" s="31"/>
      <c r="BF363" s="31"/>
      <c r="BG363" s="31"/>
      <c r="BH363" s="31"/>
      <c r="BI363" s="31"/>
      <c r="BJ363" s="31"/>
      <c r="BK363" s="31"/>
      <c r="BL363" s="31"/>
      <c r="BM363" s="31"/>
      <c r="BN363" s="31"/>
      <c r="BO363" s="31"/>
      <c r="BP363" s="31"/>
      <c r="BQ363" s="31"/>
      <c r="BR363" s="31"/>
      <c r="BS363" s="31"/>
      <c r="BT363" s="31"/>
      <c r="BU363" s="31"/>
      <c r="BV363" s="31"/>
      <c r="BW363" s="31"/>
    </row>
    <row r="364" spans="6:75">
      <c r="F364" s="64" t="s">
        <v>1084</v>
      </c>
      <c r="G364" s="64">
        <v>6</v>
      </c>
      <c r="H364" s="64">
        <f t="shared" si="6"/>
        <v>6</v>
      </c>
      <c r="I364" s="66" t="s">
        <v>92</v>
      </c>
      <c r="J364" s="64" t="s">
        <v>231</v>
      </c>
      <c r="K364" s="64" t="s">
        <v>1081</v>
      </c>
      <c r="L364" s="64" t="s">
        <v>50</v>
      </c>
      <c r="M364" s="64"/>
      <c r="N364" s="64"/>
      <c r="O364" s="64">
        <v>5</v>
      </c>
      <c r="P364" s="64">
        <v>4</v>
      </c>
      <c r="Q364" s="64">
        <v>5</v>
      </c>
      <c r="R364" s="64">
        <v>4</v>
      </c>
      <c r="S364" s="64">
        <v>5</v>
      </c>
      <c r="T364" s="64">
        <v>5</v>
      </c>
      <c r="U364" s="64" t="s">
        <v>1085</v>
      </c>
      <c r="V364" s="64" t="s">
        <v>1086</v>
      </c>
      <c r="W364" s="64"/>
      <c r="X364" s="64"/>
      <c r="Y364" s="31"/>
      <c r="Z364" s="31"/>
      <c r="AA364" s="31"/>
      <c r="AB364" s="31"/>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c r="AY364" s="31"/>
      <c r="AZ364" s="31"/>
      <c r="BA364" s="31"/>
      <c r="BB364" s="31"/>
      <c r="BC364" s="31"/>
      <c r="BD364" s="31"/>
      <c r="BE364" s="31"/>
      <c r="BF364" s="31"/>
      <c r="BG364" s="31"/>
      <c r="BH364" s="31"/>
      <c r="BI364" s="31"/>
      <c r="BJ364" s="31"/>
      <c r="BK364" s="31"/>
      <c r="BL364" s="31"/>
      <c r="BM364" s="31"/>
      <c r="BN364" s="31"/>
      <c r="BO364" s="31"/>
      <c r="BP364" s="31"/>
      <c r="BQ364" s="31"/>
      <c r="BR364" s="31"/>
      <c r="BS364" s="31"/>
      <c r="BT364" s="31"/>
      <c r="BU364" s="31"/>
      <c r="BV364" s="31"/>
      <c r="BW364" s="31"/>
    </row>
    <row r="365" spans="6:75">
      <c r="F365" s="64" t="s">
        <v>1087</v>
      </c>
      <c r="G365" s="64">
        <v>6</v>
      </c>
      <c r="H365" s="64">
        <f t="shared" si="6"/>
        <v>6</v>
      </c>
      <c r="I365" s="66" t="s">
        <v>92</v>
      </c>
      <c r="J365" s="64" t="s">
        <v>103</v>
      </c>
      <c r="K365" s="64" t="s">
        <v>994</v>
      </c>
      <c r="L365" s="64" t="s">
        <v>50</v>
      </c>
      <c r="M365" s="64"/>
      <c r="N365" s="64"/>
      <c r="O365" s="64">
        <v>5</v>
      </c>
      <c r="P365" s="64">
        <v>5</v>
      </c>
      <c r="Q365" s="64">
        <v>5</v>
      </c>
      <c r="R365" s="64">
        <v>4</v>
      </c>
      <c r="S365" s="64">
        <v>5</v>
      </c>
      <c r="T365" s="64">
        <v>5</v>
      </c>
      <c r="U365" s="64" t="s">
        <v>1088</v>
      </c>
      <c r="V365" s="64" t="s">
        <v>1089</v>
      </c>
      <c r="W365" s="64"/>
      <c r="X365" s="64"/>
      <c r="Y365" s="31"/>
      <c r="Z365" s="31"/>
      <c r="AA365" s="31"/>
      <c r="AB365" s="31"/>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31"/>
      <c r="BJ365" s="31"/>
      <c r="BK365" s="31"/>
      <c r="BL365" s="31"/>
      <c r="BM365" s="31"/>
      <c r="BN365" s="31"/>
      <c r="BO365" s="31"/>
      <c r="BP365" s="31"/>
      <c r="BQ365" s="31"/>
      <c r="BR365" s="31"/>
      <c r="BS365" s="31"/>
      <c r="BT365" s="31"/>
      <c r="BU365" s="31"/>
      <c r="BV365" s="31"/>
      <c r="BW365" s="31"/>
    </row>
    <row r="366" spans="6:75">
      <c r="F366" s="64" t="s">
        <v>1090</v>
      </c>
      <c r="G366" s="64">
        <v>6</v>
      </c>
      <c r="H366" s="64">
        <f t="shared" si="6"/>
        <v>5</v>
      </c>
      <c r="I366" s="66" t="s">
        <v>92</v>
      </c>
      <c r="J366" s="64" t="s">
        <v>1091</v>
      </c>
      <c r="K366" s="64" t="s">
        <v>994</v>
      </c>
      <c r="L366" s="64" t="s">
        <v>50</v>
      </c>
      <c r="M366" s="64"/>
      <c r="N366" s="64"/>
      <c r="O366" s="64">
        <v>5</v>
      </c>
      <c r="P366" s="64">
        <v>5</v>
      </c>
      <c r="Q366" s="64">
        <v>5</v>
      </c>
      <c r="R366" s="64">
        <v>3</v>
      </c>
      <c r="S366" s="64">
        <v>4</v>
      </c>
      <c r="T366" s="64">
        <v>4</v>
      </c>
      <c r="U366" s="64" t="s">
        <v>1092</v>
      </c>
      <c r="V366" s="64" t="s">
        <v>1093</v>
      </c>
      <c r="W366" s="64"/>
      <c r="X366" s="64"/>
      <c r="Y366" s="31"/>
      <c r="Z366" s="31"/>
      <c r="AA366" s="31"/>
      <c r="AB366" s="31"/>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c r="AZ366" s="31"/>
      <c r="BA366" s="31"/>
      <c r="BB366" s="31"/>
      <c r="BC366" s="31"/>
      <c r="BD366" s="31"/>
      <c r="BE366" s="31"/>
      <c r="BF366" s="31"/>
      <c r="BG366" s="31"/>
      <c r="BH366" s="31"/>
      <c r="BI366" s="31"/>
      <c r="BJ366" s="31"/>
      <c r="BK366" s="31"/>
      <c r="BL366" s="31"/>
      <c r="BM366" s="31"/>
      <c r="BN366" s="31"/>
      <c r="BO366" s="31"/>
      <c r="BP366" s="31"/>
      <c r="BQ366" s="31"/>
      <c r="BR366" s="31"/>
      <c r="BS366" s="31"/>
      <c r="BT366" s="31"/>
      <c r="BU366" s="31"/>
      <c r="BV366" s="31"/>
      <c r="BW366" s="31"/>
    </row>
    <row r="367" spans="6:75">
      <c r="F367" s="64" t="s">
        <v>1090</v>
      </c>
      <c r="G367" s="64">
        <v>6</v>
      </c>
      <c r="H367" s="64">
        <f t="shared" si="6"/>
        <v>5</v>
      </c>
      <c r="I367" s="66" t="s">
        <v>92</v>
      </c>
      <c r="J367" s="64" t="s">
        <v>231</v>
      </c>
      <c r="K367" s="64" t="s">
        <v>1094</v>
      </c>
      <c r="L367" s="64" t="s">
        <v>50</v>
      </c>
      <c r="M367" s="64"/>
      <c r="N367" s="64"/>
      <c r="O367" s="64">
        <v>5</v>
      </c>
      <c r="P367" s="64">
        <v>4</v>
      </c>
      <c r="Q367" s="64">
        <v>4</v>
      </c>
      <c r="R367" s="64">
        <v>3</v>
      </c>
      <c r="S367" s="64">
        <v>4</v>
      </c>
      <c r="T367" s="64">
        <v>4</v>
      </c>
      <c r="U367" s="64" t="s">
        <v>1095</v>
      </c>
      <c r="V367" s="64" t="s">
        <v>1096</v>
      </c>
      <c r="W367" s="64"/>
      <c r="X367" s="64"/>
      <c r="Y367" s="31"/>
      <c r="Z367" s="31"/>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c r="AZ367" s="31"/>
      <c r="BA367" s="31"/>
      <c r="BB367" s="31"/>
      <c r="BC367" s="31"/>
      <c r="BD367" s="31"/>
      <c r="BE367" s="31"/>
      <c r="BF367" s="31"/>
      <c r="BG367" s="31"/>
      <c r="BH367" s="31"/>
      <c r="BI367" s="31"/>
      <c r="BJ367" s="31"/>
      <c r="BK367" s="31"/>
      <c r="BL367" s="31"/>
      <c r="BM367" s="31"/>
      <c r="BN367" s="31"/>
      <c r="BO367" s="31"/>
      <c r="BP367" s="31"/>
      <c r="BQ367" s="31"/>
      <c r="BR367" s="31"/>
      <c r="BS367" s="31"/>
      <c r="BT367" s="31"/>
      <c r="BU367" s="31"/>
      <c r="BV367" s="31"/>
      <c r="BW367" s="31"/>
    </row>
    <row r="368" spans="6:75" ht="30.75">
      <c r="F368" s="64" t="s">
        <v>1097</v>
      </c>
      <c r="G368" s="64">
        <v>6</v>
      </c>
      <c r="H368" s="64">
        <f t="shared" si="6"/>
        <v>2</v>
      </c>
      <c r="I368" s="66" t="s">
        <v>92</v>
      </c>
      <c r="J368" s="64" t="s">
        <v>231</v>
      </c>
      <c r="K368" s="64" t="s">
        <v>1098</v>
      </c>
      <c r="L368" s="64" t="s">
        <v>50</v>
      </c>
      <c r="M368" s="64"/>
      <c r="N368" s="64"/>
      <c r="O368" s="64">
        <v>4</v>
      </c>
      <c r="P368" s="64">
        <v>3</v>
      </c>
      <c r="Q368" s="64">
        <v>4</v>
      </c>
      <c r="R368" s="64">
        <v>3</v>
      </c>
      <c r="S368" s="64">
        <v>3</v>
      </c>
      <c r="T368" s="64">
        <v>3</v>
      </c>
      <c r="U368" s="64" t="s">
        <v>1099</v>
      </c>
      <c r="V368" s="64" t="s">
        <v>1100</v>
      </c>
      <c r="W368" s="64"/>
      <c r="X368" s="64"/>
      <c r="Y368" s="31"/>
      <c r="Z368" s="31"/>
      <c r="AA368" s="31"/>
      <c r="AB368" s="31"/>
      <c r="AC368" s="31"/>
      <c r="AD368" s="31"/>
      <c r="AE368" s="31"/>
      <c r="AF368" s="31"/>
      <c r="AG368" s="31"/>
      <c r="AH368" s="31"/>
      <c r="AI368" s="31"/>
      <c r="AJ368" s="31"/>
      <c r="AK368" s="31"/>
      <c r="AL368" s="31"/>
      <c r="AM368" s="31"/>
      <c r="AN368" s="31"/>
      <c r="AO368" s="31"/>
      <c r="AP368" s="31"/>
      <c r="AQ368" s="31"/>
      <c r="AR368" s="31"/>
      <c r="AS368" s="31"/>
      <c r="AT368" s="31"/>
      <c r="AU368" s="31"/>
      <c r="AV368" s="31"/>
      <c r="AW368" s="31"/>
      <c r="AX368" s="31"/>
      <c r="AY368" s="31"/>
      <c r="AZ368" s="31"/>
      <c r="BA368" s="31"/>
      <c r="BB368" s="31"/>
      <c r="BC368" s="31"/>
      <c r="BD368" s="31"/>
      <c r="BE368" s="31"/>
      <c r="BF368" s="31"/>
      <c r="BG368" s="31"/>
      <c r="BH368" s="31"/>
      <c r="BI368" s="31"/>
      <c r="BJ368" s="31"/>
      <c r="BK368" s="31"/>
      <c r="BL368" s="31"/>
      <c r="BM368" s="31"/>
      <c r="BN368" s="31"/>
      <c r="BO368" s="31"/>
      <c r="BP368" s="31"/>
      <c r="BQ368" s="31"/>
      <c r="BR368" s="31"/>
      <c r="BS368" s="31"/>
      <c r="BT368" s="31"/>
      <c r="BU368" s="31"/>
      <c r="BV368" s="31"/>
      <c r="BW368" s="31"/>
    </row>
    <row r="369" spans="6:75" ht="45.75">
      <c r="F369" s="64" t="s">
        <v>1101</v>
      </c>
      <c r="G369" s="64">
        <v>6</v>
      </c>
      <c r="H369" s="64">
        <f t="shared" si="6"/>
        <v>2</v>
      </c>
      <c r="I369" s="66" t="s">
        <v>92</v>
      </c>
      <c r="J369" s="64" t="s">
        <v>238</v>
      </c>
      <c r="K369" s="64" t="s">
        <v>1098</v>
      </c>
      <c r="L369" s="64" t="s">
        <v>50</v>
      </c>
      <c r="M369" s="64"/>
      <c r="N369" s="64"/>
      <c r="O369" s="64">
        <v>3</v>
      </c>
      <c r="P369" s="64">
        <v>2</v>
      </c>
      <c r="Q369" s="64">
        <v>4</v>
      </c>
      <c r="R369" s="64">
        <v>3</v>
      </c>
      <c r="S369" s="64">
        <v>3</v>
      </c>
      <c r="T369" s="64">
        <v>4</v>
      </c>
      <c r="U369" s="64" t="s">
        <v>1102</v>
      </c>
      <c r="V369" s="64" t="s">
        <v>1103</v>
      </c>
      <c r="W369" s="64"/>
      <c r="X369" s="64"/>
      <c r="Y369" s="31"/>
      <c r="Z369" s="31"/>
      <c r="AA369" s="31"/>
      <c r="AB369" s="31"/>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c r="AY369" s="31"/>
      <c r="AZ369" s="31"/>
      <c r="BA369" s="31"/>
      <c r="BB369" s="31"/>
      <c r="BC369" s="31"/>
      <c r="BD369" s="31"/>
      <c r="BE369" s="31"/>
      <c r="BF369" s="31"/>
      <c r="BG369" s="31"/>
      <c r="BH369" s="31"/>
      <c r="BI369" s="31"/>
      <c r="BJ369" s="31"/>
      <c r="BK369" s="31"/>
      <c r="BL369" s="31"/>
      <c r="BM369" s="31"/>
      <c r="BN369" s="31"/>
      <c r="BO369" s="31"/>
      <c r="BP369" s="31"/>
      <c r="BQ369" s="31"/>
      <c r="BR369" s="31"/>
      <c r="BS369" s="31"/>
      <c r="BT369" s="31"/>
      <c r="BU369" s="31"/>
      <c r="BV369" s="31"/>
      <c r="BW369" s="31"/>
    </row>
    <row r="370" spans="6:75">
      <c r="F370" s="64" t="s">
        <v>1104</v>
      </c>
      <c r="G370" s="64">
        <v>6</v>
      </c>
      <c r="H370" s="64">
        <f t="shared" si="6"/>
        <v>6</v>
      </c>
      <c r="I370" s="66" t="s">
        <v>92</v>
      </c>
      <c r="J370" s="64" t="s">
        <v>231</v>
      </c>
      <c r="K370" s="64" t="s">
        <v>1105</v>
      </c>
      <c r="L370" s="64" t="s">
        <v>50</v>
      </c>
      <c r="M370" s="64"/>
      <c r="N370" s="64"/>
      <c r="O370" s="64">
        <v>4</v>
      </c>
      <c r="P370" s="64">
        <v>4</v>
      </c>
      <c r="Q370" s="64">
        <v>5</v>
      </c>
      <c r="R370" s="64">
        <v>4</v>
      </c>
      <c r="S370" s="64">
        <v>4</v>
      </c>
      <c r="T370" s="64">
        <v>5</v>
      </c>
      <c r="U370" s="64" t="s">
        <v>1106</v>
      </c>
      <c r="V370" s="64" t="s">
        <v>1107</v>
      </c>
      <c r="W370" s="64"/>
      <c r="X370" s="64"/>
      <c r="Y370" s="31"/>
      <c r="Z370" s="31"/>
      <c r="AA370" s="31"/>
      <c r="AB370" s="31"/>
      <c r="AC370" s="31"/>
      <c r="AD370" s="31"/>
      <c r="AE370" s="31"/>
      <c r="AF370" s="31"/>
      <c r="AG370" s="31"/>
      <c r="AH370" s="31"/>
      <c r="AI370" s="31"/>
      <c r="AJ370" s="31"/>
      <c r="AK370" s="31"/>
      <c r="AL370" s="31"/>
      <c r="AM370" s="31"/>
      <c r="AN370" s="31"/>
      <c r="AO370" s="31"/>
      <c r="AP370" s="31"/>
      <c r="AQ370" s="31"/>
      <c r="AR370" s="31"/>
      <c r="AS370" s="31"/>
      <c r="AT370" s="31"/>
      <c r="AU370" s="31"/>
      <c r="AV370" s="31"/>
      <c r="AW370" s="31"/>
      <c r="AX370" s="31"/>
      <c r="AY370" s="31"/>
      <c r="AZ370" s="31"/>
      <c r="BA370" s="31"/>
      <c r="BB370" s="31"/>
      <c r="BC370" s="31"/>
      <c r="BD370" s="31"/>
      <c r="BE370" s="31"/>
      <c r="BF370" s="31"/>
      <c r="BG370" s="31"/>
      <c r="BH370" s="31"/>
      <c r="BI370" s="31"/>
      <c r="BJ370" s="31"/>
      <c r="BK370" s="31"/>
      <c r="BL370" s="31"/>
      <c r="BM370" s="31"/>
      <c r="BN370" s="31"/>
      <c r="BO370" s="31"/>
      <c r="BP370" s="31"/>
      <c r="BQ370" s="31"/>
      <c r="BR370" s="31"/>
      <c r="BS370" s="31"/>
      <c r="BT370" s="31"/>
      <c r="BU370" s="31"/>
      <c r="BV370" s="31"/>
      <c r="BW370" s="31"/>
    </row>
    <row r="371" spans="6:75">
      <c r="F371" s="64" t="s">
        <v>1108</v>
      </c>
      <c r="G371" s="64">
        <v>6</v>
      </c>
      <c r="H371" s="64">
        <f t="shared" si="6"/>
        <v>6</v>
      </c>
      <c r="I371" s="66" t="s">
        <v>92</v>
      </c>
      <c r="J371" s="64" t="s">
        <v>231</v>
      </c>
      <c r="K371" s="64" t="s">
        <v>1105</v>
      </c>
      <c r="L371" s="64" t="s">
        <v>50</v>
      </c>
      <c r="M371" s="64"/>
      <c r="N371" s="64"/>
      <c r="O371" s="64">
        <v>5</v>
      </c>
      <c r="P371" s="64">
        <v>5</v>
      </c>
      <c r="Q371" s="64">
        <v>5</v>
      </c>
      <c r="R371" s="64">
        <v>4</v>
      </c>
      <c r="S371" s="64">
        <v>5</v>
      </c>
      <c r="T371" s="64">
        <v>5</v>
      </c>
      <c r="U371" s="64" t="s">
        <v>1109</v>
      </c>
      <c r="V371" s="64" t="s">
        <v>1110</v>
      </c>
      <c r="W371" s="64"/>
      <c r="X371" s="64"/>
      <c r="Y371" s="31"/>
      <c r="Z371" s="31"/>
      <c r="AA371" s="31"/>
      <c r="AB371" s="31"/>
      <c r="AC371" s="31"/>
      <c r="AD371" s="31"/>
      <c r="AE371" s="31"/>
      <c r="AF371" s="31"/>
      <c r="AG371" s="31"/>
      <c r="AH371" s="31"/>
      <c r="AI371" s="31"/>
      <c r="AJ371" s="31"/>
      <c r="AK371" s="31"/>
      <c r="AL371" s="31"/>
      <c r="AM371" s="31"/>
      <c r="AN371" s="31"/>
      <c r="AO371" s="31"/>
      <c r="AP371" s="31"/>
      <c r="AQ371" s="31"/>
      <c r="AR371" s="31"/>
      <c r="AS371" s="31"/>
      <c r="AT371" s="31"/>
      <c r="AU371" s="31"/>
      <c r="AV371" s="31"/>
      <c r="AW371" s="31"/>
      <c r="AX371" s="31"/>
      <c r="AY371" s="31"/>
      <c r="AZ371" s="31"/>
      <c r="BA371" s="31"/>
      <c r="BB371" s="31"/>
      <c r="BC371" s="31"/>
      <c r="BD371" s="31"/>
      <c r="BE371" s="31"/>
      <c r="BF371" s="31"/>
      <c r="BG371" s="31"/>
      <c r="BH371" s="31"/>
      <c r="BI371" s="31"/>
      <c r="BJ371" s="31"/>
      <c r="BK371" s="31"/>
      <c r="BL371" s="31"/>
      <c r="BM371" s="31"/>
      <c r="BN371" s="31"/>
      <c r="BO371" s="31"/>
      <c r="BP371" s="31"/>
      <c r="BQ371" s="31"/>
      <c r="BR371" s="31"/>
      <c r="BS371" s="31"/>
      <c r="BT371" s="31"/>
      <c r="BU371" s="31"/>
      <c r="BV371" s="31"/>
      <c r="BW371" s="31"/>
    </row>
    <row r="372" spans="6:75">
      <c r="F372" s="64" t="s">
        <v>1111</v>
      </c>
      <c r="G372" s="64">
        <v>6</v>
      </c>
      <c r="H372" s="64">
        <f t="shared" si="6"/>
        <v>5</v>
      </c>
      <c r="I372" s="66" t="s">
        <v>92</v>
      </c>
      <c r="J372" s="64" t="s">
        <v>231</v>
      </c>
      <c r="K372" s="64" t="s">
        <v>795</v>
      </c>
      <c r="L372" s="64" t="s">
        <v>50</v>
      </c>
      <c r="M372" s="64"/>
      <c r="N372" s="64"/>
      <c r="O372" s="64">
        <v>3</v>
      </c>
      <c r="P372" s="64">
        <v>4</v>
      </c>
      <c r="Q372" s="64">
        <v>5</v>
      </c>
      <c r="R372" s="64">
        <v>4</v>
      </c>
      <c r="S372" s="64">
        <v>5</v>
      </c>
      <c r="T372" s="64">
        <v>5</v>
      </c>
      <c r="U372" s="64" t="s">
        <v>1112</v>
      </c>
      <c r="V372" s="64"/>
      <c r="W372" s="64"/>
      <c r="X372" s="64"/>
      <c r="Y372" s="31"/>
      <c r="Z372" s="31"/>
      <c r="AA372" s="31"/>
      <c r="AB372" s="31"/>
      <c r="AC372" s="31"/>
      <c r="AD372" s="31"/>
      <c r="AE372" s="31"/>
      <c r="AF372" s="31"/>
      <c r="AG372" s="31"/>
      <c r="AH372" s="31"/>
      <c r="AI372" s="31"/>
      <c r="AJ372" s="31"/>
      <c r="AK372" s="31"/>
      <c r="AL372" s="31"/>
      <c r="AM372" s="31"/>
      <c r="AN372" s="31"/>
      <c r="AO372" s="31"/>
      <c r="AP372" s="31"/>
      <c r="AQ372" s="31"/>
      <c r="AR372" s="31"/>
      <c r="AS372" s="31"/>
      <c r="AT372" s="31"/>
      <c r="AU372" s="31"/>
      <c r="AV372" s="31"/>
      <c r="AW372" s="31"/>
      <c r="AX372" s="31"/>
      <c r="AY372" s="31"/>
      <c r="AZ372" s="31"/>
      <c r="BA372" s="31"/>
      <c r="BB372" s="31"/>
      <c r="BC372" s="31"/>
      <c r="BD372" s="31"/>
      <c r="BE372" s="31"/>
      <c r="BF372" s="31"/>
      <c r="BG372" s="31"/>
      <c r="BH372" s="31"/>
      <c r="BI372" s="31"/>
      <c r="BJ372" s="31"/>
      <c r="BK372" s="31"/>
      <c r="BL372" s="31"/>
      <c r="BM372" s="31"/>
      <c r="BN372" s="31"/>
      <c r="BO372" s="31"/>
      <c r="BP372" s="31"/>
      <c r="BQ372" s="31"/>
      <c r="BR372" s="31"/>
      <c r="BS372" s="31"/>
      <c r="BT372" s="31"/>
      <c r="BU372" s="31"/>
      <c r="BV372" s="31"/>
      <c r="BW372" s="31"/>
    </row>
    <row r="373" spans="6:75">
      <c r="F373" s="64" t="s">
        <v>1113</v>
      </c>
      <c r="G373" s="64">
        <v>6</v>
      </c>
      <c r="H373" s="64">
        <f t="shared" si="6"/>
        <v>5</v>
      </c>
      <c r="I373" s="66" t="s">
        <v>92</v>
      </c>
      <c r="J373" s="64" t="s">
        <v>231</v>
      </c>
      <c r="K373" s="64" t="s">
        <v>795</v>
      </c>
      <c r="L373" s="64" t="s">
        <v>50</v>
      </c>
      <c r="M373" s="64"/>
      <c r="N373" s="64"/>
      <c r="O373" s="64">
        <v>4</v>
      </c>
      <c r="P373" s="64">
        <v>3</v>
      </c>
      <c r="Q373" s="64">
        <v>4</v>
      </c>
      <c r="R373" s="64">
        <v>4</v>
      </c>
      <c r="S373" s="64">
        <v>4</v>
      </c>
      <c r="T373" s="64">
        <v>4</v>
      </c>
      <c r="U373" s="64"/>
      <c r="V373" s="64" t="s">
        <v>1114</v>
      </c>
      <c r="W373" s="64"/>
      <c r="X373" s="64"/>
      <c r="Y373" s="31"/>
      <c r="Z373" s="31"/>
      <c r="AA373" s="31"/>
      <c r="AB373" s="31"/>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c r="AY373" s="31"/>
      <c r="AZ373" s="31"/>
      <c r="BA373" s="31"/>
      <c r="BB373" s="31"/>
      <c r="BC373" s="31"/>
      <c r="BD373" s="31"/>
      <c r="BE373" s="31"/>
      <c r="BF373" s="31"/>
      <c r="BG373" s="31"/>
      <c r="BH373" s="31"/>
      <c r="BI373" s="31"/>
      <c r="BJ373" s="31"/>
      <c r="BK373" s="31"/>
      <c r="BL373" s="31"/>
      <c r="BM373" s="31"/>
      <c r="BN373" s="31"/>
      <c r="BO373" s="31"/>
      <c r="BP373" s="31"/>
      <c r="BQ373" s="31"/>
      <c r="BR373" s="31"/>
      <c r="BS373" s="31"/>
      <c r="BT373" s="31"/>
      <c r="BU373" s="31"/>
      <c r="BV373" s="31"/>
      <c r="BW373" s="31"/>
    </row>
    <row r="374" spans="6:75" ht="60.75">
      <c r="F374" s="64" t="s">
        <v>1115</v>
      </c>
      <c r="G374" s="64">
        <v>6</v>
      </c>
      <c r="H374" s="64">
        <f t="shared" si="6"/>
        <v>6</v>
      </c>
      <c r="I374" s="66" t="s">
        <v>92</v>
      </c>
      <c r="J374" s="64" t="s">
        <v>231</v>
      </c>
      <c r="K374" s="64" t="s">
        <v>795</v>
      </c>
      <c r="L374" s="64" t="s">
        <v>50</v>
      </c>
      <c r="M374" s="31"/>
      <c r="N374" s="31"/>
      <c r="O374" s="64">
        <v>5</v>
      </c>
      <c r="P374" s="64">
        <v>5</v>
      </c>
      <c r="Q374" s="64">
        <v>5</v>
      </c>
      <c r="R374" s="64">
        <v>4</v>
      </c>
      <c r="S374" s="64">
        <v>5</v>
      </c>
      <c r="T374" s="64">
        <v>4</v>
      </c>
      <c r="U374" s="64" t="s">
        <v>1116</v>
      </c>
      <c r="V374" s="64" t="s">
        <v>1117</v>
      </c>
      <c r="W374" s="64"/>
      <c r="X374" s="64"/>
      <c r="Y374" s="31"/>
      <c r="Z374" s="31"/>
      <c r="AA374" s="31"/>
      <c r="AB374" s="31"/>
      <c r="AC374" s="31"/>
      <c r="AD374" s="31"/>
      <c r="AE374" s="31"/>
      <c r="AF374" s="31"/>
      <c r="AG374" s="31"/>
      <c r="AH374" s="31"/>
      <c r="AI374" s="31"/>
      <c r="AJ374" s="31"/>
      <c r="AK374" s="31"/>
      <c r="AL374" s="31"/>
      <c r="AM374" s="31"/>
      <c r="AN374" s="31"/>
      <c r="AO374" s="31"/>
      <c r="AP374" s="31"/>
      <c r="AQ374" s="31"/>
      <c r="AR374" s="31"/>
      <c r="AS374" s="31"/>
      <c r="AT374" s="31"/>
      <c r="AU374" s="31"/>
      <c r="AV374" s="31"/>
      <c r="AW374" s="31"/>
      <c r="AX374" s="31"/>
      <c r="AY374" s="31"/>
      <c r="AZ374" s="31"/>
      <c r="BA374" s="31"/>
      <c r="BB374" s="31"/>
      <c r="BC374" s="31"/>
      <c r="BD374" s="31"/>
      <c r="BE374" s="31"/>
      <c r="BF374" s="31"/>
      <c r="BG374" s="31"/>
      <c r="BH374" s="31"/>
      <c r="BI374" s="31"/>
      <c r="BJ374" s="31"/>
      <c r="BK374" s="31"/>
      <c r="BL374" s="31"/>
      <c r="BM374" s="31"/>
      <c r="BN374" s="31"/>
      <c r="BO374" s="31"/>
      <c r="BP374" s="31"/>
      <c r="BQ374" s="31"/>
      <c r="BR374" s="31"/>
      <c r="BS374" s="31"/>
      <c r="BT374" s="31"/>
      <c r="BU374" s="31"/>
      <c r="BV374" s="31"/>
      <c r="BW374" s="31"/>
    </row>
    <row r="375" spans="6:75">
      <c r="F375" s="118">
        <v>45363.738495370373</v>
      </c>
      <c r="G375" s="64">
        <v>6</v>
      </c>
      <c r="H375" s="64">
        <f t="shared" si="6"/>
        <v>6</v>
      </c>
      <c r="I375" s="31" t="s">
        <v>92</v>
      </c>
      <c r="J375" s="31" t="s">
        <v>231</v>
      </c>
      <c r="K375" s="119">
        <v>45363</v>
      </c>
      <c r="L375" s="31" t="s">
        <v>40</v>
      </c>
      <c r="O375" s="31">
        <v>5</v>
      </c>
      <c r="P375" s="31">
        <v>4</v>
      </c>
      <c r="Q375" s="31">
        <v>5</v>
      </c>
      <c r="R375" s="31">
        <v>5</v>
      </c>
      <c r="S375" s="31">
        <v>5</v>
      </c>
      <c r="T375" s="31">
        <v>5</v>
      </c>
      <c r="U375" s="31" t="s">
        <v>1118</v>
      </c>
      <c r="V375" s="31" t="s">
        <v>1119</v>
      </c>
      <c r="W375" s="31"/>
      <c r="X375" s="31"/>
      <c r="Y375" s="31"/>
      <c r="Z375" s="31"/>
      <c r="AA375" s="31"/>
      <c r="AB375" s="31"/>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c r="AY375" s="31"/>
      <c r="AZ375" s="31"/>
      <c r="BA375" s="31"/>
      <c r="BB375" s="31"/>
      <c r="BC375" s="31"/>
      <c r="BD375" s="31"/>
      <c r="BE375" s="31"/>
      <c r="BF375" s="31"/>
      <c r="BG375" s="31"/>
      <c r="BH375" s="31"/>
      <c r="BI375" s="31"/>
      <c r="BJ375" s="31"/>
      <c r="BK375" s="31"/>
      <c r="BL375" s="31"/>
      <c r="BM375" s="31"/>
      <c r="BN375" s="31"/>
      <c r="BO375" s="31"/>
      <c r="BP375" s="31"/>
      <c r="BQ375" s="31"/>
      <c r="BR375" s="31"/>
      <c r="BS375" s="31"/>
      <c r="BT375" s="31"/>
      <c r="BU375" s="31"/>
      <c r="BV375" s="31"/>
      <c r="BW375" s="31"/>
    </row>
    <row r="376" spans="6:75">
      <c r="F376" s="118">
        <v>45363.738321759258</v>
      </c>
      <c r="G376" s="64">
        <v>6</v>
      </c>
      <c r="H376" s="64">
        <f t="shared" si="6"/>
        <v>6</v>
      </c>
      <c r="I376" s="31" t="s">
        <v>92</v>
      </c>
      <c r="J376" s="31" t="s">
        <v>231</v>
      </c>
      <c r="K376" s="119">
        <v>45348</v>
      </c>
      <c r="L376" s="31" t="s">
        <v>40</v>
      </c>
      <c r="O376" s="31">
        <v>5</v>
      </c>
      <c r="P376" s="31">
        <v>4</v>
      </c>
      <c r="Q376" s="31">
        <v>5</v>
      </c>
      <c r="R376" s="31">
        <v>5</v>
      </c>
      <c r="S376" s="31">
        <v>5</v>
      </c>
      <c r="T376" s="31">
        <v>5</v>
      </c>
      <c r="U376" s="31" t="s">
        <v>1118</v>
      </c>
      <c r="V376" s="31" t="s">
        <v>1119</v>
      </c>
      <c r="W376" s="31"/>
      <c r="X376" s="31"/>
      <c r="Y376" s="31"/>
      <c r="Z376" s="31"/>
      <c r="AA376" s="31"/>
      <c r="AB376" s="31"/>
      <c r="AC376" s="31"/>
      <c r="AD376" s="31"/>
      <c r="AE376" s="31"/>
      <c r="AF376" s="31"/>
      <c r="AG376" s="31"/>
      <c r="AH376" s="31"/>
      <c r="AI376" s="31"/>
      <c r="AJ376" s="31"/>
      <c r="AK376" s="31"/>
      <c r="AL376" s="31"/>
      <c r="AM376" s="31"/>
      <c r="AN376" s="31"/>
      <c r="AO376" s="31"/>
      <c r="AP376" s="31"/>
      <c r="AQ376" s="31"/>
      <c r="AR376" s="31"/>
      <c r="AS376" s="31"/>
      <c r="AT376" s="31"/>
      <c r="AU376" s="31"/>
      <c r="AV376" s="31"/>
      <c r="AW376" s="31"/>
      <c r="AX376" s="31"/>
      <c r="AY376" s="31"/>
      <c r="AZ376" s="31"/>
      <c r="BA376" s="31"/>
      <c r="BB376" s="31"/>
      <c r="BC376" s="31"/>
      <c r="BD376" s="31"/>
      <c r="BE376" s="31"/>
      <c r="BF376" s="31"/>
      <c r="BG376" s="31"/>
      <c r="BH376" s="31"/>
      <c r="BI376" s="31"/>
      <c r="BJ376" s="31"/>
      <c r="BK376" s="31"/>
      <c r="BL376" s="31"/>
      <c r="BM376" s="31"/>
      <c r="BN376" s="31"/>
      <c r="BO376" s="31"/>
      <c r="BP376" s="31"/>
      <c r="BQ376" s="31"/>
      <c r="BR376" s="31"/>
      <c r="BS376" s="31"/>
      <c r="BT376" s="31"/>
      <c r="BU376" s="31"/>
      <c r="BV376" s="31"/>
      <c r="BW376" s="31"/>
    </row>
    <row r="377" spans="6:75">
      <c r="F377" s="118">
        <v>45363.506064814814</v>
      </c>
      <c r="G377" s="64">
        <v>6</v>
      </c>
      <c r="H377" s="64">
        <f t="shared" si="6"/>
        <v>3</v>
      </c>
      <c r="I377" s="31" t="s">
        <v>92</v>
      </c>
      <c r="J377" s="31" t="s">
        <v>227</v>
      </c>
      <c r="K377" s="119">
        <v>45348</v>
      </c>
      <c r="L377" s="31" t="s">
        <v>40</v>
      </c>
      <c r="O377" s="31">
        <v>4</v>
      </c>
      <c r="P377" s="31">
        <v>3</v>
      </c>
      <c r="Q377" s="31">
        <v>5</v>
      </c>
      <c r="R377" s="31">
        <v>3</v>
      </c>
      <c r="S377" s="31">
        <v>4</v>
      </c>
      <c r="T377" s="31">
        <v>2</v>
      </c>
      <c r="U377" s="31" t="s">
        <v>1120</v>
      </c>
      <c r="V377" s="31" t="s">
        <v>1121</v>
      </c>
      <c r="W377" s="31"/>
      <c r="X377" s="31"/>
      <c r="Y377" s="31"/>
      <c r="Z377" s="31"/>
      <c r="AA377" s="31"/>
      <c r="AB377" s="31"/>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c r="AY377" s="31"/>
      <c r="AZ377" s="31"/>
      <c r="BA377" s="31"/>
      <c r="BB377" s="31"/>
      <c r="BC377" s="31"/>
      <c r="BD377" s="31"/>
      <c r="BE377" s="31"/>
      <c r="BF377" s="31"/>
      <c r="BG377" s="31"/>
      <c r="BH377" s="31"/>
      <c r="BI377" s="31"/>
      <c r="BJ377" s="31"/>
      <c r="BK377" s="31"/>
      <c r="BL377" s="31"/>
      <c r="BM377" s="31"/>
      <c r="BN377" s="31"/>
      <c r="BO377" s="31"/>
      <c r="BP377" s="31"/>
      <c r="BQ377" s="31"/>
      <c r="BR377" s="31"/>
      <c r="BS377" s="31"/>
      <c r="BT377" s="31"/>
      <c r="BU377" s="31"/>
      <c r="BV377" s="31"/>
      <c r="BW377" s="31"/>
    </row>
    <row r="378" spans="6:75">
      <c r="F378" s="118">
        <v>45362.754166666666</v>
      </c>
      <c r="G378" s="64">
        <v>6</v>
      </c>
      <c r="H378" s="64">
        <f t="shared" si="6"/>
        <v>6</v>
      </c>
      <c r="I378" s="31" t="s">
        <v>92</v>
      </c>
      <c r="J378" s="31" t="s">
        <v>227</v>
      </c>
      <c r="K378" s="119">
        <v>45348</v>
      </c>
      <c r="L378" s="31" t="s">
        <v>40</v>
      </c>
      <c r="O378" s="31">
        <v>4</v>
      </c>
      <c r="P378" s="31">
        <v>5</v>
      </c>
      <c r="Q378" s="31">
        <v>5</v>
      </c>
      <c r="R378" s="31">
        <v>4</v>
      </c>
      <c r="S378" s="31">
        <v>5</v>
      </c>
      <c r="T378" s="31">
        <v>5</v>
      </c>
      <c r="U378" s="31" t="s">
        <v>1122</v>
      </c>
      <c r="V378" s="31" t="s">
        <v>1123</v>
      </c>
      <c r="W378" s="31"/>
      <c r="X378" s="31"/>
      <c r="Y378" s="31"/>
      <c r="Z378" s="31"/>
      <c r="AA378" s="31"/>
      <c r="AB378" s="31"/>
      <c r="AC378" s="31"/>
      <c r="AD378" s="31"/>
      <c r="AE378" s="31"/>
      <c r="AF378" s="31"/>
      <c r="AG378" s="31"/>
      <c r="AH378" s="31"/>
      <c r="AI378" s="31"/>
      <c r="AJ378" s="31"/>
      <c r="AK378" s="31"/>
      <c r="AL378" s="31"/>
      <c r="AM378" s="31"/>
      <c r="AN378" s="31"/>
      <c r="AO378" s="31"/>
      <c r="AP378" s="31"/>
      <c r="AQ378" s="31"/>
      <c r="AR378" s="31"/>
      <c r="AS378" s="31"/>
      <c r="AT378" s="31"/>
      <c r="AU378" s="31"/>
      <c r="AV378" s="31"/>
      <c r="AW378" s="31"/>
      <c r="AX378" s="31"/>
      <c r="AY378" s="31"/>
      <c r="AZ378" s="31"/>
      <c r="BA378" s="31"/>
      <c r="BB378" s="31"/>
      <c r="BC378" s="31"/>
      <c r="BD378" s="31"/>
      <c r="BE378" s="31"/>
      <c r="BF378" s="31"/>
      <c r="BG378" s="31"/>
      <c r="BH378" s="31"/>
      <c r="BI378" s="31"/>
      <c r="BJ378" s="31"/>
      <c r="BK378" s="31"/>
      <c r="BL378" s="31"/>
      <c r="BM378" s="31"/>
      <c r="BN378" s="31"/>
      <c r="BO378" s="31"/>
      <c r="BP378" s="31"/>
      <c r="BQ378" s="31"/>
      <c r="BR378" s="31"/>
      <c r="BS378" s="31"/>
      <c r="BT378" s="31"/>
      <c r="BU378" s="31"/>
      <c r="BV378" s="31"/>
      <c r="BW378" s="31"/>
    </row>
    <row r="379" spans="6:75">
      <c r="F379" s="118">
        <v>45230.523240740738</v>
      </c>
      <c r="G379" s="64">
        <v>6</v>
      </c>
      <c r="H379" s="64">
        <f t="shared" si="6"/>
        <v>5</v>
      </c>
      <c r="I379" s="31" t="s">
        <v>92</v>
      </c>
      <c r="J379" s="31" t="s">
        <v>1076</v>
      </c>
      <c r="K379" s="119">
        <v>45230</v>
      </c>
      <c r="L379" s="31" t="s">
        <v>38</v>
      </c>
      <c r="O379" s="31">
        <v>5</v>
      </c>
      <c r="P379" s="31">
        <v>4</v>
      </c>
      <c r="Q379" s="31">
        <v>4</v>
      </c>
      <c r="R379" s="31">
        <v>3</v>
      </c>
      <c r="S379" s="31">
        <v>5</v>
      </c>
      <c r="T379" s="31">
        <v>4</v>
      </c>
      <c r="U379" s="31" t="s">
        <v>1078</v>
      </c>
      <c r="V379" s="31" t="s">
        <v>1079</v>
      </c>
      <c r="W379" s="31"/>
      <c r="X379" s="31"/>
      <c r="Y379" s="31"/>
      <c r="Z379" s="31"/>
      <c r="AA379" s="31"/>
      <c r="AB379" s="31"/>
      <c r="AC379" s="31"/>
      <c r="AD379" s="31"/>
      <c r="AE379" s="31"/>
      <c r="AF379" s="31"/>
      <c r="AG379" s="31"/>
      <c r="AH379" s="31"/>
      <c r="AI379" s="31"/>
      <c r="AJ379" s="31"/>
      <c r="AK379" s="31"/>
      <c r="AL379" s="31"/>
      <c r="AM379" s="31"/>
      <c r="AN379" s="31"/>
      <c r="AO379" s="31"/>
      <c r="AP379" s="31"/>
      <c r="AQ379" s="31"/>
      <c r="AR379" s="31"/>
      <c r="AS379" s="31"/>
      <c r="AT379" s="31"/>
      <c r="AU379" s="31"/>
      <c r="AV379" s="31"/>
      <c r="AW379" s="31"/>
      <c r="AX379" s="31"/>
      <c r="AY379" s="31"/>
      <c r="AZ379" s="31"/>
      <c r="BA379" s="31"/>
      <c r="BB379" s="31"/>
      <c r="BC379" s="31"/>
      <c r="BD379" s="31"/>
      <c r="BE379" s="31"/>
      <c r="BF379" s="31"/>
      <c r="BG379" s="31"/>
      <c r="BH379" s="31"/>
      <c r="BI379" s="31"/>
      <c r="BJ379" s="31"/>
      <c r="BK379" s="31"/>
      <c r="BL379" s="31"/>
      <c r="BM379" s="31"/>
      <c r="BN379" s="31"/>
      <c r="BO379" s="31"/>
      <c r="BP379" s="31"/>
      <c r="BQ379" s="31"/>
      <c r="BR379" s="31"/>
      <c r="BS379" s="31"/>
      <c r="BT379" s="31"/>
      <c r="BU379" s="31"/>
      <c r="BV379" s="31"/>
      <c r="BW379" s="31"/>
    </row>
    <row r="380" spans="6:75">
      <c r="F380" s="118">
        <v>45371.607141203705</v>
      </c>
      <c r="G380" s="64">
        <v>6</v>
      </c>
      <c r="H380" s="64">
        <f t="shared" si="6"/>
        <v>6</v>
      </c>
      <c r="I380" s="31" t="s">
        <v>92</v>
      </c>
      <c r="J380" s="31" t="s">
        <v>93</v>
      </c>
      <c r="K380" s="119">
        <v>45328</v>
      </c>
      <c r="L380" s="31" t="s">
        <v>124</v>
      </c>
      <c r="O380" s="31">
        <v>5</v>
      </c>
      <c r="P380" s="31">
        <v>5</v>
      </c>
      <c r="Q380" s="31">
        <v>5</v>
      </c>
      <c r="R380" s="31">
        <v>5</v>
      </c>
      <c r="S380" s="31">
        <v>4</v>
      </c>
      <c r="T380" s="31">
        <v>5</v>
      </c>
      <c r="U380" s="31" t="s">
        <v>1124</v>
      </c>
      <c r="V380" s="31" t="s">
        <v>1125</v>
      </c>
      <c r="W380" s="31"/>
      <c r="X380" s="31"/>
      <c r="Y380" s="31"/>
      <c r="Z380" s="31"/>
      <c r="AA380" s="31"/>
      <c r="AB380" s="31"/>
      <c r="AC380" s="31"/>
      <c r="AD380" s="31"/>
      <c r="AE380" s="31"/>
      <c r="AF380" s="31"/>
      <c r="AG380" s="31"/>
      <c r="AH380" s="31"/>
      <c r="AI380" s="31"/>
      <c r="AJ380" s="31"/>
      <c r="AK380" s="31"/>
      <c r="AL380" s="31"/>
      <c r="AM380" s="31"/>
      <c r="AN380" s="31"/>
      <c r="AO380" s="31"/>
      <c r="AP380" s="31"/>
      <c r="AQ380" s="31"/>
      <c r="AR380" s="31"/>
      <c r="AS380" s="31"/>
      <c r="AT380" s="31"/>
      <c r="AU380" s="31"/>
      <c r="AV380" s="31"/>
      <c r="AW380" s="31"/>
      <c r="AX380" s="31"/>
      <c r="AY380" s="31"/>
      <c r="AZ380" s="31"/>
      <c r="BA380" s="31"/>
      <c r="BB380" s="31"/>
      <c r="BC380" s="31"/>
      <c r="BD380" s="31"/>
      <c r="BE380" s="31"/>
      <c r="BF380" s="31"/>
      <c r="BG380" s="31"/>
      <c r="BH380" s="31"/>
      <c r="BI380" s="31"/>
      <c r="BJ380" s="31"/>
      <c r="BK380" s="31"/>
      <c r="BL380" s="31"/>
      <c r="BM380" s="31"/>
      <c r="BN380" s="31"/>
      <c r="BO380" s="31"/>
      <c r="BP380" s="31"/>
      <c r="BQ380" s="31"/>
      <c r="BR380" s="31"/>
      <c r="BS380" s="31"/>
      <c r="BT380" s="31"/>
      <c r="BU380" s="31"/>
      <c r="BV380" s="31"/>
      <c r="BW380" s="31"/>
    </row>
    <row r="381" spans="6:75" ht="30.75">
      <c r="F381" s="118">
        <v>45371.605509259258</v>
      </c>
      <c r="G381" s="64">
        <v>6</v>
      </c>
      <c r="H381" s="64">
        <f t="shared" si="6"/>
        <v>6</v>
      </c>
      <c r="I381" s="31" t="s">
        <v>92</v>
      </c>
      <c r="J381" s="31" t="s">
        <v>93</v>
      </c>
      <c r="K381" s="119">
        <v>45328</v>
      </c>
      <c r="L381" s="31" t="s">
        <v>31</v>
      </c>
      <c r="O381" s="31">
        <v>4</v>
      </c>
      <c r="P381" s="31">
        <v>5</v>
      </c>
      <c r="Q381" s="31">
        <v>5</v>
      </c>
      <c r="R381" s="31">
        <v>4</v>
      </c>
      <c r="S381" s="31">
        <v>4</v>
      </c>
      <c r="T381" s="31">
        <v>4</v>
      </c>
      <c r="U381" s="31" t="s">
        <v>1126</v>
      </c>
      <c r="V381" s="31" t="s">
        <v>1127</v>
      </c>
      <c r="W381" s="31"/>
      <c r="X381" s="31"/>
      <c r="Y381" s="31"/>
      <c r="Z381" s="31"/>
      <c r="AA381" s="31"/>
      <c r="AB381" s="31"/>
      <c r="AC381" s="31"/>
      <c r="AD381" s="31"/>
      <c r="AE381" s="31"/>
      <c r="AF381" s="31"/>
      <c r="AG381" s="31"/>
      <c r="AH381" s="31"/>
      <c r="AI381" s="31"/>
      <c r="AJ381" s="31"/>
      <c r="AK381" s="31"/>
      <c r="AL381" s="31"/>
      <c r="AM381" s="31"/>
      <c r="AN381" s="31"/>
      <c r="AO381" s="31"/>
      <c r="AP381" s="31"/>
      <c r="AQ381" s="31"/>
      <c r="AR381" s="31"/>
      <c r="AS381" s="31"/>
      <c r="AT381" s="31"/>
      <c r="AU381" s="31"/>
      <c r="AV381" s="31"/>
      <c r="AW381" s="31"/>
      <c r="AX381" s="31"/>
      <c r="AY381" s="31"/>
      <c r="AZ381" s="31"/>
      <c r="BA381" s="31"/>
      <c r="BB381" s="31"/>
      <c r="BC381" s="31"/>
      <c r="BD381" s="31"/>
      <c r="BE381" s="31"/>
      <c r="BF381" s="31"/>
      <c r="BG381" s="31"/>
      <c r="BH381" s="31"/>
      <c r="BI381" s="31"/>
      <c r="BJ381" s="31"/>
      <c r="BK381" s="31"/>
      <c r="BL381" s="31"/>
      <c r="BM381" s="31"/>
      <c r="BN381" s="31"/>
      <c r="BO381" s="31"/>
      <c r="BP381" s="31"/>
      <c r="BQ381" s="31"/>
      <c r="BR381" s="31"/>
      <c r="BS381" s="31"/>
      <c r="BT381" s="31"/>
      <c r="BU381" s="31"/>
      <c r="BV381" s="31"/>
      <c r="BW381" s="31"/>
    </row>
    <row r="382" spans="6:75">
      <c r="F382" s="118">
        <v>45371.508993055555</v>
      </c>
      <c r="G382" s="64">
        <v>6</v>
      </c>
      <c r="H382" s="64">
        <f t="shared" si="6"/>
        <v>6</v>
      </c>
      <c r="I382" s="31" t="s">
        <v>92</v>
      </c>
      <c r="J382" s="31" t="s">
        <v>93</v>
      </c>
      <c r="K382" s="119">
        <v>45328</v>
      </c>
      <c r="L382" s="31" t="s">
        <v>124</v>
      </c>
      <c r="O382" s="31">
        <v>5</v>
      </c>
      <c r="P382" s="31">
        <v>5</v>
      </c>
      <c r="Q382" s="31">
        <v>5</v>
      </c>
      <c r="R382" s="31">
        <v>5</v>
      </c>
      <c r="S382" s="31">
        <v>5</v>
      </c>
      <c r="T382" s="31">
        <v>5</v>
      </c>
      <c r="U382" s="31" t="s">
        <v>1128</v>
      </c>
      <c r="V382" s="31" t="s">
        <v>1129</v>
      </c>
      <c r="W382" s="31"/>
      <c r="X382" s="31"/>
      <c r="Y382" s="31"/>
      <c r="Z382" s="31"/>
      <c r="AA382" s="31"/>
      <c r="AB382" s="31"/>
      <c r="AC382" s="31"/>
      <c r="AD382" s="31"/>
      <c r="AE382" s="31"/>
      <c r="AF382" s="31"/>
      <c r="AG382" s="31"/>
      <c r="AH382" s="31"/>
      <c r="AI382" s="31"/>
      <c r="AJ382" s="31"/>
      <c r="AK382" s="31"/>
      <c r="AL382" s="31"/>
      <c r="AM382" s="31"/>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1"/>
      <c r="BL382" s="31"/>
      <c r="BM382" s="31"/>
      <c r="BN382" s="31"/>
      <c r="BO382" s="31"/>
      <c r="BP382" s="31"/>
      <c r="BQ382" s="31"/>
      <c r="BR382" s="31"/>
      <c r="BS382" s="31"/>
      <c r="BT382" s="31"/>
      <c r="BU382" s="31"/>
      <c r="BV382" s="31"/>
      <c r="BW382" s="31"/>
    </row>
    <row r="383" spans="6:75">
      <c r="F383" s="118">
        <v>45371.504259259258</v>
      </c>
      <c r="G383" s="64">
        <v>6</v>
      </c>
      <c r="H383" s="64">
        <f t="shared" si="6"/>
        <v>5</v>
      </c>
      <c r="I383" s="31" t="s">
        <v>92</v>
      </c>
      <c r="J383" s="31" t="s">
        <v>93</v>
      </c>
      <c r="K383" s="119">
        <v>45328</v>
      </c>
      <c r="L383" s="31" t="s">
        <v>31</v>
      </c>
      <c r="O383" s="31">
        <v>5</v>
      </c>
      <c r="P383" s="31">
        <v>4</v>
      </c>
      <c r="Q383" s="31">
        <v>5</v>
      </c>
      <c r="R383" s="31">
        <v>5</v>
      </c>
      <c r="S383" s="31">
        <v>5</v>
      </c>
      <c r="T383" s="31">
        <v>1</v>
      </c>
      <c r="U383" s="31" t="s">
        <v>1130</v>
      </c>
      <c r="V383" s="31" t="s">
        <v>1131</v>
      </c>
      <c r="W383" s="31"/>
      <c r="X383" s="31"/>
      <c r="Y383" s="31"/>
      <c r="Z383" s="31"/>
      <c r="AA383" s="31"/>
      <c r="AB383" s="31"/>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1"/>
      <c r="BL383" s="31"/>
      <c r="BM383" s="31"/>
      <c r="BN383" s="31"/>
      <c r="BO383" s="31"/>
      <c r="BP383" s="31"/>
      <c r="BQ383" s="31"/>
      <c r="BR383" s="31"/>
      <c r="BS383" s="31"/>
      <c r="BT383" s="31"/>
      <c r="BU383" s="31"/>
      <c r="BV383" s="31"/>
      <c r="BW383" s="31"/>
    </row>
    <row r="384" spans="6:75">
      <c r="F384" s="118">
        <v>45371.499421296299</v>
      </c>
      <c r="G384" s="64">
        <v>6</v>
      </c>
      <c r="H384" s="64">
        <f t="shared" si="6"/>
        <v>6</v>
      </c>
      <c r="I384" s="31" t="s">
        <v>92</v>
      </c>
      <c r="J384" s="31" t="s">
        <v>93</v>
      </c>
      <c r="K384" s="119">
        <v>45328</v>
      </c>
      <c r="L384" s="31" t="s">
        <v>31</v>
      </c>
      <c r="O384" s="31">
        <v>5</v>
      </c>
      <c r="P384" s="31">
        <v>5</v>
      </c>
      <c r="Q384" s="31">
        <v>4</v>
      </c>
      <c r="R384" s="31">
        <v>5</v>
      </c>
      <c r="S384" s="31">
        <v>5</v>
      </c>
      <c r="T384" s="31">
        <v>4</v>
      </c>
      <c r="U384" s="31" t="s">
        <v>1132</v>
      </c>
      <c r="V384" s="31" t="s">
        <v>1133</v>
      </c>
      <c r="W384" s="31"/>
      <c r="X384" s="31"/>
      <c r="Y384" s="31"/>
      <c r="Z384" s="31"/>
      <c r="AA384" s="31"/>
      <c r="AB384" s="31"/>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1"/>
      <c r="BL384" s="31"/>
      <c r="BM384" s="31"/>
      <c r="BN384" s="31"/>
      <c r="BO384" s="31"/>
      <c r="BP384" s="31"/>
      <c r="BQ384" s="31"/>
      <c r="BR384" s="31"/>
      <c r="BS384" s="31"/>
      <c r="BT384" s="31"/>
      <c r="BU384" s="31"/>
      <c r="BV384" s="31"/>
      <c r="BW384" s="31"/>
    </row>
    <row r="385" spans="6:75">
      <c r="F385" s="118">
        <v>45371.495486111111</v>
      </c>
      <c r="G385" s="64">
        <v>6</v>
      </c>
      <c r="H385" s="64">
        <f t="shared" si="6"/>
        <v>6</v>
      </c>
      <c r="I385" s="31" t="s">
        <v>92</v>
      </c>
      <c r="J385" s="31" t="s">
        <v>93</v>
      </c>
      <c r="K385" s="119">
        <v>45328</v>
      </c>
      <c r="L385" s="31" t="s">
        <v>124</v>
      </c>
      <c r="O385" s="31">
        <v>5</v>
      </c>
      <c r="P385" s="31">
        <v>5</v>
      </c>
      <c r="Q385" s="31">
        <v>5</v>
      </c>
      <c r="R385" s="31">
        <v>5</v>
      </c>
      <c r="S385" s="31">
        <v>5</v>
      </c>
      <c r="T385" s="31">
        <v>5</v>
      </c>
      <c r="U385" s="31" t="s">
        <v>1134</v>
      </c>
      <c r="V385" s="31" t="s">
        <v>1135</v>
      </c>
      <c r="W385" s="31"/>
      <c r="X385" s="31"/>
      <c r="Y385" s="31"/>
      <c r="Z385" s="31"/>
      <c r="AA385" s="31"/>
      <c r="AB385" s="31"/>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1"/>
      <c r="BL385" s="31"/>
      <c r="BM385" s="31"/>
      <c r="BN385" s="31"/>
      <c r="BO385" s="31"/>
      <c r="BP385" s="31"/>
      <c r="BQ385" s="31"/>
      <c r="BR385" s="31"/>
      <c r="BS385" s="31"/>
      <c r="BT385" s="31"/>
      <c r="BU385" s="31"/>
      <c r="BV385" s="31"/>
      <c r="BW385" s="31"/>
    </row>
    <row r="386" spans="6:75">
      <c r="F386" s="118">
        <v>45371.494780092595</v>
      </c>
      <c r="G386" s="64">
        <v>6</v>
      </c>
      <c r="H386" s="64">
        <f t="shared" si="6"/>
        <v>6</v>
      </c>
      <c r="I386" s="31" t="s">
        <v>92</v>
      </c>
      <c r="J386" s="31" t="s">
        <v>93</v>
      </c>
      <c r="K386" s="119">
        <v>45328</v>
      </c>
      <c r="L386" s="31" t="s">
        <v>124</v>
      </c>
      <c r="O386" s="31">
        <v>5</v>
      </c>
      <c r="P386" s="31">
        <v>5</v>
      </c>
      <c r="Q386" s="31">
        <v>5</v>
      </c>
      <c r="R386" s="31">
        <v>5</v>
      </c>
      <c r="S386" s="31">
        <v>5</v>
      </c>
      <c r="T386" s="31">
        <v>5</v>
      </c>
      <c r="U386" s="31" t="s">
        <v>1136</v>
      </c>
      <c r="V386" s="31" t="s">
        <v>1137</v>
      </c>
      <c r="W386" s="31"/>
      <c r="X386" s="31"/>
      <c r="Y386" s="31"/>
      <c r="Z386" s="31"/>
      <c r="AA386" s="31"/>
      <c r="AB386" s="31"/>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1"/>
      <c r="BL386" s="31"/>
      <c r="BM386" s="31"/>
      <c r="BN386" s="31"/>
      <c r="BO386" s="31"/>
      <c r="BP386" s="31"/>
      <c r="BQ386" s="31"/>
      <c r="BR386" s="31"/>
      <c r="BS386" s="31"/>
      <c r="BT386" s="31"/>
      <c r="BU386" s="31"/>
      <c r="BV386" s="31"/>
      <c r="BW386" s="31"/>
    </row>
    <row r="387" spans="6:75">
      <c r="F387" s="118">
        <v>45371.493298611109</v>
      </c>
      <c r="G387" s="64">
        <v>6</v>
      </c>
      <c r="H387" s="64">
        <f t="shared" si="6"/>
        <v>6</v>
      </c>
      <c r="I387" s="31" t="s">
        <v>92</v>
      </c>
      <c r="J387" s="31" t="s">
        <v>93</v>
      </c>
      <c r="K387" s="119">
        <v>45328</v>
      </c>
      <c r="L387" s="31" t="s">
        <v>31</v>
      </c>
      <c r="O387" s="31">
        <v>5</v>
      </c>
      <c r="P387" s="31">
        <v>5</v>
      </c>
      <c r="Q387" s="31">
        <v>5</v>
      </c>
      <c r="R387" s="31">
        <v>5</v>
      </c>
      <c r="S387" s="31">
        <v>5</v>
      </c>
      <c r="T387" s="31">
        <v>5</v>
      </c>
      <c r="U387" s="31" t="s">
        <v>1138</v>
      </c>
      <c r="V387" s="31" t="s">
        <v>1139</v>
      </c>
      <c r="W387" s="31"/>
      <c r="X387" s="31"/>
      <c r="Y387" s="31"/>
      <c r="Z387" s="31"/>
      <c r="AA387" s="31"/>
      <c r="AB387" s="31"/>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1"/>
      <c r="BL387" s="31"/>
      <c r="BM387" s="31"/>
      <c r="BN387" s="31"/>
      <c r="BO387" s="31"/>
      <c r="BP387" s="31"/>
      <c r="BQ387" s="31"/>
      <c r="BR387" s="31"/>
      <c r="BS387" s="31"/>
      <c r="BT387" s="31"/>
      <c r="BU387" s="31"/>
      <c r="BV387" s="31"/>
      <c r="BW387" s="31"/>
    </row>
    <row r="388" spans="6:75">
      <c r="F388" s="118">
        <v>45358.433692129627</v>
      </c>
      <c r="G388" s="64">
        <v>6</v>
      </c>
      <c r="H388" s="64">
        <f t="shared" si="6"/>
        <v>6</v>
      </c>
      <c r="I388" s="31" t="s">
        <v>92</v>
      </c>
      <c r="J388" s="31" t="s">
        <v>1076</v>
      </c>
      <c r="K388" s="119">
        <v>45343</v>
      </c>
      <c r="L388" s="31" t="s">
        <v>20</v>
      </c>
      <c r="O388" s="31">
        <v>4</v>
      </c>
      <c r="P388" s="31">
        <v>4</v>
      </c>
      <c r="Q388" s="31">
        <v>4</v>
      </c>
      <c r="R388" s="31">
        <v>4</v>
      </c>
      <c r="S388" s="31">
        <v>4</v>
      </c>
      <c r="T388" s="31">
        <v>4</v>
      </c>
      <c r="U388" s="31" t="s">
        <v>1140</v>
      </c>
      <c r="V388" s="31" t="s">
        <v>1141</v>
      </c>
      <c r="W388" s="31"/>
      <c r="X388" s="31"/>
      <c r="Y388" s="31"/>
      <c r="Z388" s="31"/>
      <c r="AA388" s="31"/>
      <c r="AB388" s="31"/>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1"/>
      <c r="BL388" s="31"/>
      <c r="BM388" s="31"/>
      <c r="BN388" s="31"/>
      <c r="BO388" s="31"/>
      <c r="BP388" s="31"/>
      <c r="BQ388" s="31"/>
      <c r="BR388" s="31"/>
      <c r="BS388" s="31"/>
      <c r="BT388" s="31"/>
      <c r="BU388" s="31"/>
      <c r="BV388" s="31"/>
      <c r="BW388" s="31"/>
    </row>
    <row r="389" spans="6:75">
      <c r="F389" s="118">
        <v>45358.421643518515</v>
      </c>
      <c r="G389" s="64">
        <v>6</v>
      </c>
      <c r="H389" s="64">
        <f t="shared" si="6"/>
        <v>6</v>
      </c>
      <c r="I389" s="31" t="s">
        <v>92</v>
      </c>
      <c r="J389" s="31" t="s">
        <v>208</v>
      </c>
      <c r="K389" s="119">
        <v>45343</v>
      </c>
      <c r="L389" s="31" t="s">
        <v>20</v>
      </c>
      <c r="O389" s="31">
        <v>4</v>
      </c>
      <c r="P389" s="31">
        <v>4</v>
      </c>
      <c r="Q389" s="31">
        <v>5</v>
      </c>
      <c r="R389" s="31">
        <v>4</v>
      </c>
      <c r="S389" s="31">
        <v>5</v>
      </c>
      <c r="T389" s="31">
        <v>5</v>
      </c>
      <c r="U389" s="31" t="s">
        <v>1142</v>
      </c>
      <c r="V389" s="31"/>
      <c r="W389" s="31"/>
      <c r="X389" s="31"/>
      <c r="Y389" s="31"/>
      <c r="Z389" s="31"/>
      <c r="AA389" s="31"/>
      <c r="AB389" s="31"/>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1"/>
      <c r="BL389" s="31"/>
      <c r="BM389" s="31"/>
      <c r="BN389" s="31"/>
      <c r="BO389" s="31"/>
      <c r="BP389" s="31"/>
      <c r="BQ389" s="31"/>
      <c r="BR389" s="31"/>
      <c r="BS389" s="31"/>
      <c r="BT389" s="31"/>
      <c r="BU389" s="31"/>
      <c r="BV389" s="31"/>
      <c r="BW389" s="31"/>
    </row>
    <row r="390" spans="6:75">
      <c r="F390" s="118">
        <v>45358.418495370373</v>
      </c>
      <c r="G390" s="64">
        <v>6</v>
      </c>
      <c r="H390" s="64">
        <f t="shared" si="6"/>
        <v>6</v>
      </c>
      <c r="I390" s="31" t="s">
        <v>92</v>
      </c>
      <c r="J390" s="31" t="s">
        <v>227</v>
      </c>
      <c r="K390" s="119">
        <v>45343</v>
      </c>
      <c r="L390" s="31" t="s">
        <v>20</v>
      </c>
      <c r="O390" s="31">
        <v>5</v>
      </c>
      <c r="P390" s="31">
        <v>4</v>
      </c>
      <c r="Q390" s="31">
        <v>5</v>
      </c>
      <c r="R390" s="31">
        <v>4</v>
      </c>
      <c r="S390" s="31">
        <v>4</v>
      </c>
      <c r="T390" s="31">
        <v>4</v>
      </c>
      <c r="U390" s="31" t="s">
        <v>1143</v>
      </c>
      <c r="V390" s="31" t="s">
        <v>1144</v>
      </c>
      <c r="W390" s="31"/>
      <c r="X390" s="31"/>
      <c r="Y390" s="31"/>
      <c r="Z390" s="31"/>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1"/>
      <c r="BL390" s="31"/>
      <c r="BM390" s="31"/>
      <c r="BN390" s="31"/>
      <c r="BO390" s="31"/>
      <c r="BP390" s="31"/>
      <c r="BQ390" s="31"/>
      <c r="BR390" s="31"/>
      <c r="BS390" s="31"/>
      <c r="BT390" s="31"/>
      <c r="BU390" s="31"/>
      <c r="BV390" s="31"/>
      <c r="BW390" s="31"/>
    </row>
    <row r="391" spans="6:75">
      <c r="F391" s="118">
        <v>45358.417719907404</v>
      </c>
      <c r="G391" s="64">
        <v>6</v>
      </c>
      <c r="H391" s="64">
        <f t="shared" si="6"/>
        <v>6</v>
      </c>
      <c r="I391" s="31" t="s">
        <v>92</v>
      </c>
      <c r="J391" s="31" t="s">
        <v>238</v>
      </c>
      <c r="K391" s="119">
        <v>45343</v>
      </c>
      <c r="L391" s="31" t="s">
        <v>20</v>
      </c>
      <c r="O391" s="31">
        <v>5</v>
      </c>
      <c r="P391" s="31">
        <v>4</v>
      </c>
      <c r="Q391" s="31">
        <v>4</v>
      </c>
      <c r="R391" s="31">
        <v>4</v>
      </c>
      <c r="S391" s="31">
        <v>4</v>
      </c>
      <c r="T391" s="31">
        <v>4</v>
      </c>
      <c r="U391" s="31"/>
      <c r="V391" s="31"/>
      <c r="W391" s="31"/>
      <c r="X391" s="31"/>
      <c r="Y391" s="31"/>
      <c r="Z391" s="31"/>
      <c r="AA391" s="31"/>
      <c r="AB391" s="31"/>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1"/>
      <c r="BL391" s="31"/>
      <c r="BM391" s="31"/>
      <c r="BN391" s="31"/>
      <c r="BO391" s="31"/>
      <c r="BP391" s="31"/>
      <c r="BQ391" s="31"/>
      <c r="BR391" s="31"/>
      <c r="BS391" s="31"/>
      <c r="BT391" s="31"/>
      <c r="BU391" s="31"/>
      <c r="BV391" s="31"/>
      <c r="BW391" s="31"/>
    </row>
    <row r="392" spans="6:75">
      <c r="F392" s="118">
        <v>45322.569918981484</v>
      </c>
      <c r="G392" s="64">
        <v>6</v>
      </c>
      <c r="H392" s="64">
        <f t="shared" si="6"/>
        <v>6</v>
      </c>
      <c r="I392" s="31" t="s">
        <v>92</v>
      </c>
      <c r="J392" s="31" t="s">
        <v>231</v>
      </c>
      <c r="K392" s="119">
        <v>45309</v>
      </c>
      <c r="L392" s="31" t="s">
        <v>32</v>
      </c>
      <c r="O392" s="31">
        <v>5</v>
      </c>
      <c r="P392" s="31">
        <v>4</v>
      </c>
      <c r="Q392" s="31">
        <v>5</v>
      </c>
      <c r="R392" s="31">
        <v>4</v>
      </c>
      <c r="S392" s="31">
        <v>5</v>
      </c>
      <c r="T392" s="31">
        <v>4</v>
      </c>
      <c r="U392" s="31" t="s">
        <v>1145</v>
      </c>
      <c r="V392" s="31" t="s">
        <v>1146</v>
      </c>
      <c r="W392" s="31"/>
      <c r="X392" s="31"/>
      <c r="Y392" s="31"/>
      <c r="Z392" s="31"/>
      <c r="AA392" s="31"/>
      <c r="AB392" s="31"/>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1"/>
      <c r="BL392" s="31"/>
      <c r="BM392" s="31"/>
      <c r="BN392" s="31"/>
      <c r="BO392" s="31"/>
      <c r="BP392" s="31"/>
      <c r="BQ392" s="31"/>
      <c r="BR392" s="31"/>
      <c r="BS392" s="31"/>
      <c r="BT392" s="31"/>
      <c r="BU392" s="31"/>
      <c r="BV392" s="31"/>
      <c r="BW392" s="31"/>
    </row>
    <row r="393" spans="6:75">
      <c r="F393" s="118">
        <v>45322.568611111114</v>
      </c>
      <c r="G393" s="64">
        <v>6</v>
      </c>
      <c r="H393" s="64">
        <f t="shared" si="6"/>
        <v>6</v>
      </c>
      <c r="I393" s="31" t="s">
        <v>92</v>
      </c>
      <c r="J393" s="31" t="s">
        <v>231</v>
      </c>
      <c r="K393" s="119">
        <v>45309</v>
      </c>
      <c r="L393" s="31" t="s">
        <v>32</v>
      </c>
      <c r="O393" s="31">
        <v>5</v>
      </c>
      <c r="P393" s="31">
        <v>5</v>
      </c>
      <c r="Q393" s="31">
        <v>5</v>
      </c>
      <c r="R393" s="31">
        <v>5</v>
      </c>
      <c r="S393" s="31">
        <v>5</v>
      </c>
      <c r="T393" s="31">
        <v>5</v>
      </c>
      <c r="U393" s="31" t="s">
        <v>1147</v>
      </c>
      <c r="V393" s="31" t="s">
        <v>334</v>
      </c>
      <c r="W393" s="31"/>
      <c r="X393" s="31"/>
      <c r="Y393" s="31"/>
      <c r="Z393" s="31"/>
      <c r="AA393" s="31"/>
      <c r="AB393" s="31"/>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1"/>
      <c r="BL393" s="31"/>
      <c r="BM393" s="31"/>
      <c r="BN393" s="31"/>
      <c r="BO393" s="31"/>
      <c r="BP393" s="31"/>
      <c r="BQ393" s="31"/>
      <c r="BR393" s="31"/>
      <c r="BS393" s="31"/>
      <c r="BT393" s="31"/>
      <c r="BU393" s="31"/>
      <c r="BV393" s="31"/>
      <c r="BW393" s="31"/>
    </row>
    <row r="394" spans="6:75">
      <c r="F394" s="118">
        <v>45322.568379629629</v>
      </c>
      <c r="G394" s="64">
        <v>6</v>
      </c>
      <c r="H394" s="64">
        <f t="shared" si="6"/>
        <v>5</v>
      </c>
      <c r="I394" s="31" t="s">
        <v>92</v>
      </c>
      <c r="J394" s="31" t="s">
        <v>1076</v>
      </c>
      <c r="K394" s="119">
        <v>45309</v>
      </c>
      <c r="L394" s="31" t="s">
        <v>32</v>
      </c>
      <c r="O394" s="31">
        <v>5</v>
      </c>
      <c r="P394" s="31">
        <v>3</v>
      </c>
      <c r="Q394" s="31">
        <v>4</v>
      </c>
      <c r="R394" s="31">
        <v>4</v>
      </c>
      <c r="S394" s="31">
        <v>4</v>
      </c>
      <c r="T394" s="31">
        <v>4</v>
      </c>
      <c r="U394" s="31" t="s">
        <v>1148</v>
      </c>
      <c r="V394" s="31" t="s">
        <v>1149</v>
      </c>
      <c r="W394" s="31"/>
      <c r="X394" s="31"/>
      <c r="Y394" s="31"/>
      <c r="Z394" s="31"/>
      <c r="AA394" s="31"/>
      <c r="AB394" s="31"/>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1"/>
      <c r="BL394" s="31"/>
      <c r="BM394" s="31"/>
      <c r="BN394" s="31"/>
      <c r="BO394" s="31"/>
      <c r="BP394" s="31"/>
      <c r="BQ394" s="31"/>
      <c r="BR394" s="31"/>
      <c r="BS394" s="31"/>
      <c r="BT394" s="31"/>
      <c r="BU394" s="31"/>
      <c r="BV394" s="31"/>
      <c r="BW394" s="31"/>
    </row>
    <row r="395" spans="6:75">
      <c r="F395" s="118">
        <v>45322.56790509259</v>
      </c>
      <c r="G395" s="64">
        <v>6</v>
      </c>
      <c r="H395" s="64">
        <f t="shared" si="6"/>
        <v>6</v>
      </c>
      <c r="I395" s="31" t="s">
        <v>92</v>
      </c>
      <c r="J395" s="31" t="s">
        <v>1076</v>
      </c>
      <c r="K395" s="119">
        <v>45322</v>
      </c>
      <c r="L395" s="31" t="s">
        <v>32</v>
      </c>
      <c r="O395" s="31">
        <v>4</v>
      </c>
      <c r="P395" s="31">
        <v>4</v>
      </c>
      <c r="Q395" s="31">
        <v>5</v>
      </c>
      <c r="R395" s="31">
        <v>4</v>
      </c>
      <c r="S395" s="31">
        <v>4</v>
      </c>
      <c r="T395" s="31">
        <v>4</v>
      </c>
      <c r="U395" s="31" t="s">
        <v>1150</v>
      </c>
      <c r="V395" s="31" t="s">
        <v>1151</v>
      </c>
      <c r="W395" s="31"/>
      <c r="X395" s="31"/>
      <c r="Y395" s="31"/>
      <c r="Z395" s="31"/>
      <c r="AA395" s="31"/>
      <c r="AB395" s="31"/>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1"/>
      <c r="BL395" s="31"/>
      <c r="BM395" s="31"/>
      <c r="BN395" s="31"/>
      <c r="BO395" s="31"/>
      <c r="BP395" s="31"/>
      <c r="BQ395" s="31"/>
      <c r="BR395" s="31"/>
      <c r="BS395" s="31"/>
      <c r="BT395" s="31"/>
      <c r="BU395" s="31"/>
      <c r="BV395" s="31"/>
      <c r="BW395" s="31"/>
    </row>
    <row r="396" spans="6:75">
      <c r="F396" s="118">
        <v>45322.567152777781</v>
      </c>
      <c r="G396" s="64">
        <v>6</v>
      </c>
      <c r="H396" s="64">
        <f t="shared" si="6"/>
        <v>5</v>
      </c>
      <c r="I396" s="31" t="s">
        <v>92</v>
      </c>
      <c r="J396" s="31" t="s">
        <v>1076</v>
      </c>
      <c r="K396" s="119">
        <v>45309</v>
      </c>
      <c r="L396" s="31" t="s">
        <v>32</v>
      </c>
      <c r="O396" s="31">
        <v>4</v>
      </c>
      <c r="P396" s="31">
        <v>3</v>
      </c>
      <c r="Q396" s="31">
        <v>4</v>
      </c>
      <c r="R396" s="31">
        <v>4</v>
      </c>
      <c r="S396" s="31">
        <v>4</v>
      </c>
      <c r="T396" s="31">
        <v>4</v>
      </c>
      <c r="U396" s="31" t="s">
        <v>1152</v>
      </c>
      <c r="V396" s="31" t="s">
        <v>1153</v>
      </c>
      <c r="W396" s="31"/>
      <c r="X396" s="31"/>
      <c r="Y396" s="31"/>
      <c r="Z396" s="31"/>
      <c r="AA396" s="31"/>
      <c r="AB396" s="31"/>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c r="AY396" s="31"/>
      <c r="AZ396" s="31"/>
      <c r="BA396" s="31"/>
      <c r="BB396" s="31"/>
      <c r="BC396" s="31"/>
      <c r="BD396" s="31"/>
      <c r="BE396" s="31"/>
      <c r="BF396" s="31"/>
      <c r="BG396" s="31"/>
      <c r="BH396" s="31"/>
      <c r="BI396" s="31"/>
      <c r="BJ396" s="31"/>
      <c r="BK396" s="31"/>
      <c r="BL396" s="31"/>
      <c r="BM396" s="31"/>
      <c r="BN396" s="31"/>
      <c r="BO396" s="31"/>
      <c r="BP396" s="31"/>
      <c r="BQ396" s="31"/>
      <c r="BR396" s="31"/>
      <c r="BS396" s="31"/>
      <c r="BT396" s="31"/>
      <c r="BU396" s="31"/>
      <c r="BV396" s="31"/>
      <c r="BW396" s="31"/>
    </row>
    <row r="397" spans="6:75" ht="30.75">
      <c r="F397" s="118">
        <v>45322.566608796296</v>
      </c>
      <c r="G397" s="64">
        <v>6</v>
      </c>
      <c r="H397" s="64">
        <f t="shared" si="6"/>
        <v>6</v>
      </c>
      <c r="I397" s="31" t="s">
        <v>92</v>
      </c>
      <c r="J397" s="31" t="s">
        <v>231</v>
      </c>
      <c r="K397" s="119">
        <v>45309</v>
      </c>
      <c r="L397" s="31" t="s">
        <v>32</v>
      </c>
      <c r="O397" s="31">
        <v>5</v>
      </c>
      <c r="P397" s="31">
        <v>5</v>
      </c>
      <c r="Q397" s="31">
        <v>5</v>
      </c>
      <c r="R397" s="31">
        <v>5</v>
      </c>
      <c r="S397" s="31">
        <v>5</v>
      </c>
      <c r="T397" s="31">
        <v>5</v>
      </c>
      <c r="U397" s="31" t="s">
        <v>1154</v>
      </c>
      <c r="V397" s="31" t="s">
        <v>1155</v>
      </c>
      <c r="W397" s="31"/>
      <c r="X397" s="31"/>
      <c r="Y397" s="31"/>
      <c r="Z397" s="31"/>
      <c r="AA397" s="31"/>
      <c r="AB397" s="31"/>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c r="AY397" s="31"/>
      <c r="AZ397" s="31"/>
      <c r="BA397" s="31"/>
      <c r="BB397" s="31"/>
      <c r="BC397" s="31"/>
      <c r="BD397" s="31"/>
      <c r="BE397" s="31"/>
      <c r="BF397" s="31"/>
      <c r="BG397" s="31"/>
      <c r="BH397" s="31"/>
      <c r="BI397" s="31"/>
      <c r="BJ397" s="31"/>
      <c r="BK397" s="31"/>
      <c r="BL397" s="31"/>
      <c r="BM397" s="31"/>
      <c r="BN397" s="31"/>
      <c r="BO397" s="31"/>
      <c r="BP397" s="31"/>
      <c r="BQ397" s="31"/>
      <c r="BR397" s="31"/>
      <c r="BS397" s="31"/>
      <c r="BT397" s="31"/>
      <c r="BU397" s="31"/>
      <c r="BV397" s="31"/>
      <c r="BW397" s="31"/>
    </row>
    <row r="398" spans="6:75">
      <c r="F398" s="118">
        <v>45322.566493055558</v>
      </c>
      <c r="G398" s="64">
        <v>6</v>
      </c>
      <c r="H398" s="64">
        <f t="shared" si="6"/>
        <v>6</v>
      </c>
      <c r="I398" s="31" t="s">
        <v>92</v>
      </c>
      <c r="J398" s="31" t="s">
        <v>227</v>
      </c>
      <c r="K398" s="119">
        <v>45309</v>
      </c>
      <c r="L398" s="31" t="s">
        <v>32</v>
      </c>
      <c r="O398" s="31">
        <v>5</v>
      </c>
      <c r="P398" s="31">
        <v>5</v>
      </c>
      <c r="Q398" s="31">
        <v>5</v>
      </c>
      <c r="R398" s="31">
        <v>5</v>
      </c>
      <c r="S398" s="31">
        <v>5</v>
      </c>
      <c r="T398" s="31">
        <v>5</v>
      </c>
      <c r="U398" s="31" t="s">
        <v>1156</v>
      </c>
      <c r="V398" s="31" t="s">
        <v>1157</v>
      </c>
      <c r="W398" s="31"/>
      <c r="X398" s="31"/>
      <c r="Y398" s="31"/>
      <c r="Z398" s="31"/>
      <c r="AA398" s="31"/>
      <c r="AB398" s="31"/>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c r="AY398" s="31"/>
      <c r="AZ398" s="31"/>
      <c r="BA398" s="31"/>
      <c r="BB398" s="31"/>
      <c r="BC398" s="31"/>
      <c r="BD398" s="31"/>
      <c r="BE398" s="31"/>
      <c r="BF398" s="31"/>
      <c r="BG398" s="31"/>
      <c r="BH398" s="31"/>
      <c r="BI398" s="31"/>
      <c r="BJ398" s="31"/>
      <c r="BK398" s="31"/>
      <c r="BL398" s="31"/>
      <c r="BM398" s="31"/>
      <c r="BN398" s="31"/>
      <c r="BO398" s="31"/>
      <c r="BP398" s="31"/>
      <c r="BQ398" s="31"/>
      <c r="BR398" s="31"/>
      <c r="BS398" s="31"/>
      <c r="BT398" s="31"/>
      <c r="BU398" s="31"/>
      <c r="BV398" s="31"/>
      <c r="BW398" s="31"/>
    </row>
    <row r="399" spans="6:75" ht="30.75">
      <c r="F399" s="118">
        <v>45322.566180555557</v>
      </c>
      <c r="G399" s="64">
        <v>6</v>
      </c>
      <c r="H399" s="64">
        <f t="shared" si="6"/>
        <v>6</v>
      </c>
      <c r="I399" s="31" t="s">
        <v>92</v>
      </c>
      <c r="J399" s="31" t="s">
        <v>1076</v>
      </c>
      <c r="K399" s="119">
        <v>45309</v>
      </c>
      <c r="L399" s="31" t="s">
        <v>32</v>
      </c>
      <c r="O399" s="31">
        <v>4</v>
      </c>
      <c r="P399" s="31">
        <v>4</v>
      </c>
      <c r="Q399" s="31">
        <v>4</v>
      </c>
      <c r="R399" s="31">
        <v>4</v>
      </c>
      <c r="S399" s="31">
        <v>4</v>
      </c>
      <c r="T399" s="31">
        <v>4</v>
      </c>
      <c r="U399" s="31" t="s">
        <v>1158</v>
      </c>
      <c r="V399" s="31" t="s">
        <v>1159</v>
      </c>
      <c r="W399" s="31"/>
      <c r="X399" s="31"/>
      <c r="Y399" s="31"/>
      <c r="Z399" s="31"/>
      <c r="AA399" s="31"/>
      <c r="AB399" s="31"/>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c r="AY399" s="31"/>
      <c r="AZ399" s="31"/>
      <c r="BA399" s="31"/>
      <c r="BB399" s="31"/>
      <c r="BC399" s="31"/>
      <c r="BD399" s="31"/>
      <c r="BE399" s="31"/>
      <c r="BF399" s="31"/>
      <c r="BG399" s="31"/>
      <c r="BH399" s="31"/>
      <c r="BI399" s="31"/>
      <c r="BJ399" s="31"/>
      <c r="BK399" s="31"/>
      <c r="BL399" s="31"/>
      <c r="BM399" s="31"/>
      <c r="BN399" s="31"/>
      <c r="BO399" s="31"/>
      <c r="BP399" s="31"/>
      <c r="BQ399" s="31"/>
      <c r="BR399" s="31"/>
      <c r="BS399" s="31"/>
      <c r="BT399" s="31"/>
      <c r="BU399" s="31"/>
      <c r="BV399" s="31"/>
      <c r="BW399" s="31"/>
    </row>
    <row r="400" spans="6:75">
      <c r="F400" s="118">
        <v>45322.565150462964</v>
      </c>
      <c r="G400" s="64">
        <v>6</v>
      </c>
      <c r="H400" s="64">
        <f t="shared" si="6"/>
        <v>6</v>
      </c>
      <c r="I400" s="31" t="s">
        <v>92</v>
      </c>
      <c r="J400" s="31" t="s">
        <v>1076</v>
      </c>
      <c r="K400" s="119">
        <v>45309</v>
      </c>
      <c r="L400" s="31" t="s">
        <v>32</v>
      </c>
      <c r="O400" s="31">
        <v>4</v>
      </c>
      <c r="P400" s="31">
        <v>4</v>
      </c>
      <c r="Q400" s="31">
        <v>5</v>
      </c>
      <c r="R400" s="31">
        <v>4</v>
      </c>
      <c r="S400" s="31">
        <v>4</v>
      </c>
      <c r="T400" s="31">
        <v>4</v>
      </c>
      <c r="U400" s="31"/>
      <c r="V400" s="31" t="s">
        <v>1160</v>
      </c>
      <c r="W400" s="31"/>
      <c r="X400" s="31"/>
      <c r="Y400" s="31"/>
      <c r="Z400" s="31"/>
      <c r="AA400" s="31"/>
      <c r="AB400" s="31"/>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c r="AY400" s="31"/>
      <c r="AZ400" s="31"/>
      <c r="BA400" s="31"/>
      <c r="BB400" s="31"/>
      <c r="BC400" s="31"/>
      <c r="BD400" s="31"/>
      <c r="BE400" s="31"/>
      <c r="BF400" s="31"/>
      <c r="BG400" s="31"/>
      <c r="BH400" s="31"/>
      <c r="BI400" s="31"/>
      <c r="BJ400" s="31"/>
      <c r="BK400" s="31"/>
      <c r="BL400" s="31"/>
      <c r="BM400" s="31"/>
      <c r="BN400" s="31"/>
      <c r="BO400" s="31"/>
      <c r="BP400" s="31"/>
      <c r="BQ400" s="31"/>
      <c r="BR400" s="31"/>
      <c r="BS400" s="31"/>
      <c r="BT400" s="31"/>
      <c r="BU400" s="31"/>
      <c r="BV400" s="31"/>
      <c r="BW400" s="31"/>
    </row>
    <row r="401" spans="6:75">
      <c r="F401" s="118">
        <v>45322.565011574072</v>
      </c>
      <c r="G401" s="64">
        <v>6</v>
      </c>
      <c r="H401" s="64">
        <f t="shared" si="6"/>
        <v>4</v>
      </c>
      <c r="I401" s="31" t="s">
        <v>92</v>
      </c>
      <c r="J401" s="31" t="s">
        <v>231</v>
      </c>
      <c r="K401" s="119">
        <v>45309</v>
      </c>
      <c r="L401" s="31" t="s">
        <v>32</v>
      </c>
      <c r="O401" s="31">
        <v>3</v>
      </c>
      <c r="P401" s="31">
        <v>4</v>
      </c>
      <c r="Q401" s="31">
        <v>3</v>
      </c>
      <c r="R401" s="31">
        <v>4</v>
      </c>
      <c r="S401" s="31">
        <v>5</v>
      </c>
      <c r="T401" s="31">
        <v>4</v>
      </c>
      <c r="U401" s="31" t="s">
        <v>1161</v>
      </c>
      <c r="V401" s="31" t="s">
        <v>1162</v>
      </c>
      <c r="W401" s="31"/>
      <c r="X401" s="31"/>
      <c r="Y401" s="31"/>
      <c r="Z401" s="31"/>
      <c r="AA401" s="31"/>
      <c r="AB401" s="31"/>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c r="AY401" s="31"/>
      <c r="AZ401" s="31"/>
      <c r="BA401" s="31"/>
      <c r="BB401" s="31"/>
      <c r="BC401" s="31"/>
      <c r="BD401" s="31"/>
      <c r="BE401" s="31"/>
      <c r="BF401" s="31"/>
      <c r="BG401" s="31"/>
      <c r="BH401" s="31"/>
      <c r="BI401" s="31"/>
      <c r="BJ401" s="31"/>
      <c r="BK401" s="31"/>
      <c r="BL401" s="31"/>
      <c r="BM401" s="31"/>
      <c r="BN401" s="31"/>
      <c r="BO401" s="31"/>
      <c r="BP401" s="31"/>
      <c r="BQ401" s="31"/>
      <c r="BR401" s="31"/>
      <c r="BS401" s="31"/>
      <c r="BT401" s="31"/>
      <c r="BU401" s="31"/>
      <c r="BV401" s="31"/>
      <c r="BW401" s="31"/>
    </row>
    <row r="402" spans="6:75">
      <c r="F402" s="118">
        <v>45322.564571759256</v>
      </c>
      <c r="G402" s="64">
        <v>6</v>
      </c>
      <c r="H402" s="64">
        <f t="shared" si="6"/>
        <v>6</v>
      </c>
      <c r="I402" s="31" t="s">
        <v>92</v>
      </c>
      <c r="J402" s="31" t="s">
        <v>231</v>
      </c>
      <c r="K402" s="119">
        <v>45309</v>
      </c>
      <c r="L402" s="31" t="s">
        <v>32</v>
      </c>
      <c r="O402" s="31">
        <v>5</v>
      </c>
      <c r="P402" s="31">
        <v>4</v>
      </c>
      <c r="Q402" s="31">
        <v>5</v>
      </c>
      <c r="R402" s="31">
        <v>5</v>
      </c>
      <c r="S402" s="31">
        <v>5</v>
      </c>
      <c r="T402" s="31">
        <v>5</v>
      </c>
      <c r="U402" s="31" t="s">
        <v>1163</v>
      </c>
      <c r="V402" s="31" t="s">
        <v>1164</v>
      </c>
      <c r="W402" s="31"/>
      <c r="X402" s="31"/>
      <c r="Y402" s="31"/>
      <c r="Z402" s="31"/>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c r="AZ402" s="31"/>
      <c r="BA402" s="31"/>
      <c r="BB402" s="31"/>
      <c r="BC402" s="31"/>
      <c r="BD402" s="31"/>
      <c r="BE402" s="31"/>
      <c r="BF402" s="31"/>
      <c r="BG402" s="31"/>
      <c r="BH402" s="31"/>
      <c r="BI402" s="31"/>
      <c r="BJ402" s="31"/>
      <c r="BK402" s="31"/>
      <c r="BL402" s="31"/>
      <c r="BM402" s="31"/>
      <c r="BN402" s="31"/>
      <c r="BO402" s="31"/>
      <c r="BP402" s="31"/>
      <c r="BQ402" s="31"/>
      <c r="BR402" s="31"/>
      <c r="BS402" s="31"/>
      <c r="BT402" s="31"/>
      <c r="BU402" s="31"/>
      <c r="BV402" s="31"/>
      <c r="BW402" s="31"/>
    </row>
    <row r="403" spans="6:75">
      <c r="F403" s="118">
        <v>45322.564432870371</v>
      </c>
      <c r="G403" s="64">
        <v>6</v>
      </c>
      <c r="H403" s="64">
        <f t="shared" si="6"/>
        <v>6</v>
      </c>
      <c r="I403" s="31" t="s">
        <v>92</v>
      </c>
      <c r="J403" s="31" t="s">
        <v>231</v>
      </c>
      <c r="K403" s="119">
        <v>45309</v>
      </c>
      <c r="L403" s="31" t="s">
        <v>32</v>
      </c>
      <c r="O403" s="31">
        <v>5</v>
      </c>
      <c r="P403" s="31">
        <v>5</v>
      </c>
      <c r="Q403" s="31">
        <v>5</v>
      </c>
      <c r="R403" s="31">
        <v>5</v>
      </c>
      <c r="S403" s="31">
        <v>5</v>
      </c>
      <c r="T403" s="31">
        <v>5</v>
      </c>
      <c r="U403" s="31" t="s">
        <v>1165</v>
      </c>
      <c r="V403" s="31"/>
      <c r="W403" s="31"/>
      <c r="X403" s="31"/>
      <c r="Y403" s="31"/>
      <c r="Z403" s="31"/>
      <c r="AA403" s="31"/>
      <c r="AB403" s="31"/>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c r="AZ403" s="31"/>
      <c r="BA403" s="31"/>
      <c r="BB403" s="31"/>
      <c r="BC403" s="31"/>
      <c r="BD403" s="31"/>
      <c r="BE403" s="31"/>
      <c r="BF403" s="31"/>
      <c r="BG403" s="31"/>
      <c r="BH403" s="31"/>
      <c r="BI403" s="31"/>
      <c r="BJ403" s="31"/>
      <c r="BK403" s="31"/>
      <c r="BL403" s="31"/>
      <c r="BM403" s="31"/>
      <c r="BN403" s="31"/>
      <c r="BO403" s="31"/>
      <c r="BP403" s="31"/>
      <c r="BQ403" s="31"/>
      <c r="BR403" s="31"/>
      <c r="BS403" s="31"/>
      <c r="BT403" s="31"/>
      <c r="BU403" s="31"/>
      <c r="BV403" s="31"/>
      <c r="BW403" s="31"/>
    </row>
    <row r="404" spans="6:75">
      <c r="F404" s="118">
        <v>45322.564398148148</v>
      </c>
      <c r="G404" s="64">
        <v>6</v>
      </c>
      <c r="H404" s="64">
        <f t="shared" si="6"/>
        <v>6</v>
      </c>
      <c r="I404" s="31" t="s">
        <v>92</v>
      </c>
      <c r="J404" s="31" t="s">
        <v>227</v>
      </c>
      <c r="K404" s="119">
        <v>45309</v>
      </c>
      <c r="L404" s="31" t="s">
        <v>32</v>
      </c>
      <c r="O404" s="31">
        <v>4</v>
      </c>
      <c r="P404" s="31">
        <v>4</v>
      </c>
      <c r="Q404" s="31">
        <v>4</v>
      </c>
      <c r="R404" s="31">
        <v>4</v>
      </c>
      <c r="S404" s="31">
        <v>4</v>
      </c>
      <c r="T404" s="31">
        <v>4</v>
      </c>
      <c r="U404" s="31" t="s">
        <v>1166</v>
      </c>
      <c r="V404" s="31" t="s">
        <v>1167</v>
      </c>
      <c r="W404" s="31"/>
      <c r="X404" s="31"/>
      <c r="Y404" s="31"/>
      <c r="Z404" s="31"/>
      <c r="AA404" s="31"/>
      <c r="AB404" s="31"/>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c r="AZ404" s="31"/>
      <c r="BA404" s="31"/>
      <c r="BB404" s="31"/>
      <c r="BC404" s="31"/>
      <c r="BD404" s="31"/>
      <c r="BE404" s="31"/>
      <c r="BF404" s="31"/>
      <c r="BG404" s="31"/>
      <c r="BH404" s="31"/>
      <c r="BI404" s="31"/>
      <c r="BJ404" s="31"/>
      <c r="BK404" s="31"/>
      <c r="BL404" s="31"/>
      <c r="BM404" s="31"/>
      <c r="BN404" s="31"/>
      <c r="BO404" s="31"/>
      <c r="BP404" s="31"/>
      <c r="BQ404" s="31"/>
      <c r="BR404" s="31"/>
      <c r="BS404" s="31"/>
      <c r="BT404" s="31"/>
      <c r="BU404" s="31"/>
      <c r="BV404" s="31"/>
      <c r="BW404" s="31"/>
    </row>
    <row r="405" spans="6:75">
      <c r="F405" s="118">
        <v>45322.563599537039</v>
      </c>
      <c r="G405" s="64">
        <v>6</v>
      </c>
      <c r="H405" s="64">
        <f t="shared" si="6"/>
        <v>6</v>
      </c>
      <c r="I405" s="31" t="s">
        <v>92</v>
      </c>
      <c r="J405" s="31" t="s">
        <v>1076</v>
      </c>
      <c r="K405" s="119">
        <v>45309</v>
      </c>
      <c r="L405" s="31" t="s">
        <v>32</v>
      </c>
      <c r="O405" s="31">
        <v>4</v>
      </c>
      <c r="P405" s="31">
        <v>4</v>
      </c>
      <c r="Q405" s="31">
        <v>4</v>
      </c>
      <c r="R405" s="31">
        <v>4</v>
      </c>
      <c r="S405" s="31">
        <v>4</v>
      </c>
      <c r="T405" s="31">
        <v>4</v>
      </c>
      <c r="U405" s="31" t="s">
        <v>1168</v>
      </c>
      <c r="V405" s="31" t="s">
        <v>1169</v>
      </c>
      <c r="W405" s="31"/>
      <c r="X405" s="31"/>
      <c r="Y405" s="31"/>
      <c r="Z405" s="31"/>
      <c r="AA405" s="31"/>
      <c r="AB405" s="31"/>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c r="AZ405" s="31"/>
      <c r="BA405" s="31"/>
      <c r="BB405" s="31"/>
      <c r="BC405" s="31"/>
      <c r="BD405" s="31"/>
      <c r="BE405" s="31"/>
      <c r="BF405" s="31"/>
      <c r="BG405" s="31"/>
      <c r="BH405" s="31"/>
      <c r="BI405" s="31"/>
      <c r="BJ405" s="31"/>
      <c r="BK405" s="31"/>
      <c r="BL405" s="31"/>
      <c r="BM405" s="31"/>
      <c r="BN405" s="31"/>
      <c r="BO405" s="31"/>
      <c r="BP405" s="31"/>
      <c r="BQ405" s="31"/>
      <c r="BR405" s="31"/>
      <c r="BS405" s="31"/>
      <c r="BT405" s="31"/>
      <c r="BU405" s="31"/>
      <c r="BV405" s="31"/>
      <c r="BW405" s="31"/>
    </row>
    <row r="406" spans="6:75">
      <c r="F406" s="31"/>
      <c r="G406" s="31"/>
      <c r="H406" s="64">
        <f t="shared" si="6"/>
        <v>0</v>
      </c>
      <c r="I406" s="66"/>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c r="AZ406" s="31"/>
      <c r="BA406" s="31"/>
      <c r="BB406" s="31"/>
      <c r="BC406" s="31"/>
      <c r="BD406" s="31"/>
      <c r="BE406" s="31"/>
      <c r="BF406" s="31"/>
      <c r="BG406" s="31"/>
      <c r="BH406" s="31"/>
      <c r="BI406" s="31"/>
      <c r="BJ406" s="31"/>
      <c r="BK406" s="31"/>
      <c r="BL406" s="31"/>
      <c r="BM406" s="31"/>
      <c r="BN406" s="31"/>
      <c r="BO406" s="31"/>
      <c r="BP406" s="31"/>
      <c r="BQ406" s="31"/>
      <c r="BR406" s="31"/>
      <c r="BS406" s="31"/>
      <c r="BT406" s="31"/>
      <c r="BU406" s="31"/>
      <c r="BV406" s="31"/>
      <c r="BW406" s="31"/>
    </row>
    <row r="407" spans="6:75">
      <c r="F407" s="31"/>
      <c r="G407" s="31"/>
      <c r="H407" s="64">
        <f t="shared" si="6"/>
        <v>0</v>
      </c>
      <c r="I407" s="66"/>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c r="AZ407" s="31"/>
      <c r="BA407" s="31"/>
      <c r="BB407" s="31"/>
      <c r="BC407" s="31"/>
      <c r="BD407" s="31"/>
      <c r="BE407" s="31"/>
      <c r="BF407" s="31"/>
      <c r="BG407" s="31"/>
      <c r="BH407" s="31"/>
      <c r="BI407" s="31"/>
      <c r="BJ407" s="31"/>
      <c r="BK407" s="31"/>
      <c r="BL407" s="31"/>
      <c r="BM407" s="31"/>
      <c r="BN407" s="31"/>
      <c r="BO407" s="31"/>
      <c r="BP407" s="31"/>
      <c r="BQ407" s="31"/>
      <c r="BR407" s="31"/>
      <c r="BS407" s="31"/>
      <c r="BT407" s="31"/>
      <c r="BU407" s="31"/>
      <c r="BV407" s="31"/>
      <c r="BW407" s="31"/>
    </row>
    <row r="408" spans="6:75">
      <c r="F408" s="31"/>
      <c r="G408" s="31"/>
      <c r="H408" s="64">
        <f t="shared" si="6"/>
        <v>0</v>
      </c>
      <c r="I408" s="66"/>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c r="AZ408" s="31"/>
      <c r="BA408" s="31"/>
      <c r="BB408" s="31"/>
      <c r="BC408" s="31"/>
      <c r="BD408" s="31"/>
      <c r="BE408" s="31"/>
      <c r="BF408" s="31"/>
      <c r="BG408" s="31"/>
      <c r="BH408" s="31"/>
      <c r="BI408" s="31"/>
      <c r="BJ408" s="31"/>
      <c r="BK408" s="31"/>
      <c r="BL408" s="31"/>
      <c r="BM408" s="31"/>
      <c r="BN408" s="31"/>
      <c r="BO408" s="31"/>
      <c r="BP408" s="31"/>
      <c r="BQ408" s="31"/>
      <c r="BR408" s="31"/>
      <c r="BS408" s="31"/>
      <c r="BT408" s="31"/>
      <c r="BU408" s="31"/>
      <c r="BV408" s="31"/>
      <c r="BW408" s="31"/>
    </row>
    <row r="409" spans="6:75">
      <c r="F409" s="31"/>
      <c r="G409" s="31"/>
      <c r="H409" s="64">
        <f t="shared" si="6"/>
        <v>0</v>
      </c>
      <c r="I409" s="66"/>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c r="AZ409" s="31"/>
      <c r="BA409" s="31"/>
      <c r="BB409" s="31"/>
      <c r="BC409" s="31"/>
      <c r="BD409" s="31"/>
      <c r="BE409" s="31"/>
      <c r="BF409" s="31"/>
      <c r="BG409" s="31"/>
      <c r="BH409" s="31"/>
      <c r="BI409" s="31"/>
      <c r="BJ409" s="31"/>
      <c r="BK409" s="31"/>
      <c r="BL409" s="31"/>
      <c r="BM409" s="31"/>
      <c r="BN409" s="31"/>
      <c r="BO409" s="31"/>
      <c r="BP409" s="31"/>
      <c r="BQ409" s="31"/>
      <c r="BR409" s="31"/>
      <c r="BS409" s="31"/>
      <c r="BT409" s="31"/>
      <c r="BU409" s="31"/>
      <c r="BV409" s="31"/>
      <c r="BW409" s="31"/>
    </row>
    <row r="410" spans="6:75">
      <c r="F410" s="31"/>
      <c r="G410" s="31"/>
      <c r="H410" s="64">
        <f t="shared" si="6"/>
        <v>0</v>
      </c>
      <c r="I410" s="66"/>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c r="AZ410" s="31"/>
      <c r="BA410" s="31"/>
      <c r="BB410" s="31"/>
      <c r="BC410" s="31"/>
      <c r="BD410" s="31"/>
      <c r="BE410" s="31"/>
      <c r="BF410" s="31"/>
      <c r="BG410" s="31"/>
      <c r="BH410" s="31"/>
      <c r="BI410" s="31"/>
      <c r="BJ410" s="31"/>
      <c r="BK410" s="31"/>
      <c r="BL410" s="31"/>
      <c r="BM410" s="31"/>
      <c r="BN410" s="31"/>
      <c r="BO410" s="31"/>
      <c r="BP410" s="31"/>
      <c r="BQ410" s="31"/>
      <c r="BR410" s="31"/>
      <c r="BS410" s="31"/>
      <c r="BT410" s="31"/>
      <c r="BU410" s="31"/>
      <c r="BV410" s="31"/>
      <c r="BW410" s="31"/>
    </row>
    <row r="411" spans="6:75">
      <c r="F411" s="31"/>
      <c r="G411" s="31"/>
      <c r="H411" s="64">
        <f t="shared" si="6"/>
        <v>0</v>
      </c>
      <c r="I411" s="66"/>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1"/>
      <c r="BD411" s="31"/>
      <c r="BE411" s="31"/>
      <c r="BF411" s="31"/>
      <c r="BG411" s="31"/>
      <c r="BH411" s="31"/>
      <c r="BI411" s="31"/>
      <c r="BJ411" s="31"/>
      <c r="BK411" s="31"/>
      <c r="BL411" s="31"/>
      <c r="BM411" s="31"/>
      <c r="BN411" s="31"/>
      <c r="BO411" s="31"/>
      <c r="BP411" s="31"/>
      <c r="BQ411" s="31"/>
      <c r="BR411" s="31"/>
      <c r="BS411" s="31"/>
      <c r="BT411" s="31"/>
      <c r="BU411" s="31"/>
      <c r="BV411" s="31"/>
      <c r="BW411" s="31"/>
    </row>
    <row r="412" spans="6:75">
      <c r="F412" s="31"/>
      <c r="G412" s="31"/>
      <c r="H412" s="64">
        <f t="shared" si="6"/>
        <v>0</v>
      </c>
      <c r="I412" s="66"/>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1"/>
      <c r="BD412" s="31"/>
      <c r="BE412" s="31"/>
      <c r="BF412" s="31"/>
      <c r="BG412" s="31"/>
      <c r="BH412" s="31"/>
      <c r="BI412" s="31"/>
      <c r="BJ412" s="31"/>
      <c r="BK412" s="31"/>
      <c r="BL412" s="31"/>
      <c r="BM412" s="31"/>
      <c r="BN412" s="31"/>
      <c r="BO412" s="31"/>
      <c r="BP412" s="31"/>
      <c r="BQ412" s="31"/>
      <c r="BR412" s="31"/>
      <c r="BS412" s="31"/>
      <c r="BT412" s="31"/>
      <c r="BU412" s="31"/>
      <c r="BV412" s="31"/>
      <c r="BW412" s="31"/>
    </row>
    <row r="413" spans="6:75">
      <c r="F413" s="31"/>
      <c r="G413" s="31"/>
      <c r="H413" s="64">
        <f t="shared" si="6"/>
        <v>0</v>
      </c>
      <c r="I413" s="66"/>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1"/>
      <c r="BE413" s="31"/>
      <c r="BF413" s="31"/>
      <c r="BG413" s="31"/>
      <c r="BH413" s="31"/>
      <c r="BI413" s="31"/>
      <c r="BJ413" s="31"/>
      <c r="BK413" s="31"/>
      <c r="BL413" s="31"/>
      <c r="BM413" s="31"/>
      <c r="BN413" s="31"/>
      <c r="BO413" s="31"/>
      <c r="BP413" s="31"/>
      <c r="BQ413" s="31"/>
      <c r="BR413" s="31"/>
      <c r="BS413" s="31"/>
      <c r="BT413" s="31"/>
      <c r="BU413" s="31"/>
      <c r="BV413" s="31"/>
      <c r="BW413" s="31"/>
    </row>
    <row r="414" spans="6:75">
      <c r="F414" s="31"/>
      <c r="G414" s="31"/>
      <c r="H414" s="64">
        <f t="shared" si="6"/>
        <v>0</v>
      </c>
      <c r="I414" s="66"/>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1"/>
      <c r="BD414" s="31"/>
      <c r="BE414" s="31"/>
      <c r="BF414" s="31"/>
      <c r="BG414" s="31"/>
      <c r="BH414" s="31"/>
      <c r="BI414" s="31"/>
      <c r="BJ414" s="31"/>
      <c r="BK414" s="31"/>
      <c r="BL414" s="31"/>
      <c r="BM414" s="31"/>
      <c r="BN414" s="31"/>
      <c r="BO414" s="31"/>
      <c r="BP414" s="31"/>
      <c r="BQ414" s="31"/>
      <c r="BR414" s="31"/>
      <c r="BS414" s="31"/>
      <c r="BT414" s="31"/>
      <c r="BU414" s="31"/>
      <c r="BV414" s="31"/>
      <c r="BW414" s="31"/>
    </row>
    <row r="415" spans="6:75">
      <c r="F415" s="31"/>
      <c r="G415" s="31"/>
      <c r="H415" s="64">
        <f t="shared" si="6"/>
        <v>0</v>
      </c>
      <c r="I415" s="66"/>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c r="BC415" s="31"/>
      <c r="BD415" s="31"/>
      <c r="BE415" s="31"/>
      <c r="BF415" s="31"/>
      <c r="BG415" s="31"/>
      <c r="BH415" s="31"/>
      <c r="BI415" s="31"/>
      <c r="BJ415" s="31"/>
      <c r="BK415" s="31"/>
      <c r="BL415" s="31"/>
      <c r="BM415" s="31"/>
      <c r="BN415" s="31"/>
      <c r="BO415" s="31"/>
      <c r="BP415" s="31"/>
      <c r="BQ415" s="31"/>
      <c r="BR415" s="31"/>
      <c r="BS415" s="31"/>
      <c r="BT415" s="31"/>
      <c r="BU415" s="31"/>
      <c r="BV415" s="31"/>
      <c r="BW415" s="31"/>
    </row>
    <row r="416" spans="6:75">
      <c r="F416" s="31"/>
      <c r="G416" s="31"/>
      <c r="H416" s="64">
        <f t="shared" si="6"/>
        <v>0</v>
      </c>
      <c r="I416" s="66"/>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c r="AZ416" s="31"/>
      <c r="BA416" s="31"/>
      <c r="BB416" s="31"/>
      <c r="BC416" s="31"/>
      <c r="BD416" s="31"/>
      <c r="BE416" s="31"/>
      <c r="BF416" s="31"/>
      <c r="BG416" s="31"/>
      <c r="BH416" s="31"/>
      <c r="BI416" s="31"/>
      <c r="BJ416" s="31"/>
      <c r="BK416" s="31"/>
      <c r="BL416" s="31"/>
      <c r="BM416" s="31"/>
      <c r="BN416" s="31"/>
      <c r="BO416" s="31"/>
      <c r="BP416" s="31"/>
      <c r="BQ416" s="31"/>
      <c r="BR416" s="31"/>
      <c r="BS416" s="31"/>
      <c r="BT416" s="31"/>
      <c r="BU416" s="31"/>
      <c r="BV416" s="31"/>
      <c r="BW416" s="31"/>
    </row>
    <row r="417" spans="6:75">
      <c r="F417" s="31"/>
      <c r="G417" s="31"/>
      <c r="H417" s="64">
        <f t="shared" si="6"/>
        <v>0</v>
      </c>
      <c r="I417" s="66"/>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1"/>
      <c r="BD417" s="31"/>
      <c r="BE417" s="31"/>
      <c r="BF417" s="31"/>
      <c r="BG417" s="31"/>
      <c r="BH417" s="31"/>
      <c r="BI417" s="31"/>
      <c r="BJ417" s="31"/>
      <c r="BK417" s="31"/>
      <c r="BL417" s="31"/>
      <c r="BM417" s="31"/>
      <c r="BN417" s="31"/>
      <c r="BO417" s="31"/>
      <c r="BP417" s="31"/>
      <c r="BQ417" s="31"/>
      <c r="BR417" s="31"/>
      <c r="BS417" s="31"/>
      <c r="BT417" s="31"/>
      <c r="BU417" s="31"/>
      <c r="BV417" s="31"/>
      <c r="BW417" s="31"/>
    </row>
    <row r="418" spans="6:75">
      <c r="F418" s="31"/>
      <c r="G418" s="31"/>
      <c r="H418" s="64">
        <f t="shared" si="6"/>
        <v>0</v>
      </c>
      <c r="I418" s="66"/>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c r="AZ418" s="31"/>
      <c r="BA418" s="31"/>
      <c r="BB418" s="31"/>
      <c r="BC418" s="31"/>
      <c r="BD418" s="31"/>
      <c r="BE418" s="31"/>
      <c r="BF418" s="31"/>
      <c r="BG418" s="31"/>
      <c r="BH418" s="31"/>
      <c r="BI418" s="31"/>
      <c r="BJ418" s="31"/>
      <c r="BK418" s="31"/>
      <c r="BL418" s="31"/>
      <c r="BM418" s="31"/>
      <c r="BN418" s="31"/>
      <c r="BO418" s="31"/>
      <c r="BP418" s="31"/>
      <c r="BQ418" s="31"/>
      <c r="BR418" s="31"/>
      <c r="BS418" s="31"/>
      <c r="BT418" s="31"/>
      <c r="BU418" s="31"/>
      <c r="BV418" s="31"/>
      <c r="BW418" s="31"/>
    </row>
    <row r="419" spans="6:75">
      <c r="F419" s="31"/>
      <c r="G419" s="31"/>
      <c r="H419" s="64">
        <v>0</v>
      </c>
      <c r="I419" s="66"/>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1"/>
      <c r="BD419" s="31"/>
      <c r="BE419" s="31"/>
      <c r="BF419" s="31"/>
      <c r="BG419" s="31"/>
      <c r="BH419" s="31"/>
      <c r="BI419" s="31"/>
      <c r="BJ419" s="31"/>
      <c r="BK419" s="31"/>
      <c r="BL419" s="31"/>
      <c r="BM419" s="31"/>
      <c r="BN419" s="31"/>
      <c r="BO419" s="31"/>
      <c r="BP419" s="31"/>
      <c r="BQ419" s="31"/>
      <c r="BR419" s="31"/>
      <c r="BS419" s="31"/>
      <c r="BT419" s="31"/>
      <c r="BU419" s="31"/>
      <c r="BV419" s="31"/>
      <c r="BW419" s="31"/>
    </row>
    <row r="420" spans="6:75">
      <c r="F420" s="31"/>
      <c r="G420" s="31"/>
      <c r="H420" s="64">
        <v>0</v>
      </c>
      <c r="I420" s="66"/>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c r="BB420" s="31"/>
      <c r="BC420" s="31"/>
      <c r="BD420" s="31"/>
      <c r="BE420" s="31"/>
      <c r="BF420" s="31"/>
      <c r="BG420" s="31"/>
      <c r="BH420" s="31"/>
      <c r="BI420" s="31"/>
      <c r="BJ420" s="31"/>
      <c r="BK420" s="31"/>
      <c r="BL420" s="31"/>
      <c r="BM420" s="31"/>
      <c r="BN420" s="31"/>
      <c r="BO420" s="31"/>
      <c r="BP420" s="31"/>
      <c r="BQ420" s="31"/>
      <c r="BR420" s="31"/>
      <c r="BS420" s="31"/>
      <c r="BT420" s="31"/>
      <c r="BU420" s="31"/>
      <c r="BV420" s="31"/>
      <c r="BW420" s="31"/>
    </row>
    <row r="421" spans="6:75">
      <c r="F421" s="31"/>
      <c r="G421" s="31"/>
      <c r="H421" s="64">
        <v>0</v>
      </c>
      <c r="I421" s="66"/>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c r="AZ421" s="31"/>
      <c r="BA421" s="31"/>
      <c r="BB421" s="31"/>
      <c r="BC421" s="31"/>
      <c r="BD421" s="31"/>
      <c r="BE421" s="31"/>
      <c r="BF421" s="31"/>
      <c r="BG421" s="31"/>
      <c r="BH421" s="31"/>
      <c r="BI421" s="31"/>
      <c r="BJ421" s="31"/>
      <c r="BK421" s="31"/>
      <c r="BL421" s="31"/>
      <c r="BM421" s="31"/>
      <c r="BN421" s="31"/>
      <c r="BO421" s="31"/>
      <c r="BP421" s="31"/>
      <c r="BQ421" s="31"/>
      <c r="BR421" s="31"/>
      <c r="BS421" s="31"/>
      <c r="BT421" s="31"/>
      <c r="BU421" s="31"/>
      <c r="BV421" s="31"/>
      <c r="BW421" s="31"/>
    </row>
    <row r="422" spans="6:75">
      <c r="F422" s="31"/>
      <c r="G422" s="31"/>
      <c r="H422" s="64">
        <v>0</v>
      </c>
      <c r="I422" s="66"/>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c r="BB422" s="31"/>
      <c r="BC422" s="31"/>
      <c r="BD422" s="31"/>
      <c r="BE422" s="31"/>
      <c r="BF422" s="31"/>
      <c r="BG422" s="31"/>
      <c r="BH422" s="31"/>
      <c r="BI422" s="31"/>
      <c r="BJ422" s="31"/>
      <c r="BK422" s="31"/>
      <c r="BL422" s="31"/>
      <c r="BM422" s="31"/>
      <c r="BN422" s="31"/>
      <c r="BO422" s="31"/>
      <c r="BP422" s="31"/>
      <c r="BQ422" s="31"/>
      <c r="BR422" s="31"/>
      <c r="BS422" s="31"/>
      <c r="BT422" s="31"/>
      <c r="BU422" s="31"/>
      <c r="BV422" s="31"/>
      <c r="BW422" s="31"/>
    </row>
    <row r="423" spans="6:75">
      <c r="F423" s="31"/>
      <c r="G423" s="31"/>
      <c r="H423" s="64">
        <v>0</v>
      </c>
      <c r="I423" s="66"/>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1"/>
      <c r="BD423" s="31"/>
      <c r="BE423" s="31"/>
      <c r="BF423" s="31"/>
      <c r="BG423" s="31"/>
      <c r="BH423" s="31"/>
      <c r="BI423" s="31"/>
      <c r="BJ423" s="31"/>
      <c r="BK423" s="31"/>
      <c r="BL423" s="31"/>
      <c r="BM423" s="31"/>
      <c r="BN423" s="31"/>
      <c r="BO423" s="31"/>
      <c r="BP423" s="31"/>
      <c r="BQ423" s="31"/>
      <c r="BR423" s="31"/>
      <c r="BS423" s="31"/>
      <c r="BT423" s="31"/>
      <c r="BU423" s="31"/>
      <c r="BV423" s="31"/>
      <c r="BW423" s="31"/>
    </row>
    <row r="424" spans="6:75">
      <c r="F424" s="31"/>
      <c r="G424" s="31"/>
      <c r="H424" s="64">
        <v>0</v>
      </c>
      <c r="I424" s="66"/>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1"/>
      <c r="BD424" s="31"/>
      <c r="BE424" s="31"/>
      <c r="BF424" s="31"/>
      <c r="BG424" s="31"/>
      <c r="BH424" s="31"/>
      <c r="BI424" s="31"/>
      <c r="BJ424" s="31"/>
      <c r="BK424" s="31"/>
      <c r="BL424" s="31"/>
      <c r="BM424" s="31"/>
      <c r="BN424" s="31"/>
      <c r="BO424" s="31"/>
      <c r="BP424" s="31"/>
      <c r="BQ424" s="31"/>
      <c r="BR424" s="31"/>
      <c r="BS424" s="31"/>
      <c r="BT424" s="31"/>
      <c r="BU424" s="31"/>
      <c r="BV424" s="31"/>
      <c r="BW424" s="31"/>
    </row>
    <row r="425" spans="6:75">
      <c r="F425" s="31"/>
      <c r="G425" s="31"/>
      <c r="H425" s="64">
        <v>0</v>
      </c>
      <c r="I425" s="66"/>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c r="BC425" s="31"/>
      <c r="BD425" s="31"/>
      <c r="BE425" s="31"/>
      <c r="BF425" s="31"/>
      <c r="BG425" s="31"/>
      <c r="BH425" s="31"/>
      <c r="BI425" s="31"/>
      <c r="BJ425" s="31"/>
      <c r="BK425" s="31"/>
      <c r="BL425" s="31"/>
      <c r="BM425" s="31"/>
      <c r="BN425" s="31"/>
      <c r="BO425" s="31"/>
      <c r="BP425" s="31"/>
      <c r="BQ425" s="31"/>
      <c r="BR425" s="31"/>
      <c r="BS425" s="31"/>
      <c r="BT425" s="31"/>
      <c r="BU425" s="31"/>
      <c r="BV425" s="31"/>
      <c r="BW425" s="31"/>
    </row>
    <row r="426" spans="6:75">
      <c r="F426" s="31"/>
      <c r="G426" s="31"/>
      <c r="H426" s="64">
        <v>0</v>
      </c>
      <c r="I426" s="66"/>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c r="BB426" s="31"/>
      <c r="BC426" s="31"/>
      <c r="BD426" s="31"/>
      <c r="BE426" s="31"/>
      <c r="BF426" s="31"/>
      <c r="BG426" s="31"/>
      <c r="BH426" s="31"/>
      <c r="BI426" s="31"/>
      <c r="BJ426" s="31"/>
      <c r="BK426" s="31"/>
      <c r="BL426" s="31"/>
      <c r="BM426" s="31"/>
      <c r="BN426" s="31"/>
      <c r="BO426" s="31"/>
      <c r="BP426" s="31"/>
      <c r="BQ426" s="31"/>
      <c r="BR426" s="31"/>
      <c r="BS426" s="31"/>
      <c r="BT426" s="31"/>
      <c r="BU426" s="31"/>
      <c r="BV426" s="31"/>
      <c r="BW426" s="31"/>
    </row>
    <row r="427" spans="6:75">
      <c r="F427" s="31"/>
      <c r="G427" s="31"/>
      <c r="H427" s="64">
        <v>0</v>
      </c>
      <c r="I427" s="66"/>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1"/>
      <c r="BD427" s="31"/>
      <c r="BE427" s="31"/>
      <c r="BF427" s="31"/>
      <c r="BG427" s="31"/>
      <c r="BH427" s="31"/>
      <c r="BI427" s="31"/>
      <c r="BJ427" s="31"/>
      <c r="BK427" s="31"/>
      <c r="BL427" s="31"/>
      <c r="BM427" s="31"/>
      <c r="BN427" s="31"/>
      <c r="BO427" s="31"/>
      <c r="BP427" s="31"/>
      <c r="BQ427" s="31"/>
      <c r="BR427" s="31"/>
      <c r="BS427" s="31"/>
      <c r="BT427" s="31"/>
      <c r="BU427" s="31"/>
      <c r="BV427" s="31"/>
      <c r="BW427" s="31"/>
    </row>
    <row r="428" spans="6:75">
      <c r="F428" s="31"/>
      <c r="G428" s="31"/>
      <c r="H428" s="64">
        <v>0</v>
      </c>
      <c r="I428" s="66"/>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c r="BB428" s="31"/>
      <c r="BC428" s="31"/>
      <c r="BD428" s="31"/>
      <c r="BE428" s="31"/>
      <c r="BF428" s="31"/>
      <c r="BG428" s="31"/>
      <c r="BH428" s="31"/>
      <c r="BI428" s="31"/>
      <c r="BJ428" s="31"/>
      <c r="BK428" s="31"/>
      <c r="BL428" s="31"/>
      <c r="BM428" s="31"/>
      <c r="BN428" s="31"/>
      <c r="BO428" s="31"/>
      <c r="BP428" s="31"/>
      <c r="BQ428" s="31"/>
      <c r="BR428" s="31"/>
      <c r="BS428" s="31"/>
      <c r="BT428" s="31"/>
      <c r="BU428" s="31"/>
      <c r="BV428" s="31"/>
      <c r="BW428" s="31"/>
    </row>
    <row r="429" spans="6:75">
      <c r="F429" s="31"/>
      <c r="G429" s="31"/>
      <c r="H429" s="64">
        <v>0</v>
      </c>
      <c r="I429" s="66"/>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c r="BB429" s="31"/>
      <c r="BC429" s="31"/>
      <c r="BD429" s="31"/>
      <c r="BE429" s="31"/>
      <c r="BF429" s="31"/>
      <c r="BG429" s="31"/>
      <c r="BH429" s="31"/>
      <c r="BI429" s="31"/>
      <c r="BJ429" s="31"/>
      <c r="BK429" s="31"/>
      <c r="BL429" s="31"/>
      <c r="BM429" s="31"/>
      <c r="BN429" s="31"/>
      <c r="BO429" s="31"/>
      <c r="BP429" s="31"/>
      <c r="BQ429" s="31"/>
      <c r="BR429" s="31"/>
      <c r="BS429" s="31"/>
      <c r="BT429" s="31"/>
      <c r="BU429" s="31"/>
      <c r="BV429" s="31"/>
      <c r="BW429" s="31"/>
    </row>
    <row r="430" spans="6:75">
      <c r="F430" s="31"/>
      <c r="G430" s="31"/>
      <c r="H430" s="64">
        <v>0</v>
      </c>
      <c r="I430" s="66"/>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c r="AZ430" s="31"/>
      <c r="BA430" s="31"/>
      <c r="BB430" s="31"/>
      <c r="BC430" s="31"/>
      <c r="BD430" s="31"/>
      <c r="BE430" s="31"/>
      <c r="BF430" s="31"/>
      <c r="BG430" s="31"/>
      <c r="BH430" s="31"/>
      <c r="BI430" s="31"/>
      <c r="BJ430" s="31"/>
      <c r="BK430" s="31"/>
      <c r="BL430" s="31"/>
      <c r="BM430" s="31"/>
      <c r="BN430" s="31"/>
      <c r="BO430" s="31"/>
      <c r="BP430" s="31"/>
      <c r="BQ430" s="31"/>
      <c r="BR430" s="31"/>
      <c r="BS430" s="31"/>
      <c r="BT430" s="31"/>
      <c r="BU430" s="31"/>
      <c r="BV430" s="31"/>
      <c r="BW430" s="31"/>
    </row>
    <row r="431" spans="6:75">
      <c r="F431" s="31"/>
      <c r="G431" s="31"/>
      <c r="H431" s="64">
        <v>0</v>
      </c>
      <c r="I431" s="66"/>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c r="AZ431" s="31"/>
      <c r="BA431" s="31"/>
      <c r="BB431" s="31"/>
      <c r="BC431" s="31"/>
      <c r="BD431" s="31"/>
      <c r="BE431" s="31"/>
      <c r="BF431" s="31"/>
      <c r="BG431" s="31"/>
      <c r="BH431" s="31"/>
      <c r="BI431" s="31"/>
      <c r="BJ431" s="31"/>
      <c r="BK431" s="31"/>
      <c r="BL431" s="31"/>
      <c r="BM431" s="31"/>
      <c r="BN431" s="31"/>
      <c r="BO431" s="31"/>
      <c r="BP431" s="31"/>
      <c r="BQ431" s="31"/>
      <c r="BR431" s="31"/>
      <c r="BS431" s="31"/>
      <c r="BT431" s="31"/>
      <c r="BU431" s="31"/>
      <c r="BV431" s="31"/>
      <c r="BW431" s="31"/>
    </row>
    <row r="432" spans="6:75">
      <c r="F432" s="31"/>
      <c r="G432" s="31"/>
      <c r="H432" s="64">
        <v>0</v>
      </c>
      <c r="I432" s="66"/>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c r="BB432" s="31"/>
      <c r="BC432" s="31"/>
      <c r="BD432" s="31"/>
      <c r="BE432" s="31"/>
      <c r="BF432" s="31"/>
      <c r="BG432" s="31"/>
      <c r="BH432" s="31"/>
      <c r="BI432" s="31"/>
      <c r="BJ432" s="31"/>
      <c r="BK432" s="31"/>
      <c r="BL432" s="31"/>
      <c r="BM432" s="31"/>
      <c r="BN432" s="31"/>
      <c r="BO432" s="31"/>
      <c r="BP432" s="31"/>
      <c r="BQ432" s="31"/>
      <c r="BR432" s="31"/>
      <c r="BS432" s="31"/>
      <c r="BT432" s="31"/>
      <c r="BU432" s="31"/>
      <c r="BV432" s="31"/>
      <c r="BW432" s="31"/>
    </row>
    <row r="433" spans="6:75">
      <c r="F433" s="31"/>
      <c r="G433" s="31"/>
      <c r="H433" s="64">
        <v>0</v>
      </c>
      <c r="I433" s="66"/>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c r="AZ433" s="31"/>
      <c r="BA433" s="31"/>
      <c r="BB433" s="31"/>
      <c r="BC433" s="31"/>
      <c r="BD433" s="31"/>
      <c r="BE433" s="31"/>
      <c r="BF433" s="31"/>
      <c r="BG433" s="31"/>
      <c r="BH433" s="31"/>
      <c r="BI433" s="31"/>
      <c r="BJ433" s="31"/>
      <c r="BK433" s="31"/>
      <c r="BL433" s="31"/>
      <c r="BM433" s="31"/>
      <c r="BN433" s="31"/>
      <c r="BO433" s="31"/>
      <c r="BP433" s="31"/>
      <c r="BQ433" s="31"/>
      <c r="BR433" s="31"/>
      <c r="BS433" s="31"/>
      <c r="BT433" s="31"/>
      <c r="BU433" s="31"/>
      <c r="BV433" s="31"/>
      <c r="BW433" s="31"/>
    </row>
    <row r="434" spans="6:75">
      <c r="F434" s="31"/>
      <c r="G434" s="31"/>
      <c r="H434" s="64">
        <v>0</v>
      </c>
      <c r="I434" s="66"/>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c r="AZ434" s="31"/>
      <c r="BA434" s="31"/>
      <c r="BB434" s="31"/>
      <c r="BC434" s="31"/>
      <c r="BD434" s="31"/>
      <c r="BE434" s="31"/>
      <c r="BF434" s="31"/>
      <c r="BG434" s="31"/>
      <c r="BH434" s="31"/>
      <c r="BI434" s="31"/>
      <c r="BJ434" s="31"/>
      <c r="BK434" s="31"/>
      <c r="BL434" s="31"/>
      <c r="BM434" s="31"/>
      <c r="BN434" s="31"/>
      <c r="BO434" s="31"/>
      <c r="BP434" s="31"/>
      <c r="BQ434" s="31"/>
      <c r="BR434" s="31"/>
      <c r="BS434" s="31"/>
      <c r="BT434" s="31"/>
      <c r="BU434" s="31"/>
      <c r="BV434" s="31"/>
      <c r="BW434" s="31"/>
    </row>
    <row r="435" spans="6:75">
      <c r="F435" s="31"/>
      <c r="G435" s="31"/>
      <c r="H435" s="64">
        <v>0</v>
      </c>
      <c r="I435" s="66"/>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c r="AZ435" s="31"/>
      <c r="BA435" s="31"/>
      <c r="BB435" s="31"/>
      <c r="BC435" s="31"/>
      <c r="BD435" s="31"/>
      <c r="BE435" s="31"/>
      <c r="BF435" s="31"/>
      <c r="BG435" s="31"/>
      <c r="BH435" s="31"/>
      <c r="BI435" s="31"/>
      <c r="BJ435" s="31"/>
      <c r="BK435" s="31"/>
      <c r="BL435" s="31"/>
      <c r="BM435" s="31"/>
      <c r="BN435" s="31"/>
      <c r="BO435" s="31"/>
      <c r="BP435" s="31"/>
      <c r="BQ435" s="31"/>
      <c r="BR435" s="31"/>
      <c r="BS435" s="31"/>
      <c r="BT435" s="31"/>
      <c r="BU435" s="31"/>
      <c r="BV435" s="31"/>
      <c r="BW435" s="31"/>
    </row>
    <row r="436" spans="6:75">
      <c r="F436" s="31"/>
      <c r="G436" s="31"/>
      <c r="H436" s="64">
        <v>0</v>
      </c>
      <c r="I436" s="66"/>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c r="AZ436" s="31"/>
      <c r="BA436" s="31"/>
      <c r="BB436" s="31"/>
      <c r="BC436" s="31"/>
      <c r="BD436" s="31"/>
      <c r="BE436" s="31"/>
      <c r="BF436" s="31"/>
      <c r="BG436" s="31"/>
      <c r="BH436" s="31"/>
      <c r="BI436" s="31"/>
      <c r="BJ436" s="31"/>
      <c r="BK436" s="31"/>
      <c r="BL436" s="31"/>
      <c r="BM436" s="31"/>
      <c r="BN436" s="31"/>
      <c r="BO436" s="31"/>
      <c r="BP436" s="31"/>
      <c r="BQ436" s="31"/>
      <c r="BR436" s="31"/>
      <c r="BS436" s="31"/>
      <c r="BT436" s="31"/>
      <c r="BU436" s="31"/>
      <c r="BV436" s="31"/>
      <c r="BW436" s="31"/>
    </row>
    <row r="437" spans="6:75">
      <c r="F437" s="31"/>
      <c r="G437" s="31"/>
      <c r="H437" s="64">
        <v>0</v>
      </c>
      <c r="I437" s="66"/>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c r="AZ437" s="31"/>
      <c r="BA437" s="31"/>
      <c r="BB437" s="31"/>
      <c r="BC437" s="31"/>
      <c r="BD437" s="31"/>
      <c r="BE437" s="31"/>
      <c r="BF437" s="31"/>
      <c r="BG437" s="31"/>
      <c r="BH437" s="31"/>
      <c r="BI437" s="31"/>
      <c r="BJ437" s="31"/>
      <c r="BK437" s="31"/>
      <c r="BL437" s="31"/>
      <c r="BM437" s="31"/>
      <c r="BN437" s="31"/>
      <c r="BO437" s="31"/>
      <c r="BP437" s="31"/>
      <c r="BQ437" s="31"/>
      <c r="BR437" s="31"/>
      <c r="BS437" s="31"/>
      <c r="BT437" s="31"/>
      <c r="BU437" s="31"/>
      <c r="BV437" s="31"/>
      <c r="BW437" s="31"/>
    </row>
    <row r="438" spans="6:75">
      <c r="F438" s="31"/>
      <c r="G438" s="31"/>
      <c r="H438" s="64">
        <v>0</v>
      </c>
      <c r="I438" s="66"/>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c r="BB438" s="31"/>
      <c r="BC438" s="31"/>
      <c r="BD438" s="31"/>
      <c r="BE438" s="31"/>
      <c r="BF438" s="31"/>
      <c r="BG438" s="31"/>
      <c r="BH438" s="31"/>
      <c r="BI438" s="31"/>
      <c r="BJ438" s="31"/>
      <c r="BK438" s="31"/>
      <c r="BL438" s="31"/>
      <c r="BM438" s="31"/>
      <c r="BN438" s="31"/>
      <c r="BO438" s="31"/>
      <c r="BP438" s="31"/>
      <c r="BQ438" s="31"/>
      <c r="BR438" s="31"/>
      <c r="BS438" s="31"/>
      <c r="BT438" s="31"/>
      <c r="BU438" s="31"/>
      <c r="BV438" s="31"/>
      <c r="BW438" s="31"/>
    </row>
    <row r="439" spans="6:75">
      <c r="F439" s="31"/>
      <c r="G439" s="31"/>
      <c r="H439" s="64">
        <v>0</v>
      </c>
      <c r="I439" s="66"/>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1"/>
      <c r="BD439" s="31"/>
      <c r="BE439" s="31"/>
      <c r="BF439" s="31"/>
      <c r="BG439" s="31"/>
      <c r="BH439" s="31"/>
      <c r="BI439" s="31"/>
      <c r="BJ439" s="31"/>
      <c r="BK439" s="31"/>
      <c r="BL439" s="31"/>
      <c r="BM439" s="31"/>
      <c r="BN439" s="31"/>
      <c r="BO439" s="31"/>
      <c r="BP439" s="31"/>
      <c r="BQ439" s="31"/>
      <c r="BR439" s="31"/>
      <c r="BS439" s="31"/>
      <c r="BT439" s="31"/>
      <c r="BU439" s="31"/>
      <c r="BV439" s="31"/>
      <c r="BW439" s="31"/>
    </row>
    <row r="440" spans="6:75">
      <c r="F440" s="31"/>
      <c r="G440" s="31"/>
      <c r="H440" s="64">
        <v>0</v>
      </c>
      <c r="I440" s="66"/>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c r="AZ440" s="31"/>
      <c r="BA440" s="31"/>
      <c r="BB440" s="31"/>
      <c r="BC440" s="31"/>
      <c r="BD440" s="31"/>
      <c r="BE440" s="31"/>
      <c r="BF440" s="31"/>
      <c r="BG440" s="31"/>
      <c r="BH440" s="31"/>
      <c r="BI440" s="31"/>
      <c r="BJ440" s="31"/>
      <c r="BK440" s="31"/>
      <c r="BL440" s="31"/>
      <c r="BM440" s="31"/>
      <c r="BN440" s="31"/>
      <c r="BO440" s="31"/>
      <c r="BP440" s="31"/>
      <c r="BQ440" s="31"/>
      <c r="BR440" s="31"/>
      <c r="BS440" s="31"/>
      <c r="BT440" s="31"/>
      <c r="BU440" s="31"/>
      <c r="BV440" s="31"/>
      <c r="BW440" s="31"/>
    </row>
    <row r="441" spans="6:75">
      <c r="F441" s="31"/>
      <c r="G441" s="31"/>
      <c r="H441" s="64">
        <v>0</v>
      </c>
      <c r="I441" s="66"/>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c r="BC441" s="31"/>
      <c r="BD441" s="31"/>
      <c r="BE441" s="31"/>
      <c r="BF441" s="31"/>
      <c r="BG441" s="31"/>
      <c r="BH441" s="31"/>
      <c r="BI441" s="31"/>
      <c r="BJ441" s="31"/>
      <c r="BK441" s="31"/>
      <c r="BL441" s="31"/>
      <c r="BM441" s="31"/>
      <c r="BN441" s="31"/>
      <c r="BO441" s="31"/>
      <c r="BP441" s="31"/>
      <c r="BQ441" s="31"/>
      <c r="BR441" s="31"/>
      <c r="BS441" s="31"/>
      <c r="BT441" s="31"/>
      <c r="BU441" s="31"/>
      <c r="BV441" s="31"/>
      <c r="BW441" s="31"/>
    </row>
    <row r="442" spans="6:75">
      <c r="F442" s="31"/>
      <c r="G442" s="31"/>
      <c r="H442" s="64">
        <v>0</v>
      </c>
      <c r="I442" s="66"/>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c r="BB442" s="31"/>
      <c r="BC442" s="31"/>
      <c r="BD442" s="31"/>
      <c r="BE442" s="31"/>
      <c r="BF442" s="31"/>
      <c r="BG442" s="31"/>
      <c r="BH442" s="31"/>
      <c r="BI442" s="31"/>
      <c r="BJ442" s="31"/>
      <c r="BK442" s="31"/>
      <c r="BL442" s="31"/>
      <c r="BM442" s="31"/>
      <c r="BN442" s="31"/>
      <c r="BO442" s="31"/>
      <c r="BP442" s="31"/>
      <c r="BQ442" s="31"/>
      <c r="BR442" s="31"/>
      <c r="BS442" s="31"/>
      <c r="BT442" s="31"/>
      <c r="BU442" s="31"/>
      <c r="BV442" s="31"/>
      <c r="BW442" s="31"/>
    </row>
    <row r="443" spans="6:75">
      <c r="F443" s="31"/>
      <c r="G443" s="31"/>
      <c r="H443" s="64">
        <v>0</v>
      </c>
      <c r="I443" s="66"/>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c r="BC443" s="31"/>
      <c r="BD443" s="31"/>
      <c r="BE443" s="31"/>
      <c r="BF443" s="31"/>
      <c r="BG443" s="31"/>
      <c r="BH443" s="31"/>
      <c r="BI443" s="31"/>
      <c r="BJ443" s="31"/>
      <c r="BK443" s="31"/>
      <c r="BL443" s="31"/>
      <c r="BM443" s="31"/>
      <c r="BN443" s="31"/>
      <c r="BO443" s="31"/>
      <c r="BP443" s="31"/>
      <c r="BQ443" s="31"/>
      <c r="BR443" s="31"/>
      <c r="BS443" s="31"/>
      <c r="BT443" s="31"/>
      <c r="BU443" s="31"/>
      <c r="BV443" s="31"/>
      <c r="BW443" s="31"/>
    </row>
    <row r="444" spans="6:75">
      <c r="F444" s="31"/>
      <c r="G444" s="31"/>
      <c r="H444" s="64">
        <v>0</v>
      </c>
      <c r="I444" s="66"/>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c r="AZ444" s="31"/>
      <c r="BA444" s="31"/>
      <c r="BB444" s="31"/>
      <c r="BC444" s="31"/>
      <c r="BD444" s="31"/>
      <c r="BE444" s="31"/>
      <c r="BF444" s="31"/>
      <c r="BG444" s="31"/>
      <c r="BH444" s="31"/>
      <c r="BI444" s="31"/>
      <c r="BJ444" s="31"/>
      <c r="BK444" s="31"/>
      <c r="BL444" s="31"/>
      <c r="BM444" s="31"/>
      <c r="BN444" s="31"/>
      <c r="BO444" s="31"/>
      <c r="BP444" s="31"/>
      <c r="BQ444" s="31"/>
      <c r="BR444" s="31"/>
      <c r="BS444" s="31"/>
      <c r="BT444" s="31"/>
      <c r="BU444" s="31"/>
      <c r="BV444" s="31"/>
      <c r="BW444" s="31"/>
    </row>
    <row r="445" spans="6:75">
      <c r="F445" s="31"/>
      <c r="G445" s="31"/>
      <c r="H445" s="64">
        <v>0</v>
      </c>
      <c r="I445" s="66"/>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c r="AZ445" s="31"/>
      <c r="BA445" s="31"/>
      <c r="BB445" s="31"/>
      <c r="BC445" s="31"/>
      <c r="BD445" s="31"/>
      <c r="BE445" s="31"/>
      <c r="BF445" s="31"/>
      <c r="BG445" s="31"/>
      <c r="BH445" s="31"/>
      <c r="BI445" s="31"/>
      <c r="BJ445" s="31"/>
      <c r="BK445" s="31"/>
      <c r="BL445" s="31"/>
      <c r="BM445" s="31"/>
      <c r="BN445" s="31"/>
      <c r="BO445" s="31"/>
      <c r="BP445" s="31"/>
      <c r="BQ445" s="31"/>
      <c r="BR445" s="31"/>
      <c r="BS445" s="31"/>
      <c r="BT445" s="31"/>
      <c r="BU445" s="31"/>
      <c r="BV445" s="31"/>
      <c r="BW445" s="31"/>
    </row>
    <row r="446" spans="6:75">
      <c r="F446" s="31"/>
      <c r="G446" s="31"/>
      <c r="H446" s="64">
        <v>0</v>
      </c>
      <c r="I446" s="66"/>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c r="BC446" s="31"/>
      <c r="BD446" s="31"/>
      <c r="BE446" s="31"/>
      <c r="BF446" s="31"/>
      <c r="BG446" s="31"/>
      <c r="BH446" s="31"/>
      <c r="BI446" s="31"/>
      <c r="BJ446" s="31"/>
      <c r="BK446" s="31"/>
      <c r="BL446" s="31"/>
      <c r="BM446" s="31"/>
      <c r="BN446" s="31"/>
      <c r="BO446" s="31"/>
      <c r="BP446" s="31"/>
      <c r="BQ446" s="31"/>
      <c r="BR446" s="31"/>
      <c r="BS446" s="31"/>
      <c r="BT446" s="31"/>
      <c r="BU446" s="31"/>
      <c r="BV446" s="31"/>
      <c r="BW446" s="31"/>
    </row>
    <row r="447" spans="6:75">
      <c r="F447" s="31"/>
      <c r="G447" s="31"/>
      <c r="H447" s="64">
        <v>0</v>
      </c>
      <c r="I447" s="66"/>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1"/>
      <c r="BD447" s="31"/>
      <c r="BE447" s="31"/>
      <c r="BF447" s="31"/>
      <c r="BG447" s="31"/>
      <c r="BH447" s="31"/>
      <c r="BI447" s="31"/>
      <c r="BJ447" s="31"/>
      <c r="BK447" s="31"/>
      <c r="BL447" s="31"/>
      <c r="BM447" s="31"/>
      <c r="BN447" s="31"/>
      <c r="BO447" s="31"/>
      <c r="BP447" s="31"/>
      <c r="BQ447" s="31"/>
      <c r="BR447" s="31"/>
      <c r="BS447" s="31"/>
      <c r="BT447" s="31"/>
      <c r="BU447" s="31"/>
      <c r="BV447" s="31"/>
      <c r="BW447" s="31"/>
    </row>
    <row r="448" spans="6:75">
      <c r="F448" s="31"/>
      <c r="G448" s="31"/>
      <c r="H448" s="64">
        <v>0</v>
      </c>
      <c r="I448" s="66"/>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1"/>
      <c r="BD448" s="31"/>
      <c r="BE448" s="31"/>
      <c r="BF448" s="31"/>
      <c r="BG448" s="31"/>
      <c r="BH448" s="31"/>
      <c r="BI448" s="31"/>
      <c r="BJ448" s="31"/>
      <c r="BK448" s="31"/>
      <c r="BL448" s="31"/>
      <c r="BM448" s="31"/>
      <c r="BN448" s="31"/>
      <c r="BO448" s="31"/>
      <c r="BP448" s="31"/>
      <c r="BQ448" s="31"/>
      <c r="BR448" s="31"/>
      <c r="BS448" s="31"/>
      <c r="BT448" s="31"/>
      <c r="BU448" s="31"/>
      <c r="BV448" s="31"/>
      <c r="BW448" s="31"/>
    </row>
    <row r="449" spans="6:75">
      <c r="F449" s="31"/>
      <c r="G449" s="31"/>
      <c r="H449" s="64">
        <v>0</v>
      </c>
      <c r="I449" s="66"/>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1"/>
      <c r="BD449" s="31"/>
      <c r="BE449" s="31"/>
      <c r="BF449" s="31"/>
      <c r="BG449" s="31"/>
      <c r="BH449" s="31"/>
      <c r="BI449" s="31"/>
      <c r="BJ449" s="31"/>
      <c r="BK449" s="31"/>
      <c r="BL449" s="31"/>
      <c r="BM449" s="31"/>
      <c r="BN449" s="31"/>
      <c r="BO449" s="31"/>
      <c r="BP449" s="31"/>
      <c r="BQ449" s="31"/>
      <c r="BR449" s="31"/>
      <c r="BS449" s="31"/>
      <c r="BT449" s="31"/>
      <c r="BU449" s="31"/>
      <c r="BV449" s="31"/>
      <c r="BW449" s="31"/>
    </row>
    <row r="450" spans="6:75">
      <c r="F450" s="31"/>
      <c r="G450" s="31"/>
      <c r="H450" s="64">
        <v>0</v>
      </c>
      <c r="I450" s="66"/>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1"/>
      <c r="BD450" s="31"/>
      <c r="BE450" s="31"/>
      <c r="BF450" s="31"/>
      <c r="BG450" s="31"/>
      <c r="BH450" s="31"/>
      <c r="BI450" s="31"/>
      <c r="BJ450" s="31"/>
      <c r="BK450" s="31"/>
      <c r="BL450" s="31"/>
      <c r="BM450" s="31"/>
      <c r="BN450" s="31"/>
      <c r="BO450" s="31"/>
      <c r="BP450" s="31"/>
      <c r="BQ450" s="31"/>
      <c r="BR450" s="31"/>
      <c r="BS450" s="31"/>
      <c r="BT450" s="31"/>
      <c r="BU450" s="31"/>
      <c r="BV450" s="31"/>
      <c r="BW450" s="31"/>
    </row>
    <row r="451" spans="6:75">
      <c r="F451" s="31"/>
      <c r="G451" s="31"/>
      <c r="H451" s="64">
        <v>0</v>
      </c>
      <c r="I451" s="66"/>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c r="AZ451" s="31"/>
      <c r="BA451" s="31"/>
      <c r="BB451" s="31"/>
      <c r="BC451" s="31"/>
      <c r="BD451" s="31"/>
      <c r="BE451" s="31"/>
      <c r="BF451" s="31"/>
      <c r="BG451" s="31"/>
      <c r="BH451" s="31"/>
      <c r="BI451" s="31"/>
      <c r="BJ451" s="31"/>
      <c r="BK451" s="31"/>
      <c r="BL451" s="31"/>
      <c r="BM451" s="31"/>
      <c r="BN451" s="31"/>
      <c r="BO451" s="31"/>
      <c r="BP451" s="31"/>
      <c r="BQ451" s="31"/>
      <c r="BR451" s="31"/>
      <c r="BS451" s="31"/>
      <c r="BT451" s="31"/>
      <c r="BU451" s="31"/>
      <c r="BV451" s="31"/>
      <c r="BW451" s="31"/>
    </row>
    <row r="452" spans="6:75">
      <c r="F452" s="31"/>
      <c r="G452" s="31"/>
      <c r="H452" s="64">
        <v>0</v>
      </c>
      <c r="I452" s="66"/>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c r="BB452" s="31"/>
      <c r="BC452" s="31"/>
      <c r="BD452" s="31"/>
      <c r="BE452" s="31"/>
      <c r="BF452" s="31"/>
      <c r="BG452" s="31"/>
      <c r="BH452" s="31"/>
      <c r="BI452" s="31"/>
      <c r="BJ452" s="31"/>
      <c r="BK452" s="31"/>
      <c r="BL452" s="31"/>
      <c r="BM452" s="31"/>
      <c r="BN452" s="31"/>
      <c r="BO452" s="31"/>
      <c r="BP452" s="31"/>
      <c r="BQ452" s="31"/>
      <c r="BR452" s="31"/>
      <c r="BS452" s="31"/>
      <c r="BT452" s="31"/>
      <c r="BU452" s="31"/>
      <c r="BV452" s="31"/>
      <c r="BW452" s="31"/>
    </row>
    <row r="453" spans="6:75">
      <c r="F453" s="31"/>
      <c r="G453" s="31"/>
      <c r="H453" s="64">
        <v>0</v>
      </c>
      <c r="I453" s="66"/>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1"/>
      <c r="BD453" s="31"/>
      <c r="BE453" s="31"/>
      <c r="BF453" s="31"/>
      <c r="BG453" s="31"/>
      <c r="BH453" s="31"/>
      <c r="BI453" s="31"/>
      <c r="BJ453" s="31"/>
      <c r="BK453" s="31"/>
      <c r="BL453" s="31"/>
      <c r="BM453" s="31"/>
      <c r="BN453" s="31"/>
      <c r="BO453" s="31"/>
      <c r="BP453" s="31"/>
      <c r="BQ453" s="31"/>
      <c r="BR453" s="31"/>
      <c r="BS453" s="31"/>
      <c r="BT453" s="31"/>
      <c r="BU453" s="31"/>
      <c r="BV453" s="31"/>
      <c r="BW453" s="31"/>
    </row>
    <row r="454" spans="6:75">
      <c r="F454" s="31"/>
      <c r="G454" s="31"/>
      <c r="H454" s="64">
        <v>0</v>
      </c>
      <c r="I454" s="66"/>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c r="BB454" s="31"/>
      <c r="BC454" s="31"/>
      <c r="BD454" s="31"/>
      <c r="BE454" s="31"/>
      <c r="BF454" s="31"/>
      <c r="BG454" s="31"/>
      <c r="BH454" s="31"/>
      <c r="BI454" s="31"/>
      <c r="BJ454" s="31"/>
      <c r="BK454" s="31"/>
      <c r="BL454" s="31"/>
      <c r="BM454" s="31"/>
      <c r="BN454" s="31"/>
      <c r="BO454" s="31"/>
      <c r="BP454" s="31"/>
      <c r="BQ454" s="31"/>
      <c r="BR454" s="31"/>
      <c r="BS454" s="31"/>
      <c r="BT454" s="31"/>
      <c r="BU454" s="31"/>
      <c r="BV454" s="31"/>
      <c r="BW454" s="31"/>
    </row>
    <row r="455" spans="6:75">
      <c r="F455" s="31"/>
      <c r="G455" s="31"/>
      <c r="H455" s="64">
        <v>0</v>
      </c>
      <c r="I455" s="66"/>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c r="AZ455" s="31"/>
      <c r="BA455" s="31"/>
      <c r="BB455" s="31"/>
      <c r="BC455" s="31"/>
      <c r="BD455" s="31"/>
      <c r="BE455" s="31"/>
      <c r="BF455" s="31"/>
      <c r="BG455" s="31"/>
      <c r="BH455" s="31"/>
      <c r="BI455" s="31"/>
      <c r="BJ455" s="31"/>
      <c r="BK455" s="31"/>
      <c r="BL455" s="31"/>
      <c r="BM455" s="31"/>
      <c r="BN455" s="31"/>
      <c r="BO455" s="31"/>
      <c r="BP455" s="31"/>
      <c r="BQ455" s="31"/>
      <c r="BR455" s="31"/>
      <c r="BS455" s="31"/>
      <c r="BT455" s="31"/>
      <c r="BU455" s="31"/>
      <c r="BV455" s="31"/>
      <c r="BW455" s="31"/>
    </row>
    <row r="456" spans="6:75">
      <c r="F456" s="31"/>
      <c r="G456" s="31"/>
      <c r="H456" s="64">
        <v>0</v>
      </c>
      <c r="I456" s="66"/>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c r="BB456" s="31"/>
      <c r="BC456" s="31"/>
      <c r="BD456" s="31"/>
      <c r="BE456" s="31"/>
      <c r="BF456" s="31"/>
      <c r="BG456" s="31"/>
      <c r="BH456" s="31"/>
      <c r="BI456" s="31"/>
      <c r="BJ456" s="31"/>
      <c r="BK456" s="31"/>
      <c r="BL456" s="31"/>
      <c r="BM456" s="31"/>
      <c r="BN456" s="31"/>
      <c r="BO456" s="31"/>
      <c r="BP456" s="31"/>
      <c r="BQ456" s="31"/>
      <c r="BR456" s="31"/>
      <c r="BS456" s="31"/>
      <c r="BT456" s="31"/>
      <c r="BU456" s="31"/>
      <c r="BV456" s="31"/>
      <c r="BW456" s="31"/>
    </row>
    <row r="457" spans="6:75">
      <c r="F457" s="31"/>
      <c r="G457" s="31"/>
      <c r="H457" s="64">
        <v>0</v>
      </c>
      <c r="I457" s="66"/>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c r="BC457" s="31"/>
      <c r="BD457" s="31"/>
      <c r="BE457" s="31"/>
      <c r="BF457" s="31"/>
      <c r="BG457" s="31"/>
      <c r="BH457" s="31"/>
      <c r="BI457" s="31"/>
      <c r="BJ457" s="31"/>
      <c r="BK457" s="31"/>
      <c r="BL457" s="31"/>
      <c r="BM457" s="31"/>
      <c r="BN457" s="31"/>
      <c r="BO457" s="31"/>
      <c r="BP457" s="31"/>
      <c r="BQ457" s="31"/>
      <c r="BR457" s="31"/>
      <c r="BS457" s="31"/>
      <c r="BT457" s="31"/>
      <c r="BU457" s="31"/>
      <c r="BV457" s="31"/>
      <c r="BW457" s="31"/>
    </row>
    <row r="458" spans="6:75">
      <c r="F458" s="31"/>
      <c r="G458" s="31"/>
      <c r="H458" s="64">
        <v>0</v>
      </c>
      <c r="I458" s="66"/>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c r="BB458" s="31"/>
      <c r="BC458" s="31"/>
      <c r="BD458" s="31"/>
      <c r="BE458" s="31"/>
      <c r="BF458" s="31"/>
      <c r="BG458" s="31"/>
      <c r="BH458" s="31"/>
      <c r="BI458" s="31"/>
      <c r="BJ458" s="31"/>
      <c r="BK458" s="31"/>
      <c r="BL458" s="31"/>
      <c r="BM458" s="31"/>
      <c r="BN458" s="31"/>
      <c r="BO458" s="31"/>
      <c r="BP458" s="31"/>
      <c r="BQ458" s="31"/>
      <c r="BR458" s="31"/>
      <c r="BS458" s="31"/>
      <c r="BT458" s="31"/>
      <c r="BU458" s="31"/>
      <c r="BV458" s="31"/>
      <c r="BW458" s="31"/>
    </row>
    <row r="459" spans="6:75">
      <c r="F459" s="31"/>
      <c r="G459" s="31"/>
      <c r="H459" s="64">
        <v>0</v>
      </c>
      <c r="I459" s="66"/>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c r="BB459" s="31"/>
      <c r="BC459" s="31"/>
      <c r="BD459" s="31"/>
      <c r="BE459" s="31"/>
      <c r="BF459" s="31"/>
      <c r="BG459" s="31"/>
      <c r="BH459" s="31"/>
      <c r="BI459" s="31"/>
      <c r="BJ459" s="31"/>
      <c r="BK459" s="31"/>
      <c r="BL459" s="31"/>
      <c r="BM459" s="31"/>
      <c r="BN459" s="31"/>
      <c r="BO459" s="31"/>
      <c r="BP459" s="31"/>
      <c r="BQ459" s="31"/>
      <c r="BR459" s="31"/>
      <c r="BS459" s="31"/>
      <c r="BT459" s="31"/>
      <c r="BU459" s="31"/>
      <c r="BV459" s="31"/>
      <c r="BW459" s="31"/>
    </row>
    <row r="460" spans="6:75">
      <c r="F460" s="31"/>
      <c r="G460" s="31"/>
      <c r="H460" s="64">
        <v>0</v>
      </c>
      <c r="I460" s="66"/>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c r="BC460" s="31"/>
      <c r="BD460" s="31"/>
      <c r="BE460" s="31"/>
      <c r="BF460" s="31"/>
      <c r="BG460" s="31"/>
      <c r="BH460" s="31"/>
      <c r="BI460" s="31"/>
      <c r="BJ460" s="31"/>
      <c r="BK460" s="31"/>
      <c r="BL460" s="31"/>
      <c r="BM460" s="31"/>
      <c r="BN460" s="31"/>
      <c r="BO460" s="31"/>
      <c r="BP460" s="31"/>
      <c r="BQ460" s="31"/>
      <c r="BR460" s="31"/>
      <c r="BS460" s="31"/>
      <c r="BT460" s="31"/>
      <c r="BU460" s="31"/>
      <c r="BV460" s="31"/>
      <c r="BW460" s="31"/>
    </row>
    <row r="461" spans="6:75">
      <c r="F461" s="31"/>
      <c r="G461" s="31"/>
      <c r="H461" s="64">
        <v>0</v>
      </c>
      <c r="I461" s="66"/>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c r="BB461" s="31"/>
      <c r="BC461" s="31"/>
      <c r="BD461" s="31"/>
      <c r="BE461" s="31"/>
      <c r="BF461" s="31"/>
      <c r="BG461" s="31"/>
      <c r="BH461" s="31"/>
      <c r="BI461" s="31"/>
      <c r="BJ461" s="31"/>
      <c r="BK461" s="31"/>
      <c r="BL461" s="31"/>
      <c r="BM461" s="31"/>
      <c r="BN461" s="31"/>
      <c r="BO461" s="31"/>
      <c r="BP461" s="31"/>
      <c r="BQ461" s="31"/>
      <c r="BR461" s="31"/>
      <c r="BS461" s="31"/>
      <c r="BT461" s="31"/>
      <c r="BU461" s="31"/>
      <c r="BV461" s="31"/>
      <c r="BW461" s="31"/>
    </row>
    <row r="462" spans="6:75">
      <c r="F462" s="31"/>
      <c r="G462" s="31"/>
      <c r="H462" s="64">
        <v>0</v>
      </c>
      <c r="I462" s="66"/>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c r="AZ462" s="31"/>
      <c r="BA462" s="31"/>
      <c r="BB462" s="31"/>
      <c r="BC462" s="31"/>
      <c r="BD462" s="31"/>
      <c r="BE462" s="31"/>
      <c r="BF462" s="31"/>
      <c r="BG462" s="31"/>
      <c r="BH462" s="31"/>
      <c r="BI462" s="31"/>
      <c r="BJ462" s="31"/>
      <c r="BK462" s="31"/>
      <c r="BL462" s="31"/>
      <c r="BM462" s="31"/>
      <c r="BN462" s="31"/>
      <c r="BO462" s="31"/>
      <c r="BP462" s="31"/>
      <c r="BQ462" s="31"/>
      <c r="BR462" s="31"/>
      <c r="BS462" s="31"/>
      <c r="BT462" s="31"/>
      <c r="BU462" s="31"/>
      <c r="BV462" s="31"/>
      <c r="BW462" s="31"/>
    </row>
    <row r="463" spans="6:75">
      <c r="F463" s="31"/>
      <c r="G463" s="31"/>
      <c r="H463" s="64">
        <v>0</v>
      </c>
      <c r="I463" s="66"/>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c r="AZ463" s="31"/>
      <c r="BA463" s="31"/>
      <c r="BB463" s="31"/>
      <c r="BC463" s="31"/>
      <c r="BD463" s="31"/>
      <c r="BE463" s="31"/>
      <c r="BF463" s="31"/>
      <c r="BG463" s="31"/>
      <c r="BH463" s="31"/>
      <c r="BI463" s="31"/>
      <c r="BJ463" s="31"/>
      <c r="BK463" s="31"/>
      <c r="BL463" s="31"/>
      <c r="BM463" s="31"/>
      <c r="BN463" s="31"/>
      <c r="BO463" s="31"/>
      <c r="BP463" s="31"/>
      <c r="BQ463" s="31"/>
      <c r="BR463" s="31"/>
      <c r="BS463" s="31"/>
      <c r="BT463" s="31"/>
      <c r="BU463" s="31"/>
      <c r="BV463" s="31"/>
      <c r="BW463" s="31"/>
    </row>
    <row r="464" spans="6:75">
      <c r="F464" s="31"/>
      <c r="G464" s="31"/>
      <c r="H464" s="64">
        <v>0</v>
      </c>
      <c r="I464" s="66"/>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c r="AZ464" s="31"/>
      <c r="BA464" s="31"/>
      <c r="BB464" s="31"/>
      <c r="BC464" s="31"/>
      <c r="BD464" s="31"/>
      <c r="BE464" s="31"/>
      <c r="BF464" s="31"/>
      <c r="BG464" s="31"/>
      <c r="BH464" s="31"/>
      <c r="BI464" s="31"/>
      <c r="BJ464" s="31"/>
      <c r="BK464" s="31"/>
      <c r="BL464" s="31"/>
      <c r="BM464" s="31"/>
      <c r="BN464" s="31"/>
      <c r="BO464" s="31"/>
      <c r="BP464" s="31"/>
      <c r="BQ464" s="31"/>
      <c r="BR464" s="31"/>
      <c r="BS464" s="31"/>
      <c r="BT464" s="31"/>
      <c r="BU464" s="31"/>
      <c r="BV464" s="31"/>
      <c r="BW464" s="31"/>
    </row>
    <row r="465" spans="6:75">
      <c r="F465" s="31"/>
      <c r="G465" s="31"/>
      <c r="H465" s="64">
        <v>0</v>
      </c>
      <c r="I465" s="66"/>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c r="AZ465" s="31"/>
      <c r="BA465" s="31"/>
      <c r="BB465" s="31"/>
      <c r="BC465" s="31"/>
      <c r="BD465" s="31"/>
      <c r="BE465" s="31"/>
      <c r="BF465" s="31"/>
      <c r="BG465" s="31"/>
      <c r="BH465" s="31"/>
      <c r="BI465" s="31"/>
      <c r="BJ465" s="31"/>
      <c r="BK465" s="31"/>
      <c r="BL465" s="31"/>
      <c r="BM465" s="31"/>
      <c r="BN465" s="31"/>
      <c r="BO465" s="31"/>
      <c r="BP465" s="31"/>
      <c r="BQ465" s="31"/>
      <c r="BR465" s="31"/>
      <c r="BS465" s="31"/>
      <c r="BT465" s="31"/>
      <c r="BU465" s="31"/>
      <c r="BV465" s="31"/>
      <c r="BW465" s="31"/>
    </row>
    <row r="466" spans="6:75">
      <c r="F466" s="31"/>
      <c r="G466" s="31"/>
      <c r="H466" s="64">
        <v>0</v>
      </c>
      <c r="I466" s="66"/>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c r="AZ466" s="31"/>
      <c r="BA466" s="31"/>
      <c r="BB466" s="31"/>
      <c r="BC466" s="31"/>
      <c r="BD466" s="31"/>
      <c r="BE466" s="31"/>
      <c r="BF466" s="31"/>
      <c r="BG466" s="31"/>
      <c r="BH466" s="31"/>
      <c r="BI466" s="31"/>
      <c r="BJ466" s="31"/>
      <c r="BK466" s="31"/>
      <c r="BL466" s="31"/>
      <c r="BM466" s="31"/>
      <c r="BN466" s="31"/>
      <c r="BO466" s="31"/>
      <c r="BP466" s="31"/>
      <c r="BQ466" s="31"/>
      <c r="BR466" s="31"/>
      <c r="BS466" s="31"/>
      <c r="BT466" s="31"/>
      <c r="BU466" s="31"/>
      <c r="BV466" s="31"/>
      <c r="BW466" s="31"/>
    </row>
    <row r="467" spans="6:75">
      <c r="F467" s="31"/>
      <c r="G467" s="31"/>
      <c r="H467" s="64">
        <v>0</v>
      </c>
      <c r="I467" s="66"/>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c r="BC467" s="31"/>
      <c r="BD467" s="31"/>
      <c r="BE467" s="31"/>
      <c r="BF467" s="31"/>
      <c r="BG467" s="31"/>
      <c r="BH467" s="31"/>
      <c r="BI467" s="31"/>
      <c r="BJ467" s="31"/>
      <c r="BK467" s="31"/>
      <c r="BL467" s="31"/>
      <c r="BM467" s="31"/>
      <c r="BN467" s="31"/>
      <c r="BO467" s="31"/>
      <c r="BP467" s="31"/>
      <c r="BQ467" s="31"/>
      <c r="BR467" s="31"/>
      <c r="BS467" s="31"/>
      <c r="BT467" s="31"/>
      <c r="BU467" s="31"/>
      <c r="BV467" s="31"/>
      <c r="BW467" s="31"/>
    </row>
    <row r="468" spans="6:75">
      <c r="F468" s="31"/>
      <c r="G468" s="31"/>
      <c r="H468" s="64">
        <v>0</v>
      </c>
      <c r="I468" s="66"/>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c r="AZ468" s="31"/>
      <c r="BA468" s="31"/>
      <c r="BB468" s="31"/>
      <c r="BC468" s="31"/>
      <c r="BD468" s="31"/>
      <c r="BE468" s="31"/>
      <c r="BF468" s="31"/>
      <c r="BG468" s="31"/>
      <c r="BH468" s="31"/>
      <c r="BI468" s="31"/>
      <c r="BJ468" s="31"/>
      <c r="BK468" s="31"/>
      <c r="BL468" s="31"/>
      <c r="BM468" s="31"/>
      <c r="BN468" s="31"/>
      <c r="BO468" s="31"/>
      <c r="BP468" s="31"/>
      <c r="BQ468" s="31"/>
      <c r="BR468" s="31"/>
      <c r="BS468" s="31"/>
      <c r="BT468" s="31"/>
      <c r="BU468" s="31"/>
      <c r="BV468" s="31"/>
      <c r="BW468" s="31"/>
    </row>
    <row r="469" spans="6:75">
      <c r="F469" s="31"/>
      <c r="G469" s="31"/>
      <c r="H469" s="64">
        <v>0</v>
      </c>
      <c r="I469" s="66"/>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c r="BC469" s="31"/>
      <c r="BD469" s="31"/>
      <c r="BE469" s="31"/>
      <c r="BF469" s="31"/>
      <c r="BG469" s="31"/>
      <c r="BH469" s="31"/>
      <c r="BI469" s="31"/>
      <c r="BJ469" s="31"/>
      <c r="BK469" s="31"/>
      <c r="BL469" s="31"/>
      <c r="BM469" s="31"/>
      <c r="BN469" s="31"/>
      <c r="BO469" s="31"/>
      <c r="BP469" s="31"/>
      <c r="BQ469" s="31"/>
      <c r="BR469" s="31"/>
      <c r="BS469" s="31"/>
      <c r="BT469" s="31"/>
      <c r="BU469" s="31"/>
      <c r="BV469" s="31"/>
      <c r="BW469" s="31"/>
    </row>
    <row r="470" spans="6:75">
      <c r="F470" s="31"/>
      <c r="G470" s="31"/>
      <c r="H470" s="64">
        <v>0</v>
      </c>
      <c r="I470" s="66"/>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1"/>
      <c r="BD470" s="31"/>
      <c r="BE470" s="31"/>
      <c r="BF470" s="31"/>
      <c r="BG470" s="31"/>
      <c r="BH470" s="31"/>
      <c r="BI470" s="31"/>
      <c r="BJ470" s="31"/>
      <c r="BK470" s="31"/>
      <c r="BL470" s="31"/>
      <c r="BM470" s="31"/>
      <c r="BN470" s="31"/>
      <c r="BO470" s="31"/>
      <c r="BP470" s="31"/>
      <c r="BQ470" s="31"/>
      <c r="BR470" s="31"/>
      <c r="BS470" s="31"/>
      <c r="BT470" s="31"/>
      <c r="BU470" s="31"/>
      <c r="BV470" s="31"/>
      <c r="BW470" s="31"/>
    </row>
    <row r="471" spans="6:75">
      <c r="F471" s="31"/>
      <c r="G471" s="31"/>
      <c r="H471" s="64">
        <v>0</v>
      </c>
      <c r="I471" s="66"/>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c r="BB471" s="31"/>
      <c r="BC471" s="31"/>
      <c r="BD471" s="31"/>
      <c r="BE471" s="31"/>
      <c r="BF471" s="31"/>
      <c r="BG471" s="31"/>
      <c r="BH471" s="31"/>
      <c r="BI471" s="31"/>
      <c r="BJ471" s="31"/>
      <c r="BK471" s="31"/>
      <c r="BL471" s="31"/>
      <c r="BM471" s="31"/>
      <c r="BN471" s="31"/>
      <c r="BO471" s="31"/>
      <c r="BP471" s="31"/>
      <c r="BQ471" s="31"/>
      <c r="BR471" s="31"/>
      <c r="BS471" s="31"/>
      <c r="BT471" s="31"/>
      <c r="BU471" s="31"/>
      <c r="BV471" s="31"/>
      <c r="BW471" s="31"/>
    </row>
    <row r="472" spans="6:75">
      <c r="F472" s="31"/>
      <c r="G472" s="31"/>
      <c r="H472" s="64">
        <v>0</v>
      </c>
      <c r="I472" s="66"/>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c r="BB472" s="31"/>
      <c r="BC472" s="31"/>
      <c r="BD472" s="31"/>
      <c r="BE472" s="31"/>
      <c r="BF472" s="31"/>
      <c r="BG472" s="31"/>
      <c r="BH472" s="31"/>
      <c r="BI472" s="31"/>
      <c r="BJ472" s="31"/>
      <c r="BK472" s="31"/>
      <c r="BL472" s="31"/>
      <c r="BM472" s="31"/>
      <c r="BN472" s="31"/>
      <c r="BO472" s="31"/>
      <c r="BP472" s="31"/>
      <c r="BQ472" s="31"/>
      <c r="BR472" s="31"/>
      <c r="BS472" s="31"/>
      <c r="BT472" s="31"/>
      <c r="BU472" s="31"/>
      <c r="BV472" s="31"/>
      <c r="BW472" s="31"/>
    </row>
    <row r="473" spans="6:75">
      <c r="F473" s="31"/>
      <c r="G473" s="31"/>
      <c r="H473" s="64">
        <v>0</v>
      </c>
      <c r="I473" s="66"/>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c r="AY473" s="31"/>
      <c r="AZ473" s="31"/>
      <c r="BA473" s="31"/>
      <c r="BB473" s="31"/>
      <c r="BC473" s="31"/>
      <c r="BD473" s="31"/>
      <c r="BE473" s="31"/>
      <c r="BF473" s="31"/>
      <c r="BG473" s="31"/>
      <c r="BH473" s="31"/>
      <c r="BI473" s="31"/>
      <c r="BJ473" s="31"/>
      <c r="BK473" s="31"/>
      <c r="BL473" s="31"/>
      <c r="BM473" s="31"/>
      <c r="BN473" s="31"/>
      <c r="BO473" s="31"/>
      <c r="BP473" s="31"/>
      <c r="BQ473" s="31"/>
      <c r="BR473" s="31"/>
      <c r="BS473" s="31"/>
      <c r="BT473" s="31"/>
      <c r="BU473" s="31"/>
      <c r="BV473" s="31"/>
      <c r="BW473" s="31"/>
    </row>
    <row r="474" spans="6:75">
      <c r="F474" s="31"/>
      <c r="G474" s="31"/>
      <c r="H474" s="64">
        <v>0</v>
      </c>
      <c r="I474" s="66"/>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c r="AY474" s="31"/>
      <c r="AZ474" s="31"/>
      <c r="BA474" s="31"/>
      <c r="BB474" s="31"/>
      <c r="BC474" s="31"/>
      <c r="BD474" s="31"/>
      <c r="BE474" s="31"/>
      <c r="BF474" s="31"/>
      <c r="BG474" s="31"/>
      <c r="BH474" s="31"/>
      <c r="BI474" s="31"/>
      <c r="BJ474" s="31"/>
      <c r="BK474" s="31"/>
      <c r="BL474" s="31"/>
      <c r="BM474" s="31"/>
      <c r="BN474" s="31"/>
      <c r="BO474" s="31"/>
      <c r="BP474" s="31"/>
      <c r="BQ474" s="31"/>
      <c r="BR474" s="31"/>
      <c r="BS474" s="31"/>
      <c r="BT474" s="31"/>
      <c r="BU474" s="31"/>
      <c r="BV474" s="31"/>
      <c r="BW474" s="31"/>
    </row>
    <row r="475" spans="6:75">
      <c r="F475" s="31"/>
      <c r="G475" s="31"/>
      <c r="H475" s="64">
        <v>0</v>
      </c>
      <c r="I475" s="66"/>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c r="AZ475" s="31"/>
      <c r="BA475" s="31"/>
      <c r="BB475" s="31"/>
      <c r="BC475" s="31"/>
      <c r="BD475" s="31"/>
      <c r="BE475" s="31"/>
      <c r="BF475" s="31"/>
      <c r="BG475" s="31"/>
      <c r="BH475" s="31"/>
      <c r="BI475" s="31"/>
      <c r="BJ475" s="31"/>
      <c r="BK475" s="31"/>
      <c r="BL475" s="31"/>
      <c r="BM475" s="31"/>
      <c r="BN475" s="31"/>
      <c r="BO475" s="31"/>
      <c r="BP475" s="31"/>
      <c r="BQ475" s="31"/>
      <c r="BR475" s="31"/>
      <c r="BS475" s="31"/>
      <c r="BT475" s="31"/>
      <c r="BU475" s="31"/>
      <c r="BV475" s="31"/>
      <c r="BW475" s="31"/>
    </row>
    <row r="476" spans="6:75">
      <c r="F476" s="31"/>
      <c r="G476" s="31"/>
      <c r="H476" s="64">
        <v>0</v>
      </c>
      <c r="I476" s="66"/>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c r="AY476" s="31"/>
      <c r="AZ476" s="31"/>
      <c r="BA476" s="31"/>
      <c r="BB476" s="31"/>
      <c r="BC476" s="31"/>
      <c r="BD476" s="31"/>
      <c r="BE476" s="31"/>
      <c r="BF476" s="31"/>
      <c r="BG476" s="31"/>
      <c r="BH476" s="31"/>
      <c r="BI476" s="31"/>
      <c r="BJ476" s="31"/>
      <c r="BK476" s="31"/>
      <c r="BL476" s="31"/>
      <c r="BM476" s="31"/>
      <c r="BN476" s="31"/>
      <c r="BO476" s="31"/>
      <c r="BP476" s="31"/>
      <c r="BQ476" s="31"/>
      <c r="BR476" s="31"/>
      <c r="BS476" s="31"/>
      <c r="BT476" s="31"/>
      <c r="BU476" s="31"/>
      <c r="BV476" s="31"/>
      <c r="BW476" s="31"/>
    </row>
    <row r="477" spans="6:75">
      <c r="F477" s="31"/>
      <c r="G477" s="31"/>
      <c r="H477" s="64">
        <v>0</v>
      </c>
      <c r="I477" s="66"/>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c r="AZ477" s="31"/>
      <c r="BA477" s="31"/>
      <c r="BB477" s="31"/>
      <c r="BC477" s="31"/>
      <c r="BD477" s="31"/>
      <c r="BE477" s="31"/>
      <c r="BF477" s="31"/>
      <c r="BG477" s="31"/>
      <c r="BH477" s="31"/>
      <c r="BI477" s="31"/>
      <c r="BJ477" s="31"/>
      <c r="BK477" s="31"/>
      <c r="BL477" s="31"/>
      <c r="BM477" s="31"/>
      <c r="BN477" s="31"/>
      <c r="BO477" s="31"/>
      <c r="BP477" s="31"/>
      <c r="BQ477" s="31"/>
      <c r="BR477" s="31"/>
      <c r="BS477" s="31"/>
      <c r="BT477" s="31"/>
      <c r="BU477" s="31"/>
      <c r="BV477" s="31"/>
      <c r="BW477" s="31"/>
    </row>
    <row r="478" spans="6:75">
      <c r="F478" s="31"/>
      <c r="G478" s="31"/>
      <c r="H478" s="64">
        <v>0</v>
      </c>
      <c r="I478" s="66"/>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c r="AZ478" s="31"/>
      <c r="BA478" s="31"/>
      <c r="BB478" s="31"/>
      <c r="BC478" s="31"/>
      <c r="BD478" s="31"/>
      <c r="BE478" s="31"/>
      <c r="BF478" s="31"/>
      <c r="BG478" s="31"/>
      <c r="BH478" s="31"/>
      <c r="BI478" s="31"/>
      <c r="BJ478" s="31"/>
      <c r="BK478" s="31"/>
      <c r="BL478" s="31"/>
      <c r="BM478" s="31"/>
      <c r="BN478" s="31"/>
      <c r="BO478" s="31"/>
      <c r="BP478" s="31"/>
      <c r="BQ478" s="31"/>
      <c r="BR478" s="31"/>
      <c r="BS478" s="31"/>
      <c r="BT478" s="31"/>
      <c r="BU478" s="31"/>
      <c r="BV478" s="31"/>
      <c r="BW478" s="31"/>
    </row>
    <row r="479" spans="6:75">
      <c r="F479" s="31"/>
      <c r="G479" s="31"/>
      <c r="H479" s="64">
        <v>0</v>
      </c>
      <c r="I479" s="66"/>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c r="AZ479" s="31"/>
      <c r="BA479" s="31"/>
      <c r="BB479" s="31"/>
      <c r="BC479" s="31"/>
      <c r="BD479" s="31"/>
      <c r="BE479" s="31"/>
      <c r="BF479" s="31"/>
      <c r="BG479" s="31"/>
      <c r="BH479" s="31"/>
      <c r="BI479" s="31"/>
      <c r="BJ479" s="31"/>
      <c r="BK479" s="31"/>
      <c r="BL479" s="31"/>
      <c r="BM479" s="31"/>
      <c r="BN479" s="31"/>
      <c r="BO479" s="31"/>
      <c r="BP479" s="31"/>
      <c r="BQ479" s="31"/>
      <c r="BR479" s="31"/>
      <c r="BS479" s="31"/>
      <c r="BT479" s="31"/>
      <c r="BU479" s="31"/>
      <c r="BV479" s="31"/>
      <c r="BW479" s="31"/>
    </row>
    <row r="480" spans="6:75">
      <c r="F480" s="31"/>
      <c r="G480" s="31"/>
      <c r="H480" s="64">
        <v>0</v>
      </c>
      <c r="I480" s="66"/>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c r="AZ480" s="31"/>
      <c r="BA480" s="31"/>
      <c r="BB480" s="31"/>
      <c r="BC480" s="31"/>
      <c r="BD480" s="31"/>
      <c r="BE480" s="31"/>
      <c r="BF480" s="31"/>
      <c r="BG480" s="31"/>
      <c r="BH480" s="31"/>
      <c r="BI480" s="31"/>
      <c r="BJ480" s="31"/>
      <c r="BK480" s="31"/>
      <c r="BL480" s="31"/>
      <c r="BM480" s="31"/>
      <c r="BN480" s="31"/>
      <c r="BO480" s="31"/>
      <c r="BP480" s="31"/>
      <c r="BQ480" s="31"/>
      <c r="BR480" s="31"/>
      <c r="BS480" s="31"/>
      <c r="BT480" s="31"/>
      <c r="BU480" s="31"/>
      <c r="BV480" s="31"/>
      <c r="BW480" s="31"/>
    </row>
    <row r="481" spans="6:75">
      <c r="F481" s="31"/>
      <c r="G481" s="31"/>
      <c r="H481" s="64">
        <v>0</v>
      </c>
      <c r="I481" s="66"/>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c r="AZ481" s="31"/>
      <c r="BA481" s="31"/>
      <c r="BB481" s="31"/>
      <c r="BC481" s="31"/>
      <c r="BD481" s="31"/>
      <c r="BE481" s="31"/>
      <c r="BF481" s="31"/>
      <c r="BG481" s="31"/>
      <c r="BH481" s="31"/>
      <c r="BI481" s="31"/>
      <c r="BJ481" s="31"/>
      <c r="BK481" s="31"/>
      <c r="BL481" s="31"/>
      <c r="BM481" s="31"/>
      <c r="BN481" s="31"/>
      <c r="BO481" s="31"/>
      <c r="BP481" s="31"/>
      <c r="BQ481" s="31"/>
      <c r="BR481" s="31"/>
      <c r="BS481" s="31"/>
      <c r="BT481" s="31"/>
      <c r="BU481" s="31"/>
      <c r="BV481" s="31"/>
      <c r="BW481" s="31"/>
    </row>
    <row r="482" spans="6:75">
      <c r="F482" s="31"/>
      <c r="G482" s="31"/>
      <c r="H482" s="64">
        <v>0</v>
      </c>
      <c r="I482" s="66"/>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c r="AZ482" s="31"/>
      <c r="BA482" s="31"/>
      <c r="BB482" s="31"/>
      <c r="BC482" s="31"/>
      <c r="BD482" s="31"/>
      <c r="BE482" s="31"/>
      <c r="BF482" s="31"/>
      <c r="BG482" s="31"/>
      <c r="BH482" s="31"/>
      <c r="BI482" s="31"/>
      <c r="BJ482" s="31"/>
      <c r="BK482" s="31"/>
      <c r="BL482" s="31"/>
      <c r="BM482" s="31"/>
      <c r="BN482" s="31"/>
      <c r="BO482" s="31"/>
      <c r="BP482" s="31"/>
      <c r="BQ482" s="31"/>
      <c r="BR482" s="31"/>
      <c r="BS482" s="31"/>
      <c r="BT482" s="31"/>
      <c r="BU482" s="31"/>
      <c r="BV482" s="31"/>
      <c r="BW482" s="31"/>
    </row>
    <row r="483" spans="6:75">
      <c r="F483" s="31"/>
      <c r="G483" s="31"/>
      <c r="H483" s="64">
        <v>0</v>
      </c>
      <c r="I483" s="66"/>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c r="AZ483" s="31"/>
      <c r="BA483" s="31"/>
      <c r="BB483" s="31"/>
      <c r="BC483" s="31"/>
      <c r="BD483" s="31"/>
      <c r="BE483" s="31"/>
      <c r="BF483" s="31"/>
      <c r="BG483" s="31"/>
      <c r="BH483" s="31"/>
      <c r="BI483" s="31"/>
      <c r="BJ483" s="31"/>
      <c r="BK483" s="31"/>
      <c r="BL483" s="31"/>
      <c r="BM483" s="31"/>
      <c r="BN483" s="31"/>
      <c r="BO483" s="31"/>
      <c r="BP483" s="31"/>
      <c r="BQ483" s="31"/>
      <c r="BR483" s="31"/>
      <c r="BS483" s="31"/>
      <c r="BT483" s="31"/>
      <c r="BU483" s="31"/>
      <c r="BV483" s="31"/>
      <c r="BW483" s="31"/>
    </row>
    <row r="484" spans="6:75">
      <c r="F484" s="31"/>
      <c r="G484" s="31"/>
      <c r="H484" s="64">
        <v>0</v>
      </c>
      <c r="I484" s="66"/>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c r="AZ484" s="31"/>
      <c r="BA484" s="31"/>
      <c r="BB484" s="31"/>
      <c r="BC484" s="31"/>
      <c r="BD484" s="31"/>
      <c r="BE484" s="31"/>
      <c r="BF484" s="31"/>
      <c r="BG484" s="31"/>
      <c r="BH484" s="31"/>
      <c r="BI484" s="31"/>
      <c r="BJ484" s="31"/>
      <c r="BK484" s="31"/>
      <c r="BL484" s="31"/>
      <c r="BM484" s="31"/>
      <c r="BN484" s="31"/>
      <c r="BO484" s="31"/>
      <c r="BP484" s="31"/>
      <c r="BQ484" s="31"/>
      <c r="BR484" s="31"/>
      <c r="BS484" s="31"/>
      <c r="BT484" s="31"/>
      <c r="BU484" s="31"/>
      <c r="BV484" s="31"/>
      <c r="BW484" s="31"/>
    </row>
    <row r="485" spans="6:75">
      <c r="F485" s="31"/>
      <c r="G485" s="31"/>
      <c r="H485" s="64">
        <v>0</v>
      </c>
      <c r="I485" s="66"/>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c r="AZ485" s="31"/>
      <c r="BA485" s="31"/>
      <c r="BB485" s="31"/>
      <c r="BC485" s="31"/>
      <c r="BD485" s="31"/>
      <c r="BE485" s="31"/>
      <c r="BF485" s="31"/>
      <c r="BG485" s="31"/>
      <c r="BH485" s="31"/>
      <c r="BI485" s="31"/>
      <c r="BJ485" s="31"/>
      <c r="BK485" s="31"/>
      <c r="BL485" s="31"/>
      <c r="BM485" s="31"/>
      <c r="BN485" s="31"/>
      <c r="BO485" s="31"/>
      <c r="BP485" s="31"/>
      <c r="BQ485" s="31"/>
      <c r="BR485" s="31"/>
      <c r="BS485" s="31"/>
      <c r="BT485" s="31"/>
      <c r="BU485" s="31"/>
      <c r="BV485" s="31"/>
      <c r="BW485" s="31"/>
    </row>
    <row r="486" spans="6:75">
      <c r="F486" s="31"/>
      <c r="G486" s="31"/>
      <c r="H486" s="64">
        <v>0</v>
      </c>
      <c r="I486" s="66"/>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c r="AZ486" s="31"/>
      <c r="BA486" s="31"/>
      <c r="BB486" s="31"/>
      <c r="BC486" s="31"/>
      <c r="BD486" s="31"/>
      <c r="BE486" s="31"/>
      <c r="BF486" s="31"/>
      <c r="BG486" s="31"/>
      <c r="BH486" s="31"/>
      <c r="BI486" s="31"/>
      <c r="BJ486" s="31"/>
      <c r="BK486" s="31"/>
      <c r="BL486" s="31"/>
      <c r="BM486" s="31"/>
      <c r="BN486" s="31"/>
      <c r="BO486" s="31"/>
      <c r="BP486" s="31"/>
      <c r="BQ486" s="31"/>
      <c r="BR486" s="31"/>
      <c r="BS486" s="31"/>
      <c r="BT486" s="31"/>
      <c r="BU486" s="31"/>
      <c r="BV486" s="31"/>
      <c r="BW486" s="31"/>
    </row>
    <row r="487" spans="6:75">
      <c r="F487" s="31"/>
      <c r="G487" s="31"/>
      <c r="H487" s="64">
        <v>0</v>
      </c>
      <c r="I487" s="66"/>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c r="AZ487" s="31"/>
      <c r="BA487" s="31"/>
      <c r="BB487" s="31"/>
      <c r="BC487" s="31"/>
      <c r="BD487" s="31"/>
      <c r="BE487" s="31"/>
      <c r="BF487" s="31"/>
      <c r="BG487" s="31"/>
      <c r="BH487" s="31"/>
      <c r="BI487" s="31"/>
      <c r="BJ487" s="31"/>
      <c r="BK487" s="31"/>
      <c r="BL487" s="31"/>
      <c r="BM487" s="31"/>
      <c r="BN487" s="31"/>
      <c r="BO487" s="31"/>
      <c r="BP487" s="31"/>
      <c r="BQ487" s="31"/>
      <c r="BR487" s="31"/>
      <c r="BS487" s="31"/>
      <c r="BT487" s="31"/>
      <c r="BU487" s="31"/>
      <c r="BV487" s="31"/>
      <c r="BW487" s="31"/>
    </row>
    <row r="488" spans="6:75">
      <c r="F488" s="31"/>
      <c r="G488" s="31"/>
      <c r="H488" s="64">
        <v>0</v>
      </c>
      <c r="I488" s="66"/>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c r="AY488" s="31"/>
      <c r="AZ488" s="31"/>
      <c r="BA488" s="31"/>
      <c r="BB488" s="31"/>
      <c r="BC488" s="31"/>
      <c r="BD488" s="31"/>
      <c r="BE488" s="31"/>
      <c r="BF488" s="31"/>
      <c r="BG488" s="31"/>
      <c r="BH488" s="31"/>
      <c r="BI488" s="31"/>
      <c r="BJ488" s="31"/>
      <c r="BK488" s="31"/>
      <c r="BL488" s="31"/>
      <c r="BM488" s="31"/>
      <c r="BN488" s="31"/>
      <c r="BO488" s="31"/>
      <c r="BP488" s="31"/>
      <c r="BQ488" s="31"/>
      <c r="BR488" s="31"/>
      <c r="BS488" s="31"/>
      <c r="BT488" s="31"/>
      <c r="BU488" s="31"/>
      <c r="BV488" s="31"/>
      <c r="BW488" s="31"/>
    </row>
    <row r="489" spans="6:75">
      <c r="F489" s="31"/>
      <c r="G489" s="31"/>
      <c r="H489" s="64">
        <v>0</v>
      </c>
      <c r="I489" s="66"/>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c r="AZ489" s="31"/>
      <c r="BA489" s="31"/>
      <c r="BB489" s="31"/>
      <c r="BC489" s="31"/>
      <c r="BD489" s="31"/>
      <c r="BE489" s="31"/>
      <c r="BF489" s="31"/>
      <c r="BG489" s="31"/>
      <c r="BH489" s="31"/>
      <c r="BI489" s="31"/>
      <c r="BJ489" s="31"/>
      <c r="BK489" s="31"/>
      <c r="BL489" s="31"/>
      <c r="BM489" s="31"/>
      <c r="BN489" s="31"/>
      <c r="BO489" s="31"/>
      <c r="BP489" s="31"/>
      <c r="BQ489" s="31"/>
      <c r="BR489" s="31"/>
      <c r="BS489" s="31"/>
      <c r="BT489" s="31"/>
      <c r="BU489" s="31"/>
      <c r="BV489" s="31"/>
      <c r="BW489" s="31"/>
    </row>
    <row r="490" spans="6:75">
      <c r="F490" s="31"/>
      <c r="G490" s="31"/>
      <c r="H490" s="64">
        <v>0</v>
      </c>
      <c r="I490" s="66"/>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c r="AZ490" s="31"/>
      <c r="BA490" s="31"/>
      <c r="BB490" s="31"/>
      <c r="BC490" s="31"/>
      <c r="BD490" s="31"/>
      <c r="BE490" s="31"/>
      <c r="BF490" s="31"/>
      <c r="BG490" s="31"/>
      <c r="BH490" s="31"/>
      <c r="BI490" s="31"/>
      <c r="BJ490" s="31"/>
      <c r="BK490" s="31"/>
      <c r="BL490" s="31"/>
      <c r="BM490" s="31"/>
      <c r="BN490" s="31"/>
      <c r="BO490" s="31"/>
      <c r="BP490" s="31"/>
      <c r="BQ490" s="31"/>
      <c r="BR490" s="31"/>
      <c r="BS490" s="31"/>
      <c r="BT490" s="31"/>
      <c r="BU490" s="31"/>
      <c r="BV490" s="31"/>
      <c r="BW490" s="31"/>
    </row>
    <row r="491" spans="6:75">
      <c r="F491" s="31"/>
      <c r="G491" s="31"/>
      <c r="H491" s="64">
        <v>0</v>
      </c>
      <c r="I491" s="66"/>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c r="AY491" s="31"/>
      <c r="AZ491" s="31"/>
      <c r="BA491" s="31"/>
      <c r="BB491" s="31"/>
      <c r="BC491" s="31"/>
      <c r="BD491" s="31"/>
      <c r="BE491" s="31"/>
      <c r="BF491" s="31"/>
      <c r="BG491" s="31"/>
      <c r="BH491" s="31"/>
      <c r="BI491" s="31"/>
      <c r="BJ491" s="31"/>
      <c r="BK491" s="31"/>
      <c r="BL491" s="31"/>
      <c r="BM491" s="31"/>
      <c r="BN491" s="31"/>
      <c r="BO491" s="31"/>
      <c r="BP491" s="31"/>
      <c r="BQ491" s="31"/>
      <c r="BR491" s="31"/>
      <c r="BS491" s="31"/>
      <c r="BT491" s="31"/>
      <c r="BU491" s="31"/>
      <c r="BV491" s="31"/>
      <c r="BW491" s="31"/>
    </row>
    <row r="492" spans="6:75">
      <c r="F492" s="31"/>
      <c r="G492" s="31"/>
      <c r="H492" s="64">
        <v>0</v>
      </c>
      <c r="I492" s="66"/>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c r="AY492" s="31"/>
      <c r="AZ492" s="31"/>
      <c r="BA492" s="31"/>
      <c r="BB492" s="31"/>
      <c r="BC492" s="31"/>
      <c r="BD492" s="31"/>
      <c r="BE492" s="31"/>
      <c r="BF492" s="31"/>
      <c r="BG492" s="31"/>
      <c r="BH492" s="31"/>
      <c r="BI492" s="31"/>
      <c r="BJ492" s="31"/>
      <c r="BK492" s="31"/>
      <c r="BL492" s="31"/>
      <c r="BM492" s="31"/>
      <c r="BN492" s="31"/>
      <c r="BO492" s="31"/>
      <c r="BP492" s="31"/>
      <c r="BQ492" s="31"/>
      <c r="BR492" s="31"/>
      <c r="BS492" s="31"/>
      <c r="BT492" s="31"/>
      <c r="BU492" s="31"/>
      <c r="BV492" s="31"/>
      <c r="BW492" s="31"/>
    </row>
    <row r="493" spans="6:75">
      <c r="F493" s="31"/>
      <c r="G493" s="31"/>
      <c r="H493" s="64">
        <v>0</v>
      </c>
      <c r="I493" s="66"/>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c r="AY493" s="31"/>
      <c r="AZ493" s="31"/>
      <c r="BA493" s="31"/>
      <c r="BB493" s="31"/>
      <c r="BC493" s="31"/>
      <c r="BD493" s="31"/>
      <c r="BE493" s="31"/>
      <c r="BF493" s="31"/>
      <c r="BG493" s="31"/>
      <c r="BH493" s="31"/>
      <c r="BI493" s="31"/>
      <c r="BJ493" s="31"/>
      <c r="BK493" s="31"/>
      <c r="BL493" s="31"/>
      <c r="BM493" s="31"/>
      <c r="BN493" s="31"/>
      <c r="BO493" s="31"/>
      <c r="BP493" s="31"/>
      <c r="BQ493" s="31"/>
      <c r="BR493" s="31"/>
      <c r="BS493" s="31"/>
      <c r="BT493" s="31"/>
      <c r="BU493" s="31"/>
      <c r="BV493" s="31"/>
      <c r="BW493" s="31"/>
    </row>
    <row r="494" spans="6:75">
      <c r="F494" s="31"/>
      <c r="G494" s="31"/>
      <c r="H494" s="64">
        <v>0</v>
      </c>
      <c r="I494" s="66"/>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c r="AY494" s="31"/>
      <c r="AZ494" s="31"/>
      <c r="BA494" s="31"/>
      <c r="BB494" s="31"/>
      <c r="BC494" s="31"/>
      <c r="BD494" s="31"/>
      <c r="BE494" s="31"/>
      <c r="BF494" s="31"/>
      <c r="BG494" s="31"/>
      <c r="BH494" s="31"/>
      <c r="BI494" s="31"/>
      <c r="BJ494" s="31"/>
      <c r="BK494" s="31"/>
      <c r="BL494" s="31"/>
      <c r="BM494" s="31"/>
      <c r="BN494" s="31"/>
      <c r="BO494" s="31"/>
      <c r="BP494" s="31"/>
      <c r="BQ494" s="31"/>
      <c r="BR494" s="31"/>
      <c r="BS494" s="31"/>
      <c r="BT494" s="31"/>
      <c r="BU494" s="31"/>
      <c r="BV494" s="31"/>
      <c r="BW494" s="31"/>
    </row>
    <row r="495" spans="6:75">
      <c r="F495" s="31"/>
      <c r="G495" s="31"/>
      <c r="H495" s="64">
        <v>0</v>
      </c>
      <c r="I495" s="66"/>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c r="AZ495" s="31"/>
      <c r="BA495" s="31"/>
      <c r="BB495" s="31"/>
      <c r="BC495" s="31"/>
      <c r="BD495" s="31"/>
      <c r="BE495" s="31"/>
      <c r="BF495" s="31"/>
      <c r="BG495" s="31"/>
      <c r="BH495" s="31"/>
      <c r="BI495" s="31"/>
      <c r="BJ495" s="31"/>
      <c r="BK495" s="31"/>
      <c r="BL495" s="31"/>
      <c r="BM495" s="31"/>
      <c r="BN495" s="31"/>
      <c r="BO495" s="31"/>
      <c r="BP495" s="31"/>
      <c r="BQ495" s="31"/>
      <c r="BR495" s="31"/>
      <c r="BS495" s="31"/>
      <c r="BT495" s="31"/>
      <c r="BU495" s="31"/>
      <c r="BV495" s="31"/>
      <c r="BW495" s="31"/>
    </row>
    <row r="496" spans="6:75">
      <c r="F496" s="31"/>
      <c r="G496" s="31"/>
      <c r="H496" s="64">
        <v>0</v>
      </c>
      <c r="I496" s="66"/>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c r="AY496" s="31"/>
      <c r="AZ496" s="31"/>
      <c r="BA496" s="31"/>
      <c r="BB496" s="31"/>
      <c r="BC496" s="31"/>
      <c r="BD496" s="31"/>
      <c r="BE496" s="31"/>
      <c r="BF496" s="31"/>
      <c r="BG496" s="31"/>
      <c r="BH496" s="31"/>
      <c r="BI496" s="31"/>
      <c r="BJ496" s="31"/>
      <c r="BK496" s="31"/>
      <c r="BL496" s="31"/>
      <c r="BM496" s="31"/>
      <c r="BN496" s="31"/>
      <c r="BO496" s="31"/>
      <c r="BP496" s="31"/>
      <c r="BQ496" s="31"/>
      <c r="BR496" s="31"/>
      <c r="BS496" s="31"/>
      <c r="BT496" s="31"/>
      <c r="BU496" s="31"/>
      <c r="BV496" s="31"/>
      <c r="BW496" s="31"/>
    </row>
    <row r="497" spans="6:75">
      <c r="F497" s="31"/>
      <c r="G497" s="31"/>
      <c r="H497" s="64">
        <v>0</v>
      </c>
      <c r="I497" s="66"/>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c r="AY497" s="31"/>
      <c r="AZ497" s="31"/>
      <c r="BA497" s="31"/>
      <c r="BB497" s="31"/>
      <c r="BC497" s="31"/>
      <c r="BD497" s="31"/>
      <c r="BE497" s="31"/>
      <c r="BF497" s="31"/>
      <c r="BG497" s="31"/>
      <c r="BH497" s="31"/>
      <c r="BI497" s="31"/>
      <c r="BJ497" s="31"/>
      <c r="BK497" s="31"/>
      <c r="BL497" s="31"/>
      <c r="BM497" s="31"/>
      <c r="BN497" s="31"/>
      <c r="BO497" s="31"/>
      <c r="BP497" s="31"/>
      <c r="BQ497" s="31"/>
      <c r="BR497" s="31"/>
      <c r="BS497" s="31"/>
      <c r="BT497" s="31"/>
      <c r="BU497" s="31"/>
      <c r="BV497" s="31"/>
      <c r="BW497" s="31"/>
    </row>
    <row r="498" spans="6:75">
      <c r="F498" s="31"/>
      <c r="G498" s="31"/>
      <c r="H498" s="64">
        <v>0</v>
      </c>
      <c r="I498" s="66"/>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c r="AY498" s="31"/>
      <c r="AZ498" s="31"/>
      <c r="BA498" s="31"/>
      <c r="BB498" s="31"/>
      <c r="BC498" s="31"/>
      <c r="BD498" s="31"/>
      <c r="BE498" s="31"/>
      <c r="BF498" s="31"/>
      <c r="BG498" s="31"/>
      <c r="BH498" s="31"/>
      <c r="BI498" s="31"/>
      <c r="BJ498" s="31"/>
      <c r="BK498" s="31"/>
      <c r="BL498" s="31"/>
      <c r="BM498" s="31"/>
      <c r="BN498" s="31"/>
      <c r="BO498" s="31"/>
      <c r="BP498" s="31"/>
      <c r="BQ498" s="31"/>
      <c r="BR498" s="31"/>
      <c r="BS498" s="31"/>
      <c r="BT498" s="31"/>
      <c r="BU498" s="31"/>
      <c r="BV498" s="31"/>
      <c r="BW498" s="31"/>
    </row>
    <row r="499" spans="6:75">
      <c r="F499" s="31"/>
      <c r="G499" s="31"/>
      <c r="H499" s="64">
        <v>0</v>
      </c>
      <c r="I499" s="66"/>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c r="AY499" s="31"/>
      <c r="AZ499" s="31"/>
      <c r="BA499" s="31"/>
      <c r="BB499" s="31"/>
      <c r="BC499" s="31"/>
      <c r="BD499" s="31"/>
      <c r="BE499" s="31"/>
      <c r="BF499" s="31"/>
      <c r="BG499" s="31"/>
      <c r="BH499" s="31"/>
      <c r="BI499" s="31"/>
      <c r="BJ499" s="31"/>
      <c r="BK499" s="31"/>
      <c r="BL499" s="31"/>
      <c r="BM499" s="31"/>
      <c r="BN499" s="31"/>
      <c r="BO499" s="31"/>
      <c r="BP499" s="31"/>
      <c r="BQ499" s="31"/>
      <c r="BR499" s="31"/>
      <c r="BS499" s="31"/>
      <c r="BT499" s="31"/>
      <c r="BU499" s="31"/>
      <c r="BV499" s="31"/>
      <c r="BW499" s="31"/>
    </row>
    <row r="500" spans="6:75">
      <c r="F500" s="31"/>
      <c r="G500" s="31"/>
      <c r="H500" s="64">
        <v>0</v>
      </c>
      <c r="I500" s="66"/>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c r="AY500" s="31"/>
      <c r="AZ500" s="31"/>
      <c r="BA500" s="31"/>
      <c r="BB500" s="31"/>
      <c r="BC500" s="31"/>
      <c r="BD500" s="31"/>
      <c r="BE500" s="31"/>
      <c r="BF500" s="31"/>
      <c r="BG500" s="31"/>
      <c r="BH500" s="31"/>
      <c r="BI500" s="31"/>
      <c r="BJ500" s="31"/>
      <c r="BK500" s="31"/>
      <c r="BL500" s="31"/>
      <c r="BM500" s="31"/>
      <c r="BN500" s="31"/>
      <c r="BO500" s="31"/>
      <c r="BP500" s="31"/>
      <c r="BQ500" s="31"/>
      <c r="BR500" s="31"/>
      <c r="BS500" s="31"/>
      <c r="BT500" s="31"/>
      <c r="BU500" s="31"/>
      <c r="BV500" s="31"/>
      <c r="BW500" s="31"/>
    </row>
    <row r="501" spans="6:75">
      <c r="F501" s="31"/>
      <c r="G501" s="31"/>
      <c r="H501" s="64">
        <v>0</v>
      </c>
      <c r="I501" s="66"/>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c r="AZ501" s="31"/>
      <c r="BA501" s="31"/>
      <c r="BB501" s="31"/>
      <c r="BC501" s="31"/>
      <c r="BD501" s="31"/>
      <c r="BE501" s="31"/>
      <c r="BF501" s="31"/>
      <c r="BG501" s="31"/>
      <c r="BH501" s="31"/>
      <c r="BI501" s="31"/>
      <c r="BJ501" s="31"/>
      <c r="BK501" s="31"/>
      <c r="BL501" s="31"/>
      <c r="BM501" s="31"/>
      <c r="BN501" s="31"/>
      <c r="BO501" s="31"/>
      <c r="BP501" s="31"/>
      <c r="BQ501" s="31"/>
      <c r="BR501" s="31"/>
      <c r="BS501" s="31"/>
      <c r="BT501" s="31"/>
      <c r="BU501" s="31"/>
      <c r="BV501" s="31"/>
      <c r="BW501" s="31"/>
    </row>
    <row r="502" spans="6:75">
      <c r="F502" s="31"/>
      <c r="G502" s="31"/>
      <c r="H502" s="64">
        <v>0</v>
      </c>
      <c r="I502" s="66"/>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c r="AY502" s="31"/>
      <c r="AZ502" s="31"/>
      <c r="BA502" s="31"/>
      <c r="BB502" s="31"/>
      <c r="BC502" s="31"/>
      <c r="BD502" s="31"/>
      <c r="BE502" s="31"/>
      <c r="BF502" s="31"/>
      <c r="BG502" s="31"/>
      <c r="BH502" s="31"/>
      <c r="BI502" s="31"/>
      <c r="BJ502" s="31"/>
      <c r="BK502" s="31"/>
      <c r="BL502" s="31"/>
      <c r="BM502" s="31"/>
      <c r="BN502" s="31"/>
      <c r="BO502" s="31"/>
      <c r="BP502" s="31"/>
      <c r="BQ502" s="31"/>
      <c r="BR502" s="31"/>
      <c r="BS502" s="31"/>
      <c r="BT502" s="31"/>
      <c r="BU502" s="31"/>
      <c r="BV502" s="31"/>
      <c r="BW502" s="31"/>
    </row>
    <row r="503" spans="6:75">
      <c r="F503" s="31"/>
      <c r="G503" s="31"/>
      <c r="H503" s="64">
        <v>0</v>
      </c>
      <c r="I503" s="66"/>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c r="AY503" s="31"/>
      <c r="AZ503" s="31"/>
      <c r="BA503" s="31"/>
      <c r="BB503" s="31"/>
      <c r="BC503" s="31"/>
      <c r="BD503" s="31"/>
      <c r="BE503" s="31"/>
      <c r="BF503" s="31"/>
      <c r="BG503" s="31"/>
      <c r="BH503" s="31"/>
      <c r="BI503" s="31"/>
      <c r="BJ503" s="31"/>
      <c r="BK503" s="31"/>
      <c r="BL503" s="31"/>
      <c r="BM503" s="31"/>
      <c r="BN503" s="31"/>
      <c r="BO503" s="31"/>
      <c r="BP503" s="31"/>
      <c r="BQ503" s="31"/>
      <c r="BR503" s="31"/>
      <c r="BS503" s="31"/>
      <c r="BT503" s="31"/>
      <c r="BU503" s="31"/>
      <c r="BV503" s="31"/>
      <c r="BW503" s="31"/>
    </row>
    <row r="504" spans="6:75">
      <c r="F504" s="31"/>
      <c r="G504" s="31"/>
      <c r="H504" s="64">
        <v>0</v>
      </c>
      <c r="I504" s="66"/>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c r="AY504" s="31"/>
      <c r="AZ504" s="31"/>
      <c r="BA504" s="31"/>
      <c r="BB504" s="31"/>
      <c r="BC504" s="31"/>
      <c r="BD504" s="31"/>
      <c r="BE504" s="31"/>
      <c r="BF504" s="31"/>
      <c r="BG504" s="31"/>
      <c r="BH504" s="31"/>
      <c r="BI504" s="31"/>
      <c r="BJ504" s="31"/>
      <c r="BK504" s="31"/>
      <c r="BL504" s="31"/>
      <c r="BM504" s="31"/>
      <c r="BN504" s="31"/>
      <c r="BO504" s="31"/>
      <c r="BP504" s="31"/>
      <c r="BQ504" s="31"/>
      <c r="BR504" s="31"/>
      <c r="BS504" s="31"/>
      <c r="BT504" s="31"/>
      <c r="BU504" s="31"/>
      <c r="BV504" s="31"/>
      <c r="BW504" s="31"/>
    </row>
    <row r="505" spans="6:75">
      <c r="F505" s="31"/>
      <c r="G505" s="31"/>
      <c r="H505" s="64">
        <v>0</v>
      </c>
      <c r="I505" s="66"/>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c r="AZ505" s="31"/>
      <c r="BA505" s="31"/>
      <c r="BB505" s="31"/>
      <c r="BC505" s="31"/>
      <c r="BD505" s="31"/>
      <c r="BE505" s="31"/>
      <c r="BF505" s="31"/>
      <c r="BG505" s="31"/>
      <c r="BH505" s="31"/>
      <c r="BI505" s="31"/>
      <c r="BJ505" s="31"/>
      <c r="BK505" s="31"/>
      <c r="BL505" s="31"/>
      <c r="BM505" s="31"/>
      <c r="BN505" s="31"/>
      <c r="BO505" s="31"/>
      <c r="BP505" s="31"/>
      <c r="BQ505" s="31"/>
      <c r="BR505" s="31"/>
      <c r="BS505" s="31"/>
      <c r="BT505" s="31"/>
      <c r="BU505" s="31"/>
      <c r="BV505" s="31"/>
      <c r="BW505" s="31"/>
    </row>
    <row r="506" spans="6:75">
      <c r="F506" s="31"/>
      <c r="G506" s="31"/>
      <c r="H506" s="64">
        <v>0</v>
      </c>
      <c r="I506" s="66"/>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c r="AZ506" s="31"/>
      <c r="BA506" s="31"/>
      <c r="BB506" s="31"/>
      <c r="BC506" s="31"/>
      <c r="BD506" s="31"/>
      <c r="BE506" s="31"/>
      <c r="BF506" s="31"/>
      <c r="BG506" s="31"/>
      <c r="BH506" s="31"/>
      <c r="BI506" s="31"/>
      <c r="BJ506" s="31"/>
      <c r="BK506" s="31"/>
      <c r="BL506" s="31"/>
      <c r="BM506" s="31"/>
      <c r="BN506" s="31"/>
      <c r="BO506" s="31"/>
      <c r="BP506" s="31"/>
      <c r="BQ506" s="31"/>
      <c r="BR506" s="31"/>
      <c r="BS506" s="31"/>
      <c r="BT506" s="31"/>
      <c r="BU506" s="31"/>
      <c r="BV506" s="31"/>
      <c r="BW506" s="31"/>
    </row>
    <row r="507" spans="6:75">
      <c r="F507" s="31"/>
      <c r="G507" s="31"/>
      <c r="H507" s="64">
        <v>0</v>
      </c>
      <c r="I507" s="66"/>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c r="AY507" s="31"/>
      <c r="AZ507" s="31"/>
      <c r="BA507" s="31"/>
      <c r="BB507" s="31"/>
      <c r="BC507" s="31"/>
      <c r="BD507" s="31"/>
      <c r="BE507" s="31"/>
      <c r="BF507" s="31"/>
      <c r="BG507" s="31"/>
      <c r="BH507" s="31"/>
      <c r="BI507" s="31"/>
      <c r="BJ507" s="31"/>
      <c r="BK507" s="31"/>
      <c r="BL507" s="31"/>
      <c r="BM507" s="31"/>
      <c r="BN507" s="31"/>
      <c r="BO507" s="31"/>
      <c r="BP507" s="31"/>
      <c r="BQ507" s="31"/>
      <c r="BR507" s="31"/>
      <c r="BS507" s="31"/>
      <c r="BT507" s="31"/>
      <c r="BU507" s="31"/>
      <c r="BV507" s="31"/>
      <c r="BW507" s="31"/>
    </row>
    <row r="508" spans="6:75">
      <c r="F508" s="31"/>
      <c r="G508" s="31"/>
      <c r="H508" s="64">
        <v>0</v>
      </c>
      <c r="I508" s="66"/>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c r="AY508" s="31"/>
      <c r="AZ508" s="31"/>
      <c r="BA508" s="31"/>
      <c r="BB508" s="31"/>
      <c r="BC508" s="31"/>
      <c r="BD508" s="31"/>
      <c r="BE508" s="31"/>
      <c r="BF508" s="31"/>
      <c r="BG508" s="31"/>
      <c r="BH508" s="31"/>
      <c r="BI508" s="31"/>
      <c r="BJ508" s="31"/>
      <c r="BK508" s="31"/>
      <c r="BL508" s="31"/>
      <c r="BM508" s="31"/>
      <c r="BN508" s="31"/>
      <c r="BO508" s="31"/>
      <c r="BP508" s="31"/>
      <c r="BQ508" s="31"/>
      <c r="BR508" s="31"/>
      <c r="BS508" s="31"/>
      <c r="BT508" s="31"/>
      <c r="BU508" s="31"/>
      <c r="BV508" s="31"/>
      <c r="BW508" s="31"/>
    </row>
    <row r="509" spans="6:75">
      <c r="F509" s="31"/>
      <c r="G509" s="31"/>
      <c r="H509" s="64">
        <v>0</v>
      </c>
      <c r="I509" s="66"/>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c r="AZ509" s="31"/>
      <c r="BA509" s="31"/>
      <c r="BB509" s="31"/>
      <c r="BC509" s="31"/>
      <c r="BD509" s="31"/>
      <c r="BE509" s="31"/>
      <c r="BF509" s="31"/>
      <c r="BG509" s="31"/>
      <c r="BH509" s="31"/>
      <c r="BI509" s="31"/>
      <c r="BJ509" s="31"/>
      <c r="BK509" s="31"/>
      <c r="BL509" s="31"/>
      <c r="BM509" s="31"/>
      <c r="BN509" s="31"/>
      <c r="BO509" s="31"/>
      <c r="BP509" s="31"/>
      <c r="BQ509" s="31"/>
      <c r="BR509" s="31"/>
      <c r="BS509" s="31"/>
      <c r="BT509" s="31"/>
      <c r="BU509" s="31"/>
      <c r="BV509" s="31"/>
      <c r="BW509" s="31"/>
    </row>
    <row r="510" spans="6:75">
      <c r="F510" s="31"/>
      <c r="G510" s="31"/>
      <c r="H510" s="64">
        <v>0</v>
      </c>
      <c r="I510" s="66"/>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c r="AZ510" s="31"/>
      <c r="BA510" s="31"/>
      <c r="BB510" s="31"/>
      <c r="BC510" s="31"/>
      <c r="BD510" s="31"/>
      <c r="BE510" s="31"/>
      <c r="BF510" s="31"/>
      <c r="BG510" s="31"/>
      <c r="BH510" s="31"/>
      <c r="BI510" s="31"/>
      <c r="BJ510" s="31"/>
      <c r="BK510" s="31"/>
      <c r="BL510" s="31"/>
      <c r="BM510" s="31"/>
      <c r="BN510" s="31"/>
      <c r="BO510" s="31"/>
      <c r="BP510" s="31"/>
      <c r="BQ510" s="31"/>
      <c r="BR510" s="31"/>
      <c r="BS510" s="31"/>
      <c r="BT510" s="31"/>
      <c r="BU510" s="31"/>
      <c r="BV510" s="31"/>
      <c r="BW510" s="31"/>
    </row>
    <row r="511" spans="6:75">
      <c r="F511" s="31"/>
      <c r="G511" s="31"/>
      <c r="H511" s="64">
        <v>0</v>
      </c>
      <c r="I511" s="66"/>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c r="AY511" s="31"/>
      <c r="AZ511" s="31"/>
      <c r="BA511" s="31"/>
      <c r="BB511" s="31"/>
      <c r="BC511" s="31"/>
      <c r="BD511" s="31"/>
      <c r="BE511" s="31"/>
      <c r="BF511" s="31"/>
      <c r="BG511" s="31"/>
      <c r="BH511" s="31"/>
      <c r="BI511" s="31"/>
      <c r="BJ511" s="31"/>
      <c r="BK511" s="31"/>
      <c r="BL511" s="31"/>
      <c r="BM511" s="31"/>
      <c r="BN511" s="31"/>
      <c r="BO511" s="31"/>
      <c r="BP511" s="31"/>
      <c r="BQ511" s="31"/>
      <c r="BR511" s="31"/>
      <c r="BS511" s="31"/>
      <c r="BT511" s="31"/>
      <c r="BU511" s="31"/>
      <c r="BV511" s="31"/>
      <c r="BW511" s="31"/>
    </row>
    <row r="512" spans="6:75">
      <c r="F512" s="31"/>
      <c r="G512" s="31"/>
      <c r="H512" s="64">
        <v>0</v>
      </c>
      <c r="I512" s="66"/>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c r="AZ512" s="31"/>
      <c r="BA512" s="31"/>
      <c r="BB512" s="31"/>
      <c r="BC512" s="31"/>
      <c r="BD512" s="31"/>
      <c r="BE512" s="31"/>
      <c r="BF512" s="31"/>
      <c r="BG512" s="31"/>
      <c r="BH512" s="31"/>
      <c r="BI512" s="31"/>
      <c r="BJ512" s="31"/>
      <c r="BK512" s="31"/>
      <c r="BL512" s="31"/>
      <c r="BM512" s="31"/>
      <c r="BN512" s="31"/>
      <c r="BO512" s="31"/>
      <c r="BP512" s="31"/>
      <c r="BQ512" s="31"/>
      <c r="BR512" s="31"/>
      <c r="BS512" s="31"/>
      <c r="BT512" s="31"/>
      <c r="BU512" s="31"/>
      <c r="BV512" s="31"/>
      <c r="BW512" s="31"/>
    </row>
    <row r="513" spans="6:75">
      <c r="F513" s="31"/>
      <c r="G513" s="31"/>
      <c r="H513" s="64">
        <v>0</v>
      </c>
      <c r="I513" s="66"/>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c r="AZ513" s="31"/>
      <c r="BA513" s="31"/>
      <c r="BB513" s="31"/>
      <c r="BC513" s="31"/>
      <c r="BD513" s="31"/>
      <c r="BE513" s="31"/>
      <c r="BF513" s="31"/>
      <c r="BG513" s="31"/>
      <c r="BH513" s="31"/>
      <c r="BI513" s="31"/>
      <c r="BJ513" s="31"/>
      <c r="BK513" s="31"/>
      <c r="BL513" s="31"/>
      <c r="BM513" s="31"/>
      <c r="BN513" s="31"/>
      <c r="BO513" s="31"/>
      <c r="BP513" s="31"/>
      <c r="BQ513" s="31"/>
      <c r="BR513" s="31"/>
      <c r="BS513" s="31"/>
      <c r="BT513" s="31"/>
      <c r="BU513" s="31"/>
      <c r="BV513" s="31"/>
      <c r="BW513" s="31"/>
    </row>
    <row r="514" spans="6:75">
      <c r="F514" s="31"/>
      <c r="G514" s="31"/>
      <c r="H514" s="64">
        <v>0</v>
      </c>
      <c r="I514" s="66"/>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c r="AZ514" s="31"/>
      <c r="BA514" s="31"/>
      <c r="BB514" s="31"/>
      <c r="BC514" s="31"/>
      <c r="BD514" s="31"/>
      <c r="BE514" s="31"/>
      <c r="BF514" s="31"/>
      <c r="BG514" s="31"/>
      <c r="BH514" s="31"/>
      <c r="BI514" s="31"/>
      <c r="BJ514" s="31"/>
      <c r="BK514" s="31"/>
      <c r="BL514" s="31"/>
      <c r="BM514" s="31"/>
      <c r="BN514" s="31"/>
      <c r="BO514" s="31"/>
      <c r="BP514" s="31"/>
      <c r="BQ514" s="31"/>
      <c r="BR514" s="31"/>
      <c r="BS514" s="31"/>
      <c r="BT514" s="31"/>
      <c r="BU514" s="31"/>
      <c r="BV514" s="31"/>
      <c r="BW514" s="31"/>
    </row>
    <row r="515" spans="6:75">
      <c r="F515" s="31"/>
      <c r="G515" s="31"/>
      <c r="H515" s="64">
        <v>0</v>
      </c>
      <c r="I515" s="66"/>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c r="AZ515" s="31"/>
      <c r="BA515" s="31"/>
      <c r="BB515" s="31"/>
      <c r="BC515" s="31"/>
      <c r="BD515" s="31"/>
      <c r="BE515" s="31"/>
      <c r="BF515" s="31"/>
      <c r="BG515" s="31"/>
      <c r="BH515" s="31"/>
      <c r="BI515" s="31"/>
      <c r="BJ515" s="31"/>
      <c r="BK515" s="31"/>
      <c r="BL515" s="31"/>
      <c r="BM515" s="31"/>
      <c r="BN515" s="31"/>
      <c r="BO515" s="31"/>
      <c r="BP515" s="31"/>
      <c r="BQ515" s="31"/>
      <c r="BR515" s="31"/>
      <c r="BS515" s="31"/>
      <c r="BT515" s="31"/>
      <c r="BU515" s="31"/>
      <c r="BV515" s="31"/>
      <c r="BW515" s="31"/>
    </row>
    <row r="516" spans="6:75">
      <c r="F516" s="31"/>
      <c r="G516" s="31"/>
      <c r="H516" s="64">
        <v>0</v>
      </c>
      <c r="I516" s="66"/>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c r="AZ516" s="31"/>
      <c r="BA516" s="31"/>
      <c r="BB516" s="31"/>
      <c r="BC516" s="31"/>
      <c r="BD516" s="31"/>
      <c r="BE516" s="31"/>
      <c r="BF516" s="31"/>
      <c r="BG516" s="31"/>
      <c r="BH516" s="31"/>
      <c r="BI516" s="31"/>
      <c r="BJ516" s="31"/>
      <c r="BK516" s="31"/>
      <c r="BL516" s="31"/>
      <c r="BM516" s="31"/>
      <c r="BN516" s="31"/>
      <c r="BO516" s="31"/>
      <c r="BP516" s="31"/>
      <c r="BQ516" s="31"/>
      <c r="BR516" s="31"/>
      <c r="BS516" s="31"/>
      <c r="BT516" s="31"/>
      <c r="BU516" s="31"/>
      <c r="BV516" s="31"/>
      <c r="BW516" s="31"/>
    </row>
    <row r="517" spans="6:75">
      <c r="F517" s="31"/>
      <c r="G517" s="31"/>
      <c r="H517" s="64">
        <v>0</v>
      </c>
      <c r="I517" s="66"/>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c r="AY517" s="31"/>
      <c r="AZ517" s="31"/>
      <c r="BA517" s="31"/>
      <c r="BB517" s="31"/>
      <c r="BC517" s="31"/>
      <c r="BD517" s="31"/>
      <c r="BE517" s="31"/>
      <c r="BF517" s="31"/>
      <c r="BG517" s="31"/>
      <c r="BH517" s="31"/>
      <c r="BI517" s="31"/>
      <c r="BJ517" s="31"/>
      <c r="BK517" s="31"/>
      <c r="BL517" s="31"/>
      <c r="BM517" s="31"/>
      <c r="BN517" s="31"/>
      <c r="BO517" s="31"/>
      <c r="BP517" s="31"/>
      <c r="BQ517" s="31"/>
      <c r="BR517" s="31"/>
      <c r="BS517" s="31"/>
      <c r="BT517" s="31"/>
      <c r="BU517" s="31"/>
      <c r="BV517" s="31"/>
      <c r="BW517" s="31"/>
    </row>
    <row r="518" spans="6:75">
      <c r="F518" s="31"/>
      <c r="G518" s="31"/>
      <c r="H518" s="64">
        <v>0</v>
      </c>
      <c r="I518" s="66"/>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c r="AY518" s="31"/>
      <c r="AZ518" s="31"/>
      <c r="BA518" s="31"/>
      <c r="BB518" s="31"/>
      <c r="BC518" s="31"/>
      <c r="BD518" s="31"/>
      <c r="BE518" s="31"/>
      <c r="BF518" s="31"/>
      <c r="BG518" s="31"/>
      <c r="BH518" s="31"/>
      <c r="BI518" s="31"/>
      <c r="BJ518" s="31"/>
      <c r="BK518" s="31"/>
      <c r="BL518" s="31"/>
      <c r="BM518" s="31"/>
      <c r="BN518" s="31"/>
      <c r="BO518" s="31"/>
      <c r="BP518" s="31"/>
      <c r="BQ518" s="31"/>
      <c r="BR518" s="31"/>
      <c r="BS518" s="31"/>
      <c r="BT518" s="31"/>
      <c r="BU518" s="31"/>
      <c r="BV518" s="31"/>
      <c r="BW518" s="31"/>
    </row>
    <row r="519" spans="6:75">
      <c r="F519" s="31"/>
      <c r="G519" s="31"/>
      <c r="H519" s="64">
        <v>0</v>
      </c>
      <c r="I519" s="66"/>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c r="AY519" s="31"/>
      <c r="AZ519" s="31"/>
      <c r="BA519" s="31"/>
      <c r="BB519" s="31"/>
      <c r="BC519" s="31"/>
      <c r="BD519" s="31"/>
      <c r="BE519" s="31"/>
      <c r="BF519" s="31"/>
      <c r="BG519" s="31"/>
      <c r="BH519" s="31"/>
      <c r="BI519" s="31"/>
      <c r="BJ519" s="31"/>
      <c r="BK519" s="31"/>
      <c r="BL519" s="31"/>
      <c r="BM519" s="31"/>
      <c r="BN519" s="31"/>
      <c r="BO519" s="31"/>
      <c r="BP519" s="31"/>
      <c r="BQ519" s="31"/>
      <c r="BR519" s="31"/>
      <c r="BS519" s="31"/>
      <c r="BT519" s="31"/>
      <c r="BU519" s="31"/>
      <c r="BV519" s="31"/>
      <c r="BW519" s="31"/>
    </row>
    <row r="520" spans="6:75">
      <c r="F520" s="31"/>
      <c r="G520" s="31"/>
      <c r="H520" s="64">
        <v>0</v>
      </c>
      <c r="I520" s="66"/>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c r="AZ520" s="31"/>
      <c r="BA520" s="31"/>
      <c r="BB520" s="31"/>
      <c r="BC520" s="31"/>
      <c r="BD520" s="31"/>
      <c r="BE520" s="31"/>
      <c r="BF520" s="31"/>
      <c r="BG520" s="31"/>
      <c r="BH520" s="31"/>
      <c r="BI520" s="31"/>
      <c r="BJ520" s="31"/>
      <c r="BK520" s="31"/>
      <c r="BL520" s="31"/>
      <c r="BM520" s="31"/>
      <c r="BN520" s="31"/>
      <c r="BO520" s="31"/>
      <c r="BP520" s="31"/>
      <c r="BQ520" s="31"/>
      <c r="BR520" s="31"/>
      <c r="BS520" s="31"/>
      <c r="BT520" s="31"/>
      <c r="BU520" s="31"/>
      <c r="BV520" s="31"/>
      <c r="BW520" s="31"/>
    </row>
    <row r="521" spans="6:75">
      <c r="F521" s="31"/>
      <c r="G521" s="31"/>
      <c r="H521" s="64">
        <v>0</v>
      </c>
      <c r="I521" s="66"/>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c r="AZ521" s="31"/>
      <c r="BA521" s="31"/>
      <c r="BB521" s="31"/>
      <c r="BC521" s="31"/>
      <c r="BD521" s="31"/>
      <c r="BE521" s="31"/>
      <c r="BF521" s="31"/>
      <c r="BG521" s="31"/>
      <c r="BH521" s="31"/>
      <c r="BI521" s="31"/>
      <c r="BJ521" s="31"/>
      <c r="BK521" s="31"/>
      <c r="BL521" s="31"/>
      <c r="BM521" s="31"/>
      <c r="BN521" s="31"/>
      <c r="BO521" s="31"/>
      <c r="BP521" s="31"/>
      <c r="BQ521" s="31"/>
      <c r="BR521" s="31"/>
      <c r="BS521" s="31"/>
      <c r="BT521" s="31"/>
      <c r="BU521" s="31"/>
      <c r="BV521" s="31"/>
      <c r="BW521" s="31"/>
    </row>
    <row r="522" spans="6:75">
      <c r="F522" s="31"/>
      <c r="G522" s="31"/>
      <c r="H522" s="64">
        <v>0</v>
      </c>
      <c r="I522" s="66"/>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c r="AY522" s="31"/>
      <c r="AZ522" s="31"/>
      <c r="BA522" s="31"/>
      <c r="BB522" s="31"/>
      <c r="BC522" s="31"/>
      <c r="BD522" s="31"/>
      <c r="BE522" s="31"/>
      <c r="BF522" s="31"/>
      <c r="BG522" s="31"/>
      <c r="BH522" s="31"/>
      <c r="BI522" s="31"/>
      <c r="BJ522" s="31"/>
      <c r="BK522" s="31"/>
      <c r="BL522" s="31"/>
      <c r="BM522" s="31"/>
      <c r="BN522" s="31"/>
      <c r="BO522" s="31"/>
      <c r="BP522" s="31"/>
      <c r="BQ522" s="31"/>
      <c r="BR522" s="31"/>
      <c r="BS522" s="31"/>
      <c r="BT522" s="31"/>
      <c r="BU522" s="31"/>
      <c r="BV522" s="31"/>
      <c r="BW522" s="31"/>
    </row>
    <row r="523" spans="6:75">
      <c r="F523" s="31"/>
      <c r="G523" s="31"/>
      <c r="H523" s="64">
        <v>0</v>
      </c>
      <c r="I523" s="66"/>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c r="AY523" s="31"/>
      <c r="AZ523" s="31"/>
      <c r="BA523" s="31"/>
      <c r="BB523" s="31"/>
      <c r="BC523" s="31"/>
      <c r="BD523" s="31"/>
      <c r="BE523" s="31"/>
      <c r="BF523" s="31"/>
      <c r="BG523" s="31"/>
      <c r="BH523" s="31"/>
      <c r="BI523" s="31"/>
      <c r="BJ523" s="31"/>
      <c r="BK523" s="31"/>
      <c r="BL523" s="31"/>
      <c r="BM523" s="31"/>
      <c r="BN523" s="31"/>
      <c r="BO523" s="31"/>
      <c r="BP523" s="31"/>
      <c r="BQ523" s="31"/>
      <c r="BR523" s="31"/>
      <c r="BS523" s="31"/>
      <c r="BT523" s="31"/>
      <c r="BU523" s="31"/>
      <c r="BV523" s="31"/>
      <c r="BW523" s="31"/>
    </row>
    <row r="524" spans="6:75">
      <c r="F524" s="31"/>
      <c r="G524" s="31"/>
      <c r="H524" s="64">
        <v>0</v>
      </c>
      <c r="I524" s="66"/>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c r="AZ524" s="31"/>
      <c r="BA524" s="31"/>
      <c r="BB524" s="31"/>
      <c r="BC524" s="31"/>
      <c r="BD524" s="31"/>
      <c r="BE524" s="31"/>
      <c r="BF524" s="31"/>
      <c r="BG524" s="31"/>
      <c r="BH524" s="31"/>
      <c r="BI524" s="31"/>
      <c r="BJ524" s="31"/>
      <c r="BK524" s="31"/>
      <c r="BL524" s="31"/>
      <c r="BM524" s="31"/>
      <c r="BN524" s="31"/>
      <c r="BO524" s="31"/>
      <c r="BP524" s="31"/>
      <c r="BQ524" s="31"/>
      <c r="BR524" s="31"/>
      <c r="BS524" s="31"/>
      <c r="BT524" s="31"/>
      <c r="BU524" s="31"/>
      <c r="BV524" s="31"/>
      <c r="BW524" s="31"/>
    </row>
    <row r="525" spans="6:75">
      <c r="F525" s="31"/>
      <c r="G525" s="31"/>
      <c r="H525" s="64">
        <v>0</v>
      </c>
      <c r="I525" s="66"/>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c r="AZ525" s="31"/>
      <c r="BA525" s="31"/>
      <c r="BB525" s="31"/>
      <c r="BC525" s="31"/>
      <c r="BD525" s="31"/>
      <c r="BE525" s="31"/>
      <c r="BF525" s="31"/>
      <c r="BG525" s="31"/>
      <c r="BH525" s="31"/>
      <c r="BI525" s="31"/>
      <c r="BJ525" s="31"/>
      <c r="BK525" s="31"/>
      <c r="BL525" s="31"/>
      <c r="BM525" s="31"/>
      <c r="BN525" s="31"/>
      <c r="BO525" s="31"/>
      <c r="BP525" s="31"/>
      <c r="BQ525" s="31"/>
      <c r="BR525" s="31"/>
      <c r="BS525" s="31"/>
      <c r="BT525" s="31"/>
      <c r="BU525" s="31"/>
      <c r="BV525" s="31"/>
      <c r="BW525" s="31"/>
    </row>
    <row r="526" spans="6:75">
      <c r="F526" s="31"/>
      <c r="G526" s="31"/>
      <c r="H526" s="64">
        <v>0</v>
      </c>
      <c r="I526" s="66"/>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c r="AZ526" s="31"/>
      <c r="BA526" s="31"/>
      <c r="BB526" s="31"/>
      <c r="BC526" s="31"/>
      <c r="BD526" s="31"/>
      <c r="BE526" s="31"/>
      <c r="BF526" s="31"/>
      <c r="BG526" s="31"/>
      <c r="BH526" s="31"/>
      <c r="BI526" s="31"/>
      <c r="BJ526" s="31"/>
      <c r="BK526" s="31"/>
      <c r="BL526" s="31"/>
      <c r="BM526" s="31"/>
      <c r="BN526" s="31"/>
      <c r="BO526" s="31"/>
      <c r="BP526" s="31"/>
      <c r="BQ526" s="31"/>
      <c r="BR526" s="31"/>
      <c r="BS526" s="31"/>
      <c r="BT526" s="31"/>
      <c r="BU526" s="31"/>
      <c r="BV526" s="31"/>
      <c r="BW526" s="31"/>
    </row>
    <row r="527" spans="6:75">
      <c r="F527" s="31"/>
      <c r="G527" s="31"/>
      <c r="H527" s="64">
        <v>0</v>
      </c>
      <c r="I527" s="66"/>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c r="AZ527" s="31"/>
      <c r="BA527" s="31"/>
      <c r="BB527" s="31"/>
      <c r="BC527" s="31"/>
      <c r="BD527" s="31"/>
      <c r="BE527" s="31"/>
      <c r="BF527" s="31"/>
      <c r="BG527" s="31"/>
      <c r="BH527" s="31"/>
      <c r="BI527" s="31"/>
      <c r="BJ527" s="31"/>
      <c r="BK527" s="31"/>
      <c r="BL527" s="31"/>
      <c r="BM527" s="31"/>
      <c r="BN527" s="31"/>
      <c r="BO527" s="31"/>
      <c r="BP527" s="31"/>
      <c r="BQ527" s="31"/>
      <c r="BR527" s="31"/>
      <c r="BS527" s="31"/>
      <c r="BT527" s="31"/>
      <c r="BU527" s="31"/>
      <c r="BV527" s="31"/>
      <c r="BW527" s="31"/>
    </row>
    <row r="528" spans="6:75">
      <c r="F528" s="31"/>
      <c r="G528" s="31"/>
      <c r="H528" s="64">
        <v>0</v>
      </c>
      <c r="I528" s="66"/>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c r="AZ528" s="31"/>
      <c r="BA528" s="31"/>
      <c r="BB528" s="31"/>
      <c r="BC528" s="31"/>
      <c r="BD528" s="31"/>
      <c r="BE528" s="31"/>
      <c r="BF528" s="31"/>
      <c r="BG528" s="31"/>
      <c r="BH528" s="31"/>
      <c r="BI528" s="31"/>
      <c r="BJ528" s="31"/>
      <c r="BK528" s="31"/>
      <c r="BL528" s="31"/>
      <c r="BM528" s="31"/>
      <c r="BN528" s="31"/>
      <c r="BO528" s="31"/>
      <c r="BP528" s="31"/>
      <c r="BQ528" s="31"/>
      <c r="BR528" s="31"/>
      <c r="BS528" s="31"/>
      <c r="BT528" s="31"/>
      <c r="BU528" s="31"/>
      <c r="BV528" s="31"/>
      <c r="BW528" s="31"/>
    </row>
    <row r="529" spans="6:75">
      <c r="F529" s="31"/>
      <c r="G529" s="31"/>
      <c r="H529" s="64">
        <v>0</v>
      </c>
      <c r="I529" s="66"/>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c r="AZ529" s="31"/>
      <c r="BA529" s="31"/>
      <c r="BB529" s="31"/>
      <c r="BC529" s="31"/>
      <c r="BD529" s="31"/>
      <c r="BE529" s="31"/>
      <c r="BF529" s="31"/>
      <c r="BG529" s="31"/>
      <c r="BH529" s="31"/>
      <c r="BI529" s="31"/>
      <c r="BJ529" s="31"/>
      <c r="BK529" s="31"/>
      <c r="BL529" s="31"/>
      <c r="BM529" s="31"/>
      <c r="BN529" s="31"/>
      <c r="BO529" s="31"/>
      <c r="BP529" s="31"/>
      <c r="BQ529" s="31"/>
      <c r="BR529" s="31"/>
      <c r="BS529" s="31"/>
      <c r="BT529" s="31"/>
      <c r="BU529" s="31"/>
      <c r="BV529" s="31"/>
      <c r="BW529" s="31"/>
    </row>
    <row r="530" spans="6:75">
      <c r="F530" s="31"/>
      <c r="G530" s="31"/>
      <c r="H530" s="64">
        <v>0</v>
      </c>
      <c r="I530" s="66"/>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c r="AZ530" s="31"/>
      <c r="BA530" s="31"/>
      <c r="BB530" s="31"/>
      <c r="BC530" s="31"/>
      <c r="BD530" s="31"/>
      <c r="BE530" s="31"/>
      <c r="BF530" s="31"/>
      <c r="BG530" s="31"/>
      <c r="BH530" s="31"/>
      <c r="BI530" s="31"/>
      <c r="BJ530" s="31"/>
      <c r="BK530" s="31"/>
      <c r="BL530" s="31"/>
      <c r="BM530" s="31"/>
      <c r="BN530" s="31"/>
      <c r="BO530" s="31"/>
      <c r="BP530" s="31"/>
      <c r="BQ530" s="31"/>
      <c r="BR530" s="31"/>
      <c r="BS530" s="31"/>
      <c r="BT530" s="31"/>
      <c r="BU530" s="31"/>
      <c r="BV530" s="31"/>
      <c r="BW530" s="31"/>
    </row>
    <row r="531" spans="6:75">
      <c r="F531" s="31"/>
      <c r="G531" s="31"/>
      <c r="H531" s="64">
        <v>0</v>
      </c>
      <c r="I531" s="66"/>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c r="AZ531" s="31"/>
      <c r="BA531" s="31"/>
      <c r="BB531" s="31"/>
      <c r="BC531" s="31"/>
      <c r="BD531" s="31"/>
      <c r="BE531" s="31"/>
      <c r="BF531" s="31"/>
      <c r="BG531" s="31"/>
      <c r="BH531" s="31"/>
      <c r="BI531" s="31"/>
      <c r="BJ531" s="31"/>
      <c r="BK531" s="31"/>
      <c r="BL531" s="31"/>
      <c r="BM531" s="31"/>
      <c r="BN531" s="31"/>
      <c r="BO531" s="31"/>
      <c r="BP531" s="31"/>
      <c r="BQ531" s="31"/>
      <c r="BR531" s="31"/>
      <c r="BS531" s="31"/>
      <c r="BT531" s="31"/>
      <c r="BU531" s="31"/>
      <c r="BV531" s="31"/>
      <c r="BW531" s="31"/>
    </row>
    <row r="532" spans="6:75">
      <c r="F532" s="31"/>
      <c r="G532" s="31"/>
      <c r="H532" s="64">
        <v>0</v>
      </c>
      <c r="I532" s="66"/>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c r="AZ532" s="31"/>
      <c r="BA532" s="31"/>
      <c r="BB532" s="31"/>
      <c r="BC532" s="31"/>
      <c r="BD532" s="31"/>
      <c r="BE532" s="31"/>
      <c r="BF532" s="31"/>
      <c r="BG532" s="31"/>
      <c r="BH532" s="31"/>
      <c r="BI532" s="31"/>
      <c r="BJ532" s="31"/>
      <c r="BK532" s="31"/>
      <c r="BL532" s="31"/>
      <c r="BM532" s="31"/>
      <c r="BN532" s="31"/>
      <c r="BO532" s="31"/>
      <c r="BP532" s="31"/>
      <c r="BQ532" s="31"/>
      <c r="BR532" s="31"/>
      <c r="BS532" s="31"/>
      <c r="BT532" s="31"/>
      <c r="BU532" s="31"/>
      <c r="BV532" s="31"/>
      <c r="BW532" s="31"/>
    </row>
    <row r="533" spans="6:75">
      <c r="F533" s="31"/>
      <c r="G533" s="31"/>
      <c r="H533" s="64">
        <v>0</v>
      </c>
      <c r="I533" s="66"/>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c r="AY533" s="31"/>
      <c r="AZ533" s="31"/>
      <c r="BA533" s="31"/>
      <c r="BB533" s="31"/>
      <c r="BC533" s="31"/>
      <c r="BD533" s="31"/>
      <c r="BE533" s="31"/>
      <c r="BF533" s="31"/>
      <c r="BG533" s="31"/>
      <c r="BH533" s="31"/>
      <c r="BI533" s="31"/>
      <c r="BJ533" s="31"/>
      <c r="BK533" s="31"/>
      <c r="BL533" s="31"/>
      <c r="BM533" s="31"/>
      <c r="BN533" s="31"/>
      <c r="BO533" s="31"/>
      <c r="BP533" s="31"/>
      <c r="BQ533" s="31"/>
      <c r="BR533" s="31"/>
      <c r="BS533" s="31"/>
      <c r="BT533" s="31"/>
      <c r="BU533" s="31"/>
      <c r="BV533" s="31"/>
      <c r="BW533" s="31"/>
    </row>
    <row r="534" spans="6:75">
      <c r="F534" s="31"/>
      <c r="G534" s="31"/>
      <c r="H534" s="64">
        <v>0</v>
      </c>
      <c r="I534" s="66"/>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c r="AY534" s="31"/>
      <c r="AZ534" s="31"/>
      <c r="BA534" s="31"/>
      <c r="BB534" s="31"/>
      <c r="BC534" s="31"/>
      <c r="BD534" s="31"/>
      <c r="BE534" s="31"/>
      <c r="BF534" s="31"/>
      <c r="BG534" s="31"/>
      <c r="BH534" s="31"/>
      <c r="BI534" s="31"/>
      <c r="BJ534" s="31"/>
      <c r="BK534" s="31"/>
      <c r="BL534" s="31"/>
      <c r="BM534" s="31"/>
      <c r="BN534" s="31"/>
      <c r="BO534" s="31"/>
      <c r="BP534" s="31"/>
      <c r="BQ534" s="31"/>
      <c r="BR534" s="31"/>
      <c r="BS534" s="31"/>
      <c r="BT534" s="31"/>
      <c r="BU534" s="31"/>
      <c r="BV534" s="31"/>
      <c r="BW534" s="31"/>
    </row>
    <row r="535" spans="6:75">
      <c r="F535" s="31"/>
      <c r="G535" s="31"/>
      <c r="H535" s="64">
        <v>0</v>
      </c>
      <c r="I535" s="66"/>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c r="AY535" s="31"/>
      <c r="AZ535" s="31"/>
      <c r="BA535" s="31"/>
      <c r="BB535" s="31"/>
      <c r="BC535" s="31"/>
      <c r="BD535" s="31"/>
      <c r="BE535" s="31"/>
      <c r="BF535" s="31"/>
      <c r="BG535" s="31"/>
      <c r="BH535" s="31"/>
      <c r="BI535" s="31"/>
      <c r="BJ535" s="31"/>
      <c r="BK535" s="31"/>
      <c r="BL535" s="31"/>
      <c r="BM535" s="31"/>
      <c r="BN535" s="31"/>
      <c r="BO535" s="31"/>
      <c r="BP535" s="31"/>
      <c r="BQ535" s="31"/>
      <c r="BR535" s="31"/>
      <c r="BS535" s="31"/>
      <c r="BT535" s="31"/>
      <c r="BU535" s="31"/>
      <c r="BV535" s="31"/>
      <c r="BW535" s="31"/>
    </row>
    <row r="536" spans="6:75">
      <c r="F536" s="31"/>
      <c r="G536" s="31"/>
      <c r="H536" s="64"/>
      <c r="I536" s="66"/>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c r="AZ536" s="31"/>
      <c r="BA536" s="31"/>
      <c r="BB536" s="31"/>
      <c r="BC536" s="31"/>
      <c r="BD536" s="31"/>
      <c r="BE536" s="31"/>
      <c r="BF536" s="31"/>
      <c r="BG536" s="31"/>
      <c r="BH536" s="31"/>
      <c r="BI536" s="31"/>
      <c r="BJ536" s="31"/>
      <c r="BK536" s="31"/>
      <c r="BL536" s="31"/>
      <c r="BM536" s="31"/>
      <c r="BN536" s="31"/>
      <c r="BO536" s="31"/>
      <c r="BP536" s="31"/>
      <c r="BQ536" s="31"/>
      <c r="BR536" s="31"/>
      <c r="BS536" s="31"/>
      <c r="BT536" s="31"/>
      <c r="BU536" s="31"/>
      <c r="BV536" s="31"/>
      <c r="BW536" s="31"/>
    </row>
    <row r="537" spans="6:75">
      <c r="F537" s="31"/>
      <c r="G537" s="31"/>
      <c r="H537" s="64"/>
      <c r="I537" s="66"/>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c r="AZ537" s="31"/>
      <c r="BA537" s="31"/>
      <c r="BB537" s="31"/>
      <c r="BC537" s="31"/>
      <c r="BD537" s="31"/>
      <c r="BE537" s="31"/>
      <c r="BF537" s="31"/>
      <c r="BG537" s="31"/>
      <c r="BH537" s="31"/>
      <c r="BI537" s="31"/>
      <c r="BJ537" s="31"/>
      <c r="BK537" s="31"/>
      <c r="BL537" s="31"/>
      <c r="BM537" s="31"/>
      <c r="BN537" s="31"/>
      <c r="BO537" s="31"/>
      <c r="BP537" s="31"/>
      <c r="BQ537" s="31"/>
      <c r="BR537" s="31"/>
      <c r="BS537" s="31"/>
      <c r="BT537" s="31"/>
      <c r="BU537" s="31"/>
      <c r="BV537" s="31"/>
      <c r="BW537" s="31"/>
    </row>
    <row r="538" spans="6:75">
      <c r="F538" s="31"/>
      <c r="G538" s="31"/>
      <c r="H538" s="64"/>
      <c r="I538" s="66"/>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c r="AZ538" s="31"/>
      <c r="BA538" s="31"/>
      <c r="BB538" s="31"/>
      <c r="BC538" s="31"/>
      <c r="BD538" s="31"/>
      <c r="BE538" s="31"/>
      <c r="BF538" s="31"/>
      <c r="BG538" s="31"/>
      <c r="BH538" s="31"/>
      <c r="BI538" s="31"/>
      <c r="BJ538" s="31"/>
      <c r="BK538" s="31"/>
      <c r="BL538" s="31"/>
      <c r="BM538" s="31"/>
      <c r="BN538" s="31"/>
      <c r="BO538" s="31"/>
      <c r="BP538" s="31"/>
      <c r="BQ538" s="31"/>
      <c r="BR538" s="31"/>
      <c r="BS538" s="31"/>
      <c r="BT538" s="31"/>
      <c r="BU538" s="31"/>
      <c r="BV538" s="31"/>
      <c r="BW538" s="31"/>
    </row>
    <row r="539" spans="6:75">
      <c r="F539" s="31"/>
      <c r="G539" s="31"/>
      <c r="H539" s="64"/>
      <c r="I539" s="66"/>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c r="AZ539" s="31"/>
      <c r="BA539" s="31"/>
      <c r="BB539" s="31"/>
      <c r="BC539" s="31"/>
      <c r="BD539" s="31"/>
      <c r="BE539" s="31"/>
      <c r="BF539" s="31"/>
      <c r="BG539" s="31"/>
      <c r="BH539" s="31"/>
      <c r="BI539" s="31"/>
      <c r="BJ539" s="31"/>
      <c r="BK539" s="31"/>
      <c r="BL539" s="31"/>
      <c r="BM539" s="31"/>
      <c r="BN539" s="31"/>
      <c r="BO539" s="31"/>
      <c r="BP539" s="31"/>
      <c r="BQ539" s="31"/>
      <c r="BR539" s="31"/>
      <c r="BS539" s="31"/>
      <c r="BT539" s="31"/>
      <c r="BU539" s="31"/>
      <c r="BV539" s="31"/>
      <c r="BW539" s="31"/>
    </row>
    <row r="540" spans="6:75">
      <c r="F540" s="31"/>
      <c r="G540" s="31"/>
      <c r="H540" s="64"/>
      <c r="I540" s="66"/>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c r="AZ540" s="31"/>
      <c r="BA540" s="31"/>
      <c r="BB540" s="31"/>
      <c r="BC540" s="31"/>
      <c r="BD540" s="31"/>
      <c r="BE540" s="31"/>
      <c r="BF540" s="31"/>
      <c r="BG540" s="31"/>
      <c r="BH540" s="31"/>
      <c r="BI540" s="31"/>
      <c r="BJ540" s="31"/>
      <c r="BK540" s="31"/>
      <c r="BL540" s="31"/>
      <c r="BM540" s="31"/>
      <c r="BN540" s="31"/>
      <c r="BO540" s="31"/>
      <c r="BP540" s="31"/>
      <c r="BQ540" s="31"/>
      <c r="BR540" s="31"/>
      <c r="BS540" s="31"/>
      <c r="BT540" s="31"/>
      <c r="BU540" s="31"/>
      <c r="BV540" s="31"/>
      <c r="BW540" s="31"/>
    </row>
    <row r="541" spans="6:75">
      <c r="F541" s="31"/>
      <c r="G541" s="31"/>
      <c r="H541" s="64"/>
      <c r="I541" s="66"/>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c r="AZ541" s="31"/>
      <c r="BA541" s="31"/>
      <c r="BB541" s="31"/>
      <c r="BC541" s="31"/>
      <c r="BD541" s="31"/>
      <c r="BE541" s="31"/>
      <c r="BF541" s="31"/>
      <c r="BG541" s="31"/>
      <c r="BH541" s="31"/>
      <c r="BI541" s="31"/>
      <c r="BJ541" s="31"/>
      <c r="BK541" s="31"/>
      <c r="BL541" s="31"/>
      <c r="BM541" s="31"/>
      <c r="BN541" s="31"/>
      <c r="BO541" s="31"/>
      <c r="BP541" s="31"/>
      <c r="BQ541" s="31"/>
      <c r="BR541" s="31"/>
      <c r="BS541" s="31"/>
      <c r="BT541" s="31"/>
      <c r="BU541" s="31"/>
      <c r="BV541" s="31"/>
      <c r="BW541" s="31"/>
    </row>
    <row r="542" spans="6:75">
      <c r="F542" s="31"/>
      <c r="G542" s="31"/>
      <c r="H542" s="64"/>
      <c r="I542" s="66"/>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c r="AY542" s="31"/>
      <c r="AZ542" s="31"/>
      <c r="BA542" s="31"/>
      <c r="BB542" s="31"/>
      <c r="BC542" s="31"/>
      <c r="BD542" s="31"/>
      <c r="BE542" s="31"/>
      <c r="BF542" s="31"/>
      <c r="BG542" s="31"/>
      <c r="BH542" s="31"/>
      <c r="BI542" s="31"/>
      <c r="BJ542" s="31"/>
      <c r="BK542" s="31"/>
      <c r="BL542" s="31"/>
      <c r="BM542" s="31"/>
      <c r="BN542" s="31"/>
      <c r="BO542" s="31"/>
      <c r="BP542" s="31"/>
      <c r="BQ542" s="31"/>
      <c r="BR542" s="31"/>
      <c r="BS542" s="31"/>
      <c r="BT542" s="31"/>
      <c r="BU542" s="31"/>
      <c r="BV542" s="31"/>
      <c r="BW542" s="31"/>
    </row>
    <row r="543" spans="6:75">
      <c r="F543" s="31"/>
      <c r="G543" s="31"/>
      <c r="H543" s="64"/>
      <c r="I543" s="66"/>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c r="AY543" s="31"/>
      <c r="AZ543" s="31"/>
      <c r="BA543" s="31"/>
      <c r="BB543" s="31"/>
      <c r="BC543" s="31"/>
      <c r="BD543" s="31"/>
      <c r="BE543" s="31"/>
      <c r="BF543" s="31"/>
      <c r="BG543" s="31"/>
      <c r="BH543" s="31"/>
      <c r="BI543" s="31"/>
      <c r="BJ543" s="31"/>
      <c r="BK543" s="31"/>
      <c r="BL543" s="31"/>
      <c r="BM543" s="31"/>
      <c r="BN543" s="31"/>
      <c r="BO543" s="31"/>
      <c r="BP543" s="31"/>
      <c r="BQ543" s="31"/>
      <c r="BR543" s="31"/>
      <c r="BS543" s="31"/>
      <c r="BT543" s="31"/>
      <c r="BU543" s="31"/>
      <c r="BV543" s="31"/>
      <c r="BW543" s="31"/>
    </row>
    <row r="544" spans="6:75">
      <c r="F544" s="31"/>
      <c r="G544" s="31"/>
      <c r="H544" s="64"/>
      <c r="I544" s="66"/>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c r="AY544" s="31"/>
      <c r="AZ544" s="31"/>
      <c r="BA544" s="31"/>
      <c r="BB544" s="31"/>
      <c r="BC544" s="31"/>
      <c r="BD544" s="31"/>
      <c r="BE544" s="31"/>
      <c r="BF544" s="31"/>
      <c r="BG544" s="31"/>
      <c r="BH544" s="31"/>
      <c r="BI544" s="31"/>
      <c r="BJ544" s="31"/>
      <c r="BK544" s="31"/>
      <c r="BL544" s="31"/>
      <c r="BM544" s="31"/>
      <c r="BN544" s="31"/>
      <c r="BO544" s="31"/>
      <c r="BP544" s="31"/>
      <c r="BQ544" s="31"/>
      <c r="BR544" s="31"/>
      <c r="BS544" s="31"/>
      <c r="BT544" s="31"/>
      <c r="BU544" s="31"/>
      <c r="BV544" s="31"/>
      <c r="BW544" s="31"/>
    </row>
    <row r="545" spans="6:75">
      <c r="F545" s="31"/>
      <c r="G545" s="31"/>
      <c r="H545" s="64"/>
      <c r="I545" s="66"/>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c r="AZ545" s="31"/>
      <c r="BA545" s="31"/>
      <c r="BB545" s="31"/>
      <c r="BC545" s="31"/>
      <c r="BD545" s="31"/>
      <c r="BE545" s="31"/>
      <c r="BF545" s="31"/>
      <c r="BG545" s="31"/>
      <c r="BH545" s="31"/>
      <c r="BI545" s="31"/>
      <c r="BJ545" s="31"/>
      <c r="BK545" s="31"/>
      <c r="BL545" s="31"/>
      <c r="BM545" s="31"/>
      <c r="BN545" s="31"/>
      <c r="BO545" s="31"/>
      <c r="BP545" s="31"/>
      <c r="BQ545" s="31"/>
      <c r="BR545" s="31"/>
      <c r="BS545" s="31"/>
      <c r="BT545" s="31"/>
      <c r="BU545" s="31"/>
      <c r="BV545" s="31"/>
      <c r="BW545" s="31"/>
    </row>
    <row r="546" spans="6:75">
      <c r="F546" s="31"/>
      <c r="G546" s="31"/>
      <c r="H546" s="31"/>
      <c r="I546" s="66"/>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c r="AZ546" s="31"/>
      <c r="BA546" s="31"/>
      <c r="BB546" s="31"/>
      <c r="BC546" s="31"/>
      <c r="BD546" s="31"/>
      <c r="BE546" s="31"/>
      <c r="BF546" s="31"/>
      <c r="BG546" s="31"/>
      <c r="BH546" s="31"/>
      <c r="BI546" s="31"/>
      <c r="BJ546" s="31"/>
      <c r="BK546" s="31"/>
      <c r="BL546" s="31"/>
      <c r="BM546" s="31"/>
      <c r="BN546" s="31"/>
      <c r="BO546" s="31"/>
      <c r="BP546" s="31"/>
      <c r="BQ546" s="31"/>
      <c r="BR546" s="31"/>
      <c r="BS546" s="31"/>
      <c r="BT546" s="31"/>
      <c r="BU546" s="31"/>
      <c r="BV546" s="31"/>
      <c r="BW546" s="31"/>
    </row>
    <row r="547" spans="6:75">
      <c r="F547" s="31"/>
      <c r="G547" s="31"/>
      <c r="H547" s="31"/>
      <c r="I547" s="66"/>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c r="AZ547" s="31"/>
      <c r="BA547" s="31"/>
      <c r="BB547" s="31"/>
      <c r="BC547" s="31"/>
      <c r="BD547" s="31"/>
      <c r="BE547" s="31"/>
      <c r="BF547" s="31"/>
      <c r="BG547" s="31"/>
      <c r="BH547" s="31"/>
      <c r="BI547" s="31"/>
      <c r="BJ547" s="31"/>
      <c r="BK547" s="31"/>
      <c r="BL547" s="31"/>
      <c r="BM547" s="31"/>
      <c r="BN547" s="31"/>
      <c r="BO547" s="31"/>
      <c r="BP547" s="31"/>
      <c r="BQ547" s="31"/>
      <c r="BR547" s="31"/>
      <c r="BS547" s="31"/>
      <c r="BT547" s="31"/>
      <c r="BU547" s="31"/>
      <c r="BV547" s="31"/>
      <c r="BW547" s="31"/>
    </row>
    <row r="548" spans="6:75">
      <c r="F548" s="31"/>
      <c r="G548" s="31"/>
      <c r="H548" s="31"/>
      <c r="I548" s="66"/>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c r="AZ548" s="31"/>
      <c r="BA548" s="31"/>
      <c r="BB548" s="31"/>
      <c r="BC548" s="31"/>
      <c r="BD548" s="31"/>
      <c r="BE548" s="31"/>
      <c r="BF548" s="31"/>
      <c r="BG548" s="31"/>
      <c r="BH548" s="31"/>
      <c r="BI548" s="31"/>
      <c r="BJ548" s="31"/>
      <c r="BK548" s="31"/>
      <c r="BL548" s="31"/>
      <c r="BM548" s="31"/>
      <c r="BN548" s="31"/>
      <c r="BO548" s="31"/>
      <c r="BP548" s="31"/>
      <c r="BQ548" s="31"/>
      <c r="BR548" s="31"/>
      <c r="BS548" s="31"/>
      <c r="BT548" s="31"/>
      <c r="BU548" s="31"/>
      <c r="BV548" s="31"/>
      <c r="BW548" s="31"/>
    </row>
    <row r="549" spans="6:75">
      <c r="F549" s="31"/>
      <c r="G549" s="31"/>
      <c r="H549" s="31"/>
      <c r="I549" s="66"/>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c r="AZ549" s="31"/>
      <c r="BA549" s="31"/>
      <c r="BB549" s="31"/>
      <c r="BC549" s="31"/>
      <c r="BD549" s="31"/>
      <c r="BE549" s="31"/>
      <c r="BF549" s="31"/>
      <c r="BG549" s="31"/>
      <c r="BH549" s="31"/>
      <c r="BI549" s="31"/>
      <c r="BJ549" s="31"/>
      <c r="BK549" s="31"/>
      <c r="BL549" s="31"/>
      <c r="BM549" s="31"/>
      <c r="BN549" s="31"/>
      <c r="BO549" s="31"/>
      <c r="BP549" s="31"/>
      <c r="BQ549" s="31"/>
      <c r="BR549" s="31"/>
      <c r="BS549" s="31"/>
      <c r="BT549" s="31"/>
      <c r="BU549" s="31"/>
      <c r="BV549" s="31"/>
      <c r="BW549" s="31"/>
    </row>
    <row r="550" spans="6:75">
      <c r="F550" s="31"/>
      <c r="G550" s="31"/>
      <c r="H550" s="31"/>
      <c r="I550" s="66"/>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c r="BB550" s="31"/>
      <c r="BC550" s="31"/>
      <c r="BD550" s="31"/>
      <c r="BE550" s="31"/>
      <c r="BF550" s="31"/>
      <c r="BG550" s="31"/>
      <c r="BH550" s="31"/>
      <c r="BI550" s="31"/>
      <c r="BJ550" s="31"/>
      <c r="BK550" s="31"/>
      <c r="BL550" s="31"/>
      <c r="BM550" s="31"/>
      <c r="BN550" s="31"/>
      <c r="BO550" s="31"/>
      <c r="BP550" s="31"/>
      <c r="BQ550" s="31"/>
      <c r="BR550" s="31"/>
      <c r="BS550" s="31"/>
      <c r="BT550" s="31"/>
      <c r="BU550" s="31"/>
      <c r="BV550" s="31"/>
      <c r="BW550" s="31"/>
    </row>
    <row r="551" spans="6:75">
      <c r="F551" s="31"/>
      <c r="G551" s="31"/>
      <c r="H551" s="31"/>
      <c r="I551" s="66"/>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c r="AZ551" s="31"/>
      <c r="BA551" s="31"/>
      <c r="BB551" s="31"/>
      <c r="BC551" s="31"/>
      <c r="BD551" s="31"/>
      <c r="BE551" s="31"/>
      <c r="BF551" s="31"/>
      <c r="BG551" s="31"/>
      <c r="BH551" s="31"/>
      <c r="BI551" s="31"/>
      <c r="BJ551" s="31"/>
      <c r="BK551" s="31"/>
      <c r="BL551" s="31"/>
      <c r="BM551" s="31"/>
      <c r="BN551" s="31"/>
      <c r="BO551" s="31"/>
      <c r="BP551" s="31"/>
      <c r="BQ551" s="31"/>
      <c r="BR551" s="31"/>
      <c r="BS551" s="31"/>
      <c r="BT551" s="31"/>
      <c r="BU551" s="31"/>
      <c r="BV551" s="31"/>
      <c r="BW551" s="31"/>
    </row>
    <row r="552" spans="6:75">
      <c r="F552" s="31"/>
      <c r="G552" s="31"/>
      <c r="H552" s="31"/>
      <c r="I552" s="66"/>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c r="BB552" s="31"/>
      <c r="BC552" s="31"/>
      <c r="BD552" s="31"/>
      <c r="BE552" s="31"/>
      <c r="BF552" s="31"/>
      <c r="BG552" s="31"/>
      <c r="BH552" s="31"/>
      <c r="BI552" s="31"/>
      <c r="BJ552" s="31"/>
      <c r="BK552" s="31"/>
      <c r="BL552" s="31"/>
      <c r="BM552" s="31"/>
      <c r="BN552" s="31"/>
      <c r="BO552" s="31"/>
      <c r="BP552" s="31"/>
      <c r="BQ552" s="31"/>
      <c r="BR552" s="31"/>
      <c r="BS552" s="31"/>
      <c r="BT552" s="31"/>
      <c r="BU552" s="31"/>
      <c r="BV552" s="31"/>
      <c r="BW552" s="31"/>
    </row>
    <row r="553" spans="6:75">
      <c r="F553" s="31"/>
      <c r="G553" s="31"/>
      <c r="H553" s="31"/>
      <c r="I553" s="66"/>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c r="AZ553" s="31"/>
      <c r="BA553" s="31"/>
      <c r="BB553" s="31"/>
      <c r="BC553" s="31"/>
      <c r="BD553" s="31"/>
      <c r="BE553" s="31"/>
      <c r="BF553" s="31"/>
      <c r="BG553" s="31"/>
      <c r="BH553" s="31"/>
      <c r="BI553" s="31"/>
      <c r="BJ553" s="31"/>
      <c r="BK553" s="31"/>
      <c r="BL553" s="31"/>
      <c r="BM553" s="31"/>
      <c r="BN553" s="31"/>
      <c r="BO553" s="31"/>
      <c r="BP553" s="31"/>
      <c r="BQ553" s="31"/>
      <c r="BR553" s="31"/>
      <c r="BS553" s="31"/>
      <c r="BT553" s="31"/>
      <c r="BU553" s="31"/>
      <c r="BV553" s="31"/>
      <c r="BW553" s="31"/>
    </row>
    <row r="554" spans="6:75">
      <c r="F554" s="31"/>
      <c r="G554" s="31"/>
      <c r="H554" s="31"/>
      <c r="I554" s="66"/>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c r="AY554" s="31"/>
      <c r="AZ554" s="31"/>
      <c r="BA554" s="31"/>
      <c r="BB554" s="31"/>
      <c r="BC554" s="31"/>
      <c r="BD554" s="31"/>
      <c r="BE554" s="31"/>
      <c r="BF554" s="31"/>
      <c r="BG554" s="31"/>
      <c r="BH554" s="31"/>
      <c r="BI554" s="31"/>
      <c r="BJ554" s="31"/>
      <c r="BK554" s="31"/>
      <c r="BL554" s="31"/>
      <c r="BM554" s="31"/>
      <c r="BN554" s="31"/>
      <c r="BO554" s="31"/>
      <c r="BP554" s="31"/>
      <c r="BQ554" s="31"/>
      <c r="BR554" s="31"/>
      <c r="BS554" s="31"/>
      <c r="BT554" s="31"/>
      <c r="BU554" s="31"/>
      <c r="BV554" s="31"/>
      <c r="BW554" s="31"/>
    </row>
    <row r="555" spans="6:75">
      <c r="F555" s="31"/>
      <c r="G555" s="31"/>
      <c r="H555" s="31"/>
      <c r="I555" s="66"/>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c r="AN555" s="31"/>
      <c r="AO555" s="31"/>
      <c r="AP555" s="31"/>
      <c r="AQ555" s="31"/>
      <c r="AR555" s="31"/>
      <c r="AS555" s="31"/>
      <c r="AT555" s="31"/>
      <c r="AU555" s="31"/>
      <c r="AV555" s="31"/>
      <c r="AW555" s="31"/>
      <c r="AX555" s="31"/>
      <c r="AY555" s="31"/>
      <c r="AZ555" s="31"/>
      <c r="BA555" s="31"/>
      <c r="BB555" s="31"/>
      <c r="BC555" s="31"/>
      <c r="BD555" s="31"/>
      <c r="BE555" s="31"/>
      <c r="BF555" s="31"/>
      <c r="BG555" s="31"/>
      <c r="BH555" s="31"/>
      <c r="BI555" s="31"/>
      <c r="BJ555" s="31"/>
      <c r="BK555" s="31"/>
      <c r="BL555" s="31"/>
      <c r="BM555" s="31"/>
      <c r="BN555" s="31"/>
      <c r="BO555" s="31"/>
      <c r="BP555" s="31"/>
      <c r="BQ555" s="31"/>
      <c r="BR555" s="31"/>
      <c r="BS555" s="31"/>
      <c r="BT555" s="31"/>
      <c r="BU555" s="31"/>
      <c r="BV555" s="31"/>
      <c r="BW555" s="31"/>
    </row>
    <row r="556" spans="6:75">
      <c r="F556" s="31"/>
      <c r="G556" s="31"/>
      <c r="H556" s="31"/>
      <c r="I556" s="66"/>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c r="AN556" s="31"/>
      <c r="AO556" s="31"/>
      <c r="AP556" s="31"/>
      <c r="AQ556" s="31"/>
      <c r="AR556" s="31"/>
      <c r="AS556" s="31"/>
      <c r="AT556" s="31"/>
      <c r="AU556" s="31"/>
      <c r="AV556" s="31"/>
      <c r="AW556" s="31"/>
      <c r="AX556" s="31"/>
      <c r="AY556" s="31"/>
      <c r="AZ556" s="31"/>
      <c r="BA556" s="31"/>
      <c r="BB556" s="31"/>
      <c r="BC556" s="31"/>
      <c r="BD556" s="31"/>
      <c r="BE556" s="31"/>
      <c r="BF556" s="31"/>
      <c r="BG556" s="31"/>
      <c r="BH556" s="31"/>
      <c r="BI556" s="31"/>
      <c r="BJ556" s="31"/>
      <c r="BK556" s="31"/>
      <c r="BL556" s="31"/>
      <c r="BM556" s="31"/>
      <c r="BN556" s="31"/>
      <c r="BO556" s="31"/>
      <c r="BP556" s="31"/>
      <c r="BQ556" s="31"/>
      <c r="BR556" s="31"/>
      <c r="BS556" s="31"/>
      <c r="BT556" s="31"/>
      <c r="BU556" s="31"/>
      <c r="BV556" s="31"/>
      <c r="BW556" s="31"/>
    </row>
    <row r="557" spans="6:75">
      <c r="F557" s="31"/>
      <c r="G557" s="31"/>
      <c r="H557" s="31"/>
      <c r="I557" s="66"/>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c r="AN557" s="31"/>
      <c r="AO557" s="31"/>
      <c r="AP557" s="31"/>
      <c r="AQ557" s="31"/>
      <c r="AR557" s="31"/>
      <c r="AS557" s="31"/>
      <c r="AT557" s="31"/>
      <c r="AU557" s="31"/>
      <c r="AV557" s="31"/>
      <c r="AW557" s="31"/>
      <c r="AX557" s="31"/>
      <c r="AY557" s="31"/>
      <c r="AZ557" s="31"/>
      <c r="BA557" s="31"/>
      <c r="BB557" s="31"/>
      <c r="BC557" s="31"/>
      <c r="BD557" s="31"/>
      <c r="BE557" s="31"/>
      <c r="BF557" s="31"/>
      <c r="BG557" s="31"/>
      <c r="BH557" s="31"/>
      <c r="BI557" s="31"/>
      <c r="BJ557" s="31"/>
      <c r="BK557" s="31"/>
      <c r="BL557" s="31"/>
      <c r="BM557" s="31"/>
      <c r="BN557" s="31"/>
      <c r="BO557" s="31"/>
      <c r="BP557" s="31"/>
      <c r="BQ557" s="31"/>
      <c r="BR557" s="31"/>
      <c r="BS557" s="31"/>
      <c r="BT557" s="31"/>
      <c r="BU557" s="31"/>
      <c r="BV557" s="31"/>
      <c r="BW557" s="31"/>
    </row>
    <row r="558" spans="6:75">
      <c r="F558" s="31"/>
      <c r="G558" s="31"/>
      <c r="H558" s="31"/>
      <c r="I558" s="66"/>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c r="AN558" s="31"/>
      <c r="AO558" s="31"/>
      <c r="AP558" s="31"/>
      <c r="AQ558" s="31"/>
      <c r="AR558" s="31"/>
      <c r="AS558" s="31"/>
      <c r="AT558" s="31"/>
      <c r="AU558" s="31"/>
      <c r="AV558" s="31"/>
      <c r="AW558" s="31"/>
      <c r="AX558" s="31"/>
      <c r="AY558" s="31"/>
      <c r="AZ558" s="31"/>
      <c r="BA558" s="31"/>
      <c r="BB558" s="31"/>
      <c r="BC558" s="31"/>
      <c r="BD558" s="31"/>
      <c r="BE558" s="31"/>
      <c r="BF558" s="31"/>
      <c r="BG558" s="31"/>
      <c r="BH558" s="31"/>
      <c r="BI558" s="31"/>
      <c r="BJ558" s="31"/>
      <c r="BK558" s="31"/>
      <c r="BL558" s="31"/>
      <c r="BM558" s="31"/>
      <c r="BN558" s="31"/>
      <c r="BO558" s="31"/>
      <c r="BP558" s="31"/>
      <c r="BQ558" s="31"/>
      <c r="BR558" s="31"/>
      <c r="BS558" s="31"/>
      <c r="BT558" s="31"/>
      <c r="BU558" s="31"/>
      <c r="BV558" s="31"/>
      <c r="BW558" s="31"/>
    </row>
    <row r="559" spans="6:75">
      <c r="F559" s="31"/>
      <c r="G559" s="31"/>
      <c r="H559" s="31"/>
      <c r="I559" s="66"/>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c r="AN559" s="31"/>
      <c r="AO559" s="31"/>
      <c r="AP559" s="31"/>
      <c r="AQ559" s="31"/>
      <c r="AR559" s="31"/>
      <c r="AS559" s="31"/>
      <c r="AT559" s="31"/>
      <c r="AU559" s="31"/>
      <c r="AV559" s="31"/>
      <c r="AW559" s="31"/>
      <c r="AX559" s="31"/>
      <c r="AY559" s="31"/>
      <c r="AZ559" s="31"/>
      <c r="BA559" s="31"/>
      <c r="BB559" s="31"/>
      <c r="BC559" s="31"/>
      <c r="BD559" s="31"/>
      <c r="BE559" s="31"/>
      <c r="BF559" s="31"/>
      <c r="BG559" s="31"/>
      <c r="BH559" s="31"/>
      <c r="BI559" s="31"/>
      <c r="BJ559" s="31"/>
      <c r="BK559" s="31"/>
      <c r="BL559" s="31"/>
      <c r="BM559" s="31"/>
      <c r="BN559" s="31"/>
      <c r="BO559" s="31"/>
      <c r="BP559" s="31"/>
      <c r="BQ559" s="31"/>
      <c r="BR559" s="31"/>
      <c r="BS559" s="31"/>
      <c r="BT559" s="31"/>
      <c r="BU559" s="31"/>
      <c r="BV559" s="31"/>
      <c r="BW559" s="31"/>
    </row>
    <row r="560" spans="6:75">
      <c r="F560" s="31"/>
      <c r="G560" s="31"/>
      <c r="H560" s="31"/>
      <c r="I560" s="66"/>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c r="AN560" s="31"/>
      <c r="AO560" s="31"/>
      <c r="AP560" s="31"/>
      <c r="AQ560" s="31"/>
      <c r="AR560" s="31"/>
      <c r="AS560" s="31"/>
      <c r="AT560" s="31"/>
      <c r="AU560" s="31"/>
      <c r="AV560" s="31"/>
      <c r="AW560" s="31"/>
      <c r="AX560" s="31"/>
      <c r="AY560" s="31"/>
      <c r="AZ560" s="31"/>
      <c r="BA560" s="31"/>
      <c r="BB560" s="31"/>
      <c r="BC560" s="31"/>
      <c r="BD560" s="31"/>
      <c r="BE560" s="31"/>
      <c r="BF560" s="31"/>
      <c r="BG560" s="31"/>
      <c r="BH560" s="31"/>
      <c r="BI560" s="31"/>
      <c r="BJ560" s="31"/>
      <c r="BK560" s="31"/>
      <c r="BL560" s="31"/>
      <c r="BM560" s="31"/>
      <c r="BN560" s="31"/>
      <c r="BO560" s="31"/>
      <c r="BP560" s="31"/>
      <c r="BQ560" s="31"/>
      <c r="BR560" s="31"/>
      <c r="BS560" s="31"/>
      <c r="BT560" s="31"/>
      <c r="BU560" s="31"/>
      <c r="BV560" s="31"/>
      <c r="BW560" s="31"/>
    </row>
    <row r="561" spans="6:75">
      <c r="F561" s="31"/>
      <c r="G561" s="31"/>
      <c r="H561" s="31"/>
      <c r="I561" s="66"/>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c r="AN561" s="31"/>
      <c r="AO561" s="31"/>
      <c r="AP561" s="31"/>
      <c r="AQ561" s="31"/>
      <c r="AR561" s="31"/>
      <c r="AS561" s="31"/>
      <c r="AT561" s="31"/>
      <c r="AU561" s="31"/>
      <c r="AV561" s="31"/>
      <c r="AW561" s="31"/>
      <c r="AX561" s="31"/>
      <c r="AY561" s="31"/>
      <c r="AZ561" s="31"/>
      <c r="BA561" s="31"/>
      <c r="BB561" s="31"/>
      <c r="BC561" s="31"/>
      <c r="BD561" s="31"/>
      <c r="BE561" s="31"/>
      <c r="BF561" s="31"/>
      <c r="BG561" s="31"/>
      <c r="BH561" s="31"/>
      <c r="BI561" s="31"/>
      <c r="BJ561" s="31"/>
      <c r="BK561" s="31"/>
      <c r="BL561" s="31"/>
      <c r="BM561" s="31"/>
      <c r="BN561" s="31"/>
      <c r="BO561" s="31"/>
      <c r="BP561" s="31"/>
      <c r="BQ561" s="31"/>
      <c r="BR561" s="31"/>
      <c r="BS561" s="31"/>
      <c r="BT561" s="31"/>
      <c r="BU561" s="31"/>
      <c r="BV561" s="31"/>
      <c r="BW561" s="31"/>
    </row>
    <row r="562" spans="6:75">
      <c r="F562" s="31"/>
      <c r="G562" s="31"/>
      <c r="H562" s="31"/>
      <c r="I562" s="66"/>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c r="AY562" s="31"/>
      <c r="AZ562" s="31"/>
      <c r="BA562" s="31"/>
      <c r="BB562" s="31"/>
      <c r="BC562" s="31"/>
      <c r="BD562" s="31"/>
      <c r="BE562" s="31"/>
      <c r="BF562" s="31"/>
      <c r="BG562" s="31"/>
      <c r="BH562" s="31"/>
      <c r="BI562" s="31"/>
      <c r="BJ562" s="31"/>
      <c r="BK562" s="31"/>
      <c r="BL562" s="31"/>
      <c r="BM562" s="31"/>
      <c r="BN562" s="31"/>
      <c r="BO562" s="31"/>
      <c r="BP562" s="31"/>
      <c r="BQ562" s="31"/>
      <c r="BR562" s="31"/>
      <c r="BS562" s="31"/>
      <c r="BT562" s="31"/>
      <c r="BU562" s="31"/>
      <c r="BV562" s="31"/>
      <c r="BW562" s="31"/>
    </row>
    <row r="563" spans="6:75">
      <c r="F563" s="31"/>
      <c r="G563" s="31"/>
      <c r="H563" s="31"/>
      <c r="I563" s="66"/>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c r="AY563" s="31"/>
      <c r="AZ563" s="31"/>
      <c r="BA563" s="31"/>
      <c r="BB563" s="31"/>
      <c r="BC563" s="31"/>
      <c r="BD563" s="31"/>
      <c r="BE563" s="31"/>
      <c r="BF563" s="31"/>
      <c r="BG563" s="31"/>
      <c r="BH563" s="31"/>
      <c r="BI563" s="31"/>
      <c r="BJ563" s="31"/>
      <c r="BK563" s="31"/>
      <c r="BL563" s="31"/>
      <c r="BM563" s="31"/>
      <c r="BN563" s="31"/>
      <c r="BO563" s="31"/>
      <c r="BP563" s="31"/>
      <c r="BQ563" s="31"/>
      <c r="BR563" s="31"/>
      <c r="BS563" s="31"/>
      <c r="BT563" s="31"/>
      <c r="BU563" s="31"/>
      <c r="BV563" s="31"/>
      <c r="BW563" s="31"/>
    </row>
    <row r="564" spans="6:75">
      <c r="F564" s="31"/>
      <c r="G564" s="31"/>
      <c r="H564" s="31"/>
      <c r="I564" s="66"/>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c r="AN564" s="31"/>
      <c r="AO564" s="31"/>
      <c r="AP564" s="31"/>
      <c r="AQ564" s="31"/>
      <c r="AR564" s="31"/>
      <c r="AS564" s="31"/>
      <c r="AT564" s="31"/>
      <c r="AU564" s="31"/>
      <c r="AV564" s="31"/>
      <c r="AW564" s="31"/>
      <c r="AX564" s="31"/>
      <c r="AY564" s="31"/>
      <c r="AZ564" s="31"/>
      <c r="BA564" s="31"/>
      <c r="BB564" s="31"/>
      <c r="BC564" s="31"/>
      <c r="BD564" s="31"/>
      <c r="BE564" s="31"/>
      <c r="BF564" s="31"/>
      <c r="BG564" s="31"/>
      <c r="BH564" s="31"/>
      <c r="BI564" s="31"/>
      <c r="BJ564" s="31"/>
      <c r="BK564" s="31"/>
      <c r="BL564" s="31"/>
      <c r="BM564" s="31"/>
      <c r="BN564" s="31"/>
      <c r="BO564" s="31"/>
      <c r="BP564" s="31"/>
      <c r="BQ564" s="31"/>
      <c r="BR564" s="31"/>
      <c r="BS564" s="31"/>
      <c r="BT564" s="31"/>
      <c r="BU564" s="31"/>
      <c r="BV564" s="31"/>
      <c r="BW564" s="31"/>
    </row>
    <row r="565" spans="6:75">
      <c r="F565" s="31"/>
      <c r="G565" s="31"/>
      <c r="H565" s="31"/>
      <c r="I565" s="66"/>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c r="AN565" s="31"/>
      <c r="AO565" s="31"/>
      <c r="AP565" s="31"/>
      <c r="AQ565" s="31"/>
      <c r="AR565" s="31"/>
      <c r="AS565" s="31"/>
      <c r="AT565" s="31"/>
      <c r="AU565" s="31"/>
      <c r="AV565" s="31"/>
      <c r="AW565" s="31"/>
      <c r="AX565" s="31"/>
      <c r="AY565" s="31"/>
      <c r="AZ565" s="31"/>
      <c r="BA565" s="31"/>
      <c r="BB565" s="31"/>
      <c r="BC565" s="31"/>
      <c r="BD565" s="31"/>
      <c r="BE565" s="31"/>
      <c r="BF565" s="31"/>
      <c r="BG565" s="31"/>
      <c r="BH565" s="31"/>
      <c r="BI565" s="31"/>
      <c r="BJ565" s="31"/>
      <c r="BK565" s="31"/>
      <c r="BL565" s="31"/>
      <c r="BM565" s="31"/>
      <c r="BN565" s="31"/>
      <c r="BO565" s="31"/>
      <c r="BP565" s="31"/>
      <c r="BQ565" s="31"/>
      <c r="BR565" s="31"/>
      <c r="BS565" s="31"/>
      <c r="BT565" s="31"/>
      <c r="BU565" s="31"/>
      <c r="BV565" s="31"/>
      <c r="BW565" s="31"/>
    </row>
    <row r="566" spans="6:75">
      <c r="F566" s="31"/>
      <c r="G566" s="31"/>
      <c r="H566" s="31"/>
      <c r="I566" s="66"/>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c r="AN566" s="31"/>
      <c r="AO566" s="31"/>
      <c r="AP566" s="31"/>
      <c r="AQ566" s="31"/>
      <c r="AR566" s="31"/>
      <c r="AS566" s="31"/>
      <c r="AT566" s="31"/>
      <c r="AU566" s="31"/>
      <c r="AV566" s="31"/>
      <c r="AW566" s="31"/>
      <c r="AX566" s="31"/>
      <c r="AY566" s="31"/>
      <c r="AZ566" s="31"/>
      <c r="BA566" s="31"/>
      <c r="BB566" s="31"/>
      <c r="BC566" s="31"/>
      <c r="BD566" s="31"/>
      <c r="BE566" s="31"/>
      <c r="BF566" s="31"/>
      <c r="BG566" s="31"/>
      <c r="BH566" s="31"/>
      <c r="BI566" s="31"/>
      <c r="BJ566" s="31"/>
      <c r="BK566" s="31"/>
      <c r="BL566" s="31"/>
      <c r="BM566" s="31"/>
      <c r="BN566" s="31"/>
      <c r="BO566" s="31"/>
      <c r="BP566" s="31"/>
      <c r="BQ566" s="31"/>
      <c r="BR566" s="31"/>
      <c r="BS566" s="31"/>
      <c r="BT566" s="31"/>
      <c r="BU566" s="31"/>
      <c r="BV566" s="31"/>
      <c r="BW566" s="31"/>
    </row>
    <row r="567" spans="6:75">
      <c r="F567" s="31"/>
      <c r="G567" s="31"/>
      <c r="H567" s="31"/>
      <c r="I567" s="66"/>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c r="AO567" s="31"/>
      <c r="AP567" s="31"/>
      <c r="AQ567" s="31"/>
      <c r="AR567" s="31"/>
      <c r="AS567" s="31"/>
      <c r="AT567" s="31"/>
      <c r="AU567" s="31"/>
      <c r="AV567" s="31"/>
      <c r="AW567" s="31"/>
      <c r="AX567" s="31"/>
      <c r="AY567" s="31"/>
      <c r="AZ567" s="31"/>
      <c r="BA567" s="31"/>
      <c r="BB567" s="31"/>
      <c r="BC567" s="31"/>
      <c r="BD567" s="31"/>
      <c r="BE567" s="31"/>
      <c r="BF567" s="31"/>
      <c r="BG567" s="31"/>
      <c r="BH567" s="31"/>
      <c r="BI567" s="31"/>
      <c r="BJ567" s="31"/>
      <c r="BK567" s="31"/>
      <c r="BL567" s="31"/>
      <c r="BM567" s="31"/>
      <c r="BN567" s="31"/>
      <c r="BO567" s="31"/>
      <c r="BP567" s="31"/>
      <c r="BQ567" s="31"/>
      <c r="BR567" s="31"/>
      <c r="BS567" s="31"/>
      <c r="BT567" s="31"/>
      <c r="BU567" s="31"/>
      <c r="BV567" s="31"/>
      <c r="BW567" s="31"/>
    </row>
    <row r="568" spans="6:75">
      <c r="F568" s="31"/>
      <c r="G568" s="31"/>
      <c r="H568" s="31"/>
      <c r="I568" s="66"/>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c r="AN568" s="31"/>
      <c r="AO568" s="31"/>
      <c r="AP568" s="31"/>
      <c r="AQ568" s="31"/>
      <c r="AR568" s="31"/>
      <c r="AS568" s="31"/>
      <c r="AT568" s="31"/>
      <c r="AU568" s="31"/>
      <c r="AV568" s="31"/>
      <c r="AW568" s="31"/>
      <c r="AX568" s="31"/>
      <c r="AY568" s="31"/>
      <c r="AZ568" s="31"/>
      <c r="BA568" s="31"/>
      <c r="BB568" s="31"/>
      <c r="BC568" s="31"/>
      <c r="BD568" s="31"/>
      <c r="BE568" s="31"/>
      <c r="BF568" s="31"/>
      <c r="BG568" s="31"/>
      <c r="BH568" s="31"/>
      <c r="BI568" s="31"/>
      <c r="BJ568" s="31"/>
      <c r="BK568" s="31"/>
      <c r="BL568" s="31"/>
      <c r="BM568" s="31"/>
      <c r="BN568" s="31"/>
      <c r="BO568" s="31"/>
      <c r="BP568" s="31"/>
      <c r="BQ568" s="31"/>
      <c r="BR568" s="31"/>
      <c r="BS568" s="31"/>
      <c r="BT568" s="31"/>
      <c r="BU568" s="31"/>
      <c r="BV568" s="31"/>
      <c r="BW568" s="31"/>
    </row>
    <row r="569" spans="6:75">
      <c r="F569" s="31"/>
      <c r="G569" s="31"/>
      <c r="H569" s="31"/>
      <c r="I569" s="66"/>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c r="AO569" s="31"/>
      <c r="AP569" s="31"/>
      <c r="AQ569" s="31"/>
      <c r="AR569" s="31"/>
      <c r="AS569" s="31"/>
      <c r="AT569" s="31"/>
      <c r="AU569" s="31"/>
      <c r="AV569" s="31"/>
      <c r="AW569" s="31"/>
      <c r="AX569" s="31"/>
      <c r="AY569" s="31"/>
      <c r="AZ569" s="31"/>
      <c r="BA569" s="31"/>
      <c r="BB569" s="31"/>
      <c r="BC569" s="31"/>
      <c r="BD569" s="31"/>
      <c r="BE569" s="31"/>
      <c r="BF569" s="31"/>
      <c r="BG569" s="31"/>
      <c r="BH569" s="31"/>
      <c r="BI569" s="31"/>
      <c r="BJ569" s="31"/>
      <c r="BK569" s="31"/>
      <c r="BL569" s="31"/>
      <c r="BM569" s="31"/>
      <c r="BN569" s="31"/>
      <c r="BO569" s="31"/>
      <c r="BP569" s="31"/>
      <c r="BQ569" s="31"/>
      <c r="BR569" s="31"/>
      <c r="BS569" s="31"/>
      <c r="BT569" s="31"/>
      <c r="BU569" s="31"/>
      <c r="BV569" s="31"/>
      <c r="BW569" s="31"/>
    </row>
    <row r="570" spans="6:75">
      <c r="F570" s="31"/>
      <c r="G570" s="31"/>
      <c r="H570" s="31"/>
      <c r="I570" s="66"/>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c r="AY570" s="31"/>
      <c r="AZ570" s="31"/>
      <c r="BA570" s="31"/>
      <c r="BB570" s="31"/>
      <c r="BC570" s="31"/>
      <c r="BD570" s="31"/>
      <c r="BE570" s="31"/>
      <c r="BF570" s="31"/>
      <c r="BG570" s="31"/>
      <c r="BH570" s="31"/>
      <c r="BI570" s="31"/>
      <c r="BJ570" s="31"/>
      <c r="BK570" s="31"/>
      <c r="BL570" s="31"/>
      <c r="BM570" s="31"/>
      <c r="BN570" s="31"/>
      <c r="BO570" s="31"/>
      <c r="BP570" s="31"/>
      <c r="BQ570" s="31"/>
      <c r="BR570" s="31"/>
      <c r="BS570" s="31"/>
      <c r="BT570" s="31"/>
      <c r="BU570" s="31"/>
      <c r="BV570" s="31"/>
      <c r="BW570" s="31"/>
    </row>
    <row r="571" spans="6:75">
      <c r="F571" s="31"/>
      <c r="G571" s="31"/>
      <c r="H571" s="31"/>
      <c r="I571" s="66"/>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c r="AY571" s="31"/>
      <c r="AZ571" s="31"/>
      <c r="BA571" s="31"/>
      <c r="BB571" s="31"/>
      <c r="BC571" s="31"/>
      <c r="BD571" s="31"/>
      <c r="BE571" s="31"/>
      <c r="BF571" s="31"/>
      <c r="BG571" s="31"/>
      <c r="BH571" s="31"/>
      <c r="BI571" s="31"/>
      <c r="BJ571" s="31"/>
      <c r="BK571" s="31"/>
      <c r="BL571" s="31"/>
      <c r="BM571" s="31"/>
      <c r="BN571" s="31"/>
      <c r="BO571" s="31"/>
      <c r="BP571" s="31"/>
      <c r="BQ571" s="31"/>
      <c r="BR571" s="31"/>
      <c r="BS571" s="31"/>
      <c r="BT571" s="31"/>
      <c r="BU571" s="31"/>
      <c r="BV571" s="31"/>
      <c r="BW571" s="31"/>
    </row>
    <row r="572" spans="6:75">
      <c r="F572" s="31"/>
      <c r="G572" s="31"/>
      <c r="H572" s="31"/>
      <c r="I572" s="66"/>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c r="AY572" s="31"/>
      <c r="AZ572" s="31"/>
      <c r="BA572" s="31"/>
      <c r="BB572" s="31"/>
      <c r="BC572" s="31"/>
      <c r="BD572" s="31"/>
      <c r="BE572" s="31"/>
      <c r="BF572" s="31"/>
      <c r="BG572" s="31"/>
      <c r="BH572" s="31"/>
      <c r="BI572" s="31"/>
      <c r="BJ572" s="31"/>
      <c r="BK572" s="31"/>
      <c r="BL572" s="31"/>
      <c r="BM572" s="31"/>
      <c r="BN572" s="31"/>
      <c r="BO572" s="31"/>
      <c r="BP572" s="31"/>
      <c r="BQ572" s="31"/>
      <c r="BR572" s="31"/>
      <c r="BS572" s="31"/>
      <c r="BT572" s="31"/>
      <c r="BU572" s="31"/>
      <c r="BV572" s="31"/>
      <c r="BW572" s="31"/>
    </row>
    <row r="573" spans="6:75">
      <c r="F573" s="31"/>
      <c r="G573" s="31"/>
      <c r="H573" s="31"/>
      <c r="I573" s="66"/>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c r="AZ573" s="31"/>
      <c r="BA573" s="31"/>
      <c r="BB573" s="31"/>
      <c r="BC573" s="31"/>
      <c r="BD573" s="31"/>
      <c r="BE573" s="31"/>
      <c r="BF573" s="31"/>
      <c r="BG573" s="31"/>
      <c r="BH573" s="31"/>
      <c r="BI573" s="31"/>
      <c r="BJ573" s="31"/>
      <c r="BK573" s="31"/>
      <c r="BL573" s="31"/>
      <c r="BM573" s="31"/>
      <c r="BN573" s="31"/>
      <c r="BO573" s="31"/>
      <c r="BP573" s="31"/>
      <c r="BQ573" s="31"/>
      <c r="BR573" s="31"/>
      <c r="BS573" s="31"/>
      <c r="BT573" s="31"/>
      <c r="BU573" s="31"/>
      <c r="BV573" s="31"/>
      <c r="BW573" s="31"/>
    </row>
    <row r="574" spans="6:75">
      <c r="F574" s="31"/>
      <c r="G574" s="31"/>
      <c r="H574" s="31"/>
      <c r="I574" s="66"/>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c r="AY574" s="31"/>
      <c r="AZ574" s="31"/>
      <c r="BA574" s="31"/>
      <c r="BB574" s="31"/>
      <c r="BC574" s="31"/>
      <c r="BD574" s="31"/>
      <c r="BE574" s="31"/>
      <c r="BF574" s="31"/>
      <c r="BG574" s="31"/>
      <c r="BH574" s="31"/>
      <c r="BI574" s="31"/>
      <c r="BJ574" s="31"/>
      <c r="BK574" s="31"/>
      <c r="BL574" s="31"/>
      <c r="BM574" s="31"/>
      <c r="BN574" s="31"/>
      <c r="BO574" s="31"/>
      <c r="BP574" s="31"/>
      <c r="BQ574" s="31"/>
      <c r="BR574" s="31"/>
      <c r="BS574" s="31"/>
      <c r="BT574" s="31"/>
      <c r="BU574" s="31"/>
      <c r="BV574" s="31"/>
      <c r="BW574" s="31"/>
    </row>
    <row r="575" spans="6:75">
      <c r="F575" s="31"/>
      <c r="G575" s="31"/>
      <c r="H575" s="31"/>
      <c r="I575" s="66"/>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c r="AY575" s="31"/>
      <c r="AZ575" s="31"/>
      <c r="BA575" s="31"/>
      <c r="BB575" s="31"/>
      <c r="BC575" s="31"/>
      <c r="BD575" s="31"/>
      <c r="BE575" s="31"/>
      <c r="BF575" s="31"/>
      <c r="BG575" s="31"/>
      <c r="BH575" s="31"/>
      <c r="BI575" s="31"/>
      <c r="BJ575" s="31"/>
      <c r="BK575" s="31"/>
      <c r="BL575" s="31"/>
      <c r="BM575" s="31"/>
      <c r="BN575" s="31"/>
      <c r="BO575" s="31"/>
      <c r="BP575" s="31"/>
      <c r="BQ575" s="31"/>
      <c r="BR575" s="31"/>
      <c r="BS575" s="31"/>
      <c r="BT575" s="31"/>
      <c r="BU575" s="31"/>
      <c r="BV575" s="31"/>
      <c r="BW575" s="31"/>
    </row>
    <row r="576" spans="6:75">
      <c r="F576" s="31"/>
      <c r="G576" s="31"/>
      <c r="H576" s="31"/>
      <c r="I576" s="66"/>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c r="AZ576" s="31"/>
      <c r="BA576" s="31"/>
      <c r="BB576" s="31"/>
      <c r="BC576" s="31"/>
      <c r="BD576" s="31"/>
      <c r="BE576" s="31"/>
      <c r="BF576" s="31"/>
      <c r="BG576" s="31"/>
      <c r="BH576" s="31"/>
      <c r="BI576" s="31"/>
      <c r="BJ576" s="31"/>
      <c r="BK576" s="31"/>
      <c r="BL576" s="31"/>
      <c r="BM576" s="31"/>
      <c r="BN576" s="31"/>
      <c r="BO576" s="31"/>
      <c r="BP576" s="31"/>
      <c r="BQ576" s="31"/>
      <c r="BR576" s="31"/>
      <c r="BS576" s="31"/>
      <c r="BT576" s="31"/>
      <c r="BU576" s="31"/>
      <c r="BV576" s="31"/>
      <c r="BW576" s="31"/>
    </row>
    <row r="577" spans="6:75">
      <c r="F577" s="31"/>
      <c r="G577" s="31"/>
      <c r="H577" s="31"/>
      <c r="I577" s="66"/>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c r="AN577" s="31"/>
      <c r="AO577" s="31"/>
      <c r="AP577" s="31"/>
      <c r="AQ577" s="31"/>
      <c r="AR577" s="31"/>
      <c r="AS577" s="31"/>
      <c r="AT577" s="31"/>
      <c r="AU577" s="31"/>
      <c r="AV577" s="31"/>
      <c r="AW577" s="31"/>
      <c r="AX577" s="31"/>
      <c r="AY577" s="31"/>
      <c r="AZ577" s="31"/>
      <c r="BA577" s="31"/>
      <c r="BB577" s="31"/>
      <c r="BC577" s="31"/>
      <c r="BD577" s="31"/>
      <c r="BE577" s="31"/>
      <c r="BF577" s="31"/>
      <c r="BG577" s="31"/>
      <c r="BH577" s="31"/>
      <c r="BI577" s="31"/>
      <c r="BJ577" s="31"/>
      <c r="BK577" s="31"/>
      <c r="BL577" s="31"/>
      <c r="BM577" s="31"/>
      <c r="BN577" s="31"/>
      <c r="BO577" s="31"/>
      <c r="BP577" s="31"/>
      <c r="BQ577" s="31"/>
      <c r="BR577" s="31"/>
      <c r="BS577" s="31"/>
      <c r="BT577" s="31"/>
      <c r="BU577" s="31"/>
      <c r="BV577" s="31"/>
      <c r="BW577" s="31"/>
    </row>
    <row r="578" spans="6:75">
      <c r="F578" s="31"/>
      <c r="G578" s="31"/>
      <c r="H578" s="31"/>
      <c r="I578" s="66"/>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c r="AY578" s="31"/>
      <c r="AZ578" s="31"/>
      <c r="BA578" s="31"/>
      <c r="BB578" s="31"/>
      <c r="BC578" s="31"/>
      <c r="BD578" s="31"/>
      <c r="BE578" s="31"/>
      <c r="BF578" s="31"/>
      <c r="BG578" s="31"/>
      <c r="BH578" s="31"/>
      <c r="BI578" s="31"/>
      <c r="BJ578" s="31"/>
      <c r="BK578" s="31"/>
      <c r="BL578" s="31"/>
      <c r="BM578" s="31"/>
      <c r="BN578" s="31"/>
      <c r="BO578" s="31"/>
      <c r="BP578" s="31"/>
      <c r="BQ578" s="31"/>
      <c r="BR578" s="31"/>
      <c r="BS578" s="31"/>
      <c r="BT578" s="31"/>
      <c r="BU578" s="31"/>
      <c r="BV578" s="31"/>
      <c r="BW578" s="31"/>
    </row>
    <row r="579" spans="6:75">
      <c r="F579" s="31"/>
      <c r="G579" s="31"/>
      <c r="H579" s="31"/>
      <c r="I579" s="66"/>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c r="AY579" s="31"/>
      <c r="AZ579" s="31"/>
      <c r="BA579" s="31"/>
      <c r="BB579" s="31"/>
      <c r="BC579" s="31"/>
      <c r="BD579" s="31"/>
      <c r="BE579" s="31"/>
      <c r="BF579" s="31"/>
      <c r="BG579" s="31"/>
      <c r="BH579" s="31"/>
      <c r="BI579" s="31"/>
      <c r="BJ579" s="31"/>
      <c r="BK579" s="31"/>
      <c r="BL579" s="31"/>
      <c r="BM579" s="31"/>
      <c r="BN579" s="31"/>
      <c r="BO579" s="31"/>
      <c r="BP579" s="31"/>
      <c r="BQ579" s="31"/>
      <c r="BR579" s="31"/>
      <c r="BS579" s="31"/>
      <c r="BT579" s="31"/>
      <c r="BU579" s="31"/>
      <c r="BV579" s="31"/>
      <c r="BW579" s="31"/>
    </row>
    <row r="580" spans="6:75">
      <c r="F580" s="31"/>
      <c r="G580" s="31"/>
      <c r="H580" s="31"/>
      <c r="I580" s="66"/>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c r="AY580" s="31"/>
      <c r="AZ580" s="31"/>
      <c r="BA580" s="31"/>
      <c r="BB580" s="31"/>
      <c r="BC580" s="31"/>
      <c r="BD580" s="31"/>
      <c r="BE580" s="31"/>
      <c r="BF580" s="31"/>
      <c r="BG580" s="31"/>
      <c r="BH580" s="31"/>
      <c r="BI580" s="31"/>
      <c r="BJ580" s="31"/>
      <c r="BK580" s="31"/>
      <c r="BL580" s="31"/>
      <c r="BM580" s="31"/>
      <c r="BN580" s="31"/>
      <c r="BO580" s="31"/>
      <c r="BP580" s="31"/>
      <c r="BQ580" s="31"/>
      <c r="BR580" s="31"/>
      <c r="BS580" s="31"/>
      <c r="BT580" s="31"/>
      <c r="BU580" s="31"/>
      <c r="BV580" s="31"/>
      <c r="BW580" s="31"/>
    </row>
    <row r="581" spans="6:75">
      <c r="F581" s="31"/>
      <c r="G581" s="31"/>
      <c r="H581" s="31"/>
      <c r="I581" s="66"/>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c r="AN581" s="31"/>
      <c r="AO581" s="31"/>
      <c r="AP581" s="31"/>
      <c r="AQ581" s="31"/>
      <c r="AR581" s="31"/>
      <c r="AS581" s="31"/>
      <c r="AT581" s="31"/>
      <c r="AU581" s="31"/>
      <c r="AV581" s="31"/>
      <c r="AW581" s="31"/>
      <c r="AX581" s="31"/>
      <c r="AY581" s="31"/>
      <c r="AZ581" s="31"/>
      <c r="BA581" s="31"/>
      <c r="BB581" s="31"/>
      <c r="BC581" s="31"/>
      <c r="BD581" s="31"/>
      <c r="BE581" s="31"/>
      <c r="BF581" s="31"/>
      <c r="BG581" s="31"/>
      <c r="BH581" s="31"/>
      <c r="BI581" s="31"/>
      <c r="BJ581" s="31"/>
      <c r="BK581" s="31"/>
      <c r="BL581" s="31"/>
      <c r="BM581" s="31"/>
      <c r="BN581" s="31"/>
      <c r="BO581" s="31"/>
      <c r="BP581" s="31"/>
      <c r="BQ581" s="31"/>
      <c r="BR581" s="31"/>
      <c r="BS581" s="31"/>
      <c r="BT581" s="31"/>
      <c r="BU581" s="31"/>
      <c r="BV581" s="31"/>
      <c r="BW581" s="31"/>
    </row>
    <row r="582" spans="6:75">
      <c r="F582" s="31"/>
      <c r="G582" s="31"/>
      <c r="H582" s="31"/>
      <c r="I582" s="66"/>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c r="AY582" s="31"/>
      <c r="AZ582" s="31"/>
      <c r="BA582" s="31"/>
      <c r="BB582" s="31"/>
      <c r="BC582" s="31"/>
      <c r="BD582" s="31"/>
      <c r="BE582" s="31"/>
      <c r="BF582" s="31"/>
      <c r="BG582" s="31"/>
      <c r="BH582" s="31"/>
      <c r="BI582" s="31"/>
      <c r="BJ582" s="31"/>
      <c r="BK582" s="31"/>
      <c r="BL582" s="31"/>
      <c r="BM582" s="31"/>
      <c r="BN582" s="31"/>
      <c r="BO582" s="31"/>
      <c r="BP582" s="31"/>
      <c r="BQ582" s="31"/>
      <c r="BR582" s="31"/>
      <c r="BS582" s="31"/>
      <c r="BT582" s="31"/>
      <c r="BU582" s="31"/>
      <c r="BV582" s="31"/>
      <c r="BW582" s="31"/>
    </row>
    <row r="583" spans="6:75">
      <c r="F583" s="31"/>
      <c r="G583" s="31"/>
      <c r="H583" s="31"/>
      <c r="I583" s="66"/>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c r="AN583" s="31"/>
      <c r="AO583" s="31"/>
      <c r="AP583" s="31"/>
      <c r="AQ583" s="31"/>
      <c r="AR583" s="31"/>
      <c r="AS583" s="31"/>
      <c r="AT583" s="31"/>
      <c r="AU583" s="31"/>
      <c r="AV583" s="31"/>
      <c r="AW583" s="31"/>
      <c r="AX583" s="31"/>
      <c r="AY583" s="31"/>
      <c r="AZ583" s="31"/>
      <c r="BA583" s="31"/>
      <c r="BB583" s="31"/>
      <c r="BC583" s="31"/>
      <c r="BD583" s="31"/>
      <c r="BE583" s="31"/>
      <c r="BF583" s="31"/>
      <c r="BG583" s="31"/>
      <c r="BH583" s="31"/>
      <c r="BI583" s="31"/>
      <c r="BJ583" s="31"/>
      <c r="BK583" s="31"/>
      <c r="BL583" s="31"/>
      <c r="BM583" s="31"/>
      <c r="BN583" s="31"/>
      <c r="BO583" s="31"/>
      <c r="BP583" s="31"/>
      <c r="BQ583" s="31"/>
      <c r="BR583" s="31"/>
      <c r="BS583" s="31"/>
      <c r="BT583" s="31"/>
      <c r="BU583" s="31"/>
      <c r="BV583" s="31"/>
      <c r="BW583" s="31"/>
    </row>
    <row r="584" spans="6:75">
      <c r="F584" s="31"/>
      <c r="G584" s="31"/>
      <c r="H584" s="31"/>
      <c r="I584" s="66"/>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c r="AY584" s="31"/>
      <c r="AZ584" s="31"/>
      <c r="BA584" s="31"/>
      <c r="BB584" s="31"/>
      <c r="BC584" s="31"/>
      <c r="BD584" s="31"/>
      <c r="BE584" s="31"/>
      <c r="BF584" s="31"/>
      <c r="BG584" s="31"/>
      <c r="BH584" s="31"/>
      <c r="BI584" s="31"/>
      <c r="BJ584" s="31"/>
      <c r="BK584" s="31"/>
      <c r="BL584" s="31"/>
      <c r="BM584" s="31"/>
      <c r="BN584" s="31"/>
      <c r="BO584" s="31"/>
      <c r="BP584" s="31"/>
      <c r="BQ584" s="31"/>
      <c r="BR584" s="31"/>
      <c r="BS584" s="31"/>
      <c r="BT584" s="31"/>
      <c r="BU584" s="31"/>
      <c r="BV584" s="31"/>
      <c r="BW584" s="31"/>
    </row>
    <row r="585" spans="6:75">
      <c r="F585" s="31"/>
      <c r="G585" s="31"/>
      <c r="H585" s="31"/>
      <c r="I585" s="66"/>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c r="AO585" s="31"/>
      <c r="AP585" s="31"/>
      <c r="AQ585" s="31"/>
      <c r="AR585" s="31"/>
      <c r="AS585" s="31"/>
      <c r="AT585" s="31"/>
      <c r="AU585" s="31"/>
      <c r="AV585" s="31"/>
      <c r="AW585" s="31"/>
      <c r="AX585" s="31"/>
      <c r="AY585" s="31"/>
      <c r="AZ585" s="31"/>
      <c r="BA585" s="31"/>
      <c r="BB585" s="31"/>
      <c r="BC585" s="31"/>
      <c r="BD585" s="31"/>
      <c r="BE585" s="31"/>
      <c r="BF585" s="31"/>
      <c r="BG585" s="31"/>
      <c r="BH585" s="31"/>
      <c r="BI585" s="31"/>
      <c r="BJ585" s="31"/>
      <c r="BK585" s="31"/>
      <c r="BL585" s="31"/>
      <c r="BM585" s="31"/>
      <c r="BN585" s="31"/>
      <c r="BO585" s="31"/>
      <c r="BP585" s="31"/>
      <c r="BQ585" s="31"/>
      <c r="BR585" s="31"/>
      <c r="BS585" s="31"/>
      <c r="BT585" s="31"/>
      <c r="BU585" s="31"/>
      <c r="BV585" s="31"/>
      <c r="BW585" s="31"/>
    </row>
    <row r="586" spans="6:75">
      <c r="F586" s="31"/>
      <c r="G586" s="31"/>
      <c r="H586" s="31"/>
      <c r="I586" s="66"/>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c r="AY586" s="31"/>
      <c r="AZ586" s="31"/>
      <c r="BA586" s="31"/>
      <c r="BB586" s="31"/>
      <c r="BC586" s="31"/>
      <c r="BD586" s="31"/>
      <c r="BE586" s="31"/>
      <c r="BF586" s="31"/>
      <c r="BG586" s="31"/>
      <c r="BH586" s="31"/>
      <c r="BI586" s="31"/>
      <c r="BJ586" s="31"/>
      <c r="BK586" s="31"/>
      <c r="BL586" s="31"/>
      <c r="BM586" s="31"/>
      <c r="BN586" s="31"/>
      <c r="BO586" s="31"/>
      <c r="BP586" s="31"/>
      <c r="BQ586" s="31"/>
      <c r="BR586" s="31"/>
      <c r="BS586" s="31"/>
      <c r="BT586" s="31"/>
      <c r="BU586" s="31"/>
      <c r="BV586" s="31"/>
      <c r="BW586" s="31"/>
    </row>
    <row r="587" spans="6:75">
      <c r="F587" s="31"/>
      <c r="G587" s="31"/>
      <c r="H587" s="31"/>
      <c r="I587" s="66"/>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c r="AY587" s="31"/>
      <c r="AZ587" s="31"/>
      <c r="BA587" s="31"/>
      <c r="BB587" s="31"/>
      <c r="BC587" s="31"/>
      <c r="BD587" s="31"/>
      <c r="BE587" s="31"/>
      <c r="BF587" s="31"/>
      <c r="BG587" s="31"/>
      <c r="BH587" s="31"/>
      <c r="BI587" s="31"/>
      <c r="BJ587" s="31"/>
      <c r="BK587" s="31"/>
      <c r="BL587" s="31"/>
      <c r="BM587" s="31"/>
      <c r="BN587" s="31"/>
      <c r="BO587" s="31"/>
      <c r="BP587" s="31"/>
      <c r="BQ587" s="31"/>
      <c r="BR587" s="31"/>
      <c r="BS587" s="31"/>
      <c r="BT587" s="31"/>
      <c r="BU587" s="31"/>
      <c r="BV587" s="31"/>
      <c r="BW587" s="31"/>
    </row>
    <row r="588" spans="6:75">
      <c r="F588" s="31"/>
      <c r="G588" s="31"/>
      <c r="H588" s="31"/>
      <c r="I588" s="66"/>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c r="AY588" s="31"/>
      <c r="AZ588" s="31"/>
      <c r="BA588" s="31"/>
      <c r="BB588" s="31"/>
      <c r="BC588" s="31"/>
      <c r="BD588" s="31"/>
      <c r="BE588" s="31"/>
      <c r="BF588" s="31"/>
      <c r="BG588" s="31"/>
      <c r="BH588" s="31"/>
      <c r="BI588" s="31"/>
      <c r="BJ588" s="31"/>
      <c r="BK588" s="31"/>
      <c r="BL588" s="31"/>
      <c r="BM588" s="31"/>
      <c r="BN588" s="31"/>
      <c r="BO588" s="31"/>
      <c r="BP588" s="31"/>
      <c r="BQ588" s="31"/>
      <c r="BR588" s="31"/>
      <c r="BS588" s="31"/>
      <c r="BT588" s="31"/>
      <c r="BU588" s="31"/>
      <c r="BV588" s="31"/>
      <c r="BW588" s="31"/>
    </row>
    <row r="589" spans="6:75">
      <c r="F589" s="31"/>
      <c r="G589" s="31"/>
      <c r="H589" s="31"/>
      <c r="I589" s="66"/>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c r="AY589" s="31"/>
      <c r="AZ589" s="31"/>
      <c r="BA589" s="31"/>
      <c r="BB589" s="31"/>
      <c r="BC589" s="31"/>
      <c r="BD589" s="31"/>
      <c r="BE589" s="31"/>
      <c r="BF589" s="31"/>
      <c r="BG589" s="31"/>
      <c r="BH589" s="31"/>
      <c r="BI589" s="31"/>
      <c r="BJ589" s="31"/>
      <c r="BK589" s="31"/>
      <c r="BL589" s="31"/>
      <c r="BM589" s="31"/>
      <c r="BN589" s="31"/>
      <c r="BO589" s="31"/>
      <c r="BP589" s="31"/>
      <c r="BQ589" s="31"/>
      <c r="BR589" s="31"/>
      <c r="BS589" s="31"/>
      <c r="BT589" s="31"/>
      <c r="BU589" s="31"/>
      <c r="BV589" s="31"/>
      <c r="BW589" s="31"/>
    </row>
    <row r="590" spans="6:75">
      <c r="F590" s="31"/>
      <c r="G590" s="31"/>
      <c r="H590" s="31"/>
      <c r="I590" s="66"/>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c r="AY590" s="31"/>
      <c r="AZ590" s="31"/>
      <c r="BA590" s="31"/>
      <c r="BB590" s="31"/>
      <c r="BC590" s="31"/>
      <c r="BD590" s="31"/>
      <c r="BE590" s="31"/>
      <c r="BF590" s="31"/>
      <c r="BG590" s="31"/>
      <c r="BH590" s="31"/>
      <c r="BI590" s="31"/>
      <c r="BJ590" s="31"/>
      <c r="BK590" s="31"/>
      <c r="BL590" s="31"/>
      <c r="BM590" s="31"/>
      <c r="BN590" s="31"/>
      <c r="BO590" s="31"/>
      <c r="BP590" s="31"/>
      <c r="BQ590" s="31"/>
      <c r="BR590" s="31"/>
      <c r="BS590" s="31"/>
      <c r="BT590" s="31"/>
      <c r="BU590" s="31"/>
      <c r="BV590" s="31"/>
      <c r="BW590" s="31"/>
    </row>
    <row r="591" spans="6:75">
      <c r="F591" s="31"/>
      <c r="G591" s="31"/>
      <c r="H591" s="31"/>
      <c r="I591" s="66"/>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c r="AY591" s="31"/>
      <c r="AZ591" s="31"/>
      <c r="BA591" s="31"/>
      <c r="BB591" s="31"/>
      <c r="BC591" s="31"/>
      <c r="BD591" s="31"/>
      <c r="BE591" s="31"/>
      <c r="BF591" s="31"/>
      <c r="BG591" s="31"/>
      <c r="BH591" s="31"/>
      <c r="BI591" s="31"/>
      <c r="BJ591" s="31"/>
      <c r="BK591" s="31"/>
      <c r="BL591" s="31"/>
      <c r="BM591" s="31"/>
      <c r="BN591" s="31"/>
      <c r="BO591" s="31"/>
      <c r="BP591" s="31"/>
      <c r="BQ591" s="31"/>
      <c r="BR591" s="31"/>
      <c r="BS591" s="31"/>
      <c r="BT591" s="31"/>
      <c r="BU591" s="31"/>
      <c r="BV591" s="31"/>
      <c r="BW591" s="31"/>
    </row>
    <row r="592" spans="6:75">
      <c r="F592" s="31"/>
      <c r="G592" s="31"/>
      <c r="H592" s="31"/>
      <c r="I592" s="66"/>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c r="AY592" s="31"/>
      <c r="AZ592" s="31"/>
      <c r="BA592" s="31"/>
      <c r="BB592" s="31"/>
      <c r="BC592" s="31"/>
      <c r="BD592" s="31"/>
      <c r="BE592" s="31"/>
      <c r="BF592" s="31"/>
      <c r="BG592" s="31"/>
      <c r="BH592" s="31"/>
      <c r="BI592" s="31"/>
      <c r="BJ592" s="31"/>
      <c r="BK592" s="31"/>
      <c r="BL592" s="31"/>
      <c r="BM592" s="31"/>
      <c r="BN592" s="31"/>
      <c r="BO592" s="31"/>
      <c r="BP592" s="31"/>
      <c r="BQ592" s="31"/>
      <c r="BR592" s="31"/>
      <c r="BS592" s="31"/>
      <c r="BT592" s="31"/>
      <c r="BU592" s="31"/>
      <c r="BV592" s="31"/>
      <c r="BW592" s="31"/>
    </row>
    <row r="593" spans="6:75">
      <c r="F593" s="31"/>
      <c r="G593" s="31"/>
      <c r="H593" s="31"/>
      <c r="I593" s="66"/>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c r="AO593" s="31"/>
      <c r="AP593" s="31"/>
      <c r="AQ593" s="31"/>
      <c r="AR593" s="31"/>
      <c r="AS593" s="31"/>
      <c r="AT593" s="31"/>
      <c r="AU593" s="31"/>
      <c r="AV593" s="31"/>
      <c r="AW593" s="31"/>
      <c r="AX593" s="31"/>
      <c r="AY593" s="31"/>
      <c r="AZ593" s="31"/>
      <c r="BA593" s="31"/>
      <c r="BB593" s="31"/>
      <c r="BC593" s="31"/>
      <c r="BD593" s="31"/>
      <c r="BE593" s="31"/>
      <c r="BF593" s="31"/>
      <c r="BG593" s="31"/>
      <c r="BH593" s="31"/>
      <c r="BI593" s="31"/>
      <c r="BJ593" s="31"/>
      <c r="BK593" s="31"/>
      <c r="BL593" s="31"/>
      <c r="BM593" s="31"/>
      <c r="BN593" s="31"/>
      <c r="BO593" s="31"/>
      <c r="BP593" s="31"/>
      <c r="BQ593" s="31"/>
      <c r="BR593" s="31"/>
      <c r="BS593" s="31"/>
      <c r="BT593" s="31"/>
      <c r="BU593" s="31"/>
      <c r="BV593" s="31"/>
      <c r="BW593" s="31"/>
    </row>
    <row r="594" spans="6:75">
      <c r="F594" s="31"/>
      <c r="G594" s="31"/>
      <c r="H594" s="31"/>
      <c r="I594" s="66"/>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c r="AY594" s="31"/>
      <c r="AZ594" s="31"/>
      <c r="BA594" s="31"/>
      <c r="BB594" s="31"/>
      <c r="BC594" s="31"/>
      <c r="BD594" s="31"/>
      <c r="BE594" s="31"/>
      <c r="BF594" s="31"/>
      <c r="BG594" s="31"/>
      <c r="BH594" s="31"/>
      <c r="BI594" s="31"/>
      <c r="BJ594" s="31"/>
      <c r="BK594" s="31"/>
      <c r="BL594" s="31"/>
      <c r="BM594" s="31"/>
      <c r="BN594" s="31"/>
      <c r="BO594" s="31"/>
      <c r="BP594" s="31"/>
      <c r="BQ594" s="31"/>
      <c r="BR594" s="31"/>
      <c r="BS594" s="31"/>
      <c r="BT594" s="31"/>
      <c r="BU594" s="31"/>
      <c r="BV594" s="31"/>
      <c r="BW594" s="31"/>
    </row>
    <row r="595" spans="6:75">
      <c r="F595" s="31"/>
      <c r="G595" s="31"/>
      <c r="H595" s="31"/>
      <c r="I595" s="66"/>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c r="AN595" s="31"/>
      <c r="AO595" s="31"/>
      <c r="AP595" s="31"/>
      <c r="AQ595" s="31"/>
      <c r="AR595" s="31"/>
      <c r="AS595" s="31"/>
      <c r="AT595" s="31"/>
      <c r="AU595" s="31"/>
      <c r="AV595" s="31"/>
      <c r="AW595" s="31"/>
      <c r="AX595" s="31"/>
      <c r="AY595" s="31"/>
      <c r="AZ595" s="31"/>
      <c r="BA595" s="31"/>
      <c r="BB595" s="31"/>
      <c r="BC595" s="31"/>
      <c r="BD595" s="31"/>
      <c r="BE595" s="31"/>
      <c r="BF595" s="31"/>
      <c r="BG595" s="31"/>
      <c r="BH595" s="31"/>
      <c r="BI595" s="31"/>
      <c r="BJ595" s="31"/>
      <c r="BK595" s="31"/>
      <c r="BL595" s="31"/>
      <c r="BM595" s="31"/>
      <c r="BN595" s="31"/>
      <c r="BO595" s="31"/>
      <c r="BP595" s="31"/>
      <c r="BQ595" s="31"/>
      <c r="BR595" s="31"/>
      <c r="BS595" s="31"/>
      <c r="BT595" s="31"/>
      <c r="BU595" s="31"/>
      <c r="BV595" s="31"/>
      <c r="BW595" s="31"/>
    </row>
    <row r="596" spans="6:75">
      <c r="F596" s="31"/>
      <c r="G596" s="31"/>
      <c r="H596" s="31"/>
      <c r="I596" s="66"/>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c r="AY596" s="31"/>
      <c r="AZ596" s="31"/>
      <c r="BA596" s="31"/>
      <c r="BB596" s="31"/>
      <c r="BC596" s="31"/>
      <c r="BD596" s="31"/>
      <c r="BE596" s="31"/>
      <c r="BF596" s="31"/>
      <c r="BG596" s="31"/>
      <c r="BH596" s="31"/>
      <c r="BI596" s="31"/>
      <c r="BJ596" s="31"/>
      <c r="BK596" s="31"/>
      <c r="BL596" s="31"/>
      <c r="BM596" s="31"/>
      <c r="BN596" s="31"/>
      <c r="BO596" s="31"/>
      <c r="BP596" s="31"/>
      <c r="BQ596" s="31"/>
      <c r="BR596" s="31"/>
      <c r="BS596" s="31"/>
      <c r="BT596" s="31"/>
      <c r="BU596" s="31"/>
      <c r="BV596" s="31"/>
      <c r="BW596" s="31"/>
    </row>
    <row r="597" spans="6:75">
      <c r="F597" s="31"/>
      <c r="G597" s="31"/>
      <c r="H597" s="31"/>
      <c r="I597" s="66"/>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c r="AN597" s="31"/>
      <c r="AO597" s="31"/>
      <c r="AP597" s="31"/>
      <c r="AQ597" s="31"/>
      <c r="AR597" s="31"/>
      <c r="AS597" s="31"/>
      <c r="AT597" s="31"/>
      <c r="AU597" s="31"/>
      <c r="AV597" s="31"/>
      <c r="AW597" s="31"/>
      <c r="AX597" s="31"/>
      <c r="AY597" s="31"/>
      <c r="AZ597" s="31"/>
      <c r="BA597" s="31"/>
      <c r="BB597" s="31"/>
      <c r="BC597" s="31"/>
      <c r="BD597" s="31"/>
      <c r="BE597" s="31"/>
      <c r="BF597" s="31"/>
      <c r="BG597" s="31"/>
      <c r="BH597" s="31"/>
      <c r="BI597" s="31"/>
      <c r="BJ597" s="31"/>
      <c r="BK597" s="31"/>
      <c r="BL597" s="31"/>
      <c r="BM597" s="31"/>
      <c r="BN597" s="31"/>
      <c r="BO597" s="31"/>
      <c r="BP597" s="31"/>
      <c r="BQ597" s="31"/>
      <c r="BR597" s="31"/>
      <c r="BS597" s="31"/>
      <c r="BT597" s="31"/>
      <c r="BU597" s="31"/>
      <c r="BV597" s="31"/>
      <c r="BW597" s="31"/>
    </row>
    <row r="598" spans="6:75">
      <c r="F598" s="31"/>
      <c r="G598" s="31"/>
      <c r="H598" s="31"/>
      <c r="I598" s="66"/>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c r="AO598" s="31"/>
      <c r="AP598" s="31"/>
      <c r="AQ598" s="31"/>
      <c r="AR598" s="31"/>
      <c r="AS598" s="31"/>
      <c r="AT598" s="31"/>
      <c r="AU598" s="31"/>
      <c r="AV598" s="31"/>
      <c r="AW598" s="31"/>
      <c r="AX598" s="31"/>
      <c r="AY598" s="31"/>
      <c r="AZ598" s="31"/>
      <c r="BA598" s="31"/>
      <c r="BB598" s="31"/>
      <c r="BC598" s="31"/>
      <c r="BD598" s="31"/>
      <c r="BE598" s="31"/>
      <c r="BF598" s="31"/>
      <c r="BG598" s="31"/>
      <c r="BH598" s="31"/>
      <c r="BI598" s="31"/>
      <c r="BJ598" s="31"/>
      <c r="BK598" s="31"/>
      <c r="BL598" s="31"/>
      <c r="BM598" s="31"/>
      <c r="BN598" s="31"/>
      <c r="BO598" s="31"/>
      <c r="BP598" s="31"/>
      <c r="BQ598" s="31"/>
      <c r="BR598" s="31"/>
      <c r="BS598" s="31"/>
      <c r="BT598" s="31"/>
      <c r="BU598" s="31"/>
      <c r="BV598" s="31"/>
      <c r="BW598" s="31"/>
    </row>
    <row r="599" spans="6:75">
      <c r="F599" s="31"/>
      <c r="G599" s="31"/>
      <c r="H599" s="31"/>
      <c r="I599" s="66"/>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c r="AN599" s="31"/>
      <c r="AO599" s="31"/>
      <c r="AP599" s="31"/>
      <c r="AQ599" s="31"/>
      <c r="AR599" s="31"/>
      <c r="AS599" s="31"/>
      <c r="AT599" s="31"/>
      <c r="AU599" s="31"/>
      <c r="AV599" s="31"/>
      <c r="AW599" s="31"/>
      <c r="AX599" s="31"/>
      <c r="AY599" s="31"/>
      <c r="AZ599" s="31"/>
      <c r="BA599" s="31"/>
      <c r="BB599" s="31"/>
      <c r="BC599" s="31"/>
      <c r="BD599" s="31"/>
      <c r="BE599" s="31"/>
      <c r="BF599" s="31"/>
      <c r="BG599" s="31"/>
      <c r="BH599" s="31"/>
      <c r="BI599" s="31"/>
      <c r="BJ599" s="31"/>
      <c r="BK599" s="31"/>
      <c r="BL599" s="31"/>
      <c r="BM599" s="31"/>
      <c r="BN599" s="31"/>
      <c r="BO599" s="31"/>
      <c r="BP599" s="31"/>
      <c r="BQ599" s="31"/>
      <c r="BR599" s="31"/>
      <c r="BS599" s="31"/>
      <c r="BT599" s="31"/>
      <c r="BU599" s="31"/>
      <c r="BV599" s="31"/>
      <c r="BW599" s="31"/>
    </row>
    <row r="600" spans="6:75">
      <c r="F600" s="31"/>
      <c r="G600" s="31"/>
      <c r="H600" s="31"/>
      <c r="I600" s="66"/>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c r="AN600" s="31"/>
      <c r="AO600" s="31"/>
      <c r="AP600" s="31"/>
      <c r="AQ600" s="31"/>
      <c r="AR600" s="31"/>
      <c r="AS600" s="31"/>
      <c r="AT600" s="31"/>
      <c r="AU600" s="31"/>
      <c r="AV600" s="31"/>
      <c r="AW600" s="31"/>
      <c r="AX600" s="31"/>
      <c r="AY600" s="31"/>
      <c r="AZ600" s="31"/>
      <c r="BA600" s="31"/>
      <c r="BB600" s="31"/>
      <c r="BC600" s="31"/>
      <c r="BD600" s="31"/>
      <c r="BE600" s="31"/>
      <c r="BF600" s="31"/>
      <c r="BG600" s="31"/>
      <c r="BH600" s="31"/>
      <c r="BI600" s="31"/>
      <c r="BJ600" s="31"/>
      <c r="BK600" s="31"/>
      <c r="BL600" s="31"/>
      <c r="BM600" s="31"/>
      <c r="BN600" s="31"/>
      <c r="BO600" s="31"/>
      <c r="BP600" s="31"/>
      <c r="BQ600" s="31"/>
      <c r="BR600" s="31"/>
      <c r="BS600" s="31"/>
      <c r="BT600" s="31"/>
      <c r="BU600" s="31"/>
      <c r="BV600" s="31"/>
      <c r="BW600" s="31"/>
    </row>
    <row r="601" spans="6:75">
      <c r="F601" s="31"/>
      <c r="G601" s="31"/>
      <c r="H601" s="31"/>
      <c r="I601" s="66"/>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c r="AN601" s="31"/>
      <c r="AO601" s="31"/>
      <c r="AP601" s="31"/>
      <c r="AQ601" s="31"/>
      <c r="AR601" s="31"/>
      <c r="AS601" s="31"/>
      <c r="AT601" s="31"/>
      <c r="AU601" s="31"/>
      <c r="AV601" s="31"/>
      <c r="AW601" s="31"/>
      <c r="AX601" s="31"/>
      <c r="AY601" s="31"/>
      <c r="AZ601" s="31"/>
      <c r="BA601" s="31"/>
      <c r="BB601" s="31"/>
      <c r="BC601" s="31"/>
      <c r="BD601" s="31"/>
      <c r="BE601" s="31"/>
      <c r="BF601" s="31"/>
      <c r="BG601" s="31"/>
      <c r="BH601" s="31"/>
      <c r="BI601" s="31"/>
      <c r="BJ601" s="31"/>
      <c r="BK601" s="31"/>
      <c r="BL601" s="31"/>
      <c r="BM601" s="31"/>
      <c r="BN601" s="31"/>
      <c r="BO601" s="31"/>
      <c r="BP601" s="31"/>
      <c r="BQ601" s="31"/>
      <c r="BR601" s="31"/>
      <c r="BS601" s="31"/>
      <c r="BT601" s="31"/>
      <c r="BU601" s="31"/>
      <c r="BV601" s="31"/>
      <c r="BW601" s="31"/>
    </row>
    <row r="602" spans="6:75">
      <c r="F602" s="31"/>
      <c r="G602" s="31"/>
      <c r="H602" s="31"/>
      <c r="I602" s="66"/>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c r="AZ602" s="31"/>
      <c r="BA602" s="31"/>
      <c r="BB602" s="31"/>
      <c r="BC602" s="31"/>
      <c r="BD602" s="31"/>
      <c r="BE602" s="31"/>
      <c r="BF602" s="31"/>
      <c r="BG602" s="31"/>
      <c r="BH602" s="31"/>
      <c r="BI602" s="31"/>
      <c r="BJ602" s="31"/>
      <c r="BK602" s="31"/>
      <c r="BL602" s="31"/>
      <c r="BM602" s="31"/>
      <c r="BN602" s="31"/>
      <c r="BO602" s="31"/>
      <c r="BP602" s="31"/>
      <c r="BQ602" s="31"/>
      <c r="BR602" s="31"/>
      <c r="BS602" s="31"/>
      <c r="BT602" s="31"/>
      <c r="BU602" s="31"/>
      <c r="BV602" s="31"/>
      <c r="BW602" s="31"/>
    </row>
    <row r="603" spans="6:75">
      <c r="F603" s="31"/>
      <c r="G603" s="31"/>
      <c r="H603" s="31"/>
      <c r="I603" s="66"/>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c r="AY603" s="31"/>
      <c r="AZ603" s="31"/>
      <c r="BA603" s="31"/>
      <c r="BB603" s="31"/>
      <c r="BC603" s="31"/>
      <c r="BD603" s="31"/>
      <c r="BE603" s="31"/>
      <c r="BF603" s="31"/>
      <c r="BG603" s="31"/>
      <c r="BH603" s="31"/>
      <c r="BI603" s="31"/>
      <c r="BJ603" s="31"/>
      <c r="BK603" s="31"/>
      <c r="BL603" s="31"/>
      <c r="BM603" s="31"/>
      <c r="BN603" s="31"/>
      <c r="BO603" s="31"/>
      <c r="BP603" s="31"/>
      <c r="BQ603" s="31"/>
      <c r="BR603" s="31"/>
      <c r="BS603" s="31"/>
      <c r="BT603" s="31"/>
      <c r="BU603" s="31"/>
      <c r="BV603" s="31"/>
      <c r="BW603" s="31"/>
    </row>
    <row r="604" spans="6:75">
      <c r="F604" s="31"/>
      <c r="G604" s="31"/>
      <c r="H604" s="31"/>
      <c r="I604" s="66"/>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c r="AN604" s="31"/>
      <c r="AO604" s="31"/>
      <c r="AP604" s="31"/>
      <c r="AQ604" s="31"/>
      <c r="AR604" s="31"/>
      <c r="AS604" s="31"/>
      <c r="AT604" s="31"/>
      <c r="AU604" s="31"/>
      <c r="AV604" s="31"/>
      <c r="AW604" s="31"/>
      <c r="AX604" s="31"/>
      <c r="AY604" s="31"/>
      <c r="AZ604" s="31"/>
      <c r="BA604" s="31"/>
      <c r="BB604" s="31"/>
      <c r="BC604" s="31"/>
      <c r="BD604" s="31"/>
      <c r="BE604" s="31"/>
      <c r="BF604" s="31"/>
      <c r="BG604" s="31"/>
      <c r="BH604" s="31"/>
      <c r="BI604" s="31"/>
      <c r="BJ604" s="31"/>
      <c r="BK604" s="31"/>
      <c r="BL604" s="31"/>
      <c r="BM604" s="31"/>
      <c r="BN604" s="31"/>
      <c r="BO604" s="31"/>
      <c r="BP604" s="31"/>
      <c r="BQ604" s="31"/>
      <c r="BR604" s="31"/>
      <c r="BS604" s="31"/>
      <c r="BT604" s="31"/>
      <c r="BU604" s="31"/>
      <c r="BV604" s="31"/>
      <c r="BW604" s="31"/>
    </row>
    <row r="605" spans="6:75">
      <c r="F605" s="31"/>
      <c r="G605" s="31"/>
      <c r="H605" s="31"/>
      <c r="I605" s="66"/>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c r="AN605" s="31"/>
      <c r="AO605" s="31"/>
      <c r="AP605" s="31"/>
      <c r="AQ605" s="31"/>
      <c r="AR605" s="31"/>
      <c r="AS605" s="31"/>
      <c r="AT605" s="31"/>
      <c r="AU605" s="31"/>
      <c r="AV605" s="31"/>
      <c r="AW605" s="31"/>
      <c r="AX605" s="31"/>
      <c r="AY605" s="31"/>
      <c r="AZ605" s="31"/>
      <c r="BA605" s="31"/>
      <c r="BB605" s="31"/>
      <c r="BC605" s="31"/>
      <c r="BD605" s="31"/>
      <c r="BE605" s="31"/>
      <c r="BF605" s="31"/>
      <c r="BG605" s="31"/>
      <c r="BH605" s="31"/>
      <c r="BI605" s="31"/>
      <c r="BJ605" s="31"/>
      <c r="BK605" s="31"/>
      <c r="BL605" s="31"/>
      <c r="BM605" s="31"/>
      <c r="BN605" s="31"/>
      <c r="BO605" s="31"/>
      <c r="BP605" s="31"/>
      <c r="BQ605" s="31"/>
      <c r="BR605" s="31"/>
      <c r="BS605" s="31"/>
      <c r="BT605" s="31"/>
      <c r="BU605" s="31"/>
      <c r="BV605" s="31"/>
      <c r="BW605" s="31"/>
    </row>
    <row r="606" spans="6:75">
      <c r="F606" s="31"/>
      <c r="G606" s="31"/>
      <c r="H606" s="31"/>
      <c r="I606" s="66"/>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c r="AN606" s="31"/>
      <c r="AO606" s="31"/>
      <c r="AP606" s="31"/>
      <c r="AQ606" s="31"/>
      <c r="AR606" s="31"/>
      <c r="AS606" s="31"/>
      <c r="AT606" s="31"/>
      <c r="AU606" s="31"/>
      <c r="AV606" s="31"/>
      <c r="AW606" s="31"/>
      <c r="AX606" s="31"/>
      <c r="AY606" s="31"/>
      <c r="AZ606" s="31"/>
      <c r="BA606" s="31"/>
      <c r="BB606" s="31"/>
      <c r="BC606" s="31"/>
      <c r="BD606" s="31"/>
      <c r="BE606" s="31"/>
      <c r="BF606" s="31"/>
      <c r="BG606" s="31"/>
      <c r="BH606" s="31"/>
      <c r="BI606" s="31"/>
      <c r="BJ606" s="31"/>
      <c r="BK606" s="31"/>
      <c r="BL606" s="31"/>
      <c r="BM606" s="31"/>
      <c r="BN606" s="31"/>
      <c r="BO606" s="31"/>
      <c r="BP606" s="31"/>
      <c r="BQ606" s="31"/>
      <c r="BR606" s="31"/>
      <c r="BS606" s="31"/>
      <c r="BT606" s="31"/>
      <c r="BU606" s="31"/>
      <c r="BV606" s="31"/>
      <c r="BW606" s="31"/>
    </row>
    <row r="607" spans="6:75">
      <c r="F607" s="31"/>
      <c r="G607" s="31"/>
      <c r="H607" s="31"/>
      <c r="I607" s="66"/>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c r="AN607" s="31"/>
      <c r="AO607" s="31"/>
      <c r="AP607" s="31"/>
      <c r="AQ607" s="31"/>
      <c r="AR607" s="31"/>
      <c r="AS607" s="31"/>
      <c r="AT607" s="31"/>
      <c r="AU607" s="31"/>
      <c r="AV607" s="31"/>
      <c r="AW607" s="31"/>
      <c r="AX607" s="31"/>
      <c r="AY607" s="31"/>
      <c r="AZ607" s="31"/>
      <c r="BA607" s="31"/>
      <c r="BB607" s="31"/>
      <c r="BC607" s="31"/>
      <c r="BD607" s="31"/>
      <c r="BE607" s="31"/>
      <c r="BF607" s="31"/>
      <c r="BG607" s="31"/>
      <c r="BH607" s="31"/>
      <c r="BI607" s="31"/>
      <c r="BJ607" s="31"/>
      <c r="BK607" s="31"/>
      <c r="BL607" s="31"/>
      <c r="BM607" s="31"/>
      <c r="BN607" s="31"/>
      <c r="BO607" s="31"/>
      <c r="BP607" s="31"/>
      <c r="BQ607" s="31"/>
      <c r="BR607" s="31"/>
      <c r="BS607" s="31"/>
      <c r="BT607" s="31"/>
      <c r="BU607" s="31"/>
      <c r="BV607" s="31"/>
      <c r="BW607" s="31"/>
    </row>
    <row r="608" spans="6:75">
      <c r="F608" s="31"/>
      <c r="G608" s="31"/>
      <c r="H608" s="31"/>
      <c r="I608" s="66"/>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c r="AY608" s="31"/>
      <c r="AZ608" s="31"/>
      <c r="BA608" s="31"/>
      <c r="BB608" s="31"/>
      <c r="BC608" s="31"/>
      <c r="BD608" s="31"/>
      <c r="BE608" s="31"/>
      <c r="BF608" s="31"/>
      <c r="BG608" s="31"/>
      <c r="BH608" s="31"/>
      <c r="BI608" s="31"/>
      <c r="BJ608" s="31"/>
      <c r="BK608" s="31"/>
      <c r="BL608" s="31"/>
      <c r="BM608" s="31"/>
      <c r="BN608" s="31"/>
      <c r="BO608" s="31"/>
      <c r="BP608" s="31"/>
      <c r="BQ608" s="31"/>
      <c r="BR608" s="31"/>
      <c r="BS608" s="31"/>
      <c r="BT608" s="31"/>
      <c r="BU608" s="31"/>
      <c r="BV608" s="31"/>
      <c r="BW608" s="31"/>
    </row>
    <row r="609" spans="6:75">
      <c r="F609" s="31"/>
      <c r="G609" s="31"/>
      <c r="H609" s="31"/>
      <c r="I609" s="66"/>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c r="AY609" s="31"/>
      <c r="AZ609" s="31"/>
      <c r="BA609" s="31"/>
      <c r="BB609" s="31"/>
      <c r="BC609" s="31"/>
      <c r="BD609" s="31"/>
      <c r="BE609" s="31"/>
      <c r="BF609" s="31"/>
      <c r="BG609" s="31"/>
      <c r="BH609" s="31"/>
      <c r="BI609" s="31"/>
      <c r="BJ609" s="31"/>
      <c r="BK609" s="31"/>
      <c r="BL609" s="31"/>
      <c r="BM609" s="31"/>
      <c r="BN609" s="31"/>
      <c r="BO609" s="31"/>
      <c r="BP609" s="31"/>
      <c r="BQ609" s="31"/>
      <c r="BR609" s="31"/>
      <c r="BS609" s="31"/>
      <c r="BT609" s="31"/>
      <c r="BU609" s="31"/>
      <c r="BV609" s="31"/>
      <c r="BW609" s="31"/>
    </row>
    <row r="610" spans="6:75">
      <c r="F610" s="31"/>
      <c r="G610" s="31"/>
      <c r="H610" s="31"/>
      <c r="I610" s="66"/>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c r="AY610" s="31"/>
      <c r="AZ610" s="31"/>
      <c r="BA610" s="31"/>
      <c r="BB610" s="31"/>
      <c r="BC610" s="31"/>
      <c r="BD610" s="31"/>
      <c r="BE610" s="31"/>
      <c r="BF610" s="31"/>
      <c r="BG610" s="31"/>
      <c r="BH610" s="31"/>
      <c r="BI610" s="31"/>
      <c r="BJ610" s="31"/>
      <c r="BK610" s="31"/>
      <c r="BL610" s="31"/>
      <c r="BM610" s="31"/>
      <c r="BN610" s="31"/>
      <c r="BO610" s="31"/>
      <c r="BP610" s="31"/>
      <c r="BQ610" s="31"/>
      <c r="BR610" s="31"/>
      <c r="BS610" s="31"/>
      <c r="BT610" s="31"/>
      <c r="BU610" s="31"/>
      <c r="BV610" s="31"/>
      <c r="BW610" s="31"/>
    </row>
    <row r="611" spans="6:75">
      <c r="F611" s="31"/>
      <c r="G611" s="31"/>
      <c r="H611" s="31"/>
      <c r="I611" s="66"/>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c r="AN611" s="31"/>
      <c r="AO611" s="31"/>
      <c r="AP611" s="31"/>
      <c r="AQ611" s="31"/>
      <c r="AR611" s="31"/>
      <c r="AS611" s="31"/>
      <c r="AT611" s="31"/>
      <c r="AU611" s="31"/>
      <c r="AV611" s="31"/>
      <c r="AW611" s="31"/>
      <c r="AX611" s="31"/>
      <c r="AY611" s="31"/>
      <c r="AZ611" s="31"/>
      <c r="BA611" s="31"/>
      <c r="BB611" s="31"/>
      <c r="BC611" s="31"/>
      <c r="BD611" s="31"/>
      <c r="BE611" s="31"/>
      <c r="BF611" s="31"/>
      <c r="BG611" s="31"/>
      <c r="BH611" s="31"/>
      <c r="BI611" s="31"/>
      <c r="BJ611" s="31"/>
      <c r="BK611" s="31"/>
      <c r="BL611" s="31"/>
      <c r="BM611" s="31"/>
      <c r="BN611" s="31"/>
      <c r="BO611" s="31"/>
      <c r="BP611" s="31"/>
      <c r="BQ611" s="31"/>
      <c r="BR611" s="31"/>
      <c r="BS611" s="31"/>
      <c r="BT611" s="31"/>
      <c r="BU611" s="31"/>
      <c r="BV611" s="31"/>
      <c r="BW611" s="31"/>
    </row>
    <row r="612" spans="6:75">
      <c r="F612" s="31"/>
      <c r="G612" s="31"/>
      <c r="H612" s="31"/>
      <c r="I612" s="66"/>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c r="AZ612" s="31"/>
      <c r="BA612" s="31"/>
      <c r="BB612" s="31"/>
      <c r="BC612" s="31"/>
      <c r="BD612" s="31"/>
      <c r="BE612" s="31"/>
      <c r="BF612" s="31"/>
      <c r="BG612" s="31"/>
      <c r="BH612" s="31"/>
      <c r="BI612" s="31"/>
      <c r="BJ612" s="31"/>
      <c r="BK612" s="31"/>
      <c r="BL612" s="31"/>
      <c r="BM612" s="31"/>
      <c r="BN612" s="31"/>
      <c r="BO612" s="31"/>
      <c r="BP612" s="31"/>
      <c r="BQ612" s="31"/>
      <c r="BR612" s="31"/>
      <c r="BS612" s="31"/>
      <c r="BT612" s="31"/>
      <c r="BU612" s="31"/>
      <c r="BV612" s="31"/>
      <c r="BW612" s="31"/>
    </row>
    <row r="613" spans="6:75">
      <c r="F613" s="31"/>
      <c r="G613" s="31"/>
      <c r="H613" s="31"/>
      <c r="I613" s="66"/>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c r="AN613" s="31"/>
      <c r="AO613" s="31"/>
      <c r="AP613" s="31"/>
      <c r="AQ613" s="31"/>
      <c r="AR613" s="31"/>
      <c r="AS613" s="31"/>
      <c r="AT613" s="31"/>
      <c r="AU613" s="31"/>
      <c r="AV613" s="31"/>
      <c r="AW613" s="31"/>
      <c r="AX613" s="31"/>
      <c r="AY613" s="31"/>
      <c r="AZ613" s="31"/>
      <c r="BA613" s="31"/>
      <c r="BB613" s="31"/>
      <c r="BC613" s="31"/>
      <c r="BD613" s="31"/>
      <c r="BE613" s="31"/>
      <c r="BF613" s="31"/>
      <c r="BG613" s="31"/>
      <c r="BH613" s="31"/>
      <c r="BI613" s="31"/>
      <c r="BJ613" s="31"/>
      <c r="BK613" s="31"/>
      <c r="BL613" s="31"/>
      <c r="BM613" s="31"/>
      <c r="BN613" s="31"/>
      <c r="BO613" s="31"/>
      <c r="BP613" s="31"/>
      <c r="BQ613" s="31"/>
      <c r="BR613" s="31"/>
      <c r="BS613" s="31"/>
      <c r="BT613" s="31"/>
      <c r="BU613" s="31"/>
      <c r="BV613" s="31"/>
      <c r="BW613" s="31"/>
    </row>
    <row r="614" spans="6:75">
      <c r="F614" s="31"/>
      <c r="G614" s="31"/>
      <c r="H614" s="31"/>
      <c r="I614" s="66"/>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c r="AY614" s="31"/>
      <c r="AZ614" s="31"/>
      <c r="BA614" s="31"/>
      <c r="BB614" s="31"/>
      <c r="BC614" s="31"/>
      <c r="BD614" s="31"/>
      <c r="BE614" s="31"/>
      <c r="BF614" s="31"/>
      <c r="BG614" s="31"/>
      <c r="BH614" s="31"/>
      <c r="BI614" s="31"/>
      <c r="BJ614" s="31"/>
      <c r="BK614" s="31"/>
      <c r="BL614" s="31"/>
      <c r="BM614" s="31"/>
      <c r="BN614" s="31"/>
      <c r="BO614" s="31"/>
      <c r="BP614" s="31"/>
      <c r="BQ614" s="31"/>
      <c r="BR614" s="31"/>
      <c r="BS614" s="31"/>
      <c r="BT614" s="31"/>
      <c r="BU614" s="31"/>
      <c r="BV614" s="31"/>
      <c r="BW614" s="31"/>
    </row>
    <row r="615" spans="6:75">
      <c r="F615" s="31"/>
      <c r="G615" s="31"/>
      <c r="H615" s="31"/>
      <c r="I615" s="66"/>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c r="AO615" s="31"/>
      <c r="AP615" s="31"/>
      <c r="AQ615" s="31"/>
      <c r="AR615" s="31"/>
      <c r="AS615" s="31"/>
      <c r="AT615" s="31"/>
      <c r="AU615" s="31"/>
      <c r="AV615" s="31"/>
      <c r="AW615" s="31"/>
      <c r="AX615" s="31"/>
      <c r="AY615" s="31"/>
      <c r="AZ615" s="31"/>
      <c r="BA615" s="31"/>
      <c r="BB615" s="31"/>
      <c r="BC615" s="31"/>
      <c r="BD615" s="31"/>
      <c r="BE615" s="31"/>
      <c r="BF615" s="31"/>
      <c r="BG615" s="31"/>
      <c r="BH615" s="31"/>
      <c r="BI615" s="31"/>
      <c r="BJ615" s="31"/>
      <c r="BK615" s="31"/>
      <c r="BL615" s="31"/>
      <c r="BM615" s="31"/>
      <c r="BN615" s="31"/>
      <c r="BO615" s="31"/>
      <c r="BP615" s="31"/>
      <c r="BQ615" s="31"/>
      <c r="BR615" s="31"/>
      <c r="BS615" s="31"/>
      <c r="BT615" s="31"/>
      <c r="BU615" s="31"/>
      <c r="BV615" s="31"/>
      <c r="BW615" s="31"/>
    </row>
    <row r="616" spans="6:75">
      <c r="F616" s="31"/>
      <c r="G616" s="31"/>
      <c r="H616" s="31"/>
      <c r="I616" s="66"/>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c r="AN616" s="31"/>
      <c r="AO616" s="31"/>
      <c r="AP616" s="31"/>
      <c r="AQ616" s="31"/>
      <c r="AR616" s="31"/>
      <c r="AS616" s="31"/>
      <c r="AT616" s="31"/>
      <c r="AU616" s="31"/>
      <c r="AV616" s="31"/>
      <c r="AW616" s="31"/>
      <c r="AX616" s="31"/>
      <c r="AY616" s="31"/>
      <c r="AZ616" s="31"/>
      <c r="BA616" s="31"/>
      <c r="BB616" s="31"/>
      <c r="BC616" s="31"/>
      <c r="BD616" s="31"/>
      <c r="BE616" s="31"/>
      <c r="BF616" s="31"/>
      <c r="BG616" s="31"/>
      <c r="BH616" s="31"/>
      <c r="BI616" s="31"/>
      <c r="BJ616" s="31"/>
      <c r="BK616" s="31"/>
      <c r="BL616" s="31"/>
      <c r="BM616" s="31"/>
      <c r="BN616" s="31"/>
      <c r="BO616" s="31"/>
      <c r="BP616" s="31"/>
      <c r="BQ616" s="31"/>
      <c r="BR616" s="31"/>
      <c r="BS616" s="31"/>
      <c r="BT616" s="31"/>
      <c r="BU616" s="31"/>
      <c r="BV616" s="31"/>
      <c r="BW616" s="31"/>
    </row>
    <row r="617" spans="6:75">
      <c r="F617" s="31"/>
      <c r="G617" s="31"/>
      <c r="H617" s="31"/>
      <c r="I617" s="66"/>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c r="AO617" s="31"/>
      <c r="AP617" s="31"/>
      <c r="AQ617" s="31"/>
      <c r="AR617" s="31"/>
      <c r="AS617" s="31"/>
      <c r="AT617" s="31"/>
      <c r="AU617" s="31"/>
      <c r="AV617" s="31"/>
      <c r="AW617" s="31"/>
      <c r="AX617" s="31"/>
      <c r="AY617" s="31"/>
      <c r="AZ617" s="31"/>
      <c r="BA617" s="31"/>
      <c r="BB617" s="31"/>
      <c r="BC617" s="31"/>
      <c r="BD617" s="31"/>
      <c r="BE617" s="31"/>
      <c r="BF617" s="31"/>
      <c r="BG617" s="31"/>
      <c r="BH617" s="31"/>
      <c r="BI617" s="31"/>
      <c r="BJ617" s="31"/>
      <c r="BK617" s="31"/>
      <c r="BL617" s="31"/>
      <c r="BM617" s="31"/>
      <c r="BN617" s="31"/>
      <c r="BO617" s="31"/>
      <c r="BP617" s="31"/>
      <c r="BQ617" s="31"/>
      <c r="BR617" s="31"/>
      <c r="BS617" s="31"/>
      <c r="BT617" s="31"/>
      <c r="BU617" s="31"/>
      <c r="BV617" s="31"/>
      <c r="BW617" s="31"/>
    </row>
    <row r="618" spans="6:75">
      <c r="F618" s="31"/>
      <c r="G618" s="31"/>
      <c r="H618" s="31"/>
      <c r="I618" s="66"/>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c r="AZ618" s="31"/>
      <c r="BA618" s="31"/>
      <c r="BB618" s="31"/>
      <c r="BC618" s="31"/>
      <c r="BD618" s="31"/>
      <c r="BE618" s="31"/>
      <c r="BF618" s="31"/>
      <c r="BG618" s="31"/>
      <c r="BH618" s="31"/>
      <c r="BI618" s="31"/>
      <c r="BJ618" s="31"/>
      <c r="BK618" s="31"/>
      <c r="BL618" s="31"/>
      <c r="BM618" s="31"/>
      <c r="BN618" s="31"/>
      <c r="BO618" s="31"/>
      <c r="BP618" s="31"/>
      <c r="BQ618" s="31"/>
      <c r="BR618" s="31"/>
      <c r="BS618" s="31"/>
      <c r="BT618" s="31"/>
      <c r="BU618" s="31"/>
      <c r="BV618" s="31"/>
      <c r="BW618" s="31"/>
    </row>
    <row r="619" spans="6:75">
      <c r="F619" s="31"/>
      <c r="G619" s="31"/>
      <c r="H619" s="31"/>
      <c r="I619" s="66"/>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c r="AN619" s="31"/>
      <c r="AO619" s="31"/>
      <c r="AP619" s="31"/>
      <c r="AQ619" s="31"/>
      <c r="AR619" s="31"/>
      <c r="AS619" s="31"/>
      <c r="AT619" s="31"/>
      <c r="AU619" s="31"/>
      <c r="AV619" s="31"/>
      <c r="AW619" s="31"/>
      <c r="AX619" s="31"/>
      <c r="AY619" s="31"/>
      <c r="AZ619" s="31"/>
      <c r="BA619" s="31"/>
      <c r="BB619" s="31"/>
      <c r="BC619" s="31"/>
      <c r="BD619" s="31"/>
      <c r="BE619" s="31"/>
      <c r="BF619" s="31"/>
      <c r="BG619" s="31"/>
      <c r="BH619" s="31"/>
      <c r="BI619" s="31"/>
      <c r="BJ619" s="31"/>
      <c r="BK619" s="31"/>
      <c r="BL619" s="31"/>
      <c r="BM619" s="31"/>
      <c r="BN619" s="31"/>
      <c r="BO619" s="31"/>
      <c r="BP619" s="31"/>
      <c r="BQ619" s="31"/>
      <c r="BR619" s="31"/>
      <c r="BS619" s="31"/>
      <c r="BT619" s="31"/>
      <c r="BU619" s="31"/>
      <c r="BV619" s="31"/>
      <c r="BW619" s="31"/>
    </row>
    <row r="620" spans="6:75">
      <c r="F620" s="31"/>
      <c r="G620" s="31"/>
      <c r="H620" s="31"/>
      <c r="I620" s="66"/>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c r="AN620" s="31"/>
      <c r="AO620" s="31"/>
      <c r="AP620" s="31"/>
      <c r="AQ620" s="31"/>
      <c r="AR620" s="31"/>
      <c r="AS620" s="31"/>
      <c r="AT620" s="31"/>
      <c r="AU620" s="31"/>
      <c r="AV620" s="31"/>
      <c r="AW620" s="31"/>
      <c r="AX620" s="31"/>
      <c r="AY620" s="31"/>
      <c r="AZ620" s="31"/>
      <c r="BA620" s="31"/>
      <c r="BB620" s="31"/>
      <c r="BC620" s="31"/>
      <c r="BD620" s="31"/>
      <c r="BE620" s="31"/>
      <c r="BF620" s="31"/>
      <c r="BG620" s="31"/>
      <c r="BH620" s="31"/>
      <c r="BI620" s="31"/>
      <c r="BJ620" s="31"/>
      <c r="BK620" s="31"/>
      <c r="BL620" s="31"/>
      <c r="BM620" s="31"/>
      <c r="BN620" s="31"/>
      <c r="BO620" s="31"/>
      <c r="BP620" s="31"/>
      <c r="BQ620" s="31"/>
      <c r="BR620" s="31"/>
      <c r="BS620" s="31"/>
      <c r="BT620" s="31"/>
      <c r="BU620" s="31"/>
      <c r="BV620" s="31"/>
      <c r="BW620" s="31"/>
    </row>
    <row r="621" spans="6:75">
      <c r="F621" s="31"/>
      <c r="G621" s="31"/>
      <c r="H621" s="31"/>
      <c r="I621" s="66"/>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c r="AN621" s="31"/>
      <c r="AO621" s="31"/>
      <c r="AP621" s="31"/>
      <c r="AQ621" s="31"/>
      <c r="AR621" s="31"/>
      <c r="AS621" s="31"/>
      <c r="AT621" s="31"/>
      <c r="AU621" s="31"/>
      <c r="AV621" s="31"/>
      <c r="AW621" s="31"/>
      <c r="AX621" s="31"/>
      <c r="AY621" s="31"/>
      <c r="AZ621" s="31"/>
      <c r="BA621" s="31"/>
      <c r="BB621" s="31"/>
      <c r="BC621" s="31"/>
      <c r="BD621" s="31"/>
      <c r="BE621" s="31"/>
      <c r="BF621" s="31"/>
      <c r="BG621" s="31"/>
      <c r="BH621" s="31"/>
      <c r="BI621" s="31"/>
      <c r="BJ621" s="31"/>
      <c r="BK621" s="31"/>
      <c r="BL621" s="31"/>
      <c r="BM621" s="31"/>
      <c r="BN621" s="31"/>
      <c r="BO621" s="31"/>
      <c r="BP621" s="31"/>
      <c r="BQ621" s="31"/>
      <c r="BR621" s="31"/>
      <c r="BS621" s="31"/>
      <c r="BT621" s="31"/>
      <c r="BU621" s="31"/>
      <c r="BV621" s="31"/>
      <c r="BW621" s="31"/>
    </row>
    <row r="622" spans="6:75">
      <c r="F622" s="31"/>
      <c r="G622" s="31"/>
      <c r="H622" s="31"/>
      <c r="I622" s="66"/>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c r="AO622" s="31"/>
      <c r="AP622" s="31"/>
      <c r="AQ622" s="31"/>
      <c r="AR622" s="31"/>
      <c r="AS622" s="31"/>
      <c r="AT622" s="31"/>
      <c r="AU622" s="31"/>
      <c r="AV622" s="31"/>
      <c r="AW622" s="31"/>
      <c r="AX622" s="31"/>
      <c r="AY622" s="31"/>
      <c r="AZ622" s="31"/>
      <c r="BA622" s="31"/>
      <c r="BB622" s="31"/>
      <c r="BC622" s="31"/>
      <c r="BD622" s="31"/>
      <c r="BE622" s="31"/>
      <c r="BF622" s="31"/>
      <c r="BG622" s="31"/>
      <c r="BH622" s="31"/>
      <c r="BI622" s="31"/>
      <c r="BJ622" s="31"/>
      <c r="BK622" s="31"/>
      <c r="BL622" s="31"/>
      <c r="BM622" s="31"/>
      <c r="BN622" s="31"/>
      <c r="BO622" s="31"/>
      <c r="BP622" s="31"/>
      <c r="BQ622" s="31"/>
      <c r="BR622" s="31"/>
      <c r="BS622" s="31"/>
      <c r="BT622" s="31"/>
      <c r="BU622" s="31"/>
      <c r="BV622" s="31"/>
      <c r="BW622" s="31"/>
    </row>
    <row r="623" spans="6:75">
      <c r="F623" s="31"/>
      <c r="G623" s="31"/>
      <c r="H623" s="31"/>
      <c r="I623" s="66"/>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c r="AY623" s="31"/>
      <c r="AZ623" s="31"/>
      <c r="BA623" s="31"/>
      <c r="BB623" s="31"/>
      <c r="BC623" s="31"/>
      <c r="BD623" s="31"/>
      <c r="BE623" s="31"/>
      <c r="BF623" s="31"/>
      <c r="BG623" s="31"/>
      <c r="BH623" s="31"/>
      <c r="BI623" s="31"/>
      <c r="BJ623" s="31"/>
      <c r="BK623" s="31"/>
      <c r="BL623" s="31"/>
      <c r="BM623" s="31"/>
      <c r="BN623" s="31"/>
      <c r="BO623" s="31"/>
      <c r="BP623" s="31"/>
      <c r="BQ623" s="31"/>
      <c r="BR623" s="31"/>
      <c r="BS623" s="31"/>
      <c r="BT623" s="31"/>
      <c r="BU623" s="31"/>
      <c r="BV623" s="31"/>
      <c r="BW623" s="31"/>
    </row>
    <row r="624" spans="6:75">
      <c r="F624" s="31"/>
      <c r="G624" s="31"/>
      <c r="H624" s="31"/>
      <c r="I624" s="66"/>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c r="AY624" s="31"/>
      <c r="AZ624" s="31"/>
      <c r="BA624" s="31"/>
      <c r="BB624" s="31"/>
      <c r="BC624" s="31"/>
      <c r="BD624" s="31"/>
      <c r="BE624" s="31"/>
      <c r="BF624" s="31"/>
      <c r="BG624" s="31"/>
      <c r="BH624" s="31"/>
      <c r="BI624" s="31"/>
      <c r="BJ624" s="31"/>
      <c r="BK624" s="31"/>
      <c r="BL624" s="31"/>
      <c r="BM624" s="31"/>
      <c r="BN624" s="31"/>
      <c r="BO624" s="31"/>
      <c r="BP624" s="31"/>
      <c r="BQ624" s="31"/>
      <c r="BR624" s="31"/>
      <c r="BS624" s="31"/>
      <c r="BT624" s="31"/>
      <c r="BU624" s="31"/>
      <c r="BV624" s="31"/>
      <c r="BW624" s="31"/>
    </row>
    <row r="625" spans="6:75">
      <c r="F625" s="31"/>
      <c r="G625" s="31"/>
      <c r="H625" s="31"/>
      <c r="I625" s="66"/>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c r="AN625" s="31"/>
      <c r="AO625" s="31"/>
      <c r="AP625" s="31"/>
      <c r="AQ625" s="31"/>
      <c r="AR625" s="31"/>
      <c r="AS625" s="31"/>
      <c r="AT625" s="31"/>
      <c r="AU625" s="31"/>
      <c r="AV625" s="31"/>
      <c r="AW625" s="31"/>
      <c r="AX625" s="31"/>
      <c r="AY625" s="31"/>
      <c r="AZ625" s="31"/>
      <c r="BA625" s="31"/>
      <c r="BB625" s="31"/>
      <c r="BC625" s="31"/>
      <c r="BD625" s="31"/>
      <c r="BE625" s="31"/>
      <c r="BF625" s="31"/>
      <c r="BG625" s="31"/>
      <c r="BH625" s="31"/>
      <c r="BI625" s="31"/>
      <c r="BJ625" s="31"/>
      <c r="BK625" s="31"/>
      <c r="BL625" s="31"/>
      <c r="BM625" s="31"/>
      <c r="BN625" s="31"/>
      <c r="BO625" s="31"/>
      <c r="BP625" s="31"/>
      <c r="BQ625" s="31"/>
      <c r="BR625" s="31"/>
      <c r="BS625" s="31"/>
      <c r="BT625" s="31"/>
      <c r="BU625" s="31"/>
      <c r="BV625" s="31"/>
      <c r="BW625" s="31"/>
    </row>
    <row r="626" spans="6:75">
      <c r="F626" s="31"/>
      <c r="G626" s="31"/>
      <c r="H626" s="31"/>
      <c r="I626" s="66"/>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c r="AY626" s="31"/>
      <c r="AZ626" s="31"/>
      <c r="BA626" s="31"/>
      <c r="BB626" s="31"/>
      <c r="BC626" s="31"/>
      <c r="BD626" s="31"/>
      <c r="BE626" s="31"/>
      <c r="BF626" s="31"/>
      <c r="BG626" s="31"/>
      <c r="BH626" s="31"/>
      <c r="BI626" s="31"/>
      <c r="BJ626" s="31"/>
      <c r="BK626" s="31"/>
      <c r="BL626" s="31"/>
      <c r="BM626" s="31"/>
      <c r="BN626" s="31"/>
      <c r="BO626" s="31"/>
      <c r="BP626" s="31"/>
      <c r="BQ626" s="31"/>
      <c r="BR626" s="31"/>
      <c r="BS626" s="31"/>
      <c r="BT626" s="31"/>
      <c r="BU626" s="31"/>
      <c r="BV626" s="31"/>
      <c r="BW626" s="31"/>
    </row>
    <row r="627" spans="6:75">
      <c r="F627" s="31"/>
      <c r="G627" s="31"/>
      <c r="H627" s="31"/>
      <c r="I627" s="66"/>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c r="AY627" s="31"/>
      <c r="AZ627" s="31"/>
      <c r="BA627" s="31"/>
      <c r="BB627" s="31"/>
      <c r="BC627" s="31"/>
      <c r="BD627" s="31"/>
      <c r="BE627" s="31"/>
      <c r="BF627" s="31"/>
      <c r="BG627" s="31"/>
      <c r="BH627" s="31"/>
      <c r="BI627" s="31"/>
      <c r="BJ627" s="31"/>
      <c r="BK627" s="31"/>
      <c r="BL627" s="31"/>
      <c r="BM627" s="31"/>
      <c r="BN627" s="31"/>
      <c r="BO627" s="31"/>
      <c r="BP627" s="31"/>
      <c r="BQ627" s="31"/>
      <c r="BR627" s="31"/>
      <c r="BS627" s="31"/>
      <c r="BT627" s="31"/>
      <c r="BU627" s="31"/>
      <c r="BV627" s="31"/>
      <c r="BW627" s="31"/>
    </row>
    <row r="628" spans="6:75">
      <c r="F628" s="31"/>
      <c r="G628" s="31"/>
      <c r="H628" s="31"/>
      <c r="I628" s="66"/>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c r="AY628" s="31"/>
      <c r="AZ628" s="31"/>
      <c r="BA628" s="31"/>
      <c r="BB628" s="31"/>
      <c r="BC628" s="31"/>
      <c r="BD628" s="31"/>
      <c r="BE628" s="31"/>
      <c r="BF628" s="31"/>
      <c r="BG628" s="31"/>
      <c r="BH628" s="31"/>
      <c r="BI628" s="31"/>
      <c r="BJ628" s="31"/>
      <c r="BK628" s="31"/>
      <c r="BL628" s="31"/>
      <c r="BM628" s="31"/>
      <c r="BN628" s="31"/>
      <c r="BO628" s="31"/>
      <c r="BP628" s="31"/>
      <c r="BQ628" s="31"/>
      <c r="BR628" s="31"/>
      <c r="BS628" s="31"/>
      <c r="BT628" s="31"/>
      <c r="BU628" s="31"/>
      <c r="BV628" s="31"/>
      <c r="BW628" s="31"/>
    </row>
    <row r="629" spans="6:75">
      <c r="F629" s="31"/>
      <c r="G629" s="31"/>
      <c r="H629" s="31"/>
      <c r="I629" s="66"/>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c r="AY629" s="31"/>
      <c r="AZ629" s="31"/>
      <c r="BA629" s="31"/>
      <c r="BB629" s="31"/>
      <c r="BC629" s="31"/>
      <c r="BD629" s="31"/>
      <c r="BE629" s="31"/>
      <c r="BF629" s="31"/>
      <c r="BG629" s="31"/>
      <c r="BH629" s="31"/>
      <c r="BI629" s="31"/>
      <c r="BJ629" s="31"/>
      <c r="BK629" s="31"/>
      <c r="BL629" s="31"/>
      <c r="BM629" s="31"/>
      <c r="BN629" s="31"/>
      <c r="BO629" s="31"/>
      <c r="BP629" s="31"/>
      <c r="BQ629" s="31"/>
      <c r="BR629" s="31"/>
      <c r="BS629" s="31"/>
      <c r="BT629" s="31"/>
      <c r="BU629" s="31"/>
      <c r="BV629" s="31"/>
      <c r="BW629" s="31"/>
    </row>
    <row r="630" spans="6:75">
      <c r="F630" s="31"/>
      <c r="G630" s="31"/>
      <c r="H630" s="31"/>
      <c r="I630" s="66"/>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c r="AZ630" s="31"/>
      <c r="BA630" s="31"/>
      <c r="BB630" s="31"/>
      <c r="BC630" s="31"/>
      <c r="BD630" s="31"/>
      <c r="BE630" s="31"/>
      <c r="BF630" s="31"/>
      <c r="BG630" s="31"/>
      <c r="BH630" s="31"/>
      <c r="BI630" s="31"/>
      <c r="BJ630" s="31"/>
      <c r="BK630" s="31"/>
      <c r="BL630" s="31"/>
      <c r="BM630" s="31"/>
      <c r="BN630" s="31"/>
      <c r="BO630" s="31"/>
      <c r="BP630" s="31"/>
      <c r="BQ630" s="31"/>
      <c r="BR630" s="31"/>
      <c r="BS630" s="31"/>
      <c r="BT630" s="31"/>
      <c r="BU630" s="31"/>
      <c r="BV630" s="31"/>
      <c r="BW630" s="31"/>
    </row>
    <row r="631" spans="6:75">
      <c r="F631" s="31"/>
      <c r="G631" s="31"/>
      <c r="H631" s="31"/>
      <c r="I631" s="66"/>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c r="AY631" s="31"/>
      <c r="AZ631" s="31"/>
      <c r="BA631" s="31"/>
      <c r="BB631" s="31"/>
      <c r="BC631" s="31"/>
      <c r="BD631" s="31"/>
      <c r="BE631" s="31"/>
      <c r="BF631" s="31"/>
      <c r="BG631" s="31"/>
      <c r="BH631" s="31"/>
      <c r="BI631" s="31"/>
      <c r="BJ631" s="31"/>
      <c r="BK631" s="31"/>
      <c r="BL631" s="31"/>
      <c r="BM631" s="31"/>
      <c r="BN631" s="31"/>
      <c r="BO631" s="31"/>
      <c r="BP631" s="31"/>
      <c r="BQ631" s="31"/>
      <c r="BR631" s="31"/>
      <c r="BS631" s="31"/>
      <c r="BT631" s="31"/>
      <c r="BU631" s="31"/>
      <c r="BV631" s="31"/>
      <c r="BW631" s="31"/>
    </row>
    <row r="632" spans="6:75">
      <c r="F632" s="31"/>
      <c r="G632" s="31"/>
      <c r="H632" s="31"/>
      <c r="I632" s="66"/>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c r="AN632" s="31"/>
      <c r="AO632" s="31"/>
      <c r="AP632" s="31"/>
      <c r="AQ632" s="31"/>
      <c r="AR632" s="31"/>
      <c r="AS632" s="31"/>
      <c r="AT632" s="31"/>
      <c r="AU632" s="31"/>
      <c r="AV632" s="31"/>
      <c r="AW632" s="31"/>
      <c r="AX632" s="31"/>
      <c r="AY632" s="31"/>
      <c r="AZ632" s="31"/>
      <c r="BA632" s="31"/>
      <c r="BB632" s="31"/>
      <c r="BC632" s="31"/>
      <c r="BD632" s="31"/>
      <c r="BE632" s="31"/>
      <c r="BF632" s="31"/>
      <c r="BG632" s="31"/>
      <c r="BH632" s="31"/>
      <c r="BI632" s="31"/>
      <c r="BJ632" s="31"/>
      <c r="BK632" s="31"/>
      <c r="BL632" s="31"/>
      <c r="BM632" s="31"/>
      <c r="BN632" s="31"/>
      <c r="BO632" s="31"/>
      <c r="BP632" s="31"/>
      <c r="BQ632" s="31"/>
      <c r="BR632" s="31"/>
      <c r="BS632" s="31"/>
      <c r="BT632" s="31"/>
      <c r="BU632" s="31"/>
      <c r="BV632" s="31"/>
      <c r="BW632" s="31"/>
    </row>
    <row r="633" spans="6:75">
      <c r="F633" s="31"/>
      <c r="G633" s="31"/>
      <c r="H633" s="31"/>
      <c r="I633" s="66"/>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c r="AY633" s="31"/>
      <c r="AZ633" s="31"/>
      <c r="BA633" s="31"/>
      <c r="BB633" s="31"/>
      <c r="BC633" s="31"/>
      <c r="BD633" s="31"/>
      <c r="BE633" s="31"/>
      <c r="BF633" s="31"/>
      <c r="BG633" s="31"/>
      <c r="BH633" s="31"/>
      <c r="BI633" s="31"/>
      <c r="BJ633" s="31"/>
      <c r="BK633" s="31"/>
      <c r="BL633" s="31"/>
      <c r="BM633" s="31"/>
      <c r="BN633" s="31"/>
      <c r="BO633" s="31"/>
      <c r="BP633" s="31"/>
      <c r="BQ633" s="31"/>
      <c r="BR633" s="31"/>
      <c r="BS633" s="31"/>
      <c r="BT633" s="31"/>
      <c r="BU633" s="31"/>
      <c r="BV633" s="31"/>
      <c r="BW633" s="31"/>
    </row>
    <row r="634" spans="6:75">
      <c r="F634" s="31"/>
      <c r="G634" s="31"/>
      <c r="H634" s="31"/>
      <c r="I634" s="66"/>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c r="AY634" s="31"/>
      <c r="AZ634" s="31"/>
      <c r="BA634" s="31"/>
      <c r="BB634" s="31"/>
      <c r="BC634" s="31"/>
      <c r="BD634" s="31"/>
      <c r="BE634" s="31"/>
      <c r="BF634" s="31"/>
      <c r="BG634" s="31"/>
      <c r="BH634" s="31"/>
      <c r="BI634" s="31"/>
      <c r="BJ634" s="31"/>
      <c r="BK634" s="31"/>
      <c r="BL634" s="31"/>
      <c r="BM634" s="31"/>
      <c r="BN634" s="31"/>
      <c r="BO634" s="31"/>
      <c r="BP634" s="31"/>
      <c r="BQ634" s="31"/>
      <c r="BR634" s="31"/>
      <c r="BS634" s="31"/>
      <c r="BT634" s="31"/>
      <c r="BU634" s="31"/>
      <c r="BV634" s="31"/>
      <c r="BW634" s="31"/>
    </row>
    <row r="635" spans="6:75">
      <c r="F635" s="31"/>
      <c r="G635" s="31"/>
      <c r="H635" s="31"/>
      <c r="I635" s="66"/>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c r="AN635" s="31"/>
      <c r="AO635" s="31"/>
      <c r="AP635" s="31"/>
      <c r="AQ635" s="31"/>
      <c r="AR635" s="31"/>
      <c r="AS635" s="31"/>
      <c r="AT635" s="31"/>
      <c r="AU635" s="31"/>
      <c r="AV635" s="31"/>
      <c r="AW635" s="31"/>
      <c r="AX635" s="31"/>
      <c r="AY635" s="31"/>
      <c r="AZ635" s="31"/>
      <c r="BA635" s="31"/>
      <c r="BB635" s="31"/>
      <c r="BC635" s="31"/>
      <c r="BD635" s="31"/>
      <c r="BE635" s="31"/>
      <c r="BF635" s="31"/>
      <c r="BG635" s="31"/>
      <c r="BH635" s="31"/>
      <c r="BI635" s="31"/>
      <c r="BJ635" s="31"/>
      <c r="BK635" s="31"/>
      <c r="BL635" s="31"/>
      <c r="BM635" s="31"/>
      <c r="BN635" s="31"/>
      <c r="BO635" s="31"/>
      <c r="BP635" s="31"/>
      <c r="BQ635" s="31"/>
      <c r="BR635" s="31"/>
      <c r="BS635" s="31"/>
      <c r="BT635" s="31"/>
      <c r="BU635" s="31"/>
      <c r="BV635" s="31"/>
      <c r="BW635" s="31"/>
    </row>
    <row r="636" spans="6:75">
      <c r="F636" s="31"/>
      <c r="G636" s="31"/>
      <c r="H636" s="31"/>
      <c r="I636" s="66"/>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c r="AN636" s="31"/>
      <c r="AO636" s="31"/>
      <c r="AP636" s="31"/>
      <c r="AQ636" s="31"/>
      <c r="AR636" s="31"/>
      <c r="AS636" s="31"/>
      <c r="AT636" s="31"/>
      <c r="AU636" s="31"/>
      <c r="AV636" s="31"/>
      <c r="AW636" s="31"/>
      <c r="AX636" s="31"/>
      <c r="AY636" s="31"/>
      <c r="AZ636" s="31"/>
      <c r="BA636" s="31"/>
      <c r="BB636" s="31"/>
      <c r="BC636" s="31"/>
      <c r="BD636" s="31"/>
      <c r="BE636" s="31"/>
      <c r="BF636" s="31"/>
      <c r="BG636" s="31"/>
      <c r="BH636" s="31"/>
      <c r="BI636" s="31"/>
      <c r="BJ636" s="31"/>
      <c r="BK636" s="31"/>
      <c r="BL636" s="31"/>
      <c r="BM636" s="31"/>
      <c r="BN636" s="31"/>
      <c r="BO636" s="31"/>
      <c r="BP636" s="31"/>
      <c r="BQ636" s="31"/>
      <c r="BR636" s="31"/>
      <c r="BS636" s="31"/>
      <c r="BT636" s="31"/>
      <c r="BU636" s="31"/>
      <c r="BV636" s="31"/>
      <c r="BW636" s="31"/>
    </row>
    <row r="637" spans="6:75">
      <c r="F637" s="31"/>
      <c r="G637" s="31"/>
      <c r="H637" s="31"/>
      <c r="I637" s="66"/>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c r="AN637" s="31"/>
      <c r="AO637" s="31"/>
      <c r="AP637" s="31"/>
      <c r="AQ637" s="31"/>
      <c r="AR637" s="31"/>
      <c r="AS637" s="31"/>
      <c r="AT637" s="31"/>
      <c r="AU637" s="31"/>
      <c r="AV637" s="31"/>
      <c r="AW637" s="31"/>
      <c r="AX637" s="31"/>
      <c r="AY637" s="31"/>
      <c r="AZ637" s="31"/>
      <c r="BA637" s="31"/>
      <c r="BB637" s="31"/>
      <c r="BC637" s="31"/>
      <c r="BD637" s="31"/>
      <c r="BE637" s="31"/>
      <c r="BF637" s="31"/>
      <c r="BG637" s="31"/>
      <c r="BH637" s="31"/>
      <c r="BI637" s="31"/>
      <c r="BJ637" s="31"/>
      <c r="BK637" s="31"/>
      <c r="BL637" s="31"/>
      <c r="BM637" s="31"/>
      <c r="BN637" s="31"/>
      <c r="BO637" s="31"/>
      <c r="BP637" s="31"/>
      <c r="BQ637" s="31"/>
      <c r="BR637" s="31"/>
      <c r="BS637" s="31"/>
      <c r="BT637" s="31"/>
      <c r="BU637" s="31"/>
      <c r="BV637" s="31"/>
      <c r="BW637" s="31"/>
    </row>
    <row r="638" spans="6:75">
      <c r="F638" s="31"/>
      <c r="G638" s="31"/>
      <c r="H638" s="31"/>
      <c r="I638" s="66"/>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c r="AN638" s="31"/>
      <c r="AO638" s="31"/>
      <c r="AP638" s="31"/>
      <c r="AQ638" s="31"/>
      <c r="AR638" s="31"/>
      <c r="AS638" s="31"/>
      <c r="AT638" s="31"/>
      <c r="AU638" s="31"/>
      <c r="AV638" s="31"/>
      <c r="AW638" s="31"/>
      <c r="AX638" s="31"/>
      <c r="AY638" s="31"/>
      <c r="AZ638" s="31"/>
      <c r="BA638" s="31"/>
      <c r="BB638" s="31"/>
      <c r="BC638" s="31"/>
      <c r="BD638" s="31"/>
      <c r="BE638" s="31"/>
      <c r="BF638" s="31"/>
      <c r="BG638" s="31"/>
      <c r="BH638" s="31"/>
      <c r="BI638" s="31"/>
      <c r="BJ638" s="31"/>
      <c r="BK638" s="31"/>
      <c r="BL638" s="31"/>
      <c r="BM638" s="31"/>
      <c r="BN638" s="31"/>
      <c r="BO638" s="31"/>
      <c r="BP638" s="31"/>
      <c r="BQ638" s="31"/>
      <c r="BR638" s="31"/>
      <c r="BS638" s="31"/>
      <c r="BT638" s="31"/>
      <c r="BU638" s="31"/>
      <c r="BV638" s="31"/>
      <c r="BW638" s="31"/>
    </row>
    <row r="639" spans="6:75">
      <c r="F639" s="31"/>
      <c r="G639" s="31"/>
      <c r="H639" s="31"/>
      <c r="I639" s="66"/>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c r="AN639" s="31"/>
      <c r="AO639" s="31"/>
      <c r="AP639" s="31"/>
      <c r="AQ639" s="31"/>
      <c r="AR639" s="31"/>
      <c r="AS639" s="31"/>
      <c r="AT639" s="31"/>
      <c r="AU639" s="31"/>
      <c r="AV639" s="31"/>
      <c r="AW639" s="31"/>
      <c r="AX639" s="31"/>
      <c r="AY639" s="31"/>
      <c r="AZ639" s="31"/>
      <c r="BA639" s="31"/>
      <c r="BB639" s="31"/>
      <c r="BC639" s="31"/>
      <c r="BD639" s="31"/>
      <c r="BE639" s="31"/>
      <c r="BF639" s="31"/>
      <c r="BG639" s="31"/>
      <c r="BH639" s="31"/>
      <c r="BI639" s="31"/>
      <c r="BJ639" s="31"/>
      <c r="BK639" s="31"/>
      <c r="BL639" s="31"/>
      <c r="BM639" s="31"/>
      <c r="BN639" s="31"/>
      <c r="BO639" s="31"/>
      <c r="BP639" s="31"/>
      <c r="BQ639" s="31"/>
      <c r="BR639" s="31"/>
      <c r="BS639" s="31"/>
      <c r="BT639" s="31"/>
      <c r="BU639" s="31"/>
      <c r="BV639" s="31"/>
      <c r="BW639" s="31"/>
    </row>
    <row r="640" spans="6:75">
      <c r="F640" s="31"/>
      <c r="G640" s="31"/>
      <c r="H640" s="31"/>
      <c r="I640" s="66"/>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c r="AN640" s="31"/>
      <c r="AO640" s="31"/>
      <c r="AP640" s="31"/>
      <c r="AQ640" s="31"/>
      <c r="AR640" s="31"/>
      <c r="AS640" s="31"/>
      <c r="AT640" s="31"/>
      <c r="AU640" s="31"/>
      <c r="AV640" s="31"/>
      <c r="AW640" s="31"/>
      <c r="AX640" s="31"/>
      <c r="AY640" s="31"/>
      <c r="AZ640" s="31"/>
      <c r="BA640" s="31"/>
      <c r="BB640" s="31"/>
      <c r="BC640" s="31"/>
      <c r="BD640" s="31"/>
      <c r="BE640" s="31"/>
      <c r="BF640" s="31"/>
      <c r="BG640" s="31"/>
      <c r="BH640" s="31"/>
      <c r="BI640" s="31"/>
      <c r="BJ640" s="31"/>
      <c r="BK640" s="31"/>
      <c r="BL640" s="31"/>
      <c r="BM640" s="31"/>
      <c r="BN640" s="31"/>
      <c r="BO640" s="31"/>
      <c r="BP640" s="31"/>
      <c r="BQ640" s="31"/>
      <c r="BR640" s="31"/>
      <c r="BS640" s="31"/>
      <c r="BT640" s="31"/>
      <c r="BU640" s="31"/>
      <c r="BV640" s="31"/>
      <c r="BW640" s="31"/>
    </row>
    <row r="641" spans="6:75">
      <c r="F641" s="31"/>
      <c r="G641" s="31"/>
      <c r="H641" s="31"/>
      <c r="I641" s="66"/>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c r="AN641" s="31"/>
      <c r="AO641" s="31"/>
      <c r="AP641" s="31"/>
      <c r="AQ641" s="31"/>
      <c r="AR641" s="31"/>
      <c r="AS641" s="31"/>
      <c r="AT641" s="31"/>
      <c r="AU641" s="31"/>
      <c r="AV641" s="31"/>
      <c r="AW641" s="31"/>
      <c r="AX641" s="31"/>
      <c r="AY641" s="31"/>
      <c r="AZ641" s="31"/>
      <c r="BA641" s="31"/>
      <c r="BB641" s="31"/>
      <c r="BC641" s="31"/>
      <c r="BD641" s="31"/>
      <c r="BE641" s="31"/>
      <c r="BF641" s="31"/>
      <c r="BG641" s="31"/>
      <c r="BH641" s="31"/>
      <c r="BI641" s="31"/>
      <c r="BJ641" s="31"/>
      <c r="BK641" s="31"/>
      <c r="BL641" s="31"/>
      <c r="BM641" s="31"/>
      <c r="BN641" s="31"/>
      <c r="BO641" s="31"/>
      <c r="BP641" s="31"/>
      <c r="BQ641" s="31"/>
      <c r="BR641" s="31"/>
      <c r="BS641" s="31"/>
      <c r="BT641" s="31"/>
      <c r="BU641" s="31"/>
      <c r="BV641" s="31"/>
      <c r="BW641" s="31"/>
    </row>
    <row r="642" spans="6:75">
      <c r="F642" s="31"/>
      <c r="G642" s="31"/>
      <c r="H642" s="31"/>
      <c r="I642" s="66"/>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c r="AZ642" s="31"/>
      <c r="BA642" s="31"/>
      <c r="BB642" s="31"/>
      <c r="BC642" s="31"/>
      <c r="BD642" s="31"/>
      <c r="BE642" s="31"/>
      <c r="BF642" s="31"/>
      <c r="BG642" s="31"/>
      <c r="BH642" s="31"/>
      <c r="BI642" s="31"/>
      <c r="BJ642" s="31"/>
      <c r="BK642" s="31"/>
      <c r="BL642" s="31"/>
      <c r="BM642" s="31"/>
      <c r="BN642" s="31"/>
      <c r="BO642" s="31"/>
      <c r="BP642" s="31"/>
      <c r="BQ642" s="31"/>
      <c r="BR642" s="31"/>
      <c r="BS642" s="31"/>
      <c r="BT642" s="31"/>
      <c r="BU642" s="31"/>
      <c r="BV642" s="31"/>
      <c r="BW642" s="31"/>
    </row>
    <row r="643" spans="6:75">
      <c r="F643" s="31"/>
      <c r="G643" s="31"/>
      <c r="H643" s="31"/>
      <c r="I643" s="66"/>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c r="AY643" s="31"/>
      <c r="AZ643" s="31"/>
      <c r="BA643" s="31"/>
      <c r="BB643" s="31"/>
      <c r="BC643" s="31"/>
      <c r="BD643" s="31"/>
      <c r="BE643" s="31"/>
      <c r="BF643" s="31"/>
      <c r="BG643" s="31"/>
      <c r="BH643" s="31"/>
      <c r="BI643" s="31"/>
      <c r="BJ643" s="31"/>
      <c r="BK643" s="31"/>
      <c r="BL643" s="31"/>
      <c r="BM643" s="31"/>
      <c r="BN643" s="31"/>
      <c r="BO643" s="31"/>
      <c r="BP643" s="31"/>
      <c r="BQ643" s="31"/>
      <c r="BR643" s="31"/>
      <c r="BS643" s="31"/>
      <c r="BT643" s="31"/>
      <c r="BU643" s="31"/>
      <c r="BV643" s="31"/>
      <c r="BW643" s="31"/>
    </row>
    <row r="644" spans="6:75">
      <c r="F644" s="31"/>
      <c r="G644" s="31"/>
      <c r="H644" s="31"/>
      <c r="I644" s="66"/>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c r="AY644" s="31"/>
      <c r="AZ644" s="31"/>
      <c r="BA644" s="31"/>
      <c r="BB644" s="31"/>
      <c r="BC644" s="31"/>
      <c r="BD644" s="31"/>
      <c r="BE644" s="31"/>
      <c r="BF644" s="31"/>
      <c r="BG644" s="31"/>
      <c r="BH644" s="31"/>
      <c r="BI644" s="31"/>
      <c r="BJ644" s="31"/>
      <c r="BK644" s="31"/>
      <c r="BL644" s="31"/>
      <c r="BM644" s="31"/>
      <c r="BN644" s="31"/>
      <c r="BO644" s="31"/>
      <c r="BP644" s="31"/>
      <c r="BQ644" s="31"/>
      <c r="BR644" s="31"/>
      <c r="BS644" s="31"/>
      <c r="BT644" s="31"/>
      <c r="BU644" s="31"/>
      <c r="BV644" s="31"/>
      <c r="BW644" s="31"/>
    </row>
    <row r="645" spans="6:75">
      <c r="F645" s="31"/>
      <c r="G645" s="31"/>
      <c r="H645" s="31"/>
      <c r="I645" s="66"/>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c r="AO645" s="31"/>
      <c r="AP645" s="31"/>
      <c r="AQ645" s="31"/>
      <c r="AR645" s="31"/>
      <c r="AS645" s="31"/>
      <c r="AT645" s="31"/>
      <c r="AU645" s="31"/>
      <c r="AV645" s="31"/>
      <c r="AW645" s="31"/>
      <c r="AX645" s="31"/>
      <c r="AY645" s="31"/>
      <c r="AZ645" s="31"/>
      <c r="BA645" s="31"/>
      <c r="BB645" s="31"/>
      <c r="BC645" s="31"/>
      <c r="BD645" s="31"/>
      <c r="BE645" s="31"/>
      <c r="BF645" s="31"/>
      <c r="BG645" s="31"/>
      <c r="BH645" s="31"/>
      <c r="BI645" s="31"/>
      <c r="BJ645" s="31"/>
      <c r="BK645" s="31"/>
      <c r="BL645" s="31"/>
      <c r="BM645" s="31"/>
      <c r="BN645" s="31"/>
      <c r="BO645" s="31"/>
      <c r="BP645" s="31"/>
      <c r="BQ645" s="31"/>
      <c r="BR645" s="31"/>
      <c r="BS645" s="31"/>
      <c r="BT645" s="31"/>
      <c r="BU645" s="31"/>
      <c r="BV645" s="31"/>
      <c r="BW645" s="31"/>
    </row>
    <row r="646" spans="6:75">
      <c r="F646" s="31"/>
      <c r="G646" s="31"/>
      <c r="H646" s="31"/>
      <c r="I646" s="66"/>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c r="AN646" s="31"/>
      <c r="AO646" s="31"/>
      <c r="AP646" s="31"/>
      <c r="AQ646" s="31"/>
      <c r="AR646" s="31"/>
      <c r="AS646" s="31"/>
      <c r="AT646" s="31"/>
      <c r="AU646" s="31"/>
      <c r="AV646" s="31"/>
      <c r="AW646" s="31"/>
      <c r="AX646" s="31"/>
      <c r="AY646" s="31"/>
      <c r="AZ646" s="31"/>
      <c r="BA646" s="31"/>
      <c r="BB646" s="31"/>
      <c r="BC646" s="31"/>
      <c r="BD646" s="31"/>
      <c r="BE646" s="31"/>
      <c r="BF646" s="31"/>
      <c r="BG646" s="31"/>
      <c r="BH646" s="31"/>
      <c r="BI646" s="31"/>
      <c r="BJ646" s="31"/>
      <c r="BK646" s="31"/>
      <c r="BL646" s="31"/>
      <c r="BM646" s="31"/>
      <c r="BN646" s="31"/>
      <c r="BO646" s="31"/>
      <c r="BP646" s="31"/>
      <c r="BQ646" s="31"/>
      <c r="BR646" s="31"/>
      <c r="BS646" s="31"/>
      <c r="BT646" s="31"/>
      <c r="BU646" s="31"/>
      <c r="BV646" s="31"/>
      <c r="BW646" s="31"/>
    </row>
    <row r="647" spans="6:75">
      <c r="F647" s="31"/>
      <c r="G647" s="31"/>
      <c r="H647" s="31"/>
      <c r="I647" s="66"/>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c r="AN647" s="31"/>
      <c r="AO647" s="31"/>
      <c r="AP647" s="31"/>
      <c r="AQ647" s="31"/>
      <c r="AR647" s="31"/>
      <c r="AS647" s="31"/>
      <c r="AT647" s="31"/>
      <c r="AU647" s="31"/>
      <c r="AV647" s="31"/>
      <c r="AW647" s="31"/>
      <c r="AX647" s="31"/>
      <c r="AY647" s="31"/>
      <c r="AZ647" s="31"/>
      <c r="BA647" s="31"/>
      <c r="BB647" s="31"/>
      <c r="BC647" s="31"/>
      <c r="BD647" s="31"/>
      <c r="BE647" s="31"/>
      <c r="BF647" s="31"/>
      <c r="BG647" s="31"/>
      <c r="BH647" s="31"/>
      <c r="BI647" s="31"/>
      <c r="BJ647" s="31"/>
      <c r="BK647" s="31"/>
      <c r="BL647" s="31"/>
      <c r="BM647" s="31"/>
      <c r="BN647" s="31"/>
      <c r="BO647" s="31"/>
      <c r="BP647" s="31"/>
      <c r="BQ647" s="31"/>
      <c r="BR647" s="31"/>
      <c r="BS647" s="31"/>
      <c r="BT647" s="31"/>
      <c r="BU647" s="31"/>
      <c r="BV647" s="31"/>
      <c r="BW647" s="31"/>
    </row>
    <row r="648" spans="6:75">
      <c r="F648" s="31"/>
      <c r="G648" s="31"/>
      <c r="H648" s="31"/>
      <c r="I648" s="66"/>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c r="AY648" s="31"/>
      <c r="AZ648" s="31"/>
      <c r="BA648" s="31"/>
      <c r="BB648" s="31"/>
      <c r="BC648" s="31"/>
      <c r="BD648" s="31"/>
      <c r="BE648" s="31"/>
      <c r="BF648" s="31"/>
      <c r="BG648" s="31"/>
      <c r="BH648" s="31"/>
      <c r="BI648" s="31"/>
      <c r="BJ648" s="31"/>
      <c r="BK648" s="31"/>
      <c r="BL648" s="31"/>
      <c r="BM648" s="31"/>
      <c r="BN648" s="31"/>
      <c r="BO648" s="31"/>
      <c r="BP648" s="31"/>
      <c r="BQ648" s="31"/>
      <c r="BR648" s="31"/>
      <c r="BS648" s="31"/>
      <c r="BT648" s="31"/>
      <c r="BU648" s="31"/>
      <c r="BV648" s="31"/>
      <c r="BW648" s="31"/>
    </row>
    <row r="649" spans="6:75">
      <c r="F649" s="31"/>
      <c r="G649" s="31"/>
      <c r="H649" s="31"/>
      <c r="I649" s="66"/>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c r="AN649" s="31"/>
      <c r="AO649" s="31"/>
      <c r="AP649" s="31"/>
      <c r="AQ649" s="31"/>
      <c r="AR649" s="31"/>
      <c r="AS649" s="31"/>
      <c r="AT649" s="31"/>
      <c r="AU649" s="31"/>
      <c r="AV649" s="31"/>
      <c r="AW649" s="31"/>
      <c r="AX649" s="31"/>
      <c r="AY649" s="31"/>
      <c r="AZ649" s="31"/>
      <c r="BA649" s="31"/>
      <c r="BB649" s="31"/>
      <c r="BC649" s="31"/>
      <c r="BD649" s="31"/>
      <c r="BE649" s="31"/>
      <c r="BF649" s="31"/>
      <c r="BG649" s="31"/>
      <c r="BH649" s="31"/>
      <c r="BI649" s="31"/>
      <c r="BJ649" s="31"/>
      <c r="BK649" s="31"/>
      <c r="BL649" s="31"/>
      <c r="BM649" s="31"/>
      <c r="BN649" s="31"/>
      <c r="BO649" s="31"/>
      <c r="BP649" s="31"/>
      <c r="BQ649" s="31"/>
      <c r="BR649" s="31"/>
      <c r="BS649" s="31"/>
      <c r="BT649" s="31"/>
      <c r="BU649" s="31"/>
      <c r="BV649" s="31"/>
      <c r="BW649" s="31"/>
    </row>
    <row r="650" spans="6:75">
      <c r="F650" s="31"/>
      <c r="G650" s="31"/>
      <c r="H650" s="31"/>
      <c r="I650" s="66"/>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c r="AY650" s="31"/>
      <c r="AZ650" s="31"/>
      <c r="BA650" s="31"/>
      <c r="BB650" s="31"/>
      <c r="BC650" s="31"/>
      <c r="BD650" s="31"/>
      <c r="BE650" s="31"/>
      <c r="BF650" s="31"/>
      <c r="BG650" s="31"/>
      <c r="BH650" s="31"/>
      <c r="BI650" s="31"/>
      <c r="BJ650" s="31"/>
      <c r="BK650" s="31"/>
      <c r="BL650" s="31"/>
      <c r="BM650" s="31"/>
      <c r="BN650" s="31"/>
      <c r="BO650" s="31"/>
      <c r="BP650" s="31"/>
      <c r="BQ650" s="31"/>
      <c r="BR650" s="31"/>
      <c r="BS650" s="31"/>
      <c r="BT650" s="31"/>
      <c r="BU650" s="31"/>
      <c r="BV650" s="31"/>
      <c r="BW650" s="31"/>
    </row>
    <row r="651" spans="6:75">
      <c r="F651" s="31"/>
      <c r="G651" s="31"/>
      <c r="H651" s="31"/>
      <c r="I651" s="66"/>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c r="AN651" s="31"/>
      <c r="AO651" s="31"/>
      <c r="AP651" s="31"/>
      <c r="AQ651" s="31"/>
      <c r="AR651" s="31"/>
      <c r="AS651" s="31"/>
      <c r="AT651" s="31"/>
      <c r="AU651" s="31"/>
      <c r="AV651" s="31"/>
      <c r="AW651" s="31"/>
      <c r="AX651" s="31"/>
      <c r="AY651" s="31"/>
      <c r="AZ651" s="31"/>
      <c r="BA651" s="31"/>
      <c r="BB651" s="31"/>
      <c r="BC651" s="31"/>
      <c r="BD651" s="31"/>
      <c r="BE651" s="31"/>
      <c r="BF651" s="31"/>
      <c r="BG651" s="31"/>
      <c r="BH651" s="31"/>
      <c r="BI651" s="31"/>
      <c r="BJ651" s="31"/>
      <c r="BK651" s="31"/>
      <c r="BL651" s="31"/>
      <c r="BM651" s="31"/>
      <c r="BN651" s="31"/>
      <c r="BO651" s="31"/>
      <c r="BP651" s="31"/>
      <c r="BQ651" s="31"/>
      <c r="BR651" s="31"/>
      <c r="BS651" s="31"/>
      <c r="BT651" s="31"/>
      <c r="BU651" s="31"/>
      <c r="BV651" s="31"/>
      <c r="BW651" s="31"/>
    </row>
    <row r="652" spans="6:75">
      <c r="F652" s="31"/>
      <c r="G652" s="31"/>
      <c r="H652" s="31"/>
      <c r="I652" s="66"/>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c r="AY652" s="31"/>
      <c r="AZ652" s="31"/>
      <c r="BA652" s="31"/>
      <c r="BB652" s="31"/>
      <c r="BC652" s="31"/>
      <c r="BD652" s="31"/>
      <c r="BE652" s="31"/>
      <c r="BF652" s="31"/>
      <c r="BG652" s="31"/>
      <c r="BH652" s="31"/>
      <c r="BI652" s="31"/>
      <c r="BJ652" s="31"/>
      <c r="BK652" s="31"/>
      <c r="BL652" s="31"/>
      <c r="BM652" s="31"/>
      <c r="BN652" s="31"/>
      <c r="BO652" s="31"/>
      <c r="BP652" s="31"/>
      <c r="BQ652" s="31"/>
      <c r="BR652" s="31"/>
      <c r="BS652" s="31"/>
      <c r="BT652" s="31"/>
      <c r="BU652" s="31"/>
      <c r="BV652" s="31"/>
      <c r="BW652" s="31"/>
    </row>
    <row r="653" spans="6:75">
      <c r="F653" s="31"/>
      <c r="G653" s="31"/>
      <c r="H653" s="31"/>
      <c r="I653" s="66"/>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c r="AN653" s="31"/>
      <c r="AO653" s="31"/>
      <c r="AP653" s="31"/>
      <c r="AQ653" s="31"/>
      <c r="AR653" s="31"/>
      <c r="AS653" s="31"/>
      <c r="AT653" s="31"/>
      <c r="AU653" s="31"/>
      <c r="AV653" s="31"/>
      <c r="AW653" s="31"/>
      <c r="AX653" s="31"/>
      <c r="AY653" s="31"/>
      <c r="AZ653" s="31"/>
      <c r="BA653" s="31"/>
      <c r="BB653" s="31"/>
      <c r="BC653" s="31"/>
      <c r="BD653" s="31"/>
      <c r="BE653" s="31"/>
      <c r="BF653" s="31"/>
      <c r="BG653" s="31"/>
      <c r="BH653" s="31"/>
      <c r="BI653" s="31"/>
      <c r="BJ653" s="31"/>
      <c r="BK653" s="31"/>
      <c r="BL653" s="31"/>
      <c r="BM653" s="31"/>
      <c r="BN653" s="31"/>
      <c r="BO653" s="31"/>
      <c r="BP653" s="31"/>
      <c r="BQ653" s="31"/>
      <c r="BR653" s="31"/>
      <c r="BS653" s="31"/>
      <c r="BT653" s="31"/>
      <c r="BU653" s="31"/>
      <c r="BV653" s="31"/>
      <c r="BW653" s="31"/>
    </row>
    <row r="654" spans="6:75">
      <c r="F654" s="31"/>
      <c r="G654" s="31"/>
      <c r="H654" s="31"/>
      <c r="I654" s="66"/>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c r="AY654" s="31"/>
      <c r="AZ654" s="31"/>
      <c r="BA654" s="31"/>
      <c r="BB654" s="31"/>
      <c r="BC654" s="31"/>
      <c r="BD654" s="31"/>
      <c r="BE654" s="31"/>
      <c r="BF654" s="31"/>
      <c r="BG654" s="31"/>
      <c r="BH654" s="31"/>
      <c r="BI654" s="31"/>
      <c r="BJ654" s="31"/>
      <c r="BK654" s="31"/>
      <c r="BL654" s="31"/>
      <c r="BM654" s="31"/>
      <c r="BN654" s="31"/>
      <c r="BO654" s="31"/>
      <c r="BP654" s="31"/>
      <c r="BQ654" s="31"/>
      <c r="BR654" s="31"/>
      <c r="BS654" s="31"/>
      <c r="BT654" s="31"/>
      <c r="BU654" s="31"/>
      <c r="BV654" s="31"/>
      <c r="BW654" s="31"/>
    </row>
    <row r="655" spans="6:75">
      <c r="F655" s="31"/>
      <c r="G655" s="31"/>
      <c r="H655" s="31"/>
      <c r="I655" s="66"/>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c r="AN655" s="31"/>
      <c r="AO655" s="31"/>
      <c r="AP655" s="31"/>
      <c r="AQ655" s="31"/>
      <c r="AR655" s="31"/>
      <c r="AS655" s="31"/>
      <c r="AT655" s="31"/>
      <c r="AU655" s="31"/>
      <c r="AV655" s="31"/>
      <c r="AW655" s="31"/>
      <c r="AX655" s="31"/>
      <c r="AY655" s="31"/>
      <c r="AZ655" s="31"/>
      <c r="BA655" s="31"/>
      <c r="BB655" s="31"/>
      <c r="BC655" s="31"/>
      <c r="BD655" s="31"/>
      <c r="BE655" s="31"/>
      <c r="BF655" s="31"/>
      <c r="BG655" s="31"/>
      <c r="BH655" s="31"/>
      <c r="BI655" s="31"/>
      <c r="BJ655" s="31"/>
      <c r="BK655" s="31"/>
      <c r="BL655" s="31"/>
      <c r="BM655" s="31"/>
      <c r="BN655" s="31"/>
      <c r="BO655" s="31"/>
      <c r="BP655" s="31"/>
      <c r="BQ655" s="31"/>
      <c r="BR655" s="31"/>
      <c r="BS655" s="31"/>
      <c r="BT655" s="31"/>
      <c r="BU655" s="31"/>
      <c r="BV655" s="31"/>
      <c r="BW655" s="31"/>
    </row>
    <row r="656" spans="6:75">
      <c r="F656" s="31"/>
      <c r="G656" s="31"/>
      <c r="H656" s="31"/>
      <c r="I656" s="66"/>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c r="AN656" s="31"/>
      <c r="AO656" s="31"/>
      <c r="AP656" s="31"/>
      <c r="AQ656" s="31"/>
      <c r="AR656" s="31"/>
      <c r="AS656" s="31"/>
      <c r="AT656" s="31"/>
      <c r="AU656" s="31"/>
      <c r="AV656" s="31"/>
      <c r="AW656" s="31"/>
      <c r="AX656" s="31"/>
      <c r="AY656" s="31"/>
      <c r="AZ656" s="31"/>
      <c r="BA656" s="31"/>
      <c r="BB656" s="31"/>
      <c r="BC656" s="31"/>
      <c r="BD656" s="31"/>
      <c r="BE656" s="31"/>
      <c r="BF656" s="31"/>
      <c r="BG656" s="31"/>
      <c r="BH656" s="31"/>
      <c r="BI656" s="31"/>
      <c r="BJ656" s="31"/>
      <c r="BK656" s="31"/>
      <c r="BL656" s="31"/>
      <c r="BM656" s="31"/>
      <c r="BN656" s="31"/>
      <c r="BO656" s="31"/>
      <c r="BP656" s="31"/>
      <c r="BQ656" s="31"/>
      <c r="BR656" s="31"/>
      <c r="BS656" s="31"/>
      <c r="BT656" s="31"/>
      <c r="BU656" s="31"/>
      <c r="BV656" s="31"/>
      <c r="BW656" s="31"/>
    </row>
    <row r="657" spans="6:75">
      <c r="F657" s="31"/>
      <c r="G657" s="31"/>
      <c r="H657" s="31"/>
      <c r="I657" s="66"/>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c r="AY657" s="31"/>
      <c r="AZ657" s="31"/>
      <c r="BA657" s="31"/>
      <c r="BB657" s="31"/>
      <c r="BC657" s="31"/>
      <c r="BD657" s="31"/>
      <c r="BE657" s="31"/>
      <c r="BF657" s="31"/>
      <c r="BG657" s="31"/>
      <c r="BH657" s="31"/>
      <c r="BI657" s="31"/>
      <c r="BJ657" s="31"/>
      <c r="BK657" s="31"/>
      <c r="BL657" s="31"/>
      <c r="BM657" s="31"/>
      <c r="BN657" s="31"/>
      <c r="BO657" s="31"/>
      <c r="BP657" s="31"/>
      <c r="BQ657" s="31"/>
      <c r="BR657" s="31"/>
      <c r="BS657" s="31"/>
      <c r="BT657" s="31"/>
      <c r="BU657" s="31"/>
      <c r="BV657" s="31"/>
      <c r="BW657" s="31"/>
    </row>
    <row r="658" spans="6:75">
      <c r="F658" s="31"/>
      <c r="G658" s="31"/>
      <c r="H658" s="31"/>
      <c r="I658" s="66"/>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c r="AN658" s="31"/>
      <c r="AO658" s="31"/>
      <c r="AP658" s="31"/>
      <c r="AQ658" s="31"/>
      <c r="AR658" s="31"/>
      <c r="AS658" s="31"/>
      <c r="AT658" s="31"/>
      <c r="AU658" s="31"/>
      <c r="AV658" s="31"/>
      <c r="AW658" s="31"/>
      <c r="AX658" s="31"/>
      <c r="AY658" s="31"/>
      <c r="AZ658" s="31"/>
      <c r="BA658" s="31"/>
      <c r="BB658" s="31"/>
      <c r="BC658" s="31"/>
      <c r="BD658" s="31"/>
      <c r="BE658" s="31"/>
      <c r="BF658" s="31"/>
      <c r="BG658" s="31"/>
      <c r="BH658" s="31"/>
      <c r="BI658" s="31"/>
      <c r="BJ658" s="31"/>
      <c r="BK658" s="31"/>
      <c r="BL658" s="31"/>
      <c r="BM658" s="31"/>
      <c r="BN658" s="31"/>
      <c r="BO658" s="31"/>
      <c r="BP658" s="31"/>
      <c r="BQ658" s="31"/>
      <c r="BR658" s="31"/>
      <c r="BS658" s="31"/>
      <c r="BT658" s="31"/>
      <c r="BU658" s="31"/>
      <c r="BV658" s="31"/>
      <c r="BW658" s="31"/>
    </row>
    <row r="659" spans="6:75">
      <c r="F659" s="31"/>
      <c r="G659" s="31"/>
      <c r="H659" s="31"/>
      <c r="I659" s="66"/>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c r="AY659" s="31"/>
      <c r="AZ659" s="31"/>
      <c r="BA659" s="31"/>
      <c r="BB659" s="31"/>
      <c r="BC659" s="31"/>
      <c r="BD659" s="31"/>
      <c r="BE659" s="31"/>
      <c r="BF659" s="31"/>
      <c r="BG659" s="31"/>
      <c r="BH659" s="31"/>
      <c r="BI659" s="31"/>
      <c r="BJ659" s="31"/>
      <c r="BK659" s="31"/>
      <c r="BL659" s="31"/>
      <c r="BM659" s="31"/>
      <c r="BN659" s="31"/>
      <c r="BO659" s="31"/>
      <c r="BP659" s="31"/>
      <c r="BQ659" s="31"/>
      <c r="BR659" s="31"/>
      <c r="BS659" s="31"/>
      <c r="BT659" s="31"/>
      <c r="BU659" s="31"/>
      <c r="BV659" s="31"/>
      <c r="BW659" s="31"/>
    </row>
    <row r="660" spans="6:75">
      <c r="F660" s="31"/>
      <c r="G660" s="31"/>
      <c r="H660" s="31"/>
      <c r="I660" s="66"/>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c r="AY660" s="31"/>
      <c r="AZ660" s="31"/>
      <c r="BA660" s="31"/>
      <c r="BB660" s="31"/>
      <c r="BC660" s="31"/>
      <c r="BD660" s="31"/>
      <c r="BE660" s="31"/>
      <c r="BF660" s="31"/>
      <c r="BG660" s="31"/>
      <c r="BH660" s="31"/>
      <c r="BI660" s="31"/>
      <c r="BJ660" s="31"/>
      <c r="BK660" s="31"/>
      <c r="BL660" s="31"/>
      <c r="BM660" s="31"/>
      <c r="BN660" s="31"/>
      <c r="BO660" s="31"/>
      <c r="BP660" s="31"/>
      <c r="BQ660" s="31"/>
      <c r="BR660" s="31"/>
      <c r="BS660" s="31"/>
      <c r="BT660" s="31"/>
      <c r="BU660" s="31"/>
      <c r="BV660" s="31"/>
      <c r="BW660" s="31"/>
    </row>
    <row r="661" spans="6:75">
      <c r="F661" s="31"/>
      <c r="G661" s="31"/>
      <c r="H661" s="31"/>
      <c r="I661" s="66"/>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c r="AN661" s="31"/>
      <c r="AO661" s="31"/>
      <c r="AP661" s="31"/>
      <c r="AQ661" s="31"/>
      <c r="AR661" s="31"/>
      <c r="AS661" s="31"/>
      <c r="AT661" s="31"/>
      <c r="AU661" s="31"/>
      <c r="AV661" s="31"/>
      <c r="AW661" s="31"/>
      <c r="AX661" s="31"/>
      <c r="AY661" s="31"/>
      <c r="AZ661" s="31"/>
      <c r="BA661" s="31"/>
      <c r="BB661" s="31"/>
      <c r="BC661" s="31"/>
      <c r="BD661" s="31"/>
      <c r="BE661" s="31"/>
      <c r="BF661" s="31"/>
      <c r="BG661" s="31"/>
      <c r="BH661" s="31"/>
      <c r="BI661" s="31"/>
      <c r="BJ661" s="31"/>
      <c r="BK661" s="31"/>
      <c r="BL661" s="31"/>
      <c r="BM661" s="31"/>
      <c r="BN661" s="31"/>
      <c r="BO661" s="31"/>
      <c r="BP661" s="31"/>
      <c r="BQ661" s="31"/>
      <c r="BR661" s="31"/>
      <c r="BS661" s="31"/>
      <c r="BT661" s="31"/>
      <c r="BU661" s="31"/>
      <c r="BV661" s="31"/>
      <c r="BW661" s="31"/>
    </row>
    <row r="662" spans="6:75">
      <c r="F662" s="31"/>
      <c r="G662" s="31"/>
      <c r="H662" s="31"/>
      <c r="I662" s="66"/>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c r="AN662" s="31"/>
      <c r="AO662" s="31"/>
      <c r="AP662" s="31"/>
      <c r="AQ662" s="31"/>
      <c r="AR662" s="31"/>
      <c r="AS662" s="31"/>
      <c r="AT662" s="31"/>
      <c r="AU662" s="31"/>
      <c r="AV662" s="31"/>
      <c r="AW662" s="31"/>
      <c r="AX662" s="31"/>
      <c r="AY662" s="31"/>
      <c r="AZ662" s="31"/>
      <c r="BA662" s="31"/>
      <c r="BB662" s="31"/>
      <c r="BC662" s="31"/>
      <c r="BD662" s="31"/>
      <c r="BE662" s="31"/>
      <c r="BF662" s="31"/>
      <c r="BG662" s="31"/>
      <c r="BH662" s="31"/>
      <c r="BI662" s="31"/>
      <c r="BJ662" s="31"/>
      <c r="BK662" s="31"/>
      <c r="BL662" s="31"/>
      <c r="BM662" s="31"/>
      <c r="BN662" s="31"/>
      <c r="BO662" s="31"/>
      <c r="BP662" s="31"/>
      <c r="BQ662" s="31"/>
      <c r="BR662" s="31"/>
      <c r="BS662" s="31"/>
      <c r="BT662" s="31"/>
      <c r="BU662" s="31"/>
      <c r="BV662" s="31"/>
      <c r="BW662" s="31"/>
    </row>
    <row r="663" spans="6:75">
      <c r="F663" s="31"/>
      <c r="G663" s="31"/>
      <c r="H663" s="31"/>
      <c r="I663" s="66"/>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c r="AN663" s="31"/>
      <c r="AO663" s="31"/>
      <c r="AP663" s="31"/>
      <c r="AQ663" s="31"/>
      <c r="AR663" s="31"/>
      <c r="AS663" s="31"/>
      <c r="AT663" s="31"/>
      <c r="AU663" s="31"/>
      <c r="AV663" s="31"/>
      <c r="AW663" s="31"/>
      <c r="AX663" s="31"/>
      <c r="AY663" s="31"/>
      <c r="AZ663" s="31"/>
      <c r="BA663" s="31"/>
      <c r="BB663" s="31"/>
      <c r="BC663" s="31"/>
      <c r="BD663" s="31"/>
      <c r="BE663" s="31"/>
      <c r="BF663" s="31"/>
      <c r="BG663" s="31"/>
      <c r="BH663" s="31"/>
      <c r="BI663" s="31"/>
      <c r="BJ663" s="31"/>
      <c r="BK663" s="31"/>
      <c r="BL663" s="31"/>
      <c r="BM663" s="31"/>
      <c r="BN663" s="31"/>
      <c r="BO663" s="31"/>
      <c r="BP663" s="31"/>
      <c r="BQ663" s="31"/>
      <c r="BR663" s="31"/>
      <c r="BS663" s="31"/>
      <c r="BT663" s="31"/>
      <c r="BU663" s="31"/>
      <c r="BV663" s="31"/>
      <c r="BW663" s="31"/>
    </row>
    <row r="664" spans="6:75">
      <c r="F664" s="31"/>
      <c r="G664" s="31"/>
      <c r="H664" s="31"/>
      <c r="I664" s="66"/>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c r="AY664" s="31"/>
      <c r="AZ664" s="31"/>
      <c r="BA664" s="31"/>
      <c r="BB664" s="31"/>
      <c r="BC664" s="31"/>
      <c r="BD664" s="31"/>
      <c r="BE664" s="31"/>
      <c r="BF664" s="31"/>
      <c r="BG664" s="31"/>
      <c r="BH664" s="31"/>
      <c r="BI664" s="31"/>
      <c r="BJ664" s="31"/>
      <c r="BK664" s="31"/>
      <c r="BL664" s="31"/>
      <c r="BM664" s="31"/>
      <c r="BN664" s="31"/>
      <c r="BO664" s="31"/>
      <c r="BP664" s="31"/>
      <c r="BQ664" s="31"/>
      <c r="BR664" s="31"/>
      <c r="BS664" s="31"/>
      <c r="BT664" s="31"/>
      <c r="BU664" s="31"/>
      <c r="BV664" s="31"/>
      <c r="BW664" s="31"/>
    </row>
    <row r="665" spans="6:75">
      <c r="F665" s="31"/>
      <c r="G665" s="31"/>
      <c r="H665" s="31"/>
      <c r="I665" s="66"/>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c r="AN665" s="31"/>
      <c r="AO665" s="31"/>
      <c r="AP665" s="31"/>
      <c r="AQ665" s="31"/>
      <c r="AR665" s="31"/>
      <c r="AS665" s="31"/>
      <c r="AT665" s="31"/>
      <c r="AU665" s="31"/>
      <c r="AV665" s="31"/>
      <c r="AW665" s="31"/>
      <c r="AX665" s="31"/>
      <c r="AY665" s="31"/>
      <c r="AZ665" s="31"/>
      <c r="BA665" s="31"/>
      <c r="BB665" s="31"/>
      <c r="BC665" s="31"/>
      <c r="BD665" s="31"/>
      <c r="BE665" s="31"/>
      <c r="BF665" s="31"/>
      <c r="BG665" s="31"/>
      <c r="BH665" s="31"/>
      <c r="BI665" s="31"/>
      <c r="BJ665" s="31"/>
      <c r="BK665" s="31"/>
      <c r="BL665" s="31"/>
      <c r="BM665" s="31"/>
      <c r="BN665" s="31"/>
      <c r="BO665" s="31"/>
      <c r="BP665" s="31"/>
      <c r="BQ665" s="31"/>
      <c r="BR665" s="31"/>
      <c r="BS665" s="31"/>
      <c r="BT665" s="31"/>
      <c r="BU665" s="31"/>
      <c r="BV665" s="31"/>
      <c r="BW665" s="31"/>
    </row>
    <row r="666" spans="6:75">
      <c r="F666" s="31"/>
      <c r="G666" s="31"/>
      <c r="H666" s="31"/>
      <c r="I666" s="66"/>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c r="AY666" s="31"/>
      <c r="AZ666" s="31"/>
      <c r="BA666" s="31"/>
      <c r="BB666" s="31"/>
      <c r="BC666" s="31"/>
      <c r="BD666" s="31"/>
      <c r="BE666" s="31"/>
      <c r="BF666" s="31"/>
      <c r="BG666" s="31"/>
      <c r="BH666" s="31"/>
      <c r="BI666" s="31"/>
      <c r="BJ666" s="31"/>
      <c r="BK666" s="31"/>
      <c r="BL666" s="31"/>
      <c r="BM666" s="31"/>
      <c r="BN666" s="31"/>
      <c r="BO666" s="31"/>
      <c r="BP666" s="31"/>
      <c r="BQ666" s="31"/>
      <c r="BR666" s="31"/>
      <c r="BS666" s="31"/>
      <c r="BT666" s="31"/>
      <c r="BU666" s="31"/>
      <c r="BV666" s="31"/>
      <c r="BW666" s="31"/>
    </row>
    <row r="667" spans="6:75">
      <c r="F667" s="31"/>
      <c r="G667" s="31"/>
      <c r="H667" s="31"/>
      <c r="I667" s="66"/>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c r="AN667" s="31"/>
      <c r="AO667" s="31"/>
      <c r="AP667" s="31"/>
      <c r="AQ667" s="31"/>
      <c r="AR667" s="31"/>
      <c r="AS667" s="31"/>
      <c r="AT667" s="31"/>
      <c r="AU667" s="31"/>
      <c r="AV667" s="31"/>
      <c r="AW667" s="31"/>
      <c r="AX667" s="31"/>
      <c r="AY667" s="31"/>
      <c r="AZ667" s="31"/>
      <c r="BA667" s="31"/>
      <c r="BB667" s="31"/>
      <c r="BC667" s="31"/>
      <c r="BD667" s="31"/>
      <c r="BE667" s="31"/>
      <c r="BF667" s="31"/>
      <c r="BG667" s="31"/>
      <c r="BH667" s="31"/>
      <c r="BI667" s="31"/>
      <c r="BJ667" s="31"/>
      <c r="BK667" s="31"/>
      <c r="BL667" s="31"/>
      <c r="BM667" s="31"/>
      <c r="BN667" s="31"/>
      <c r="BO667" s="31"/>
      <c r="BP667" s="31"/>
      <c r="BQ667" s="31"/>
      <c r="BR667" s="31"/>
      <c r="BS667" s="31"/>
      <c r="BT667" s="31"/>
      <c r="BU667" s="31"/>
      <c r="BV667" s="31"/>
      <c r="BW667" s="31"/>
    </row>
    <row r="668" spans="6:75">
      <c r="F668" s="31"/>
      <c r="G668" s="31"/>
      <c r="H668" s="31"/>
      <c r="I668" s="66"/>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c r="AN668" s="31"/>
      <c r="AO668" s="31"/>
      <c r="AP668" s="31"/>
      <c r="AQ668" s="31"/>
      <c r="AR668" s="31"/>
      <c r="AS668" s="31"/>
      <c r="AT668" s="31"/>
      <c r="AU668" s="31"/>
      <c r="AV668" s="31"/>
      <c r="AW668" s="31"/>
      <c r="AX668" s="31"/>
      <c r="AY668" s="31"/>
      <c r="AZ668" s="31"/>
      <c r="BA668" s="31"/>
      <c r="BB668" s="31"/>
      <c r="BC668" s="31"/>
      <c r="BD668" s="31"/>
      <c r="BE668" s="31"/>
      <c r="BF668" s="31"/>
      <c r="BG668" s="31"/>
      <c r="BH668" s="31"/>
      <c r="BI668" s="31"/>
      <c r="BJ668" s="31"/>
      <c r="BK668" s="31"/>
      <c r="BL668" s="31"/>
      <c r="BM668" s="31"/>
      <c r="BN668" s="31"/>
      <c r="BO668" s="31"/>
      <c r="BP668" s="31"/>
      <c r="BQ668" s="31"/>
      <c r="BR668" s="31"/>
      <c r="BS668" s="31"/>
      <c r="BT668" s="31"/>
      <c r="BU668" s="31"/>
      <c r="BV668" s="31"/>
      <c r="BW668" s="31"/>
    </row>
    <row r="669" spans="6:75">
      <c r="F669" s="31"/>
      <c r="G669" s="31"/>
      <c r="H669" s="31"/>
      <c r="I669" s="66"/>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c r="AN669" s="31"/>
      <c r="AO669" s="31"/>
      <c r="AP669" s="31"/>
      <c r="AQ669" s="31"/>
      <c r="AR669" s="31"/>
      <c r="AS669" s="31"/>
      <c r="AT669" s="31"/>
      <c r="AU669" s="31"/>
      <c r="AV669" s="31"/>
      <c r="AW669" s="31"/>
      <c r="AX669" s="31"/>
      <c r="AY669" s="31"/>
      <c r="AZ669" s="31"/>
      <c r="BA669" s="31"/>
      <c r="BB669" s="31"/>
      <c r="BC669" s="31"/>
      <c r="BD669" s="31"/>
      <c r="BE669" s="31"/>
      <c r="BF669" s="31"/>
      <c r="BG669" s="31"/>
      <c r="BH669" s="31"/>
      <c r="BI669" s="31"/>
      <c r="BJ669" s="31"/>
      <c r="BK669" s="31"/>
      <c r="BL669" s="31"/>
      <c r="BM669" s="31"/>
      <c r="BN669" s="31"/>
      <c r="BO669" s="31"/>
      <c r="BP669" s="31"/>
      <c r="BQ669" s="31"/>
      <c r="BR669" s="31"/>
      <c r="BS669" s="31"/>
      <c r="BT669" s="31"/>
      <c r="BU669" s="31"/>
      <c r="BV669" s="31"/>
      <c r="BW669" s="31"/>
    </row>
    <row r="670" spans="6:75">
      <c r="F670" s="31"/>
      <c r="G670" s="31"/>
      <c r="H670" s="31"/>
      <c r="I670" s="66"/>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c r="AY670" s="31"/>
      <c r="AZ670" s="31"/>
      <c r="BA670" s="31"/>
      <c r="BB670" s="31"/>
      <c r="BC670" s="31"/>
      <c r="BD670" s="31"/>
      <c r="BE670" s="31"/>
      <c r="BF670" s="31"/>
      <c r="BG670" s="31"/>
      <c r="BH670" s="31"/>
      <c r="BI670" s="31"/>
      <c r="BJ670" s="31"/>
      <c r="BK670" s="31"/>
      <c r="BL670" s="31"/>
      <c r="BM670" s="31"/>
      <c r="BN670" s="31"/>
      <c r="BO670" s="31"/>
      <c r="BP670" s="31"/>
      <c r="BQ670" s="31"/>
      <c r="BR670" s="31"/>
      <c r="BS670" s="31"/>
      <c r="BT670" s="31"/>
      <c r="BU670" s="31"/>
      <c r="BV670" s="31"/>
      <c r="BW670" s="31"/>
    </row>
    <row r="671" spans="6:75">
      <c r="F671" s="31"/>
      <c r="G671" s="31"/>
      <c r="H671" s="31"/>
      <c r="I671" s="66"/>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c r="AN671" s="31"/>
      <c r="AO671" s="31"/>
      <c r="AP671" s="31"/>
      <c r="AQ671" s="31"/>
      <c r="AR671" s="31"/>
      <c r="AS671" s="31"/>
      <c r="AT671" s="31"/>
      <c r="AU671" s="31"/>
      <c r="AV671" s="31"/>
      <c r="AW671" s="31"/>
      <c r="AX671" s="31"/>
      <c r="AY671" s="31"/>
      <c r="AZ671" s="31"/>
      <c r="BA671" s="31"/>
      <c r="BB671" s="31"/>
      <c r="BC671" s="31"/>
      <c r="BD671" s="31"/>
      <c r="BE671" s="31"/>
      <c r="BF671" s="31"/>
      <c r="BG671" s="31"/>
      <c r="BH671" s="31"/>
      <c r="BI671" s="31"/>
      <c r="BJ671" s="31"/>
      <c r="BK671" s="31"/>
      <c r="BL671" s="31"/>
      <c r="BM671" s="31"/>
      <c r="BN671" s="31"/>
      <c r="BO671" s="31"/>
      <c r="BP671" s="31"/>
      <c r="BQ671" s="31"/>
      <c r="BR671" s="31"/>
      <c r="BS671" s="31"/>
      <c r="BT671" s="31"/>
      <c r="BU671" s="31"/>
      <c r="BV671" s="31"/>
      <c r="BW671" s="31"/>
    </row>
    <row r="672" spans="6:75">
      <c r="F672" s="31"/>
      <c r="G672" s="31"/>
      <c r="H672" s="31"/>
      <c r="I672" s="66"/>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c r="AY672" s="31"/>
      <c r="AZ672" s="31"/>
      <c r="BA672" s="31"/>
      <c r="BB672" s="31"/>
      <c r="BC672" s="31"/>
      <c r="BD672" s="31"/>
      <c r="BE672" s="31"/>
      <c r="BF672" s="31"/>
      <c r="BG672" s="31"/>
      <c r="BH672" s="31"/>
      <c r="BI672" s="31"/>
      <c r="BJ672" s="31"/>
      <c r="BK672" s="31"/>
      <c r="BL672" s="31"/>
      <c r="BM672" s="31"/>
      <c r="BN672" s="31"/>
      <c r="BO672" s="31"/>
      <c r="BP672" s="31"/>
      <c r="BQ672" s="31"/>
      <c r="BR672" s="31"/>
      <c r="BS672" s="31"/>
      <c r="BT672" s="31"/>
      <c r="BU672" s="31"/>
      <c r="BV672" s="31"/>
      <c r="BW672" s="31"/>
    </row>
    <row r="673" spans="6:75">
      <c r="F673" s="31"/>
      <c r="G673" s="31"/>
      <c r="H673" s="31"/>
      <c r="I673" s="66"/>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c r="AO673" s="31"/>
      <c r="AP673" s="31"/>
      <c r="AQ673" s="31"/>
      <c r="AR673" s="31"/>
      <c r="AS673" s="31"/>
      <c r="AT673" s="31"/>
      <c r="AU673" s="31"/>
      <c r="AV673" s="31"/>
      <c r="AW673" s="31"/>
      <c r="AX673" s="31"/>
      <c r="AY673" s="31"/>
      <c r="AZ673" s="31"/>
      <c r="BA673" s="31"/>
      <c r="BB673" s="31"/>
      <c r="BC673" s="31"/>
      <c r="BD673" s="31"/>
      <c r="BE673" s="31"/>
      <c r="BF673" s="31"/>
      <c r="BG673" s="31"/>
      <c r="BH673" s="31"/>
      <c r="BI673" s="31"/>
      <c r="BJ673" s="31"/>
      <c r="BK673" s="31"/>
      <c r="BL673" s="31"/>
      <c r="BM673" s="31"/>
      <c r="BN673" s="31"/>
      <c r="BO673" s="31"/>
      <c r="BP673" s="31"/>
      <c r="BQ673" s="31"/>
      <c r="BR673" s="31"/>
      <c r="BS673" s="31"/>
      <c r="BT673" s="31"/>
      <c r="BU673" s="31"/>
      <c r="BV673" s="31"/>
      <c r="BW673" s="31"/>
    </row>
    <row r="674" spans="6:75">
      <c r="F674" s="31"/>
      <c r="G674" s="31"/>
      <c r="H674" s="31"/>
      <c r="I674" s="66"/>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c r="AY674" s="31"/>
      <c r="AZ674" s="31"/>
      <c r="BA674" s="31"/>
      <c r="BB674" s="31"/>
      <c r="BC674" s="31"/>
      <c r="BD674" s="31"/>
      <c r="BE674" s="31"/>
      <c r="BF674" s="31"/>
      <c r="BG674" s="31"/>
      <c r="BH674" s="31"/>
      <c r="BI674" s="31"/>
      <c r="BJ674" s="31"/>
      <c r="BK674" s="31"/>
      <c r="BL674" s="31"/>
      <c r="BM674" s="31"/>
      <c r="BN674" s="31"/>
      <c r="BO674" s="31"/>
      <c r="BP674" s="31"/>
      <c r="BQ674" s="31"/>
      <c r="BR674" s="31"/>
      <c r="BS674" s="31"/>
      <c r="BT674" s="31"/>
      <c r="BU674" s="31"/>
      <c r="BV674" s="31"/>
      <c r="BW674" s="31"/>
    </row>
    <row r="675" spans="6:75">
      <c r="F675" s="31"/>
      <c r="G675" s="31"/>
      <c r="H675" s="31"/>
      <c r="I675" s="66"/>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c r="AO675" s="31"/>
      <c r="AP675" s="31"/>
      <c r="AQ675" s="31"/>
      <c r="AR675" s="31"/>
      <c r="AS675" s="31"/>
      <c r="AT675" s="31"/>
      <c r="AU675" s="31"/>
      <c r="AV675" s="31"/>
      <c r="AW675" s="31"/>
      <c r="AX675" s="31"/>
      <c r="AY675" s="31"/>
      <c r="AZ675" s="31"/>
      <c r="BA675" s="31"/>
      <c r="BB675" s="31"/>
      <c r="BC675" s="31"/>
      <c r="BD675" s="31"/>
      <c r="BE675" s="31"/>
      <c r="BF675" s="31"/>
      <c r="BG675" s="31"/>
      <c r="BH675" s="31"/>
      <c r="BI675" s="31"/>
      <c r="BJ675" s="31"/>
      <c r="BK675" s="31"/>
      <c r="BL675" s="31"/>
      <c r="BM675" s="31"/>
      <c r="BN675" s="31"/>
      <c r="BO675" s="31"/>
      <c r="BP675" s="31"/>
      <c r="BQ675" s="31"/>
      <c r="BR675" s="31"/>
      <c r="BS675" s="31"/>
      <c r="BT675" s="31"/>
      <c r="BU675" s="31"/>
      <c r="BV675" s="31"/>
      <c r="BW675" s="31"/>
    </row>
    <row r="676" spans="6:75">
      <c r="F676" s="31"/>
      <c r="G676" s="31"/>
      <c r="H676" s="31"/>
      <c r="I676" s="66"/>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c r="AN676" s="31"/>
      <c r="AO676" s="31"/>
      <c r="AP676" s="31"/>
      <c r="AQ676" s="31"/>
      <c r="AR676" s="31"/>
      <c r="AS676" s="31"/>
      <c r="AT676" s="31"/>
      <c r="AU676" s="31"/>
      <c r="AV676" s="31"/>
      <c r="AW676" s="31"/>
      <c r="AX676" s="31"/>
      <c r="AY676" s="31"/>
      <c r="AZ676" s="31"/>
      <c r="BA676" s="31"/>
      <c r="BB676" s="31"/>
      <c r="BC676" s="31"/>
      <c r="BD676" s="31"/>
      <c r="BE676" s="31"/>
      <c r="BF676" s="31"/>
      <c r="BG676" s="31"/>
      <c r="BH676" s="31"/>
      <c r="BI676" s="31"/>
      <c r="BJ676" s="31"/>
      <c r="BK676" s="31"/>
      <c r="BL676" s="31"/>
      <c r="BM676" s="31"/>
      <c r="BN676" s="31"/>
      <c r="BO676" s="31"/>
      <c r="BP676" s="31"/>
      <c r="BQ676" s="31"/>
      <c r="BR676" s="31"/>
      <c r="BS676" s="31"/>
      <c r="BT676" s="31"/>
      <c r="BU676" s="31"/>
      <c r="BV676" s="31"/>
      <c r="BW676" s="31"/>
    </row>
    <row r="677" spans="6:75">
      <c r="F677" s="31"/>
      <c r="G677" s="31"/>
      <c r="H677" s="31"/>
      <c r="I677" s="66"/>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c r="AN677" s="31"/>
      <c r="AO677" s="31"/>
      <c r="AP677" s="31"/>
      <c r="AQ677" s="31"/>
      <c r="AR677" s="31"/>
      <c r="AS677" s="31"/>
      <c r="AT677" s="31"/>
      <c r="AU677" s="31"/>
      <c r="AV677" s="31"/>
      <c r="AW677" s="31"/>
      <c r="AX677" s="31"/>
      <c r="AY677" s="31"/>
      <c r="AZ677" s="31"/>
      <c r="BA677" s="31"/>
      <c r="BB677" s="31"/>
      <c r="BC677" s="31"/>
      <c r="BD677" s="31"/>
      <c r="BE677" s="31"/>
      <c r="BF677" s="31"/>
      <c r="BG677" s="31"/>
      <c r="BH677" s="31"/>
      <c r="BI677" s="31"/>
      <c r="BJ677" s="31"/>
      <c r="BK677" s="31"/>
      <c r="BL677" s="31"/>
      <c r="BM677" s="31"/>
      <c r="BN677" s="31"/>
      <c r="BO677" s="31"/>
      <c r="BP677" s="31"/>
      <c r="BQ677" s="31"/>
      <c r="BR677" s="31"/>
      <c r="BS677" s="31"/>
      <c r="BT677" s="31"/>
      <c r="BU677" s="31"/>
      <c r="BV677" s="31"/>
      <c r="BW677" s="31"/>
    </row>
    <row r="678" spans="6:75">
      <c r="F678" s="31"/>
      <c r="G678" s="31"/>
      <c r="H678" s="31"/>
      <c r="I678" s="66"/>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c r="AO678" s="31"/>
      <c r="AP678" s="31"/>
      <c r="AQ678" s="31"/>
      <c r="AR678" s="31"/>
      <c r="AS678" s="31"/>
      <c r="AT678" s="31"/>
      <c r="AU678" s="31"/>
      <c r="AV678" s="31"/>
      <c r="AW678" s="31"/>
      <c r="AX678" s="31"/>
      <c r="AY678" s="31"/>
      <c r="AZ678" s="31"/>
      <c r="BA678" s="31"/>
      <c r="BB678" s="31"/>
      <c r="BC678" s="31"/>
      <c r="BD678" s="31"/>
      <c r="BE678" s="31"/>
      <c r="BF678" s="31"/>
      <c r="BG678" s="31"/>
      <c r="BH678" s="31"/>
      <c r="BI678" s="31"/>
      <c r="BJ678" s="31"/>
      <c r="BK678" s="31"/>
      <c r="BL678" s="31"/>
      <c r="BM678" s="31"/>
      <c r="BN678" s="31"/>
      <c r="BO678" s="31"/>
      <c r="BP678" s="31"/>
      <c r="BQ678" s="31"/>
      <c r="BR678" s="31"/>
      <c r="BS678" s="31"/>
      <c r="BT678" s="31"/>
      <c r="BU678" s="31"/>
      <c r="BV678" s="31"/>
      <c r="BW678" s="31"/>
    </row>
    <row r="679" spans="6:75">
      <c r="F679" s="31"/>
      <c r="G679" s="31"/>
      <c r="H679" s="31"/>
      <c r="I679" s="66"/>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c r="AN679" s="31"/>
      <c r="AO679" s="31"/>
      <c r="AP679" s="31"/>
      <c r="AQ679" s="31"/>
      <c r="AR679" s="31"/>
      <c r="AS679" s="31"/>
      <c r="AT679" s="31"/>
      <c r="AU679" s="31"/>
      <c r="AV679" s="31"/>
      <c r="AW679" s="31"/>
      <c r="AX679" s="31"/>
      <c r="AY679" s="31"/>
      <c r="AZ679" s="31"/>
      <c r="BA679" s="31"/>
      <c r="BB679" s="31"/>
      <c r="BC679" s="31"/>
      <c r="BD679" s="31"/>
      <c r="BE679" s="31"/>
      <c r="BF679" s="31"/>
      <c r="BG679" s="31"/>
      <c r="BH679" s="31"/>
      <c r="BI679" s="31"/>
      <c r="BJ679" s="31"/>
      <c r="BK679" s="31"/>
      <c r="BL679" s="31"/>
      <c r="BM679" s="31"/>
      <c r="BN679" s="31"/>
      <c r="BO679" s="31"/>
      <c r="BP679" s="31"/>
      <c r="BQ679" s="31"/>
      <c r="BR679" s="31"/>
      <c r="BS679" s="31"/>
      <c r="BT679" s="31"/>
      <c r="BU679" s="31"/>
      <c r="BV679" s="31"/>
      <c r="BW679" s="31"/>
    </row>
    <row r="680" spans="6:75">
      <c r="F680" s="31"/>
      <c r="G680" s="31"/>
      <c r="H680" s="31"/>
      <c r="I680" s="66"/>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c r="AN680" s="31"/>
      <c r="AO680" s="31"/>
      <c r="AP680" s="31"/>
      <c r="AQ680" s="31"/>
      <c r="AR680" s="31"/>
      <c r="AS680" s="31"/>
      <c r="AT680" s="31"/>
      <c r="AU680" s="31"/>
      <c r="AV680" s="31"/>
      <c r="AW680" s="31"/>
      <c r="AX680" s="31"/>
      <c r="AY680" s="31"/>
      <c r="AZ680" s="31"/>
      <c r="BA680" s="31"/>
      <c r="BB680" s="31"/>
      <c r="BC680" s="31"/>
      <c r="BD680" s="31"/>
      <c r="BE680" s="31"/>
      <c r="BF680" s="31"/>
      <c r="BG680" s="31"/>
      <c r="BH680" s="31"/>
      <c r="BI680" s="31"/>
      <c r="BJ680" s="31"/>
      <c r="BK680" s="31"/>
      <c r="BL680" s="31"/>
      <c r="BM680" s="31"/>
      <c r="BN680" s="31"/>
      <c r="BO680" s="31"/>
      <c r="BP680" s="31"/>
      <c r="BQ680" s="31"/>
      <c r="BR680" s="31"/>
      <c r="BS680" s="31"/>
      <c r="BT680" s="31"/>
      <c r="BU680" s="31"/>
      <c r="BV680" s="31"/>
      <c r="BW680" s="31"/>
    </row>
    <row r="681" spans="6:75">
      <c r="F681" s="31"/>
      <c r="G681" s="31"/>
      <c r="H681" s="31"/>
      <c r="I681" s="66"/>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c r="AN681" s="31"/>
      <c r="AO681" s="31"/>
      <c r="AP681" s="31"/>
      <c r="AQ681" s="31"/>
      <c r="AR681" s="31"/>
      <c r="AS681" s="31"/>
      <c r="AT681" s="31"/>
      <c r="AU681" s="31"/>
      <c r="AV681" s="31"/>
      <c r="AW681" s="31"/>
      <c r="AX681" s="31"/>
      <c r="AY681" s="31"/>
      <c r="AZ681" s="31"/>
      <c r="BA681" s="31"/>
      <c r="BB681" s="31"/>
      <c r="BC681" s="31"/>
      <c r="BD681" s="31"/>
      <c r="BE681" s="31"/>
      <c r="BF681" s="31"/>
      <c r="BG681" s="31"/>
      <c r="BH681" s="31"/>
      <c r="BI681" s="31"/>
      <c r="BJ681" s="31"/>
      <c r="BK681" s="31"/>
      <c r="BL681" s="31"/>
      <c r="BM681" s="31"/>
      <c r="BN681" s="31"/>
      <c r="BO681" s="31"/>
      <c r="BP681" s="31"/>
      <c r="BQ681" s="31"/>
      <c r="BR681" s="31"/>
      <c r="BS681" s="31"/>
      <c r="BT681" s="31"/>
      <c r="BU681" s="31"/>
      <c r="BV681" s="31"/>
      <c r="BW681" s="31"/>
    </row>
    <row r="682" spans="6:75">
      <c r="F682" s="31"/>
      <c r="G682" s="31"/>
      <c r="H682" s="31"/>
      <c r="I682" s="66"/>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c r="AY682" s="31"/>
      <c r="AZ682" s="31"/>
      <c r="BA682" s="31"/>
      <c r="BB682" s="31"/>
      <c r="BC682" s="31"/>
      <c r="BD682" s="31"/>
      <c r="BE682" s="31"/>
      <c r="BF682" s="31"/>
      <c r="BG682" s="31"/>
      <c r="BH682" s="31"/>
      <c r="BI682" s="31"/>
      <c r="BJ682" s="31"/>
      <c r="BK682" s="31"/>
      <c r="BL682" s="31"/>
      <c r="BM682" s="31"/>
      <c r="BN682" s="31"/>
      <c r="BO682" s="31"/>
      <c r="BP682" s="31"/>
      <c r="BQ682" s="31"/>
      <c r="BR682" s="31"/>
      <c r="BS682" s="31"/>
      <c r="BT682" s="31"/>
      <c r="BU682" s="31"/>
      <c r="BV682" s="31"/>
      <c r="BW682" s="31"/>
    </row>
    <row r="683" spans="6:75">
      <c r="F683" s="31"/>
      <c r="G683" s="31"/>
      <c r="H683" s="31"/>
      <c r="I683" s="66"/>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c r="AN683" s="31"/>
      <c r="AO683" s="31"/>
      <c r="AP683" s="31"/>
      <c r="AQ683" s="31"/>
      <c r="AR683" s="31"/>
      <c r="AS683" s="31"/>
      <c r="AT683" s="31"/>
      <c r="AU683" s="31"/>
      <c r="AV683" s="31"/>
      <c r="AW683" s="31"/>
      <c r="AX683" s="31"/>
      <c r="AY683" s="31"/>
      <c r="AZ683" s="31"/>
      <c r="BA683" s="31"/>
      <c r="BB683" s="31"/>
      <c r="BC683" s="31"/>
      <c r="BD683" s="31"/>
      <c r="BE683" s="31"/>
      <c r="BF683" s="31"/>
      <c r="BG683" s="31"/>
      <c r="BH683" s="31"/>
      <c r="BI683" s="31"/>
      <c r="BJ683" s="31"/>
      <c r="BK683" s="31"/>
      <c r="BL683" s="31"/>
      <c r="BM683" s="31"/>
      <c r="BN683" s="31"/>
      <c r="BO683" s="31"/>
      <c r="BP683" s="31"/>
      <c r="BQ683" s="31"/>
      <c r="BR683" s="31"/>
      <c r="BS683" s="31"/>
      <c r="BT683" s="31"/>
      <c r="BU683" s="31"/>
      <c r="BV683" s="31"/>
      <c r="BW683" s="31"/>
    </row>
    <row r="684" spans="6:75">
      <c r="F684" s="31"/>
      <c r="G684" s="31"/>
      <c r="H684" s="31"/>
      <c r="I684" s="66"/>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c r="AN684" s="31"/>
      <c r="AO684" s="31"/>
      <c r="AP684" s="31"/>
      <c r="AQ684" s="31"/>
      <c r="AR684" s="31"/>
      <c r="AS684" s="31"/>
      <c r="AT684" s="31"/>
      <c r="AU684" s="31"/>
      <c r="AV684" s="31"/>
      <c r="AW684" s="31"/>
      <c r="AX684" s="31"/>
      <c r="AY684" s="31"/>
      <c r="AZ684" s="31"/>
      <c r="BA684" s="31"/>
      <c r="BB684" s="31"/>
      <c r="BC684" s="31"/>
      <c r="BD684" s="31"/>
      <c r="BE684" s="31"/>
      <c r="BF684" s="31"/>
      <c r="BG684" s="31"/>
      <c r="BH684" s="31"/>
      <c r="BI684" s="31"/>
      <c r="BJ684" s="31"/>
      <c r="BK684" s="31"/>
      <c r="BL684" s="31"/>
      <c r="BM684" s="31"/>
      <c r="BN684" s="31"/>
      <c r="BO684" s="31"/>
      <c r="BP684" s="31"/>
      <c r="BQ684" s="31"/>
      <c r="BR684" s="31"/>
      <c r="BS684" s="31"/>
      <c r="BT684" s="31"/>
      <c r="BU684" s="31"/>
      <c r="BV684" s="31"/>
      <c r="BW684" s="31"/>
    </row>
    <row r="685" spans="6:75">
      <c r="F685" s="31"/>
      <c r="G685" s="31"/>
      <c r="H685" s="31"/>
      <c r="I685" s="66"/>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c r="AN685" s="31"/>
      <c r="AO685" s="31"/>
      <c r="AP685" s="31"/>
      <c r="AQ685" s="31"/>
      <c r="AR685" s="31"/>
      <c r="AS685" s="31"/>
      <c r="AT685" s="31"/>
      <c r="AU685" s="31"/>
      <c r="AV685" s="31"/>
      <c r="AW685" s="31"/>
      <c r="AX685" s="31"/>
      <c r="AY685" s="31"/>
      <c r="AZ685" s="31"/>
      <c r="BA685" s="31"/>
      <c r="BB685" s="31"/>
      <c r="BC685" s="31"/>
      <c r="BD685" s="31"/>
      <c r="BE685" s="31"/>
      <c r="BF685" s="31"/>
      <c r="BG685" s="31"/>
      <c r="BH685" s="31"/>
      <c r="BI685" s="31"/>
      <c r="BJ685" s="31"/>
      <c r="BK685" s="31"/>
      <c r="BL685" s="31"/>
      <c r="BM685" s="31"/>
      <c r="BN685" s="31"/>
      <c r="BO685" s="31"/>
      <c r="BP685" s="31"/>
      <c r="BQ685" s="31"/>
      <c r="BR685" s="31"/>
      <c r="BS685" s="31"/>
      <c r="BT685" s="31"/>
      <c r="BU685" s="31"/>
      <c r="BV685" s="31"/>
      <c r="BW685" s="31"/>
    </row>
    <row r="686" spans="6:75">
      <c r="F686" s="31"/>
      <c r="G686" s="31"/>
      <c r="H686" s="31"/>
      <c r="I686" s="66"/>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c r="AN686" s="31"/>
      <c r="AO686" s="31"/>
      <c r="AP686" s="31"/>
      <c r="AQ686" s="31"/>
      <c r="AR686" s="31"/>
      <c r="AS686" s="31"/>
      <c r="AT686" s="31"/>
      <c r="AU686" s="31"/>
      <c r="AV686" s="31"/>
      <c r="AW686" s="31"/>
      <c r="AX686" s="31"/>
      <c r="AY686" s="31"/>
      <c r="AZ686" s="31"/>
      <c r="BA686" s="31"/>
      <c r="BB686" s="31"/>
      <c r="BC686" s="31"/>
      <c r="BD686" s="31"/>
      <c r="BE686" s="31"/>
      <c r="BF686" s="31"/>
      <c r="BG686" s="31"/>
      <c r="BH686" s="31"/>
      <c r="BI686" s="31"/>
      <c r="BJ686" s="31"/>
      <c r="BK686" s="31"/>
      <c r="BL686" s="31"/>
      <c r="BM686" s="31"/>
      <c r="BN686" s="31"/>
      <c r="BO686" s="31"/>
      <c r="BP686" s="31"/>
      <c r="BQ686" s="31"/>
      <c r="BR686" s="31"/>
      <c r="BS686" s="31"/>
      <c r="BT686" s="31"/>
      <c r="BU686" s="31"/>
      <c r="BV686" s="31"/>
      <c r="BW686" s="31"/>
    </row>
    <row r="687" spans="6:75">
      <c r="F687" s="31"/>
      <c r="G687" s="31"/>
      <c r="H687" s="31"/>
      <c r="I687" s="66"/>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c r="AN687" s="31"/>
      <c r="AO687" s="31"/>
      <c r="AP687" s="31"/>
      <c r="AQ687" s="31"/>
      <c r="AR687" s="31"/>
      <c r="AS687" s="31"/>
      <c r="AT687" s="31"/>
      <c r="AU687" s="31"/>
      <c r="AV687" s="31"/>
      <c r="AW687" s="31"/>
      <c r="AX687" s="31"/>
      <c r="AY687" s="31"/>
      <c r="AZ687" s="31"/>
      <c r="BA687" s="31"/>
      <c r="BB687" s="31"/>
      <c r="BC687" s="31"/>
      <c r="BD687" s="31"/>
      <c r="BE687" s="31"/>
      <c r="BF687" s="31"/>
      <c r="BG687" s="31"/>
      <c r="BH687" s="31"/>
      <c r="BI687" s="31"/>
      <c r="BJ687" s="31"/>
      <c r="BK687" s="31"/>
      <c r="BL687" s="31"/>
      <c r="BM687" s="31"/>
      <c r="BN687" s="31"/>
      <c r="BO687" s="31"/>
      <c r="BP687" s="31"/>
      <c r="BQ687" s="31"/>
      <c r="BR687" s="31"/>
      <c r="BS687" s="31"/>
      <c r="BT687" s="31"/>
      <c r="BU687" s="31"/>
      <c r="BV687" s="31"/>
      <c r="BW687" s="31"/>
    </row>
    <row r="688" spans="6:75">
      <c r="F688" s="31"/>
      <c r="G688" s="31"/>
      <c r="H688" s="31"/>
      <c r="I688" s="66"/>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c r="AN688" s="31"/>
      <c r="AO688" s="31"/>
      <c r="AP688" s="31"/>
      <c r="AQ688" s="31"/>
      <c r="AR688" s="31"/>
      <c r="AS688" s="31"/>
      <c r="AT688" s="31"/>
      <c r="AU688" s="31"/>
      <c r="AV688" s="31"/>
      <c r="AW688" s="31"/>
      <c r="AX688" s="31"/>
      <c r="AY688" s="31"/>
      <c r="AZ688" s="31"/>
      <c r="BA688" s="31"/>
      <c r="BB688" s="31"/>
      <c r="BC688" s="31"/>
      <c r="BD688" s="31"/>
      <c r="BE688" s="31"/>
      <c r="BF688" s="31"/>
      <c r="BG688" s="31"/>
      <c r="BH688" s="31"/>
      <c r="BI688" s="31"/>
      <c r="BJ688" s="31"/>
      <c r="BK688" s="31"/>
      <c r="BL688" s="31"/>
      <c r="BM688" s="31"/>
      <c r="BN688" s="31"/>
      <c r="BO688" s="31"/>
      <c r="BP688" s="31"/>
      <c r="BQ688" s="31"/>
      <c r="BR688" s="31"/>
      <c r="BS688" s="31"/>
      <c r="BT688" s="31"/>
      <c r="BU688" s="31"/>
      <c r="BV688" s="31"/>
      <c r="BW688" s="31"/>
    </row>
    <row r="689" spans="6:75">
      <c r="F689" s="31"/>
      <c r="G689" s="31"/>
      <c r="H689" s="31"/>
      <c r="I689" s="66"/>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c r="AN689" s="31"/>
      <c r="AO689" s="31"/>
      <c r="AP689" s="31"/>
      <c r="AQ689" s="31"/>
      <c r="AR689" s="31"/>
      <c r="AS689" s="31"/>
      <c r="AT689" s="31"/>
      <c r="AU689" s="31"/>
      <c r="AV689" s="31"/>
      <c r="AW689" s="31"/>
      <c r="AX689" s="31"/>
      <c r="AY689" s="31"/>
      <c r="AZ689" s="31"/>
      <c r="BA689" s="31"/>
      <c r="BB689" s="31"/>
      <c r="BC689" s="31"/>
      <c r="BD689" s="31"/>
      <c r="BE689" s="31"/>
      <c r="BF689" s="31"/>
      <c r="BG689" s="31"/>
      <c r="BH689" s="31"/>
      <c r="BI689" s="31"/>
      <c r="BJ689" s="31"/>
      <c r="BK689" s="31"/>
      <c r="BL689" s="31"/>
      <c r="BM689" s="31"/>
      <c r="BN689" s="31"/>
      <c r="BO689" s="31"/>
      <c r="BP689" s="31"/>
      <c r="BQ689" s="31"/>
      <c r="BR689" s="31"/>
      <c r="BS689" s="31"/>
      <c r="BT689" s="31"/>
      <c r="BU689" s="31"/>
      <c r="BV689" s="31"/>
      <c r="BW689" s="31"/>
    </row>
    <row r="690" spans="6:75">
      <c r="F690" s="31"/>
      <c r="G690" s="31"/>
      <c r="H690" s="31"/>
      <c r="I690" s="66"/>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c r="AN690" s="31"/>
      <c r="AO690" s="31"/>
      <c r="AP690" s="31"/>
      <c r="AQ690" s="31"/>
      <c r="AR690" s="31"/>
      <c r="AS690" s="31"/>
      <c r="AT690" s="31"/>
      <c r="AU690" s="31"/>
      <c r="AV690" s="31"/>
      <c r="AW690" s="31"/>
      <c r="AX690" s="31"/>
      <c r="AY690" s="31"/>
      <c r="AZ690" s="31"/>
      <c r="BA690" s="31"/>
      <c r="BB690" s="31"/>
      <c r="BC690" s="31"/>
      <c r="BD690" s="31"/>
      <c r="BE690" s="31"/>
      <c r="BF690" s="31"/>
      <c r="BG690" s="31"/>
      <c r="BH690" s="31"/>
      <c r="BI690" s="31"/>
      <c r="BJ690" s="31"/>
      <c r="BK690" s="31"/>
      <c r="BL690" s="31"/>
      <c r="BM690" s="31"/>
      <c r="BN690" s="31"/>
      <c r="BO690" s="31"/>
      <c r="BP690" s="31"/>
      <c r="BQ690" s="31"/>
      <c r="BR690" s="31"/>
      <c r="BS690" s="31"/>
      <c r="BT690" s="31"/>
      <c r="BU690" s="31"/>
      <c r="BV690" s="31"/>
      <c r="BW690" s="31"/>
    </row>
    <row r="691" spans="6:75">
      <c r="F691" s="31"/>
      <c r="G691" s="31"/>
      <c r="H691" s="31"/>
      <c r="I691" s="66"/>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c r="AN691" s="31"/>
      <c r="AO691" s="31"/>
      <c r="AP691" s="31"/>
      <c r="AQ691" s="31"/>
      <c r="AR691" s="31"/>
      <c r="AS691" s="31"/>
      <c r="AT691" s="31"/>
      <c r="AU691" s="31"/>
      <c r="AV691" s="31"/>
      <c r="AW691" s="31"/>
      <c r="AX691" s="31"/>
      <c r="AY691" s="31"/>
      <c r="AZ691" s="31"/>
      <c r="BA691" s="31"/>
      <c r="BB691" s="31"/>
      <c r="BC691" s="31"/>
      <c r="BD691" s="31"/>
      <c r="BE691" s="31"/>
      <c r="BF691" s="31"/>
      <c r="BG691" s="31"/>
      <c r="BH691" s="31"/>
      <c r="BI691" s="31"/>
      <c r="BJ691" s="31"/>
      <c r="BK691" s="31"/>
      <c r="BL691" s="31"/>
      <c r="BM691" s="31"/>
      <c r="BN691" s="31"/>
      <c r="BO691" s="31"/>
      <c r="BP691" s="31"/>
      <c r="BQ691" s="31"/>
      <c r="BR691" s="31"/>
      <c r="BS691" s="31"/>
      <c r="BT691" s="31"/>
      <c r="BU691" s="31"/>
      <c r="BV691" s="31"/>
      <c r="BW691" s="31"/>
    </row>
    <row r="692" spans="6:75">
      <c r="F692" s="31"/>
      <c r="G692" s="31"/>
      <c r="H692" s="31"/>
      <c r="I692" s="66"/>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c r="AN692" s="31"/>
      <c r="AO692" s="31"/>
      <c r="AP692" s="31"/>
      <c r="AQ692" s="31"/>
      <c r="AR692" s="31"/>
      <c r="AS692" s="31"/>
      <c r="AT692" s="31"/>
      <c r="AU692" s="31"/>
      <c r="AV692" s="31"/>
      <c r="AW692" s="31"/>
      <c r="AX692" s="31"/>
      <c r="AY692" s="31"/>
      <c r="AZ692" s="31"/>
      <c r="BA692" s="31"/>
      <c r="BB692" s="31"/>
      <c r="BC692" s="31"/>
      <c r="BD692" s="31"/>
      <c r="BE692" s="31"/>
      <c r="BF692" s="31"/>
      <c r="BG692" s="31"/>
      <c r="BH692" s="31"/>
      <c r="BI692" s="31"/>
      <c r="BJ692" s="31"/>
      <c r="BK692" s="31"/>
      <c r="BL692" s="31"/>
      <c r="BM692" s="31"/>
      <c r="BN692" s="31"/>
      <c r="BO692" s="31"/>
      <c r="BP692" s="31"/>
      <c r="BQ692" s="31"/>
      <c r="BR692" s="31"/>
      <c r="BS692" s="31"/>
      <c r="BT692" s="31"/>
      <c r="BU692" s="31"/>
      <c r="BV692" s="31"/>
      <c r="BW692" s="31"/>
    </row>
    <row r="693" spans="6:75">
      <c r="F693" s="31"/>
      <c r="G693" s="31"/>
      <c r="H693" s="31"/>
      <c r="I693" s="66"/>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c r="AN693" s="31"/>
      <c r="AO693" s="31"/>
      <c r="AP693" s="31"/>
      <c r="AQ693" s="31"/>
      <c r="AR693" s="31"/>
      <c r="AS693" s="31"/>
      <c r="AT693" s="31"/>
      <c r="AU693" s="31"/>
      <c r="AV693" s="31"/>
      <c r="AW693" s="31"/>
      <c r="AX693" s="31"/>
      <c r="AY693" s="31"/>
      <c r="AZ693" s="31"/>
      <c r="BA693" s="31"/>
      <c r="BB693" s="31"/>
      <c r="BC693" s="31"/>
      <c r="BD693" s="31"/>
      <c r="BE693" s="31"/>
      <c r="BF693" s="31"/>
      <c r="BG693" s="31"/>
      <c r="BH693" s="31"/>
      <c r="BI693" s="31"/>
      <c r="BJ693" s="31"/>
      <c r="BK693" s="31"/>
      <c r="BL693" s="31"/>
      <c r="BM693" s="31"/>
      <c r="BN693" s="31"/>
      <c r="BO693" s="31"/>
      <c r="BP693" s="31"/>
      <c r="BQ693" s="31"/>
      <c r="BR693" s="31"/>
      <c r="BS693" s="31"/>
      <c r="BT693" s="31"/>
      <c r="BU693" s="31"/>
      <c r="BV693" s="31"/>
      <c r="BW693" s="31"/>
    </row>
    <row r="694" spans="6:75">
      <c r="F694" s="31"/>
      <c r="G694" s="31"/>
      <c r="H694" s="31"/>
      <c r="I694" s="66"/>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c r="AN694" s="31"/>
      <c r="AO694" s="31"/>
      <c r="AP694" s="31"/>
      <c r="AQ694" s="31"/>
      <c r="AR694" s="31"/>
      <c r="AS694" s="31"/>
      <c r="AT694" s="31"/>
      <c r="AU694" s="31"/>
      <c r="AV694" s="31"/>
      <c r="AW694" s="31"/>
      <c r="AX694" s="31"/>
      <c r="AY694" s="31"/>
      <c r="AZ694" s="31"/>
      <c r="BA694" s="31"/>
      <c r="BB694" s="31"/>
      <c r="BC694" s="31"/>
      <c r="BD694" s="31"/>
      <c r="BE694" s="31"/>
      <c r="BF694" s="31"/>
      <c r="BG694" s="31"/>
      <c r="BH694" s="31"/>
      <c r="BI694" s="31"/>
      <c r="BJ694" s="31"/>
      <c r="BK694" s="31"/>
      <c r="BL694" s="31"/>
      <c r="BM694" s="31"/>
      <c r="BN694" s="31"/>
      <c r="BO694" s="31"/>
      <c r="BP694" s="31"/>
      <c r="BQ694" s="31"/>
      <c r="BR694" s="31"/>
      <c r="BS694" s="31"/>
      <c r="BT694" s="31"/>
      <c r="BU694" s="31"/>
      <c r="BV694" s="31"/>
      <c r="BW694" s="31"/>
    </row>
    <row r="695" spans="6:75">
      <c r="F695" s="31"/>
      <c r="G695" s="31"/>
      <c r="H695" s="31"/>
      <c r="I695" s="66"/>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c r="AN695" s="31"/>
      <c r="AO695" s="31"/>
      <c r="AP695" s="31"/>
      <c r="AQ695" s="31"/>
      <c r="AR695" s="31"/>
      <c r="AS695" s="31"/>
      <c r="AT695" s="31"/>
      <c r="AU695" s="31"/>
      <c r="AV695" s="31"/>
      <c r="AW695" s="31"/>
      <c r="AX695" s="31"/>
      <c r="AY695" s="31"/>
      <c r="AZ695" s="31"/>
      <c r="BA695" s="31"/>
      <c r="BB695" s="31"/>
      <c r="BC695" s="31"/>
      <c r="BD695" s="31"/>
      <c r="BE695" s="31"/>
      <c r="BF695" s="31"/>
      <c r="BG695" s="31"/>
      <c r="BH695" s="31"/>
      <c r="BI695" s="31"/>
      <c r="BJ695" s="31"/>
      <c r="BK695" s="31"/>
      <c r="BL695" s="31"/>
      <c r="BM695" s="31"/>
      <c r="BN695" s="31"/>
      <c r="BO695" s="31"/>
      <c r="BP695" s="31"/>
      <c r="BQ695" s="31"/>
      <c r="BR695" s="31"/>
      <c r="BS695" s="31"/>
      <c r="BT695" s="31"/>
      <c r="BU695" s="31"/>
      <c r="BV695" s="31"/>
      <c r="BW695" s="31"/>
    </row>
    <row r="696" spans="6:75">
      <c r="F696" s="31"/>
      <c r="G696" s="31"/>
      <c r="H696" s="31"/>
      <c r="I696" s="66"/>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c r="AN696" s="31"/>
      <c r="AO696" s="31"/>
      <c r="AP696" s="31"/>
      <c r="AQ696" s="31"/>
      <c r="AR696" s="31"/>
      <c r="AS696" s="31"/>
      <c r="AT696" s="31"/>
      <c r="AU696" s="31"/>
      <c r="AV696" s="31"/>
      <c r="AW696" s="31"/>
      <c r="AX696" s="31"/>
      <c r="AY696" s="31"/>
      <c r="AZ696" s="31"/>
      <c r="BA696" s="31"/>
      <c r="BB696" s="31"/>
      <c r="BC696" s="31"/>
      <c r="BD696" s="31"/>
      <c r="BE696" s="31"/>
      <c r="BF696" s="31"/>
      <c r="BG696" s="31"/>
      <c r="BH696" s="31"/>
      <c r="BI696" s="31"/>
      <c r="BJ696" s="31"/>
      <c r="BK696" s="31"/>
      <c r="BL696" s="31"/>
      <c r="BM696" s="31"/>
      <c r="BN696" s="31"/>
      <c r="BO696" s="31"/>
      <c r="BP696" s="31"/>
      <c r="BQ696" s="31"/>
      <c r="BR696" s="31"/>
      <c r="BS696" s="31"/>
      <c r="BT696" s="31"/>
      <c r="BU696" s="31"/>
      <c r="BV696" s="31"/>
      <c r="BW696" s="31"/>
    </row>
    <row r="697" spans="6:75">
      <c r="F697" s="31"/>
      <c r="G697" s="31"/>
      <c r="H697" s="31"/>
      <c r="I697" s="66"/>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c r="AN697" s="31"/>
      <c r="AO697" s="31"/>
      <c r="AP697" s="31"/>
      <c r="AQ697" s="31"/>
      <c r="AR697" s="31"/>
      <c r="AS697" s="31"/>
      <c r="AT697" s="31"/>
      <c r="AU697" s="31"/>
      <c r="AV697" s="31"/>
      <c r="AW697" s="31"/>
      <c r="AX697" s="31"/>
      <c r="AY697" s="31"/>
      <c r="AZ697" s="31"/>
      <c r="BA697" s="31"/>
      <c r="BB697" s="31"/>
      <c r="BC697" s="31"/>
      <c r="BD697" s="31"/>
      <c r="BE697" s="31"/>
      <c r="BF697" s="31"/>
      <c r="BG697" s="31"/>
      <c r="BH697" s="31"/>
      <c r="BI697" s="31"/>
      <c r="BJ697" s="31"/>
      <c r="BK697" s="31"/>
      <c r="BL697" s="31"/>
      <c r="BM697" s="31"/>
      <c r="BN697" s="31"/>
      <c r="BO697" s="31"/>
      <c r="BP697" s="31"/>
      <c r="BQ697" s="31"/>
      <c r="BR697" s="31"/>
      <c r="BS697" s="31"/>
      <c r="BT697" s="31"/>
      <c r="BU697" s="31"/>
      <c r="BV697" s="31"/>
      <c r="BW697" s="31"/>
    </row>
    <row r="698" spans="6:75">
      <c r="F698" s="31"/>
      <c r="G698" s="31"/>
      <c r="H698" s="31"/>
      <c r="I698" s="66"/>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c r="AN698" s="31"/>
      <c r="AO698" s="31"/>
      <c r="AP698" s="31"/>
      <c r="AQ698" s="31"/>
      <c r="AR698" s="31"/>
      <c r="AS698" s="31"/>
      <c r="AT698" s="31"/>
      <c r="AU698" s="31"/>
      <c r="AV698" s="31"/>
      <c r="AW698" s="31"/>
      <c r="AX698" s="31"/>
      <c r="AY698" s="31"/>
      <c r="AZ698" s="31"/>
      <c r="BA698" s="31"/>
      <c r="BB698" s="31"/>
      <c r="BC698" s="31"/>
      <c r="BD698" s="31"/>
      <c r="BE698" s="31"/>
      <c r="BF698" s="31"/>
      <c r="BG698" s="31"/>
      <c r="BH698" s="31"/>
      <c r="BI698" s="31"/>
      <c r="BJ698" s="31"/>
      <c r="BK698" s="31"/>
      <c r="BL698" s="31"/>
      <c r="BM698" s="31"/>
      <c r="BN698" s="31"/>
      <c r="BO698" s="31"/>
      <c r="BP698" s="31"/>
      <c r="BQ698" s="31"/>
      <c r="BR698" s="31"/>
      <c r="BS698" s="31"/>
      <c r="BT698" s="31"/>
      <c r="BU698" s="31"/>
      <c r="BV698" s="31"/>
      <c r="BW698" s="31"/>
    </row>
    <row r="699" spans="6:75">
      <c r="F699" s="31"/>
      <c r="G699" s="31"/>
      <c r="H699" s="31"/>
      <c r="I699" s="66"/>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c r="AN699" s="31"/>
      <c r="AO699" s="31"/>
      <c r="AP699" s="31"/>
      <c r="AQ699" s="31"/>
      <c r="AR699" s="31"/>
      <c r="AS699" s="31"/>
      <c r="AT699" s="31"/>
      <c r="AU699" s="31"/>
      <c r="AV699" s="31"/>
      <c r="AW699" s="31"/>
      <c r="AX699" s="31"/>
      <c r="AY699" s="31"/>
      <c r="AZ699" s="31"/>
      <c r="BA699" s="31"/>
      <c r="BB699" s="31"/>
      <c r="BC699" s="31"/>
      <c r="BD699" s="31"/>
      <c r="BE699" s="31"/>
      <c r="BF699" s="31"/>
      <c r="BG699" s="31"/>
      <c r="BH699" s="31"/>
      <c r="BI699" s="31"/>
      <c r="BJ699" s="31"/>
      <c r="BK699" s="31"/>
      <c r="BL699" s="31"/>
      <c r="BM699" s="31"/>
      <c r="BN699" s="31"/>
      <c r="BO699" s="31"/>
      <c r="BP699" s="31"/>
      <c r="BQ699" s="31"/>
      <c r="BR699" s="31"/>
      <c r="BS699" s="31"/>
      <c r="BT699" s="31"/>
      <c r="BU699" s="31"/>
      <c r="BV699" s="31"/>
      <c r="BW699" s="31"/>
    </row>
    <row r="700" spans="6:75">
      <c r="F700" s="31"/>
      <c r="G700" s="31"/>
      <c r="H700" s="31"/>
      <c r="I700" s="66"/>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c r="AN700" s="31"/>
      <c r="AO700" s="31"/>
      <c r="AP700" s="31"/>
      <c r="AQ700" s="31"/>
      <c r="AR700" s="31"/>
      <c r="AS700" s="31"/>
      <c r="AT700" s="31"/>
      <c r="AU700" s="31"/>
      <c r="AV700" s="31"/>
      <c r="AW700" s="31"/>
      <c r="AX700" s="31"/>
      <c r="AY700" s="31"/>
      <c r="AZ700" s="31"/>
      <c r="BA700" s="31"/>
      <c r="BB700" s="31"/>
      <c r="BC700" s="31"/>
      <c r="BD700" s="31"/>
      <c r="BE700" s="31"/>
      <c r="BF700" s="31"/>
      <c r="BG700" s="31"/>
      <c r="BH700" s="31"/>
      <c r="BI700" s="31"/>
      <c r="BJ700" s="31"/>
      <c r="BK700" s="31"/>
      <c r="BL700" s="31"/>
      <c r="BM700" s="31"/>
      <c r="BN700" s="31"/>
      <c r="BO700" s="31"/>
      <c r="BP700" s="31"/>
      <c r="BQ700" s="31"/>
      <c r="BR700" s="31"/>
      <c r="BS700" s="31"/>
      <c r="BT700" s="31"/>
      <c r="BU700" s="31"/>
      <c r="BV700" s="31"/>
      <c r="BW700" s="31"/>
    </row>
    <row r="701" spans="6:75">
      <c r="F701" s="31"/>
      <c r="G701" s="31"/>
      <c r="H701" s="31"/>
      <c r="I701" s="66"/>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c r="AN701" s="31"/>
      <c r="AO701" s="31"/>
      <c r="AP701" s="31"/>
      <c r="AQ701" s="31"/>
      <c r="AR701" s="31"/>
      <c r="AS701" s="31"/>
      <c r="AT701" s="31"/>
      <c r="AU701" s="31"/>
      <c r="AV701" s="31"/>
      <c r="AW701" s="31"/>
      <c r="AX701" s="31"/>
      <c r="AY701" s="31"/>
      <c r="AZ701" s="31"/>
      <c r="BA701" s="31"/>
      <c r="BB701" s="31"/>
      <c r="BC701" s="31"/>
      <c r="BD701" s="31"/>
      <c r="BE701" s="31"/>
      <c r="BF701" s="31"/>
      <c r="BG701" s="31"/>
      <c r="BH701" s="31"/>
      <c r="BI701" s="31"/>
      <c r="BJ701" s="31"/>
      <c r="BK701" s="31"/>
      <c r="BL701" s="31"/>
      <c r="BM701" s="31"/>
      <c r="BN701" s="31"/>
      <c r="BO701" s="31"/>
      <c r="BP701" s="31"/>
      <c r="BQ701" s="31"/>
      <c r="BR701" s="31"/>
      <c r="BS701" s="31"/>
      <c r="BT701" s="31"/>
      <c r="BU701" s="31"/>
      <c r="BV701" s="31"/>
      <c r="BW701" s="31"/>
    </row>
    <row r="702" spans="6:75">
      <c r="F702" s="31"/>
      <c r="G702" s="31"/>
      <c r="H702" s="31"/>
      <c r="I702" s="66"/>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c r="AN702" s="31"/>
      <c r="AO702" s="31"/>
      <c r="AP702" s="31"/>
      <c r="AQ702" s="31"/>
      <c r="AR702" s="31"/>
      <c r="AS702" s="31"/>
      <c r="AT702" s="31"/>
      <c r="AU702" s="31"/>
      <c r="AV702" s="31"/>
      <c r="AW702" s="31"/>
      <c r="AX702" s="31"/>
      <c r="AY702" s="31"/>
      <c r="AZ702" s="31"/>
      <c r="BA702" s="31"/>
      <c r="BB702" s="31"/>
      <c r="BC702" s="31"/>
      <c r="BD702" s="31"/>
      <c r="BE702" s="31"/>
      <c r="BF702" s="31"/>
      <c r="BG702" s="31"/>
      <c r="BH702" s="31"/>
      <c r="BI702" s="31"/>
      <c r="BJ702" s="31"/>
      <c r="BK702" s="31"/>
      <c r="BL702" s="31"/>
      <c r="BM702" s="31"/>
      <c r="BN702" s="31"/>
      <c r="BO702" s="31"/>
      <c r="BP702" s="31"/>
      <c r="BQ702" s="31"/>
      <c r="BR702" s="31"/>
      <c r="BS702" s="31"/>
      <c r="BT702" s="31"/>
      <c r="BU702" s="31"/>
      <c r="BV702" s="31"/>
      <c r="BW702" s="31"/>
    </row>
    <row r="703" spans="6:75">
      <c r="F703" s="31"/>
      <c r="G703" s="31"/>
      <c r="H703" s="31"/>
      <c r="I703" s="66"/>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c r="AN703" s="31"/>
      <c r="AO703" s="31"/>
      <c r="AP703" s="31"/>
      <c r="AQ703" s="31"/>
      <c r="AR703" s="31"/>
      <c r="AS703" s="31"/>
      <c r="AT703" s="31"/>
      <c r="AU703" s="31"/>
      <c r="AV703" s="31"/>
      <c r="AW703" s="31"/>
      <c r="AX703" s="31"/>
      <c r="AY703" s="31"/>
      <c r="AZ703" s="31"/>
      <c r="BA703" s="31"/>
      <c r="BB703" s="31"/>
      <c r="BC703" s="31"/>
      <c r="BD703" s="31"/>
      <c r="BE703" s="31"/>
      <c r="BF703" s="31"/>
      <c r="BG703" s="31"/>
      <c r="BH703" s="31"/>
      <c r="BI703" s="31"/>
      <c r="BJ703" s="31"/>
      <c r="BK703" s="31"/>
      <c r="BL703" s="31"/>
      <c r="BM703" s="31"/>
      <c r="BN703" s="31"/>
      <c r="BO703" s="31"/>
      <c r="BP703" s="31"/>
      <c r="BQ703" s="31"/>
      <c r="BR703" s="31"/>
      <c r="BS703" s="31"/>
      <c r="BT703" s="31"/>
      <c r="BU703" s="31"/>
      <c r="BV703" s="31"/>
      <c r="BW703" s="31"/>
    </row>
    <row r="704" spans="6:75">
      <c r="F704" s="31"/>
      <c r="G704" s="31"/>
      <c r="H704" s="31"/>
      <c r="I704" s="66"/>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c r="AN704" s="31"/>
      <c r="AO704" s="31"/>
      <c r="AP704" s="31"/>
      <c r="AQ704" s="31"/>
      <c r="AR704" s="31"/>
      <c r="AS704" s="31"/>
      <c r="AT704" s="31"/>
      <c r="AU704" s="31"/>
      <c r="AV704" s="31"/>
      <c r="AW704" s="31"/>
      <c r="AX704" s="31"/>
      <c r="AY704" s="31"/>
      <c r="AZ704" s="31"/>
      <c r="BA704" s="31"/>
      <c r="BB704" s="31"/>
      <c r="BC704" s="31"/>
      <c r="BD704" s="31"/>
      <c r="BE704" s="31"/>
      <c r="BF704" s="31"/>
      <c r="BG704" s="31"/>
      <c r="BH704" s="31"/>
      <c r="BI704" s="31"/>
      <c r="BJ704" s="31"/>
      <c r="BK704" s="31"/>
      <c r="BL704" s="31"/>
      <c r="BM704" s="31"/>
      <c r="BN704" s="31"/>
      <c r="BO704" s="31"/>
      <c r="BP704" s="31"/>
      <c r="BQ704" s="31"/>
      <c r="BR704" s="31"/>
      <c r="BS704" s="31"/>
      <c r="BT704" s="31"/>
      <c r="BU704" s="31"/>
      <c r="BV704" s="31"/>
      <c r="BW704" s="31"/>
    </row>
    <row r="705" spans="6:75">
      <c r="F705" s="31"/>
      <c r="G705" s="31"/>
      <c r="H705" s="31"/>
      <c r="I705" s="66"/>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c r="AN705" s="31"/>
      <c r="AO705" s="31"/>
      <c r="AP705" s="31"/>
      <c r="AQ705" s="31"/>
      <c r="AR705" s="31"/>
      <c r="AS705" s="31"/>
      <c r="AT705" s="31"/>
      <c r="AU705" s="31"/>
      <c r="AV705" s="31"/>
      <c r="AW705" s="31"/>
      <c r="AX705" s="31"/>
      <c r="AY705" s="31"/>
      <c r="AZ705" s="31"/>
      <c r="BA705" s="31"/>
      <c r="BB705" s="31"/>
      <c r="BC705" s="31"/>
      <c r="BD705" s="31"/>
      <c r="BE705" s="31"/>
      <c r="BF705" s="31"/>
      <c r="BG705" s="31"/>
      <c r="BH705" s="31"/>
      <c r="BI705" s="31"/>
      <c r="BJ705" s="31"/>
      <c r="BK705" s="31"/>
      <c r="BL705" s="31"/>
      <c r="BM705" s="31"/>
      <c r="BN705" s="31"/>
      <c r="BO705" s="31"/>
      <c r="BP705" s="31"/>
      <c r="BQ705" s="31"/>
      <c r="BR705" s="31"/>
      <c r="BS705" s="31"/>
      <c r="BT705" s="31"/>
      <c r="BU705" s="31"/>
      <c r="BV705" s="31"/>
      <c r="BW705" s="31"/>
    </row>
    <row r="706" spans="6:75">
      <c r="F706" s="31"/>
      <c r="G706" s="31"/>
      <c r="H706" s="31"/>
      <c r="I706" s="66"/>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c r="AY706" s="31"/>
      <c r="AZ706" s="31"/>
      <c r="BA706" s="31"/>
      <c r="BB706" s="31"/>
      <c r="BC706" s="31"/>
      <c r="BD706" s="31"/>
      <c r="BE706" s="31"/>
      <c r="BF706" s="31"/>
      <c r="BG706" s="31"/>
      <c r="BH706" s="31"/>
      <c r="BI706" s="31"/>
      <c r="BJ706" s="31"/>
      <c r="BK706" s="31"/>
      <c r="BL706" s="31"/>
      <c r="BM706" s="31"/>
      <c r="BN706" s="31"/>
      <c r="BO706" s="31"/>
      <c r="BP706" s="31"/>
      <c r="BQ706" s="31"/>
      <c r="BR706" s="31"/>
      <c r="BS706" s="31"/>
      <c r="BT706" s="31"/>
      <c r="BU706" s="31"/>
      <c r="BV706" s="31"/>
      <c r="BW706" s="31"/>
    </row>
    <row r="707" spans="6:75">
      <c r="F707" s="31"/>
      <c r="G707" s="31"/>
      <c r="H707" s="31"/>
      <c r="I707" s="66"/>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c r="AN707" s="31"/>
      <c r="AO707" s="31"/>
      <c r="AP707" s="31"/>
      <c r="AQ707" s="31"/>
      <c r="AR707" s="31"/>
      <c r="AS707" s="31"/>
      <c r="AT707" s="31"/>
      <c r="AU707" s="31"/>
      <c r="AV707" s="31"/>
      <c r="AW707" s="31"/>
      <c r="AX707" s="31"/>
      <c r="AY707" s="31"/>
      <c r="AZ707" s="31"/>
      <c r="BA707" s="31"/>
      <c r="BB707" s="31"/>
      <c r="BC707" s="31"/>
      <c r="BD707" s="31"/>
      <c r="BE707" s="31"/>
      <c r="BF707" s="31"/>
      <c r="BG707" s="31"/>
      <c r="BH707" s="31"/>
      <c r="BI707" s="31"/>
      <c r="BJ707" s="31"/>
      <c r="BK707" s="31"/>
      <c r="BL707" s="31"/>
      <c r="BM707" s="31"/>
      <c r="BN707" s="31"/>
      <c r="BO707" s="31"/>
      <c r="BP707" s="31"/>
      <c r="BQ707" s="31"/>
      <c r="BR707" s="31"/>
      <c r="BS707" s="31"/>
      <c r="BT707" s="31"/>
      <c r="BU707" s="31"/>
      <c r="BV707" s="31"/>
      <c r="BW707" s="31"/>
    </row>
    <row r="708" spans="6:75">
      <c r="F708" s="31"/>
      <c r="G708" s="31"/>
      <c r="H708" s="31"/>
      <c r="I708" s="66"/>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c r="AN708" s="31"/>
      <c r="AO708" s="31"/>
      <c r="AP708" s="31"/>
      <c r="AQ708" s="31"/>
      <c r="AR708" s="31"/>
      <c r="AS708" s="31"/>
      <c r="AT708" s="31"/>
      <c r="AU708" s="31"/>
      <c r="AV708" s="31"/>
      <c r="AW708" s="31"/>
      <c r="AX708" s="31"/>
      <c r="AY708" s="31"/>
      <c r="AZ708" s="31"/>
      <c r="BA708" s="31"/>
      <c r="BB708" s="31"/>
      <c r="BC708" s="31"/>
      <c r="BD708" s="31"/>
      <c r="BE708" s="31"/>
      <c r="BF708" s="31"/>
      <c r="BG708" s="31"/>
      <c r="BH708" s="31"/>
      <c r="BI708" s="31"/>
      <c r="BJ708" s="31"/>
      <c r="BK708" s="31"/>
      <c r="BL708" s="31"/>
      <c r="BM708" s="31"/>
      <c r="BN708" s="31"/>
      <c r="BO708" s="31"/>
      <c r="BP708" s="31"/>
      <c r="BQ708" s="31"/>
      <c r="BR708" s="31"/>
      <c r="BS708" s="31"/>
      <c r="BT708" s="31"/>
      <c r="BU708" s="31"/>
      <c r="BV708" s="31"/>
      <c r="BW708" s="31"/>
    </row>
    <row r="709" spans="6:75">
      <c r="F709" s="31"/>
      <c r="G709" s="31"/>
      <c r="H709" s="31"/>
      <c r="I709" s="66"/>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c r="AN709" s="31"/>
      <c r="AO709" s="31"/>
      <c r="AP709" s="31"/>
      <c r="AQ709" s="31"/>
      <c r="AR709" s="31"/>
      <c r="AS709" s="31"/>
      <c r="AT709" s="31"/>
      <c r="AU709" s="31"/>
      <c r="AV709" s="31"/>
      <c r="AW709" s="31"/>
      <c r="AX709" s="31"/>
      <c r="AY709" s="31"/>
      <c r="AZ709" s="31"/>
      <c r="BA709" s="31"/>
      <c r="BB709" s="31"/>
      <c r="BC709" s="31"/>
      <c r="BD709" s="31"/>
      <c r="BE709" s="31"/>
      <c r="BF709" s="31"/>
      <c r="BG709" s="31"/>
      <c r="BH709" s="31"/>
      <c r="BI709" s="31"/>
      <c r="BJ709" s="31"/>
      <c r="BK709" s="31"/>
      <c r="BL709" s="31"/>
      <c r="BM709" s="31"/>
      <c r="BN709" s="31"/>
      <c r="BO709" s="31"/>
      <c r="BP709" s="31"/>
      <c r="BQ709" s="31"/>
      <c r="BR709" s="31"/>
      <c r="BS709" s="31"/>
      <c r="BT709" s="31"/>
      <c r="BU709" s="31"/>
      <c r="BV709" s="31"/>
      <c r="BW709" s="31"/>
    </row>
    <row r="710" spans="6:75">
      <c r="F710" s="31"/>
      <c r="G710" s="31"/>
      <c r="H710" s="31"/>
      <c r="I710" s="66"/>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c r="AN710" s="31"/>
      <c r="AO710" s="31"/>
      <c r="AP710" s="31"/>
      <c r="AQ710" s="31"/>
      <c r="AR710" s="31"/>
      <c r="AS710" s="31"/>
      <c r="AT710" s="31"/>
      <c r="AU710" s="31"/>
      <c r="AV710" s="31"/>
      <c r="AW710" s="31"/>
      <c r="AX710" s="31"/>
      <c r="AY710" s="31"/>
      <c r="AZ710" s="31"/>
      <c r="BA710" s="31"/>
      <c r="BB710" s="31"/>
      <c r="BC710" s="31"/>
      <c r="BD710" s="31"/>
      <c r="BE710" s="31"/>
      <c r="BF710" s="31"/>
      <c r="BG710" s="31"/>
      <c r="BH710" s="31"/>
      <c r="BI710" s="31"/>
      <c r="BJ710" s="31"/>
      <c r="BK710" s="31"/>
      <c r="BL710" s="31"/>
      <c r="BM710" s="31"/>
      <c r="BN710" s="31"/>
      <c r="BO710" s="31"/>
      <c r="BP710" s="31"/>
      <c r="BQ710" s="31"/>
      <c r="BR710" s="31"/>
      <c r="BS710" s="31"/>
      <c r="BT710" s="31"/>
      <c r="BU710" s="31"/>
      <c r="BV710" s="31"/>
      <c r="BW710" s="31"/>
    </row>
    <row r="711" spans="6:75">
      <c r="F711" s="31"/>
      <c r="G711" s="31"/>
      <c r="H711" s="31"/>
      <c r="I711" s="66"/>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c r="AN711" s="31"/>
      <c r="AO711" s="31"/>
      <c r="AP711" s="31"/>
      <c r="AQ711" s="31"/>
      <c r="AR711" s="31"/>
      <c r="AS711" s="31"/>
      <c r="AT711" s="31"/>
      <c r="AU711" s="31"/>
      <c r="AV711" s="31"/>
      <c r="AW711" s="31"/>
      <c r="AX711" s="31"/>
      <c r="AY711" s="31"/>
      <c r="AZ711" s="31"/>
      <c r="BA711" s="31"/>
      <c r="BB711" s="31"/>
      <c r="BC711" s="31"/>
      <c r="BD711" s="31"/>
      <c r="BE711" s="31"/>
      <c r="BF711" s="31"/>
      <c r="BG711" s="31"/>
      <c r="BH711" s="31"/>
      <c r="BI711" s="31"/>
      <c r="BJ711" s="31"/>
      <c r="BK711" s="31"/>
      <c r="BL711" s="31"/>
      <c r="BM711" s="31"/>
      <c r="BN711" s="31"/>
      <c r="BO711" s="31"/>
      <c r="BP711" s="31"/>
      <c r="BQ711" s="31"/>
      <c r="BR711" s="31"/>
      <c r="BS711" s="31"/>
      <c r="BT711" s="31"/>
      <c r="BU711" s="31"/>
      <c r="BV711" s="31"/>
      <c r="BW711" s="31"/>
    </row>
    <row r="712" spans="6:75">
      <c r="F712" s="31"/>
      <c r="G712" s="31"/>
      <c r="H712" s="31"/>
      <c r="I712" s="66"/>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c r="AN712" s="31"/>
      <c r="AO712" s="31"/>
      <c r="AP712" s="31"/>
      <c r="AQ712" s="31"/>
      <c r="AR712" s="31"/>
      <c r="AS712" s="31"/>
      <c r="AT712" s="31"/>
      <c r="AU712" s="31"/>
      <c r="AV712" s="31"/>
      <c r="AW712" s="31"/>
      <c r="AX712" s="31"/>
      <c r="AY712" s="31"/>
      <c r="AZ712" s="31"/>
      <c r="BA712" s="31"/>
      <c r="BB712" s="31"/>
      <c r="BC712" s="31"/>
      <c r="BD712" s="31"/>
      <c r="BE712" s="31"/>
      <c r="BF712" s="31"/>
      <c r="BG712" s="31"/>
      <c r="BH712" s="31"/>
      <c r="BI712" s="31"/>
      <c r="BJ712" s="31"/>
      <c r="BK712" s="31"/>
      <c r="BL712" s="31"/>
      <c r="BM712" s="31"/>
      <c r="BN712" s="31"/>
      <c r="BO712" s="31"/>
      <c r="BP712" s="31"/>
      <c r="BQ712" s="31"/>
      <c r="BR712" s="31"/>
      <c r="BS712" s="31"/>
      <c r="BT712" s="31"/>
      <c r="BU712" s="31"/>
      <c r="BV712" s="31"/>
      <c r="BW712" s="31"/>
    </row>
    <row r="713" spans="6:75">
      <c r="F713" s="31"/>
      <c r="G713" s="31"/>
      <c r="H713" s="31"/>
      <c r="I713" s="66"/>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c r="AN713" s="31"/>
      <c r="AO713" s="31"/>
      <c r="AP713" s="31"/>
      <c r="AQ713" s="31"/>
      <c r="AR713" s="31"/>
      <c r="AS713" s="31"/>
      <c r="AT713" s="31"/>
      <c r="AU713" s="31"/>
      <c r="AV713" s="31"/>
      <c r="AW713" s="31"/>
      <c r="AX713" s="31"/>
      <c r="AY713" s="31"/>
      <c r="AZ713" s="31"/>
      <c r="BA713" s="31"/>
      <c r="BB713" s="31"/>
      <c r="BC713" s="31"/>
      <c r="BD713" s="31"/>
      <c r="BE713" s="31"/>
      <c r="BF713" s="31"/>
      <c r="BG713" s="31"/>
      <c r="BH713" s="31"/>
      <c r="BI713" s="31"/>
      <c r="BJ713" s="31"/>
      <c r="BK713" s="31"/>
      <c r="BL713" s="31"/>
      <c r="BM713" s="31"/>
      <c r="BN713" s="31"/>
      <c r="BO713" s="31"/>
      <c r="BP713" s="31"/>
      <c r="BQ713" s="31"/>
      <c r="BR713" s="31"/>
      <c r="BS713" s="31"/>
      <c r="BT713" s="31"/>
      <c r="BU713" s="31"/>
      <c r="BV713" s="31"/>
      <c r="BW713" s="31"/>
    </row>
    <row r="714" spans="6:75">
      <c r="F714" s="31"/>
      <c r="G714" s="31"/>
      <c r="H714" s="31"/>
      <c r="I714" s="66"/>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c r="AN714" s="31"/>
      <c r="AO714" s="31"/>
      <c r="AP714" s="31"/>
      <c r="AQ714" s="31"/>
      <c r="AR714" s="31"/>
      <c r="AS714" s="31"/>
      <c r="AT714" s="31"/>
      <c r="AU714" s="31"/>
      <c r="AV714" s="31"/>
      <c r="AW714" s="31"/>
      <c r="AX714" s="31"/>
      <c r="AY714" s="31"/>
      <c r="AZ714" s="31"/>
      <c r="BA714" s="31"/>
      <c r="BB714" s="31"/>
      <c r="BC714" s="31"/>
      <c r="BD714" s="31"/>
      <c r="BE714" s="31"/>
      <c r="BF714" s="31"/>
      <c r="BG714" s="31"/>
      <c r="BH714" s="31"/>
      <c r="BI714" s="31"/>
      <c r="BJ714" s="31"/>
      <c r="BK714" s="31"/>
      <c r="BL714" s="31"/>
      <c r="BM714" s="31"/>
      <c r="BN714" s="31"/>
      <c r="BO714" s="31"/>
      <c r="BP714" s="31"/>
      <c r="BQ714" s="31"/>
      <c r="BR714" s="31"/>
      <c r="BS714" s="31"/>
      <c r="BT714" s="31"/>
      <c r="BU714" s="31"/>
      <c r="BV714" s="31"/>
      <c r="BW714" s="31"/>
    </row>
    <row r="715" spans="6:75">
      <c r="F715" s="31"/>
      <c r="G715" s="31"/>
      <c r="H715" s="31"/>
      <c r="I715" s="66"/>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c r="AN715" s="31"/>
      <c r="AO715" s="31"/>
      <c r="AP715" s="31"/>
      <c r="AQ715" s="31"/>
      <c r="AR715" s="31"/>
      <c r="AS715" s="31"/>
      <c r="AT715" s="31"/>
      <c r="AU715" s="31"/>
      <c r="AV715" s="31"/>
      <c r="AW715" s="31"/>
      <c r="AX715" s="31"/>
      <c r="AY715" s="31"/>
      <c r="AZ715" s="31"/>
      <c r="BA715" s="31"/>
      <c r="BB715" s="31"/>
      <c r="BC715" s="31"/>
      <c r="BD715" s="31"/>
      <c r="BE715" s="31"/>
      <c r="BF715" s="31"/>
      <c r="BG715" s="31"/>
      <c r="BH715" s="31"/>
      <c r="BI715" s="31"/>
      <c r="BJ715" s="31"/>
      <c r="BK715" s="31"/>
      <c r="BL715" s="31"/>
      <c r="BM715" s="31"/>
      <c r="BN715" s="31"/>
      <c r="BO715" s="31"/>
      <c r="BP715" s="31"/>
      <c r="BQ715" s="31"/>
      <c r="BR715" s="31"/>
      <c r="BS715" s="31"/>
      <c r="BT715" s="31"/>
      <c r="BU715" s="31"/>
      <c r="BV715" s="31"/>
      <c r="BW715" s="31"/>
    </row>
    <row r="716" spans="6:75">
      <c r="F716" s="31"/>
      <c r="G716" s="31"/>
      <c r="H716" s="31"/>
      <c r="I716" s="66"/>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c r="AN716" s="31"/>
      <c r="AO716" s="31"/>
      <c r="AP716" s="31"/>
      <c r="AQ716" s="31"/>
      <c r="AR716" s="31"/>
      <c r="AS716" s="31"/>
      <c r="AT716" s="31"/>
      <c r="AU716" s="31"/>
      <c r="AV716" s="31"/>
      <c r="AW716" s="31"/>
      <c r="AX716" s="31"/>
      <c r="AY716" s="31"/>
      <c r="AZ716" s="31"/>
      <c r="BA716" s="31"/>
      <c r="BB716" s="31"/>
      <c r="BC716" s="31"/>
      <c r="BD716" s="31"/>
      <c r="BE716" s="31"/>
      <c r="BF716" s="31"/>
      <c r="BG716" s="31"/>
      <c r="BH716" s="31"/>
      <c r="BI716" s="31"/>
      <c r="BJ716" s="31"/>
      <c r="BK716" s="31"/>
      <c r="BL716" s="31"/>
      <c r="BM716" s="31"/>
      <c r="BN716" s="31"/>
      <c r="BO716" s="31"/>
      <c r="BP716" s="31"/>
      <c r="BQ716" s="31"/>
      <c r="BR716" s="31"/>
      <c r="BS716" s="31"/>
      <c r="BT716" s="31"/>
      <c r="BU716" s="31"/>
      <c r="BV716" s="31"/>
      <c r="BW716" s="31"/>
    </row>
    <row r="717" spans="6:75">
      <c r="F717" s="31"/>
      <c r="G717" s="31"/>
      <c r="H717" s="31"/>
      <c r="I717" s="66"/>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c r="AN717" s="31"/>
      <c r="AO717" s="31"/>
      <c r="AP717" s="31"/>
      <c r="AQ717" s="31"/>
      <c r="AR717" s="31"/>
      <c r="AS717" s="31"/>
      <c r="AT717" s="31"/>
      <c r="AU717" s="31"/>
      <c r="AV717" s="31"/>
      <c r="AW717" s="31"/>
      <c r="AX717" s="31"/>
      <c r="AY717" s="31"/>
      <c r="AZ717" s="31"/>
      <c r="BA717" s="31"/>
      <c r="BB717" s="31"/>
      <c r="BC717" s="31"/>
      <c r="BD717" s="31"/>
      <c r="BE717" s="31"/>
      <c r="BF717" s="31"/>
      <c r="BG717" s="31"/>
      <c r="BH717" s="31"/>
      <c r="BI717" s="31"/>
      <c r="BJ717" s="31"/>
      <c r="BK717" s="31"/>
      <c r="BL717" s="31"/>
      <c r="BM717" s="31"/>
      <c r="BN717" s="31"/>
      <c r="BO717" s="31"/>
      <c r="BP717" s="31"/>
      <c r="BQ717" s="31"/>
      <c r="BR717" s="31"/>
      <c r="BS717" s="31"/>
      <c r="BT717" s="31"/>
      <c r="BU717" s="31"/>
      <c r="BV717" s="31"/>
      <c r="BW717" s="31"/>
    </row>
    <row r="718" spans="6:75">
      <c r="F718" s="31"/>
      <c r="G718" s="31"/>
      <c r="H718" s="31"/>
      <c r="I718" s="66"/>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c r="AN718" s="31"/>
      <c r="AO718" s="31"/>
      <c r="AP718" s="31"/>
      <c r="AQ718" s="31"/>
      <c r="AR718" s="31"/>
      <c r="AS718" s="31"/>
      <c r="AT718" s="31"/>
      <c r="AU718" s="31"/>
      <c r="AV718" s="31"/>
      <c r="AW718" s="31"/>
      <c r="AX718" s="31"/>
      <c r="AY718" s="31"/>
      <c r="AZ718" s="31"/>
      <c r="BA718" s="31"/>
      <c r="BB718" s="31"/>
      <c r="BC718" s="31"/>
      <c r="BD718" s="31"/>
      <c r="BE718" s="31"/>
      <c r="BF718" s="31"/>
      <c r="BG718" s="31"/>
      <c r="BH718" s="31"/>
      <c r="BI718" s="31"/>
      <c r="BJ718" s="31"/>
      <c r="BK718" s="31"/>
      <c r="BL718" s="31"/>
      <c r="BM718" s="31"/>
      <c r="BN718" s="31"/>
      <c r="BO718" s="31"/>
      <c r="BP718" s="31"/>
      <c r="BQ718" s="31"/>
      <c r="BR718" s="31"/>
      <c r="BS718" s="31"/>
      <c r="BT718" s="31"/>
      <c r="BU718" s="31"/>
      <c r="BV718" s="31"/>
      <c r="BW718" s="31"/>
    </row>
    <row r="719" spans="6:75">
      <c r="F719" s="31"/>
      <c r="G719" s="31"/>
      <c r="H719" s="31"/>
      <c r="I719" s="66"/>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c r="AN719" s="31"/>
      <c r="AO719" s="31"/>
      <c r="AP719" s="31"/>
      <c r="AQ719" s="31"/>
      <c r="AR719" s="31"/>
      <c r="AS719" s="31"/>
      <c r="AT719" s="31"/>
      <c r="AU719" s="31"/>
      <c r="AV719" s="31"/>
      <c r="AW719" s="31"/>
      <c r="AX719" s="31"/>
      <c r="AY719" s="31"/>
      <c r="AZ719" s="31"/>
      <c r="BA719" s="31"/>
      <c r="BB719" s="31"/>
      <c r="BC719" s="31"/>
      <c r="BD719" s="31"/>
      <c r="BE719" s="31"/>
      <c r="BF719" s="31"/>
      <c r="BG719" s="31"/>
      <c r="BH719" s="31"/>
      <c r="BI719" s="31"/>
      <c r="BJ719" s="31"/>
      <c r="BK719" s="31"/>
      <c r="BL719" s="31"/>
      <c r="BM719" s="31"/>
      <c r="BN719" s="31"/>
      <c r="BO719" s="31"/>
      <c r="BP719" s="31"/>
      <c r="BQ719" s="31"/>
      <c r="BR719" s="31"/>
      <c r="BS719" s="31"/>
      <c r="BT719" s="31"/>
      <c r="BU719" s="31"/>
      <c r="BV719" s="31"/>
      <c r="BW719" s="31"/>
    </row>
    <row r="720" spans="6:75">
      <c r="F720" s="31"/>
      <c r="G720" s="31"/>
      <c r="H720" s="31"/>
      <c r="I720" s="66"/>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c r="AN720" s="31"/>
      <c r="AO720" s="31"/>
      <c r="AP720" s="31"/>
      <c r="AQ720" s="31"/>
      <c r="AR720" s="31"/>
      <c r="AS720" s="31"/>
      <c r="AT720" s="31"/>
      <c r="AU720" s="31"/>
      <c r="AV720" s="31"/>
      <c r="AW720" s="31"/>
      <c r="AX720" s="31"/>
      <c r="AY720" s="31"/>
      <c r="AZ720" s="31"/>
      <c r="BA720" s="31"/>
      <c r="BB720" s="31"/>
      <c r="BC720" s="31"/>
      <c r="BD720" s="31"/>
      <c r="BE720" s="31"/>
      <c r="BF720" s="31"/>
      <c r="BG720" s="31"/>
      <c r="BH720" s="31"/>
      <c r="BI720" s="31"/>
      <c r="BJ720" s="31"/>
      <c r="BK720" s="31"/>
      <c r="BL720" s="31"/>
      <c r="BM720" s="31"/>
      <c r="BN720" s="31"/>
      <c r="BO720" s="31"/>
      <c r="BP720" s="31"/>
      <c r="BQ720" s="31"/>
      <c r="BR720" s="31"/>
      <c r="BS720" s="31"/>
      <c r="BT720" s="31"/>
      <c r="BU720" s="31"/>
      <c r="BV720" s="31"/>
      <c r="BW720" s="31"/>
    </row>
    <row r="721" spans="6:75">
      <c r="F721" s="31"/>
      <c r="G721" s="31"/>
      <c r="H721" s="31"/>
      <c r="I721" s="66"/>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c r="AN721" s="31"/>
      <c r="AO721" s="31"/>
      <c r="AP721" s="31"/>
      <c r="AQ721" s="31"/>
      <c r="AR721" s="31"/>
      <c r="AS721" s="31"/>
      <c r="AT721" s="31"/>
      <c r="AU721" s="31"/>
      <c r="AV721" s="31"/>
      <c r="AW721" s="31"/>
      <c r="AX721" s="31"/>
      <c r="AY721" s="31"/>
      <c r="AZ721" s="31"/>
      <c r="BA721" s="31"/>
      <c r="BB721" s="31"/>
      <c r="BC721" s="31"/>
      <c r="BD721" s="31"/>
      <c r="BE721" s="31"/>
      <c r="BF721" s="31"/>
      <c r="BG721" s="31"/>
      <c r="BH721" s="31"/>
      <c r="BI721" s="31"/>
      <c r="BJ721" s="31"/>
      <c r="BK721" s="31"/>
      <c r="BL721" s="31"/>
      <c r="BM721" s="31"/>
      <c r="BN721" s="31"/>
      <c r="BO721" s="31"/>
      <c r="BP721" s="31"/>
      <c r="BQ721" s="31"/>
      <c r="BR721" s="31"/>
      <c r="BS721" s="31"/>
      <c r="BT721" s="31"/>
      <c r="BU721" s="31"/>
      <c r="BV721" s="31"/>
      <c r="BW721" s="31"/>
    </row>
    <row r="722" spans="6:75">
      <c r="F722" s="31"/>
      <c r="G722" s="31"/>
      <c r="H722" s="31"/>
      <c r="I722" s="66"/>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c r="AN722" s="31"/>
      <c r="AO722" s="31"/>
      <c r="AP722" s="31"/>
      <c r="AQ722" s="31"/>
      <c r="AR722" s="31"/>
      <c r="AS722" s="31"/>
      <c r="AT722" s="31"/>
      <c r="AU722" s="31"/>
      <c r="AV722" s="31"/>
      <c r="AW722" s="31"/>
      <c r="AX722" s="31"/>
      <c r="AY722" s="31"/>
      <c r="AZ722" s="31"/>
      <c r="BA722" s="31"/>
      <c r="BB722" s="31"/>
      <c r="BC722" s="31"/>
      <c r="BD722" s="31"/>
      <c r="BE722" s="31"/>
      <c r="BF722" s="31"/>
      <c r="BG722" s="31"/>
      <c r="BH722" s="31"/>
      <c r="BI722" s="31"/>
      <c r="BJ722" s="31"/>
      <c r="BK722" s="31"/>
      <c r="BL722" s="31"/>
      <c r="BM722" s="31"/>
      <c r="BN722" s="31"/>
      <c r="BO722" s="31"/>
      <c r="BP722" s="31"/>
      <c r="BQ722" s="31"/>
      <c r="BR722" s="31"/>
      <c r="BS722" s="31"/>
      <c r="BT722" s="31"/>
      <c r="BU722" s="31"/>
      <c r="BV722" s="31"/>
      <c r="BW722" s="31"/>
    </row>
    <row r="723" spans="6:75">
      <c r="F723" s="31"/>
      <c r="G723" s="31"/>
      <c r="H723" s="31"/>
      <c r="I723" s="66"/>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c r="AN723" s="31"/>
      <c r="AO723" s="31"/>
      <c r="AP723" s="31"/>
      <c r="AQ723" s="31"/>
      <c r="AR723" s="31"/>
      <c r="AS723" s="31"/>
      <c r="AT723" s="31"/>
      <c r="AU723" s="31"/>
      <c r="AV723" s="31"/>
      <c r="AW723" s="31"/>
      <c r="AX723" s="31"/>
      <c r="AY723" s="31"/>
      <c r="AZ723" s="31"/>
      <c r="BA723" s="31"/>
      <c r="BB723" s="31"/>
      <c r="BC723" s="31"/>
      <c r="BD723" s="31"/>
      <c r="BE723" s="31"/>
      <c r="BF723" s="31"/>
      <c r="BG723" s="31"/>
      <c r="BH723" s="31"/>
      <c r="BI723" s="31"/>
      <c r="BJ723" s="31"/>
      <c r="BK723" s="31"/>
      <c r="BL723" s="31"/>
      <c r="BM723" s="31"/>
      <c r="BN723" s="31"/>
      <c r="BO723" s="31"/>
      <c r="BP723" s="31"/>
      <c r="BQ723" s="31"/>
      <c r="BR723" s="31"/>
      <c r="BS723" s="31"/>
      <c r="BT723" s="31"/>
      <c r="BU723" s="31"/>
      <c r="BV723" s="31"/>
      <c r="BW723" s="31"/>
    </row>
    <row r="724" spans="6:75">
      <c r="F724" s="31"/>
      <c r="G724" s="31"/>
      <c r="H724" s="31"/>
      <c r="I724" s="66"/>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c r="AN724" s="31"/>
      <c r="AO724" s="31"/>
      <c r="AP724" s="31"/>
      <c r="AQ724" s="31"/>
      <c r="AR724" s="31"/>
      <c r="AS724" s="31"/>
      <c r="AT724" s="31"/>
      <c r="AU724" s="31"/>
      <c r="AV724" s="31"/>
      <c r="AW724" s="31"/>
      <c r="AX724" s="31"/>
      <c r="AY724" s="31"/>
      <c r="AZ724" s="31"/>
      <c r="BA724" s="31"/>
      <c r="BB724" s="31"/>
      <c r="BC724" s="31"/>
      <c r="BD724" s="31"/>
      <c r="BE724" s="31"/>
      <c r="BF724" s="31"/>
      <c r="BG724" s="31"/>
      <c r="BH724" s="31"/>
      <c r="BI724" s="31"/>
      <c r="BJ724" s="31"/>
      <c r="BK724" s="31"/>
      <c r="BL724" s="31"/>
      <c r="BM724" s="31"/>
      <c r="BN724" s="31"/>
      <c r="BO724" s="31"/>
      <c r="BP724" s="31"/>
      <c r="BQ724" s="31"/>
      <c r="BR724" s="31"/>
      <c r="BS724" s="31"/>
      <c r="BT724" s="31"/>
      <c r="BU724" s="31"/>
      <c r="BV724" s="31"/>
      <c r="BW724" s="31"/>
    </row>
    <row r="725" spans="6:75">
      <c r="F725" s="31"/>
      <c r="G725" s="31"/>
      <c r="H725" s="31"/>
      <c r="I725" s="66"/>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c r="AN725" s="31"/>
      <c r="AO725" s="31"/>
      <c r="AP725" s="31"/>
      <c r="AQ725" s="31"/>
      <c r="AR725" s="31"/>
      <c r="AS725" s="31"/>
      <c r="AT725" s="31"/>
      <c r="AU725" s="31"/>
      <c r="AV725" s="31"/>
      <c r="AW725" s="31"/>
      <c r="AX725" s="31"/>
      <c r="AY725" s="31"/>
      <c r="AZ725" s="31"/>
      <c r="BA725" s="31"/>
      <c r="BB725" s="31"/>
      <c r="BC725" s="31"/>
      <c r="BD725" s="31"/>
      <c r="BE725" s="31"/>
      <c r="BF725" s="31"/>
      <c r="BG725" s="31"/>
      <c r="BH725" s="31"/>
      <c r="BI725" s="31"/>
      <c r="BJ725" s="31"/>
      <c r="BK725" s="31"/>
      <c r="BL725" s="31"/>
      <c r="BM725" s="31"/>
      <c r="BN725" s="31"/>
      <c r="BO725" s="31"/>
      <c r="BP725" s="31"/>
      <c r="BQ725" s="31"/>
      <c r="BR725" s="31"/>
      <c r="BS725" s="31"/>
      <c r="BT725" s="31"/>
      <c r="BU725" s="31"/>
      <c r="BV725" s="31"/>
      <c r="BW725" s="31"/>
    </row>
    <row r="726" spans="6:75">
      <c r="F726" s="31"/>
      <c r="G726" s="31"/>
      <c r="H726" s="31"/>
      <c r="I726" s="66"/>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c r="AN726" s="31"/>
      <c r="AO726" s="31"/>
      <c r="AP726" s="31"/>
      <c r="AQ726" s="31"/>
      <c r="AR726" s="31"/>
      <c r="AS726" s="31"/>
      <c r="AT726" s="31"/>
      <c r="AU726" s="31"/>
      <c r="AV726" s="31"/>
      <c r="AW726" s="31"/>
      <c r="AX726" s="31"/>
      <c r="AY726" s="31"/>
      <c r="AZ726" s="31"/>
      <c r="BA726" s="31"/>
      <c r="BB726" s="31"/>
      <c r="BC726" s="31"/>
      <c r="BD726" s="31"/>
      <c r="BE726" s="31"/>
      <c r="BF726" s="31"/>
      <c r="BG726" s="31"/>
      <c r="BH726" s="31"/>
      <c r="BI726" s="31"/>
      <c r="BJ726" s="31"/>
      <c r="BK726" s="31"/>
      <c r="BL726" s="31"/>
      <c r="BM726" s="31"/>
      <c r="BN726" s="31"/>
      <c r="BO726" s="31"/>
      <c r="BP726" s="31"/>
      <c r="BQ726" s="31"/>
      <c r="BR726" s="31"/>
      <c r="BS726" s="31"/>
      <c r="BT726" s="31"/>
      <c r="BU726" s="31"/>
      <c r="BV726" s="31"/>
      <c r="BW726" s="31"/>
    </row>
    <row r="727" spans="6:75">
      <c r="F727" s="31"/>
      <c r="G727" s="31"/>
      <c r="H727" s="31"/>
      <c r="I727" s="66"/>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c r="AO727" s="31"/>
      <c r="AP727" s="31"/>
      <c r="AQ727" s="31"/>
      <c r="AR727" s="31"/>
      <c r="AS727" s="31"/>
      <c r="AT727" s="31"/>
      <c r="AU727" s="31"/>
      <c r="AV727" s="31"/>
      <c r="AW727" s="31"/>
      <c r="AX727" s="31"/>
      <c r="AY727" s="31"/>
      <c r="AZ727" s="31"/>
      <c r="BA727" s="31"/>
      <c r="BB727" s="31"/>
      <c r="BC727" s="31"/>
      <c r="BD727" s="31"/>
      <c r="BE727" s="31"/>
      <c r="BF727" s="31"/>
      <c r="BG727" s="31"/>
      <c r="BH727" s="31"/>
      <c r="BI727" s="31"/>
      <c r="BJ727" s="31"/>
      <c r="BK727" s="31"/>
      <c r="BL727" s="31"/>
      <c r="BM727" s="31"/>
      <c r="BN727" s="31"/>
      <c r="BO727" s="31"/>
      <c r="BP727" s="31"/>
      <c r="BQ727" s="31"/>
      <c r="BR727" s="31"/>
      <c r="BS727" s="31"/>
      <c r="BT727" s="31"/>
      <c r="BU727" s="31"/>
      <c r="BV727" s="31"/>
      <c r="BW727" s="31"/>
    </row>
    <row r="728" spans="6:75">
      <c r="F728" s="31"/>
      <c r="G728" s="31"/>
      <c r="H728" s="31"/>
      <c r="I728" s="66"/>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c r="AN728" s="31"/>
      <c r="AO728" s="31"/>
      <c r="AP728" s="31"/>
      <c r="AQ728" s="31"/>
      <c r="AR728" s="31"/>
      <c r="AS728" s="31"/>
      <c r="AT728" s="31"/>
      <c r="AU728" s="31"/>
      <c r="AV728" s="31"/>
      <c r="AW728" s="31"/>
      <c r="AX728" s="31"/>
      <c r="AY728" s="31"/>
      <c r="AZ728" s="31"/>
      <c r="BA728" s="31"/>
      <c r="BB728" s="31"/>
      <c r="BC728" s="31"/>
      <c r="BD728" s="31"/>
      <c r="BE728" s="31"/>
      <c r="BF728" s="31"/>
      <c r="BG728" s="31"/>
      <c r="BH728" s="31"/>
      <c r="BI728" s="31"/>
      <c r="BJ728" s="31"/>
      <c r="BK728" s="31"/>
      <c r="BL728" s="31"/>
      <c r="BM728" s="31"/>
      <c r="BN728" s="31"/>
      <c r="BO728" s="31"/>
      <c r="BP728" s="31"/>
      <c r="BQ728" s="31"/>
      <c r="BR728" s="31"/>
      <c r="BS728" s="31"/>
      <c r="BT728" s="31"/>
      <c r="BU728" s="31"/>
      <c r="BV728" s="31"/>
      <c r="BW728" s="31"/>
    </row>
    <row r="729" spans="6:75">
      <c r="F729" s="31"/>
      <c r="G729" s="31"/>
      <c r="H729" s="31"/>
      <c r="I729" s="66"/>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c r="AN729" s="31"/>
      <c r="AO729" s="31"/>
      <c r="AP729" s="31"/>
      <c r="AQ729" s="31"/>
      <c r="AR729" s="31"/>
      <c r="AS729" s="31"/>
      <c r="AT729" s="31"/>
      <c r="AU729" s="31"/>
      <c r="AV729" s="31"/>
      <c r="AW729" s="31"/>
      <c r="AX729" s="31"/>
      <c r="AY729" s="31"/>
      <c r="AZ729" s="31"/>
      <c r="BA729" s="31"/>
      <c r="BB729" s="31"/>
      <c r="BC729" s="31"/>
      <c r="BD729" s="31"/>
      <c r="BE729" s="31"/>
      <c r="BF729" s="31"/>
      <c r="BG729" s="31"/>
      <c r="BH729" s="31"/>
      <c r="BI729" s="31"/>
      <c r="BJ729" s="31"/>
      <c r="BK729" s="31"/>
      <c r="BL729" s="31"/>
      <c r="BM729" s="31"/>
      <c r="BN729" s="31"/>
      <c r="BO729" s="31"/>
      <c r="BP729" s="31"/>
      <c r="BQ729" s="31"/>
      <c r="BR729" s="31"/>
      <c r="BS729" s="31"/>
      <c r="BT729" s="31"/>
      <c r="BU729" s="31"/>
      <c r="BV729" s="31"/>
      <c r="BW729" s="31"/>
    </row>
    <row r="730" spans="6:75">
      <c r="F730" s="31"/>
      <c r="G730" s="31"/>
      <c r="H730" s="31"/>
      <c r="I730" s="66"/>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c r="AN730" s="31"/>
      <c r="AO730" s="31"/>
      <c r="AP730" s="31"/>
      <c r="AQ730" s="31"/>
      <c r="AR730" s="31"/>
      <c r="AS730" s="31"/>
      <c r="AT730" s="31"/>
      <c r="AU730" s="31"/>
      <c r="AV730" s="31"/>
      <c r="AW730" s="31"/>
      <c r="AX730" s="31"/>
      <c r="AY730" s="31"/>
      <c r="AZ730" s="31"/>
      <c r="BA730" s="31"/>
      <c r="BB730" s="31"/>
      <c r="BC730" s="31"/>
      <c r="BD730" s="31"/>
      <c r="BE730" s="31"/>
      <c r="BF730" s="31"/>
      <c r="BG730" s="31"/>
      <c r="BH730" s="31"/>
      <c r="BI730" s="31"/>
      <c r="BJ730" s="31"/>
      <c r="BK730" s="31"/>
      <c r="BL730" s="31"/>
      <c r="BM730" s="31"/>
      <c r="BN730" s="31"/>
      <c r="BO730" s="31"/>
      <c r="BP730" s="31"/>
      <c r="BQ730" s="31"/>
      <c r="BR730" s="31"/>
      <c r="BS730" s="31"/>
      <c r="BT730" s="31"/>
      <c r="BU730" s="31"/>
      <c r="BV730" s="31"/>
      <c r="BW730" s="31"/>
    </row>
    <row r="731" spans="6:75">
      <c r="F731" s="31"/>
      <c r="G731" s="31"/>
      <c r="H731" s="31"/>
      <c r="I731" s="66"/>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c r="AN731" s="31"/>
      <c r="AO731" s="31"/>
      <c r="AP731" s="31"/>
      <c r="AQ731" s="31"/>
      <c r="AR731" s="31"/>
      <c r="AS731" s="31"/>
      <c r="AT731" s="31"/>
      <c r="AU731" s="31"/>
      <c r="AV731" s="31"/>
      <c r="AW731" s="31"/>
      <c r="AX731" s="31"/>
      <c r="AY731" s="31"/>
      <c r="AZ731" s="31"/>
      <c r="BA731" s="31"/>
      <c r="BB731" s="31"/>
      <c r="BC731" s="31"/>
      <c r="BD731" s="31"/>
      <c r="BE731" s="31"/>
      <c r="BF731" s="31"/>
      <c r="BG731" s="31"/>
      <c r="BH731" s="31"/>
      <c r="BI731" s="31"/>
      <c r="BJ731" s="31"/>
      <c r="BK731" s="31"/>
      <c r="BL731" s="31"/>
      <c r="BM731" s="31"/>
      <c r="BN731" s="31"/>
      <c r="BO731" s="31"/>
      <c r="BP731" s="31"/>
      <c r="BQ731" s="31"/>
      <c r="BR731" s="31"/>
      <c r="BS731" s="31"/>
      <c r="BT731" s="31"/>
      <c r="BU731" s="31"/>
      <c r="BV731" s="31"/>
      <c r="BW731" s="31"/>
    </row>
    <row r="732" spans="6:75">
      <c r="F732" s="31"/>
      <c r="G732" s="31"/>
      <c r="H732" s="31"/>
      <c r="I732" s="66"/>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c r="AN732" s="31"/>
      <c r="AO732" s="31"/>
      <c r="AP732" s="31"/>
      <c r="AQ732" s="31"/>
      <c r="AR732" s="31"/>
      <c r="AS732" s="31"/>
      <c r="AT732" s="31"/>
      <c r="AU732" s="31"/>
      <c r="AV732" s="31"/>
      <c r="AW732" s="31"/>
      <c r="AX732" s="31"/>
      <c r="AY732" s="31"/>
      <c r="AZ732" s="31"/>
      <c r="BA732" s="31"/>
      <c r="BB732" s="31"/>
      <c r="BC732" s="31"/>
      <c r="BD732" s="31"/>
      <c r="BE732" s="31"/>
      <c r="BF732" s="31"/>
      <c r="BG732" s="31"/>
      <c r="BH732" s="31"/>
      <c r="BI732" s="31"/>
      <c r="BJ732" s="31"/>
      <c r="BK732" s="31"/>
      <c r="BL732" s="31"/>
      <c r="BM732" s="31"/>
      <c r="BN732" s="31"/>
      <c r="BO732" s="31"/>
      <c r="BP732" s="31"/>
      <c r="BQ732" s="31"/>
      <c r="BR732" s="31"/>
      <c r="BS732" s="31"/>
      <c r="BT732" s="31"/>
      <c r="BU732" s="31"/>
      <c r="BV732" s="31"/>
      <c r="BW732" s="31"/>
    </row>
    <row r="733" spans="6:75">
      <c r="F733" s="31"/>
      <c r="G733" s="31"/>
      <c r="H733" s="31"/>
      <c r="I733" s="66"/>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c r="AN733" s="31"/>
      <c r="AO733" s="31"/>
      <c r="AP733" s="31"/>
      <c r="AQ733" s="31"/>
      <c r="AR733" s="31"/>
      <c r="AS733" s="31"/>
      <c r="AT733" s="31"/>
      <c r="AU733" s="31"/>
      <c r="AV733" s="31"/>
      <c r="AW733" s="31"/>
      <c r="AX733" s="31"/>
      <c r="AY733" s="31"/>
      <c r="AZ733" s="31"/>
      <c r="BA733" s="31"/>
      <c r="BB733" s="31"/>
      <c r="BC733" s="31"/>
      <c r="BD733" s="31"/>
      <c r="BE733" s="31"/>
      <c r="BF733" s="31"/>
      <c r="BG733" s="31"/>
      <c r="BH733" s="31"/>
      <c r="BI733" s="31"/>
      <c r="BJ733" s="31"/>
      <c r="BK733" s="31"/>
      <c r="BL733" s="31"/>
      <c r="BM733" s="31"/>
      <c r="BN733" s="31"/>
      <c r="BO733" s="31"/>
      <c r="BP733" s="31"/>
      <c r="BQ733" s="31"/>
      <c r="BR733" s="31"/>
      <c r="BS733" s="31"/>
      <c r="BT733" s="31"/>
      <c r="BU733" s="31"/>
      <c r="BV733" s="31"/>
      <c r="BW733" s="31"/>
    </row>
    <row r="734" spans="6:75">
      <c r="F734" s="31"/>
      <c r="G734" s="31"/>
      <c r="H734" s="31"/>
      <c r="I734" s="66"/>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c r="AN734" s="31"/>
      <c r="AO734" s="31"/>
      <c r="AP734" s="31"/>
      <c r="AQ734" s="31"/>
      <c r="AR734" s="31"/>
      <c r="AS734" s="31"/>
      <c r="AT734" s="31"/>
      <c r="AU734" s="31"/>
      <c r="AV734" s="31"/>
      <c r="AW734" s="31"/>
      <c r="AX734" s="31"/>
      <c r="AY734" s="31"/>
      <c r="AZ734" s="31"/>
      <c r="BA734" s="31"/>
      <c r="BB734" s="31"/>
      <c r="BC734" s="31"/>
      <c r="BD734" s="31"/>
      <c r="BE734" s="31"/>
      <c r="BF734" s="31"/>
      <c r="BG734" s="31"/>
      <c r="BH734" s="31"/>
      <c r="BI734" s="31"/>
      <c r="BJ734" s="31"/>
      <c r="BK734" s="31"/>
      <c r="BL734" s="31"/>
      <c r="BM734" s="31"/>
      <c r="BN734" s="31"/>
      <c r="BO734" s="31"/>
      <c r="BP734" s="31"/>
      <c r="BQ734" s="31"/>
      <c r="BR734" s="31"/>
      <c r="BS734" s="31"/>
      <c r="BT734" s="31"/>
      <c r="BU734" s="31"/>
      <c r="BV734" s="31"/>
      <c r="BW734" s="31"/>
    </row>
    <row r="735" spans="6:75">
      <c r="F735" s="31"/>
      <c r="G735" s="31"/>
      <c r="H735" s="31"/>
      <c r="I735" s="66"/>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c r="AN735" s="31"/>
      <c r="AO735" s="31"/>
      <c r="AP735" s="31"/>
      <c r="AQ735" s="31"/>
      <c r="AR735" s="31"/>
      <c r="AS735" s="31"/>
      <c r="AT735" s="31"/>
      <c r="AU735" s="31"/>
      <c r="AV735" s="31"/>
      <c r="AW735" s="31"/>
      <c r="AX735" s="31"/>
      <c r="AY735" s="31"/>
      <c r="AZ735" s="31"/>
      <c r="BA735" s="31"/>
      <c r="BB735" s="31"/>
      <c r="BC735" s="31"/>
      <c r="BD735" s="31"/>
      <c r="BE735" s="31"/>
      <c r="BF735" s="31"/>
      <c r="BG735" s="31"/>
      <c r="BH735" s="31"/>
      <c r="BI735" s="31"/>
      <c r="BJ735" s="31"/>
      <c r="BK735" s="31"/>
      <c r="BL735" s="31"/>
      <c r="BM735" s="31"/>
      <c r="BN735" s="31"/>
      <c r="BO735" s="31"/>
      <c r="BP735" s="31"/>
      <c r="BQ735" s="31"/>
      <c r="BR735" s="31"/>
      <c r="BS735" s="31"/>
      <c r="BT735" s="31"/>
      <c r="BU735" s="31"/>
      <c r="BV735" s="31"/>
      <c r="BW735" s="31"/>
    </row>
    <row r="736" spans="6:75">
      <c r="F736" s="31"/>
      <c r="G736" s="31"/>
      <c r="H736" s="31"/>
      <c r="I736" s="66"/>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c r="AO736" s="31"/>
      <c r="AP736" s="31"/>
      <c r="AQ736" s="31"/>
      <c r="AR736" s="31"/>
      <c r="AS736" s="31"/>
      <c r="AT736" s="31"/>
      <c r="AU736" s="31"/>
      <c r="AV736" s="31"/>
      <c r="AW736" s="31"/>
      <c r="AX736" s="31"/>
      <c r="AY736" s="31"/>
      <c r="AZ736" s="31"/>
      <c r="BA736" s="31"/>
      <c r="BB736" s="31"/>
      <c r="BC736" s="31"/>
      <c r="BD736" s="31"/>
      <c r="BE736" s="31"/>
      <c r="BF736" s="31"/>
      <c r="BG736" s="31"/>
      <c r="BH736" s="31"/>
      <c r="BI736" s="31"/>
      <c r="BJ736" s="31"/>
      <c r="BK736" s="31"/>
      <c r="BL736" s="31"/>
      <c r="BM736" s="31"/>
      <c r="BN736" s="31"/>
      <c r="BO736" s="31"/>
      <c r="BP736" s="31"/>
      <c r="BQ736" s="31"/>
      <c r="BR736" s="31"/>
      <c r="BS736" s="31"/>
      <c r="BT736" s="31"/>
      <c r="BU736" s="31"/>
      <c r="BV736" s="31"/>
      <c r="BW736" s="31"/>
    </row>
    <row r="737" spans="6:75">
      <c r="F737" s="31"/>
      <c r="G737" s="31"/>
      <c r="H737" s="31"/>
      <c r="I737" s="66"/>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c r="AN737" s="31"/>
      <c r="AO737" s="31"/>
      <c r="AP737" s="31"/>
      <c r="AQ737" s="31"/>
      <c r="AR737" s="31"/>
      <c r="AS737" s="31"/>
      <c r="AT737" s="31"/>
      <c r="AU737" s="31"/>
      <c r="AV737" s="31"/>
      <c r="AW737" s="31"/>
      <c r="AX737" s="31"/>
      <c r="AY737" s="31"/>
      <c r="AZ737" s="31"/>
      <c r="BA737" s="31"/>
      <c r="BB737" s="31"/>
      <c r="BC737" s="31"/>
      <c r="BD737" s="31"/>
      <c r="BE737" s="31"/>
      <c r="BF737" s="31"/>
      <c r="BG737" s="31"/>
      <c r="BH737" s="31"/>
      <c r="BI737" s="31"/>
      <c r="BJ737" s="31"/>
      <c r="BK737" s="31"/>
      <c r="BL737" s="31"/>
      <c r="BM737" s="31"/>
      <c r="BN737" s="31"/>
      <c r="BO737" s="31"/>
      <c r="BP737" s="31"/>
      <c r="BQ737" s="31"/>
      <c r="BR737" s="31"/>
      <c r="BS737" s="31"/>
      <c r="BT737" s="31"/>
      <c r="BU737" s="31"/>
      <c r="BV737" s="31"/>
      <c r="BW737" s="31"/>
    </row>
    <row r="738" spans="6:75">
      <c r="F738" s="31"/>
      <c r="G738" s="31"/>
      <c r="H738" s="31"/>
      <c r="I738" s="66"/>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c r="AN738" s="31"/>
      <c r="AO738" s="31"/>
      <c r="AP738" s="31"/>
      <c r="AQ738" s="31"/>
      <c r="AR738" s="31"/>
      <c r="AS738" s="31"/>
      <c r="AT738" s="31"/>
      <c r="AU738" s="31"/>
      <c r="AV738" s="31"/>
      <c r="AW738" s="31"/>
      <c r="AX738" s="31"/>
      <c r="AY738" s="31"/>
      <c r="AZ738" s="31"/>
      <c r="BA738" s="31"/>
      <c r="BB738" s="31"/>
      <c r="BC738" s="31"/>
      <c r="BD738" s="31"/>
      <c r="BE738" s="31"/>
      <c r="BF738" s="31"/>
      <c r="BG738" s="31"/>
      <c r="BH738" s="31"/>
      <c r="BI738" s="31"/>
      <c r="BJ738" s="31"/>
      <c r="BK738" s="31"/>
      <c r="BL738" s="31"/>
      <c r="BM738" s="31"/>
      <c r="BN738" s="31"/>
      <c r="BO738" s="31"/>
      <c r="BP738" s="31"/>
      <c r="BQ738" s="31"/>
      <c r="BR738" s="31"/>
      <c r="BS738" s="31"/>
      <c r="BT738" s="31"/>
      <c r="BU738" s="31"/>
      <c r="BV738" s="31"/>
      <c r="BW738" s="31"/>
    </row>
    <row r="739" spans="6:75">
      <c r="F739" s="31"/>
      <c r="G739" s="31"/>
      <c r="H739" s="31"/>
      <c r="I739" s="66"/>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c r="AN739" s="31"/>
      <c r="AO739" s="31"/>
      <c r="AP739" s="31"/>
      <c r="AQ739" s="31"/>
      <c r="AR739" s="31"/>
      <c r="AS739" s="31"/>
      <c r="AT739" s="31"/>
      <c r="AU739" s="31"/>
      <c r="AV739" s="31"/>
      <c r="AW739" s="31"/>
      <c r="AX739" s="31"/>
      <c r="AY739" s="31"/>
      <c r="AZ739" s="31"/>
      <c r="BA739" s="31"/>
      <c r="BB739" s="31"/>
      <c r="BC739" s="31"/>
      <c r="BD739" s="31"/>
      <c r="BE739" s="31"/>
      <c r="BF739" s="31"/>
      <c r="BG739" s="31"/>
      <c r="BH739" s="31"/>
      <c r="BI739" s="31"/>
      <c r="BJ739" s="31"/>
      <c r="BK739" s="31"/>
      <c r="BL739" s="31"/>
      <c r="BM739" s="31"/>
      <c r="BN739" s="31"/>
      <c r="BO739" s="31"/>
      <c r="BP739" s="31"/>
      <c r="BQ739" s="31"/>
      <c r="BR739" s="31"/>
      <c r="BS739" s="31"/>
      <c r="BT739" s="31"/>
      <c r="BU739" s="31"/>
      <c r="BV739" s="31"/>
      <c r="BW739" s="31"/>
    </row>
    <row r="740" spans="6:75">
      <c r="F740" s="31"/>
      <c r="G740" s="31"/>
      <c r="H740" s="31"/>
      <c r="I740" s="66"/>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c r="AN740" s="31"/>
      <c r="AO740" s="31"/>
      <c r="AP740" s="31"/>
      <c r="AQ740" s="31"/>
      <c r="AR740" s="31"/>
      <c r="AS740" s="31"/>
      <c r="AT740" s="31"/>
      <c r="AU740" s="31"/>
      <c r="AV740" s="31"/>
      <c r="AW740" s="31"/>
      <c r="AX740" s="31"/>
      <c r="AY740" s="31"/>
      <c r="AZ740" s="31"/>
      <c r="BA740" s="31"/>
      <c r="BB740" s="31"/>
      <c r="BC740" s="31"/>
      <c r="BD740" s="31"/>
      <c r="BE740" s="31"/>
      <c r="BF740" s="31"/>
      <c r="BG740" s="31"/>
      <c r="BH740" s="31"/>
      <c r="BI740" s="31"/>
      <c r="BJ740" s="31"/>
      <c r="BK740" s="31"/>
      <c r="BL740" s="31"/>
      <c r="BM740" s="31"/>
      <c r="BN740" s="31"/>
      <c r="BO740" s="31"/>
      <c r="BP740" s="31"/>
      <c r="BQ740" s="31"/>
      <c r="BR740" s="31"/>
      <c r="BS740" s="31"/>
      <c r="BT740" s="31"/>
      <c r="BU740" s="31"/>
      <c r="BV740" s="31"/>
      <c r="BW740" s="31"/>
    </row>
    <row r="741" spans="6:75">
      <c r="F741" s="31"/>
      <c r="G741" s="31"/>
      <c r="H741" s="31"/>
      <c r="I741" s="66"/>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c r="AN741" s="31"/>
      <c r="AO741" s="31"/>
      <c r="AP741" s="31"/>
      <c r="AQ741" s="31"/>
      <c r="AR741" s="31"/>
      <c r="AS741" s="31"/>
      <c r="AT741" s="31"/>
      <c r="AU741" s="31"/>
      <c r="AV741" s="31"/>
      <c r="AW741" s="31"/>
      <c r="AX741" s="31"/>
      <c r="AY741" s="31"/>
      <c r="AZ741" s="31"/>
      <c r="BA741" s="31"/>
      <c r="BB741" s="31"/>
      <c r="BC741" s="31"/>
      <c r="BD741" s="31"/>
      <c r="BE741" s="31"/>
      <c r="BF741" s="31"/>
      <c r="BG741" s="31"/>
      <c r="BH741" s="31"/>
      <c r="BI741" s="31"/>
      <c r="BJ741" s="31"/>
      <c r="BK741" s="31"/>
      <c r="BL741" s="31"/>
      <c r="BM741" s="31"/>
      <c r="BN741" s="31"/>
      <c r="BO741" s="31"/>
      <c r="BP741" s="31"/>
      <c r="BQ741" s="31"/>
      <c r="BR741" s="31"/>
      <c r="BS741" s="31"/>
      <c r="BT741" s="31"/>
      <c r="BU741" s="31"/>
      <c r="BV741" s="31"/>
      <c r="BW741" s="31"/>
    </row>
    <row r="742" spans="6:75">
      <c r="F742" s="31"/>
      <c r="G742" s="31"/>
      <c r="H742" s="31"/>
      <c r="I742" s="66"/>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c r="AN742" s="31"/>
      <c r="AO742" s="31"/>
      <c r="AP742" s="31"/>
      <c r="AQ742" s="31"/>
      <c r="AR742" s="31"/>
      <c r="AS742" s="31"/>
      <c r="AT742" s="31"/>
      <c r="AU742" s="31"/>
      <c r="AV742" s="31"/>
      <c r="AW742" s="31"/>
      <c r="AX742" s="31"/>
      <c r="AY742" s="31"/>
      <c r="AZ742" s="31"/>
      <c r="BA742" s="31"/>
      <c r="BB742" s="31"/>
      <c r="BC742" s="31"/>
      <c r="BD742" s="31"/>
      <c r="BE742" s="31"/>
      <c r="BF742" s="31"/>
      <c r="BG742" s="31"/>
      <c r="BH742" s="31"/>
      <c r="BI742" s="31"/>
      <c r="BJ742" s="31"/>
      <c r="BK742" s="31"/>
      <c r="BL742" s="31"/>
      <c r="BM742" s="31"/>
      <c r="BN742" s="31"/>
      <c r="BO742" s="31"/>
      <c r="BP742" s="31"/>
      <c r="BQ742" s="31"/>
      <c r="BR742" s="31"/>
      <c r="BS742" s="31"/>
      <c r="BT742" s="31"/>
      <c r="BU742" s="31"/>
      <c r="BV742" s="31"/>
      <c r="BW742" s="31"/>
    </row>
    <row r="743" spans="6:75">
      <c r="F743" s="31"/>
      <c r="G743" s="31"/>
      <c r="H743" s="31"/>
      <c r="I743" s="66"/>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c r="AN743" s="31"/>
      <c r="AO743" s="31"/>
      <c r="AP743" s="31"/>
      <c r="AQ743" s="31"/>
      <c r="AR743" s="31"/>
      <c r="AS743" s="31"/>
      <c r="AT743" s="31"/>
      <c r="AU743" s="31"/>
      <c r="AV743" s="31"/>
      <c r="AW743" s="31"/>
      <c r="AX743" s="31"/>
      <c r="AY743" s="31"/>
      <c r="AZ743" s="31"/>
      <c r="BA743" s="31"/>
      <c r="BB743" s="31"/>
      <c r="BC743" s="31"/>
      <c r="BD743" s="31"/>
      <c r="BE743" s="31"/>
      <c r="BF743" s="31"/>
      <c r="BG743" s="31"/>
      <c r="BH743" s="31"/>
      <c r="BI743" s="31"/>
      <c r="BJ743" s="31"/>
      <c r="BK743" s="31"/>
      <c r="BL743" s="31"/>
      <c r="BM743" s="31"/>
      <c r="BN743" s="31"/>
      <c r="BO743" s="31"/>
      <c r="BP743" s="31"/>
      <c r="BQ743" s="31"/>
      <c r="BR743" s="31"/>
      <c r="BS743" s="31"/>
      <c r="BT743" s="31"/>
      <c r="BU743" s="31"/>
      <c r="BV743" s="31"/>
      <c r="BW743" s="31"/>
    </row>
    <row r="744" spans="6:75">
      <c r="F744" s="31"/>
      <c r="G744" s="31"/>
      <c r="H744" s="31"/>
      <c r="I744" s="66"/>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c r="AN744" s="31"/>
      <c r="AO744" s="31"/>
      <c r="AP744" s="31"/>
      <c r="AQ744" s="31"/>
      <c r="AR744" s="31"/>
      <c r="AS744" s="31"/>
      <c r="AT744" s="31"/>
      <c r="AU744" s="31"/>
      <c r="AV744" s="31"/>
      <c r="AW744" s="31"/>
      <c r="AX744" s="31"/>
      <c r="AY744" s="31"/>
      <c r="AZ744" s="31"/>
      <c r="BA744" s="31"/>
      <c r="BB744" s="31"/>
      <c r="BC744" s="31"/>
      <c r="BD744" s="31"/>
      <c r="BE744" s="31"/>
      <c r="BF744" s="31"/>
      <c r="BG744" s="31"/>
      <c r="BH744" s="31"/>
      <c r="BI744" s="31"/>
      <c r="BJ744" s="31"/>
      <c r="BK744" s="31"/>
      <c r="BL744" s="31"/>
      <c r="BM744" s="31"/>
      <c r="BN744" s="31"/>
      <c r="BO744" s="31"/>
      <c r="BP744" s="31"/>
      <c r="BQ744" s="31"/>
      <c r="BR744" s="31"/>
      <c r="BS744" s="31"/>
      <c r="BT744" s="31"/>
      <c r="BU744" s="31"/>
      <c r="BV744" s="31"/>
      <c r="BW744" s="31"/>
    </row>
    <row r="745" spans="6:75">
      <c r="F745" s="31"/>
      <c r="G745" s="31"/>
      <c r="H745" s="31"/>
      <c r="I745" s="66"/>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c r="AN745" s="31"/>
      <c r="AO745" s="31"/>
      <c r="AP745" s="31"/>
      <c r="AQ745" s="31"/>
      <c r="AR745" s="31"/>
      <c r="AS745" s="31"/>
      <c r="AT745" s="31"/>
      <c r="AU745" s="31"/>
      <c r="AV745" s="31"/>
      <c r="AW745" s="31"/>
      <c r="AX745" s="31"/>
      <c r="AY745" s="31"/>
      <c r="AZ745" s="31"/>
      <c r="BA745" s="31"/>
      <c r="BB745" s="31"/>
      <c r="BC745" s="31"/>
      <c r="BD745" s="31"/>
      <c r="BE745" s="31"/>
      <c r="BF745" s="31"/>
      <c r="BG745" s="31"/>
      <c r="BH745" s="31"/>
      <c r="BI745" s="31"/>
      <c r="BJ745" s="31"/>
      <c r="BK745" s="31"/>
      <c r="BL745" s="31"/>
      <c r="BM745" s="31"/>
      <c r="BN745" s="31"/>
      <c r="BO745" s="31"/>
      <c r="BP745" s="31"/>
      <c r="BQ745" s="31"/>
      <c r="BR745" s="31"/>
      <c r="BS745" s="31"/>
      <c r="BT745" s="31"/>
      <c r="BU745" s="31"/>
      <c r="BV745" s="31"/>
      <c r="BW745" s="31"/>
    </row>
    <row r="746" spans="6:75">
      <c r="F746" s="31"/>
      <c r="G746" s="31"/>
      <c r="H746" s="31"/>
      <c r="I746" s="66"/>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c r="AN746" s="31"/>
      <c r="AO746" s="31"/>
      <c r="AP746" s="31"/>
      <c r="AQ746" s="31"/>
      <c r="AR746" s="31"/>
      <c r="AS746" s="31"/>
      <c r="AT746" s="31"/>
      <c r="AU746" s="31"/>
      <c r="AV746" s="31"/>
      <c r="AW746" s="31"/>
      <c r="AX746" s="31"/>
      <c r="AY746" s="31"/>
      <c r="AZ746" s="31"/>
      <c r="BA746" s="31"/>
      <c r="BB746" s="31"/>
      <c r="BC746" s="31"/>
      <c r="BD746" s="31"/>
      <c r="BE746" s="31"/>
      <c r="BF746" s="31"/>
      <c r="BG746" s="31"/>
      <c r="BH746" s="31"/>
      <c r="BI746" s="31"/>
      <c r="BJ746" s="31"/>
      <c r="BK746" s="31"/>
      <c r="BL746" s="31"/>
      <c r="BM746" s="31"/>
      <c r="BN746" s="31"/>
      <c r="BO746" s="31"/>
      <c r="BP746" s="31"/>
      <c r="BQ746" s="31"/>
      <c r="BR746" s="31"/>
      <c r="BS746" s="31"/>
      <c r="BT746" s="31"/>
      <c r="BU746" s="31"/>
      <c r="BV746" s="31"/>
      <c r="BW746" s="31"/>
    </row>
    <row r="747" spans="6:75">
      <c r="F747" s="31"/>
      <c r="G747" s="31"/>
      <c r="H747" s="31"/>
      <c r="I747" s="66"/>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c r="AN747" s="31"/>
      <c r="AO747" s="31"/>
      <c r="AP747" s="31"/>
      <c r="AQ747" s="31"/>
      <c r="AR747" s="31"/>
      <c r="AS747" s="31"/>
      <c r="AT747" s="31"/>
      <c r="AU747" s="31"/>
      <c r="AV747" s="31"/>
      <c r="AW747" s="31"/>
      <c r="AX747" s="31"/>
      <c r="AY747" s="31"/>
      <c r="AZ747" s="31"/>
      <c r="BA747" s="31"/>
      <c r="BB747" s="31"/>
      <c r="BC747" s="31"/>
      <c r="BD747" s="31"/>
      <c r="BE747" s="31"/>
      <c r="BF747" s="31"/>
      <c r="BG747" s="31"/>
      <c r="BH747" s="31"/>
      <c r="BI747" s="31"/>
      <c r="BJ747" s="31"/>
      <c r="BK747" s="31"/>
      <c r="BL747" s="31"/>
      <c r="BM747" s="31"/>
      <c r="BN747" s="31"/>
      <c r="BO747" s="31"/>
      <c r="BP747" s="31"/>
      <c r="BQ747" s="31"/>
      <c r="BR747" s="31"/>
      <c r="BS747" s="31"/>
      <c r="BT747" s="31"/>
      <c r="BU747" s="31"/>
      <c r="BV747" s="31"/>
      <c r="BW747" s="31"/>
    </row>
    <row r="748" spans="6:75">
      <c r="F748" s="31"/>
      <c r="G748" s="31"/>
      <c r="H748" s="31"/>
      <c r="I748" s="66"/>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c r="AO748" s="31"/>
      <c r="AP748" s="31"/>
      <c r="AQ748" s="31"/>
      <c r="AR748" s="31"/>
      <c r="AS748" s="31"/>
      <c r="AT748" s="31"/>
      <c r="AU748" s="31"/>
      <c r="AV748" s="31"/>
      <c r="AW748" s="31"/>
      <c r="AX748" s="31"/>
      <c r="AY748" s="31"/>
      <c r="AZ748" s="31"/>
      <c r="BA748" s="31"/>
      <c r="BB748" s="31"/>
      <c r="BC748" s="31"/>
      <c r="BD748" s="31"/>
      <c r="BE748" s="31"/>
      <c r="BF748" s="31"/>
      <c r="BG748" s="31"/>
      <c r="BH748" s="31"/>
      <c r="BI748" s="31"/>
      <c r="BJ748" s="31"/>
      <c r="BK748" s="31"/>
      <c r="BL748" s="31"/>
      <c r="BM748" s="31"/>
      <c r="BN748" s="31"/>
      <c r="BO748" s="31"/>
      <c r="BP748" s="31"/>
      <c r="BQ748" s="31"/>
      <c r="BR748" s="31"/>
      <c r="BS748" s="31"/>
      <c r="BT748" s="31"/>
      <c r="BU748" s="31"/>
      <c r="BV748" s="31"/>
      <c r="BW748" s="31"/>
    </row>
    <row r="749" spans="6:75">
      <c r="F749" s="31"/>
      <c r="G749" s="31"/>
      <c r="H749" s="31"/>
      <c r="I749" s="66"/>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c r="AN749" s="31"/>
      <c r="AO749" s="31"/>
      <c r="AP749" s="31"/>
      <c r="AQ749" s="31"/>
      <c r="AR749" s="31"/>
      <c r="AS749" s="31"/>
      <c r="AT749" s="31"/>
      <c r="AU749" s="31"/>
      <c r="AV749" s="31"/>
      <c r="AW749" s="31"/>
      <c r="AX749" s="31"/>
      <c r="AY749" s="31"/>
      <c r="AZ749" s="31"/>
      <c r="BA749" s="31"/>
      <c r="BB749" s="31"/>
      <c r="BC749" s="31"/>
      <c r="BD749" s="31"/>
      <c r="BE749" s="31"/>
      <c r="BF749" s="31"/>
      <c r="BG749" s="31"/>
      <c r="BH749" s="31"/>
      <c r="BI749" s="31"/>
      <c r="BJ749" s="31"/>
      <c r="BK749" s="31"/>
      <c r="BL749" s="31"/>
      <c r="BM749" s="31"/>
      <c r="BN749" s="31"/>
      <c r="BO749" s="31"/>
      <c r="BP749" s="31"/>
      <c r="BQ749" s="31"/>
      <c r="BR749" s="31"/>
      <c r="BS749" s="31"/>
      <c r="BT749" s="31"/>
      <c r="BU749" s="31"/>
      <c r="BV749" s="31"/>
      <c r="BW749" s="31"/>
    </row>
    <row r="750" spans="6:75">
      <c r="F750" s="31"/>
      <c r="G750" s="31"/>
      <c r="H750" s="31"/>
      <c r="I750" s="66"/>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c r="AN750" s="31"/>
      <c r="AO750" s="31"/>
      <c r="AP750" s="31"/>
      <c r="AQ750" s="31"/>
      <c r="AR750" s="31"/>
      <c r="AS750" s="31"/>
      <c r="AT750" s="31"/>
      <c r="AU750" s="31"/>
      <c r="AV750" s="31"/>
      <c r="AW750" s="31"/>
      <c r="AX750" s="31"/>
      <c r="AY750" s="31"/>
      <c r="AZ750" s="31"/>
      <c r="BA750" s="31"/>
      <c r="BB750" s="31"/>
      <c r="BC750" s="31"/>
      <c r="BD750" s="31"/>
      <c r="BE750" s="31"/>
      <c r="BF750" s="31"/>
      <c r="BG750" s="31"/>
      <c r="BH750" s="31"/>
      <c r="BI750" s="31"/>
      <c r="BJ750" s="31"/>
      <c r="BK750" s="31"/>
      <c r="BL750" s="31"/>
      <c r="BM750" s="31"/>
      <c r="BN750" s="31"/>
      <c r="BO750" s="31"/>
      <c r="BP750" s="31"/>
      <c r="BQ750" s="31"/>
      <c r="BR750" s="31"/>
      <c r="BS750" s="31"/>
      <c r="BT750" s="31"/>
      <c r="BU750" s="31"/>
      <c r="BV750" s="31"/>
      <c r="BW750" s="31"/>
    </row>
    <row r="751" spans="6:75">
      <c r="F751" s="31"/>
      <c r="G751" s="31"/>
      <c r="H751" s="31"/>
      <c r="I751" s="66"/>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c r="AN751" s="31"/>
      <c r="AO751" s="31"/>
      <c r="AP751" s="31"/>
      <c r="AQ751" s="31"/>
      <c r="AR751" s="31"/>
      <c r="AS751" s="31"/>
      <c r="AT751" s="31"/>
      <c r="AU751" s="31"/>
      <c r="AV751" s="31"/>
      <c r="AW751" s="31"/>
      <c r="AX751" s="31"/>
      <c r="AY751" s="31"/>
      <c r="AZ751" s="31"/>
      <c r="BA751" s="31"/>
      <c r="BB751" s="31"/>
      <c r="BC751" s="31"/>
      <c r="BD751" s="31"/>
      <c r="BE751" s="31"/>
      <c r="BF751" s="31"/>
      <c r="BG751" s="31"/>
      <c r="BH751" s="31"/>
      <c r="BI751" s="31"/>
      <c r="BJ751" s="31"/>
      <c r="BK751" s="31"/>
      <c r="BL751" s="31"/>
      <c r="BM751" s="31"/>
      <c r="BN751" s="31"/>
      <c r="BO751" s="31"/>
      <c r="BP751" s="31"/>
      <c r="BQ751" s="31"/>
      <c r="BR751" s="31"/>
      <c r="BS751" s="31"/>
      <c r="BT751" s="31"/>
      <c r="BU751" s="31"/>
      <c r="BV751" s="31"/>
      <c r="BW751" s="31"/>
    </row>
    <row r="752" spans="6:75">
      <c r="F752" s="31"/>
      <c r="G752" s="31"/>
      <c r="H752" s="31"/>
      <c r="I752" s="66"/>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c r="AN752" s="31"/>
      <c r="AO752" s="31"/>
      <c r="AP752" s="31"/>
      <c r="AQ752" s="31"/>
      <c r="AR752" s="31"/>
      <c r="AS752" s="31"/>
      <c r="AT752" s="31"/>
      <c r="AU752" s="31"/>
      <c r="AV752" s="31"/>
      <c r="AW752" s="31"/>
      <c r="AX752" s="31"/>
      <c r="AY752" s="31"/>
      <c r="AZ752" s="31"/>
      <c r="BA752" s="31"/>
      <c r="BB752" s="31"/>
      <c r="BC752" s="31"/>
      <c r="BD752" s="31"/>
      <c r="BE752" s="31"/>
      <c r="BF752" s="31"/>
      <c r="BG752" s="31"/>
      <c r="BH752" s="31"/>
      <c r="BI752" s="31"/>
      <c r="BJ752" s="31"/>
      <c r="BK752" s="31"/>
      <c r="BL752" s="31"/>
      <c r="BM752" s="31"/>
      <c r="BN752" s="31"/>
      <c r="BO752" s="31"/>
      <c r="BP752" s="31"/>
      <c r="BQ752" s="31"/>
      <c r="BR752" s="31"/>
      <c r="BS752" s="31"/>
      <c r="BT752" s="31"/>
      <c r="BU752" s="31"/>
      <c r="BV752" s="31"/>
      <c r="BW752" s="31"/>
    </row>
    <row r="753" spans="6:75">
      <c r="F753" s="31"/>
      <c r="G753" s="31"/>
      <c r="H753" s="31"/>
      <c r="I753" s="66"/>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c r="AN753" s="31"/>
      <c r="AO753" s="31"/>
      <c r="AP753" s="31"/>
      <c r="AQ753" s="31"/>
      <c r="AR753" s="31"/>
      <c r="AS753" s="31"/>
      <c r="AT753" s="31"/>
      <c r="AU753" s="31"/>
      <c r="AV753" s="31"/>
      <c r="AW753" s="31"/>
      <c r="AX753" s="31"/>
      <c r="AY753" s="31"/>
      <c r="AZ753" s="31"/>
      <c r="BA753" s="31"/>
      <c r="BB753" s="31"/>
      <c r="BC753" s="31"/>
      <c r="BD753" s="31"/>
      <c r="BE753" s="31"/>
      <c r="BF753" s="31"/>
      <c r="BG753" s="31"/>
      <c r="BH753" s="31"/>
      <c r="BI753" s="31"/>
      <c r="BJ753" s="31"/>
      <c r="BK753" s="31"/>
      <c r="BL753" s="31"/>
      <c r="BM753" s="31"/>
      <c r="BN753" s="31"/>
      <c r="BO753" s="31"/>
      <c r="BP753" s="31"/>
      <c r="BQ753" s="31"/>
      <c r="BR753" s="31"/>
      <c r="BS753" s="31"/>
      <c r="BT753" s="31"/>
      <c r="BU753" s="31"/>
      <c r="BV753" s="31"/>
      <c r="BW753" s="31"/>
    </row>
    <row r="754" spans="6:75">
      <c r="F754" s="31"/>
      <c r="G754" s="31"/>
      <c r="H754" s="31"/>
      <c r="I754" s="66"/>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c r="AN754" s="31"/>
      <c r="AO754" s="31"/>
      <c r="AP754" s="31"/>
      <c r="AQ754" s="31"/>
      <c r="AR754" s="31"/>
      <c r="AS754" s="31"/>
      <c r="AT754" s="31"/>
      <c r="AU754" s="31"/>
      <c r="AV754" s="31"/>
      <c r="AW754" s="31"/>
      <c r="AX754" s="31"/>
      <c r="AY754" s="31"/>
      <c r="AZ754" s="31"/>
      <c r="BA754" s="31"/>
      <c r="BB754" s="31"/>
      <c r="BC754" s="31"/>
      <c r="BD754" s="31"/>
      <c r="BE754" s="31"/>
      <c r="BF754" s="31"/>
      <c r="BG754" s="31"/>
      <c r="BH754" s="31"/>
      <c r="BI754" s="31"/>
      <c r="BJ754" s="31"/>
      <c r="BK754" s="31"/>
      <c r="BL754" s="31"/>
      <c r="BM754" s="31"/>
      <c r="BN754" s="31"/>
      <c r="BO754" s="31"/>
      <c r="BP754" s="31"/>
      <c r="BQ754" s="31"/>
      <c r="BR754" s="31"/>
      <c r="BS754" s="31"/>
      <c r="BT754" s="31"/>
      <c r="BU754" s="31"/>
      <c r="BV754" s="31"/>
      <c r="BW754" s="31"/>
    </row>
    <row r="755" spans="6:75">
      <c r="F755" s="31"/>
      <c r="G755" s="31"/>
      <c r="H755" s="31"/>
      <c r="I755" s="66"/>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c r="AN755" s="31"/>
      <c r="AO755" s="31"/>
      <c r="AP755" s="31"/>
      <c r="AQ755" s="31"/>
      <c r="AR755" s="31"/>
      <c r="AS755" s="31"/>
      <c r="AT755" s="31"/>
      <c r="AU755" s="31"/>
      <c r="AV755" s="31"/>
      <c r="AW755" s="31"/>
      <c r="AX755" s="31"/>
      <c r="AY755" s="31"/>
      <c r="AZ755" s="31"/>
      <c r="BA755" s="31"/>
      <c r="BB755" s="31"/>
      <c r="BC755" s="31"/>
      <c r="BD755" s="31"/>
      <c r="BE755" s="31"/>
      <c r="BF755" s="31"/>
      <c r="BG755" s="31"/>
      <c r="BH755" s="31"/>
      <c r="BI755" s="31"/>
      <c r="BJ755" s="31"/>
      <c r="BK755" s="31"/>
      <c r="BL755" s="31"/>
      <c r="BM755" s="31"/>
      <c r="BN755" s="31"/>
      <c r="BO755" s="31"/>
      <c r="BP755" s="31"/>
      <c r="BQ755" s="31"/>
      <c r="BR755" s="31"/>
      <c r="BS755" s="31"/>
      <c r="BT755" s="31"/>
      <c r="BU755" s="31"/>
      <c r="BV755" s="31"/>
      <c r="BW755" s="31"/>
    </row>
    <row r="756" spans="6:75">
      <c r="F756" s="31"/>
      <c r="G756" s="31"/>
      <c r="H756" s="31"/>
      <c r="I756" s="66"/>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c r="AN756" s="31"/>
      <c r="AO756" s="31"/>
      <c r="AP756" s="31"/>
      <c r="AQ756" s="31"/>
      <c r="AR756" s="31"/>
      <c r="AS756" s="31"/>
      <c r="AT756" s="31"/>
      <c r="AU756" s="31"/>
      <c r="AV756" s="31"/>
      <c r="AW756" s="31"/>
      <c r="AX756" s="31"/>
      <c r="AY756" s="31"/>
      <c r="AZ756" s="31"/>
      <c r="BA756" s="31"/>
      <c r="BB756" s="31"/>
      <c r="BC756" s="31"/>
      <c r="BD756" s="31"/>
      <c r="BE756" s="31"/>
      <c r="BF756" s="31"/>
      <c r="BG756" s="31"/>
      <c r="BH756" s="31"/>
      <c r="BI756" s="31"/>
      <c r="BJ756" s="31"/>
      <c r="BK756" s="31"/>
      <c r="BL756" s="31"/>
      <c r="BM756" s="31"/>
      <c r="BN756" s="31"/>
      <c r="BO756" s="31"/>
      <c r="BP756" s="31"/>
      <c r="BQ756" s="31"/>
      <c r="BR756" s="31"/>
      <c r="BS756" s="31"/>
      <c r="BT756" s="31"/>
      <c r="BU756" s="31"/>
      <c r="BV756" s="31"/>
      <c r="BW756" s="31"/>
    </row>
    <row r="757" spans="6:75">
      <c r="F757" s="31"/>
      <c r="G757" s="31"/>
      <c r="H757" s="31"/>
      <c r="I757" s="66"/>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c r="AN757" s="31"/>
      <c r="AO757" s="31"/>
      <c r="AP757" s="31"/>
      <c r="AQ757" s="31"/>
      <c r="AR757" s="31"/>
      <c r="AS757" s="31"/>
      <c r="AT757" s="31"/>
      <c r="AU757" s="31"/>
      <c r="AV757" s="31"/>
      <c r="AW757" s="31"/>
      <c r="AX757" s="31"/>
      <c r="AY757" s="31"/>
      <c r="AZ757" s="31"/>
      <c r="BA757" s="31"/>
      <c r="BB757" s="31"/>
      <c r="BC757" s="31"/>
      <c r="BD757" s="31"/>
      <c r="BE757" s="31"/>
      <c r="BF757" s="31"/>
      <c r="BG757" s="31"/>
      <c r="BH757" s="31"/>
      <c r="BI757" s="31"/>
      <c r="BJ757" s="31"/>
      <c r="BK757" s="31"/>
      <c r="BL757" s="31"/>
      <c r="BM757" s="31"/>
      <c r="BN757" s="31"/>
      <c r="BO757" s="31"/>
      <c r="BP757" s="31"/>
      <c r="BQ757" s="31"/>
      <c r="BR757" s="31"/>
      <c r="BS757" s="31"/>
      <c r="BT757" s="31"/>
      <c r="BU757" s="31"/>
      <c r="BV757" s="31"/>
      <c r="BW757" s="31"/>
    </row>
    <row r="758" spans="6:75">
      <c r="F758" s="31"/>
      <c r="G758" s="31"/>
      <c r="H758" s="31"/>
      <c r="I758" s="66"/>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c r="AO758" s="31"/>
      <c r="AP758" s="31"/>
      <c r="AQ758" s="31"/>
      <c r="AR758" s="31"/>
      <c r="AS758" s="31"/>
      <c r="AT758" s="31"/>
      <c r="AU758" s="31"/>
      <c r="AV758" s="31"/>
      <c r="AW758" s="31"/>
      <c r="AX758" s="31"/>
      <c r="AY758" s="31"/>
      <c r="AZ758" s="31"/>
      <c r="BA758" s="31"/>
      <c r="BB758" s="31"/>
      <c r="BC758" s="31"/>
      <c r="BD758" s="31"/>
      <c r="BE758" s="31"/>
      <c r="BF758" s="31"/>
      <c r="BG758" s="31"/>
      <c r="BH758" s="31"/>
      <c r="BI758" s="31"/>
      <c r="BJ758" s="31"/>
      <c r="BK758" s="31"/>
      <c r="BL758" s="31"/>
      <c r="BM758" s="31"/>
      <c r="BN758" s="31"/>
      <c r="BO758" s="31"/>
      <c r="BP758" s="31"/>
      <c r="BQ758" s="31"/>
      <c r="BR758" s="31"/>
      <c r="BS758" s="31"/>
      <c r="BT758" s="31"/>
      <c r="BU758" s="31"/>
      <c r="BV758" s="31"/>
      <c r="BW758" s="31"/>
    </row>
    <row r="759" spans="6:75">
      <c r="F759" s="31"/>
      <c r="G759" s="31"/>
      <c r="H759" s="31"/>
      <c r="I759" s="66"/>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c r="AN759" s="31"/>
      <c r="AO759" s="31"/>
      <c r="AP759" s="31"/>
      <c r="AQ759" s="31"/>
      <c r="AR759" s="31"/>
      <c r="AS759" s="31"/>
      <c r="AT759" s="31"/>
      <c r="AU759" s="31"/>
      <c r="AV759" s="31"/>
      <c r="AW759" s="31"/>
      <c r="AX759" s="31"/>
      <c r="AY759" s="31"/>
      <c r="AZ759" s="31"/>
      <c r="BA759" s="31"/>
      <c r="BB759" s="31"/>
      <c r="BC759" s="31"/>
      <c r="BD759" s="31"/>
      <c r="BE759" s="31"/>
      <c r="BF759" s="31"/>
      <c r="BG759" s="31"/>
      <c r="BH759" s="31"/>
      <c r="BI759" s="31"/>
      <c r="BJ759" s="31"/>
      <c r="BK759" s="31"/>
      <c r="BL759" s="31"/>
      <c r="BM759" s="31"/>
      <c r="BN759" s="31"/>
      <c r="BO759" s="31"/>
      <c r="BP759" s="31"/>
      <c r="BQ759" s="31"/>
      <c r="BR759" s="31"/>
      <c r="BS759" s="31"/>
      <c r="BT759" s="31"/>
      <c r="BU759" s="31"/>
      <c r="BV759" s="31"/>
      <c r="BW759" s="31"/>
    </row>
    <row r="760" spans="6:75">
      <c r="F760" s="31"/>
      <c r="G760" s="31"/>
      <c r="H760" s="31"/>
      <c r="I760" s="66"/>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c r="AN760" s="31"/>
      <c r="AO760" s="31"/>
      <c r="AP760" s="31"/>
      <c r="AQ760" s="31"/>
      <c r="AR760" s="31"/>
      <c r="AS760" s="31"/>
      <c r="AT760" s="31"/>
      <c r="AU760" s="31"/>
      <c r="AV760" s="31"/>
      <c r="AW760" s="31"/>
      <c r="AX760" s="31"/>
      <c r="AY760" s="31"/>
      <c r="AZ760" s="31"/>
      <c r="BA760" s="31"/>
      <c r="BB760" s="31"/>
      <c r="BC760" s="31"/>
      <c r="BD760" s="31"/>
      <c r="BE760" s="31"/>
      <c r="BF760" s="31"/>
      <c r="BG760" s="31"/>
      <c r="BH760" s="31"/>
      <c r="BI760" s="31"/>
      <c r="BJ760" s="31"/>
      <c r="BK760" s="31"/>
      <c r="BL760" s="31"/>
      <c r="BM760" s="31"/>
      <c r="BN760" s="31"/>
      <c r="BO760" s="31"/>
      <c r="BP760" s="31"/>
      <c r="BQ760" s="31"/>
      <c r="BR760" s="31"/>
      <c r="BS760" s="31"/>
      <c r="BT760" s="31"/>
      <c r="BU760" s="31"/>
      <c r="BV760" s="31"/>
      <c r="BW760" s="31"/>
    </row>
    <row r="761" spans="6:75">
      <c r="F761" s="31"/>
      <c r="G761" s="31"/>
      <c r="H761" s="31"/>
      <c r="I761" s="66"/>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c r="AN761" s="31"/>
      <c r="AO761" s="31"/>
      <c r="AP761" s="31"/>
      <c r="AQ761" s="31"/>
      <c r="AR761" s="31"/>
      <c r="AS761" s="31"/>
      <c r="AT761" s="31"/>
      <c r="AU761" s="31"/>
      <c r="AV761" s="31"/>
      <c r="AW761" s="31"/>
      <c r="AX761" s="31"/>
      <c r="AY761" s="31"/>
      <c r="AZ761" s="31"/>
      <c r="BA761" s="31"/>
      <c r="BB761" s="31"/>
      <c r="BC761" s="31"/>
      <c r="BD761" s="31"/>
      <c r="BE761" s="31"/>
      <c r="BF761" s="31"/>
      <c r="BG761" s="31"/>
      <c r="BH761" s="31"/>
      <c r="BI761" s="31"/>
      <c r="BJ761" s="31"/>
      <c r="BK761" s="31"/>
      <c r="BL761" s="31"/>
      <c r="BM761" s="31"/>
      <c r="BN761" s="31"/>
      <c r="BO761" s="31"/>
      <c r="BP761" s="31"/>
      <c r="BQ761" s="31"/>
      <c r="BR761" s="31"/>
      <c r="BS761" s="31"/>
      <c r="BT761" s="31"/>
      <c r="BU761" s="31"/>
      <c r="BV761" s="31"/>
      <c r="BW761" s="31"/>
    </row>
    <row r="762" spans="6:75">
      <c r="F762" s="31"/>
      <c r="G762" s="31"/>
      <c r="H762" s="31"/>
      <c r="I762" s="66"/>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c r="AN762" s="31"/>
      <c r="AO762" s="31"/>
      <c r="AP762" s="31"/>
      <c r="AQ762" s="31"/>
      <c r="AR762" s="31"/>
      <c r="AS762" s="31"/>
      <c r="AT762" s="31"/>
      <c r="AU762" s="31"/>
      <c r="AV762" s="31"/>
      <c r="AW762" s="31"/>
      <c r="AX762" s="31"/>
      <c r="AY762" s="31"/>
      <c r="AZ762" s="31"/>
      <c r="BA762" s="31"/>
      <c r="BB762" s="31"/>
      <c r="BC762" s="31"/>
      <c r="BD762" s="31"/>
      <c r="BE762" s="31"/>
      <c r="BF762" s="31"/>
      <c r="BG762" s="31"/>
      <c r="BH762" s="31"/>
      <c r="BI762" s="31"/>
      <c r="BJ762" s="31"/>
      <c r="BK762" s="31"/>
      <c r="BL762" s="31"/>
      <c r="BM762" s="31"/>
      <c r="BN762" s="31"/>
      <c r="BO762" s="31"/>
      <c r="BP762" s="31"/>
      <c r="BQ762" s="31"/>
      <c r="BR762" s="31"/>
      <c r="BS762" s="31"/>
      <c r="BT762" s="31"/>
      <c r="BU762" s="31"/>
      <c r="BV762" s="31"/>
      <c r="BW762" s="31"/>
    </row>
    <row r="763" spans="6:75">
      <c r="F763" s="31"/>
      <c r="G763" s="31"/>
      <c r="H763" s="31"/>
      <c r="I763" s="66"/>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c r="AN763" s="31"/>
      <c r="AO763" s="31"/>
      <c r="AP763" s="31"/>
      <c r="AQ763" s="31"/>
      <c r="AR763" s="31"/>
      <c r="AS763" s="31"/>
      <c r="AT763" s="31"/>
      <c r="AU763" s="31"/>
      <c r="AV763" s="31"/>
      <c r="AW763" s="31"/>
      <c r="AX763" s="31"/>
      <c r="AY763" s="31"/>
      <c r="AZ763" s="31"/>
      <c r="BA763" s="31"/>
      <c r="BB763" s="31"/>
      <c r="BC763" s="31"/>
      <c r="BD763" s="31"/>
      <c r="BE763" s="31"/>
      <c r="BF763" s="31"/>
      <c r="BG763" s="31"/>
      <c r="BH763" s="31"/>
      <c r="BI763" s="31"/>
      <c r="BJ763" s="31"/>
      <c r="BK763" s="31"/>
      <c r="BL763" s="31"/>
      <c r="BM763" s="31"/>
      <c r="BN763" s="31"/>
      <c r="BO763" s="31"/>
      <c r="BP763" s="31"/>
      <c r="BQ763" s="31"/>
      <c r="BR763" s="31"/>
      <c r="BS763" s="31"/>
      <c r="BT763" s="31"/>
      <c r="BU763" s="31"/>
      <c r="BV763" s="31"/>
      <c r="BW763" s="31"/>
    </row>
    <row r="764" spans="6:75">
      <c r="F764" s="31"/>
      <c r="G764" s="31"/>
      <c r="H764" s="31"/>
      <c r="I764" s="66"/>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c r="AN764" s="31"/>
      <c r="AO764" s="31"/>
      <c r="AP764" s="31"/>
      <c r="AQ764" s="31"/>
      <c r="AR764" s="31"/>
      <c r="AS764" s="31"/>
      <c r="AT764" s="31"/>
      <c r="AU764" s="31"/>
      <c r="AV764" s="31"/>
      <c r="AW764" s="31"/>
      <c r="AX764" s="31"/>
      <c r="AY764" s="31"/>
      <c r="AZ764" s="31"/>
      <c r="BA764" s="31"/>
      <c r="BB764" s="31"/>
      <c r="BC764" s="31"/>
      <c r="BD764" s="31"/>
      <c r="BE764" s="31"/>
      <c r="BF764" s="31"/>
      <c r="BG764" s="31"/>
      <c r="BH764" s="31"/>
      <c r="BI764" s="31"/>
      <c r="BJ764" s="31"/>
      <c r="BK764" s="31"/>
      <c r="BL764" s="31"/>
      <c r="BM764" s="31"/>
      <c r="BN764" s="31"/>
      <c r="BO764" s="31"/>
      <c r="BP764" s="31"/>
      <c r="BQ764" s="31"/>
      <c r="BR764" s="31"/>
      <c r="BS764" s="31"/>
      <c r="BT764" s="31"/>
      <c r="BU764" s="31"/>
      <c r="BV764" s="31"/>
      <c r="BW764" s="31"/>
    </row>
    <row r="765" spans="6:75">
      <c r="F765" s="31"/>
      <c r="G765" s="31"/>
      <c r="H765" s="31"/>
      <c r="I765" s="66"/>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c r="AO765" s="31"/>
      <c r="AP765" s="31"/>
      <c r="AQ765" s="31"/>
      <c r="AR765" s="31"/>
      <c r="AS765" s="31"/>
      <c r="AT765" s="31"/>
      <c r="AU765" s="31"/>
      <c r="AV765" s="31"/>
      <c r="AW765" s="31"/>
      <c r="AX765" s="31"/>
      <c r="AY765" s="31"/>
      <c r="AZ765" s="31"/>
      <c r="BA765" s="31"/>
      <c r="BB765" s="31"/>
      <c r="BC765" s="31"/>
      <c r="BD765" s="31"/>
      <c r="BE765" s="31"/>
      <c r="BF765" s="31"/>
      <c r="BG765" s="31"/>
      <c r="BH765" s="31"/>
      <c r="BI765" s="31"/>
      <c r="BJ765" s="31"/>
      <c r="BK765" s="31"/>
      <c r="BL765" s="31"/>
      <c r="BM765" s="31"/>
      <c r="BN765" s="31"/>
      <c r="BO765" s="31"/>
      <c r="BP765" s="31"/>
      <c r="BQ765" s="31"/>
      <c r="BR765" s="31"/>
      <c r="BS765" s="31"/>
      <c r="BT765" s="31"/>
      <c r="BU765" s="31"/>
      <c r="BV765" s="31"/>
      <c r="BW765" s="31"/>
    </row>
    <row r="766" spans="6:75">
      <c r="F766" s="31"/>
      <c r="G766" s="31"/>
      <c r="H766" s="31"/>
      <c r="I766" s="66"/>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c r="AN766" s="31"/>
      <c r="AO766" s="31"/>
      <c r="AP766" s="31"/>
      <c r="AQ766" s="31"/>
      <c r="AR766" s="31"/>
      <c r="AS766" s="31"/>
      <c r="AT766" s="31"/>
      <c r="AU766" s="31"/>
      <c r="AV766" s="31"/>
      <c r="AW766" s="31"/>
      <c r="AX766" s="31"/>
      <c r="AY766" s="31"/>
      <c r="AZ766" s="31"/>
      <c r="BA766" s="31"/>
      <c r="BB766" s="31"/>
      <c r="BC766" s="31"/>
      <c r="BD766" s="31"/>
      <c r="BE766" s="31"/>
      <c r="BF766" s="31"/>
      <c r="BG766" s="31"/>
      <c r="BH766" s="31"/>
      <c r="BI766" s="31"/>
      <c r="BJ766" s="31"/>
      <c r="BK766" s="31"/>
      <c r="BL766" s="31"/>
      <c r="BM766" s="31"/>
      <c r="BN766" s="31"/>
      <c r="BO766" s="31"/>
      <c r="BP766" s="31"/>
      <c r="BQ766" s="31"/>
      <c r="BR766" s="31"/>
      <c r="BS766" s="31"/>
      <c r="BT766" s="31"/>
      <c r="BU766" s="31"/>
      <c r="BV766" s="31"/>
      <c r="BW766" s="31"/>
    </row>
    <row r="767" spans="6:75">
      <c r="F767" s="31"/>
      <c r="G767" s="31"/>
      <c r="H767" s="31"/>
      <c r="I767" s="66"/>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c r="AN767" s="31"/>
      <c r="AO767" s="31"/>
      <c r="AP767" s="31"/>
      <c r="AQ767" s="31"/>
      <c r="AR767" s="31"/>
      <c r="AS767" s="31"/>
      <c r="AT767" s="31"/>
      <c r="AU767" s="31"/>
      <c r="AV767" s="31"/>
      <c r="AW767" s="31"/>
      <c r="AX767" s="31"/>
      <c r="AY767" s="31"/>
      <c r="AZ767" s="31"/>
      <c r="BA767" s="31"/>
      <c r="BB767" s="31"/>
      <c r="BC767" s="31"/>
      <c r="BD767" s="31"/>
      <c r="BE767" s="31"/>
      <c r="BF767" s="31"/>
      <c r="BG767" s="31"/>
      <c r="BH767" s="31"/>
      <c r="BI767" s="31"/>
      <c r="BJ767" s="31"/>
      <c r="BK767" s="31"/>
      <c r="BL767" s="31"/>
      <c r="BM767" s="31"/>
      <c r="BN767" s="31"/>
      <c r="BO767" s="31"/>
      <c r="BP767" s="31"/>
      <c r="BQ767" s="31"/>
      <c r="BR767" s="31"/>
      <c r="BS767" s="31"/>
      <c r="BT767" s="31"/>
      <c r="BU767" s="31"/>
      <c r="BV767" s="31"/>
      <c r="BW767" s="31"/>
    </row>
    <row r="768" spans="6:75">
      <c r="F768" s="31"/>
      <c r="G768" s="31"/>
      <c r="H768" s="31"/>
      <c r="I768" s="66"/>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c r="AN768" s="31"/>
      <c r="AO768" s="31"/>
      <c r="AP768" s="31"/>
      <c r="AQ768" s="31"/>
      <c r="AR768" s="31"/>
      <c r="AS768" s="31"/>
      <c r="AT768" s="31"/>
      <c r="AU768" s="31"/>
      <c r="AV768" s="31"/>
      <c r="AW768" s="31"/>
      <c r="AX768" s="31"/>
      <c r="AY768" s="31"/>
      <c r="AZ768" s="31"/>
      <c r="BA768" s="31"/>
      <c r="BB768" s="31"/>
      <c r="BC768" s="31"/>
      <c r="BD768" s="31"/>
      <c r="BE768" s="31"/>
      <c r="BF768" s="31"/>
      <c r="BG768" s="31"/>
      <c r="BH768" s="31"/>
      <c r="BI768" s="31"/>
      <c r="BJ768" s="31"/>
      <c r="BK768" s="31"/>
      <c r="BL768" s="31"/>
      <c r="BM768" s="31"/>
      <c r="BN768" s="31"/>
      <c r="BO768" s="31"/>
      <c r="BP768" s="31"/>
      <c r="BQ768" s="31"/>
      <c r="BR768" s="31"/>
      <c r="BS768" s="31"/>
      <c r="BT768" s="31"/>
      <c r="BU768" s="31"/>
      <c r="BV768" s="31"/>
      <c r="BW768" s="31"/>
    </row>
    <row r="769" spans="6:75">
      <c r="F769" s="31"/>
      <c r="G769" s="31"/>
      <c r="H769" s="31"/>
      <c r="I769" s="66"/>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c r="AN769" s="31"/>
      <c r="AO769" s="31"/>
      <c r="AP769" s="31"/>
      <c r="AQ769" s="31"/>
      <c r="AR769" s="31"/>
      <c r="AS769" s="31"/>
      <c r="AT769" s="31"/>
      <c r="AU769" s="31"/>
      <c r="AV769" s="31"/>
      <c r="AW769" s="31"/>
      <c r="AX769" s="31"/>
      <c r="AY769" s="31"/>
      <c r="AZ769" s="31"/>
      <c r="BA769" s="31"/>
      <c r="BB769" s="31"/>
      <c r="BC769" s="31"/>
      <c r="BD769" s="31"/>
      <c r="BE769" s="31"/>
      <c r="BF769" s="31"/>
      <c r="BG769" s="31"/>
      <c r="BH769" s="31"/>
      <c r="BI769" s="31"/>
      <c r="BJ769" s="31"/>
      <c r="BK769" s="31"/>
      <c r="BL769" s="31"/>
      <c r="BM769" s="31"/>
      <c r="BN769" s="31"/>
      <c r="BO769" s="31"/>
      <c r="BP769" s="31"/>
      <c r="BQ769" s="31"/>
      <c r="BR769" s="31"/>
      <c r="BS769" s="31"/>
      <c r="BT769" s="31"/>
      <c r="BU769" s="31"/>
      <c r="BV769" s="31"/>
      <c r="BW769" s="31"/>
    </row>
    <row r="770" spans="6:75">
      <c r="F770" s="31"/>
      <c r="G770" s="31"/>
      <c r="H770" s="31"/>
      <c r="I770" s="66"/>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c r="AN770" s="31"/>
      <c r="AO770" s="31"/>
      <c r="AP770" s="31"/>
      <c r="AQ770" s="31"/>
      <c r="AR770" s="31"/>
      <c r="AS770" s="31"/>
      <c r="AT770" s="31"/>
      <c r="AU770" s="31"/>
      <c r="AV770" s="31"/>
      <c r="AW770" s="31"/>
      <c r="AX770" s="31"/>
      <c r="AY770" s="31"/>
      <c r="AZ770" s="31"/>
      <c r="BA770" s="31"/>
      <c r="BB770" s="31"/>
      <c r="BC770" s="31"/>
      <c r="BD770" s="31"/>
      <c r="BE770" s="31"/>
      <c r="BF770" s="31"/>
      <c r="BG770" s="31"/>
      <c r="BH770" s="31"/>
      <c r="BI770" s="31"/>
      <c r="BJ770" s="31"/>
      <c r="BK770" s="31"/>
      <c r="BL770" s="31"/>
      <c r="BM770" s="31"/>
      <c r="BN770" s="31"/>
      <c r="BO770" s="31"/>
      <c r="BP770" s="31"/>
      <c r="BQ770" s="31"/>
      <c r="BR770" s="31"/>
      <c r="BS770" s="31"/>
      <c r="BT770" s="31"/>
      <c r="BU770" s="31"/>
      <c r="BV770" s="31"/>
      <c r="BW770" s="31"/>
    </row>
    <row r="771" spans="6:75">
      <c r="F771" s="31"/>
      <c r="G771" s="31"/>
      <c r="H771" s="31"/>
      <c r="I771" s="66"/>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c r="AN771" s="31"/>
      <c r="AO771" s="31"/>
      <c r="AP771" s="31"/>
      <c r="AQ771" s="31"/>
      <c r="AR771" s="31"/>
      <c r="AS771" s="31"/>
      <c r="AT771" s="31"/>
      <c r="AU771" s="31"/>
      <c r="AV771" s="31"/>
      <c r="AW771" s="31"/>
      <c r="AX771" s="31"/>
      <c r="AY771" s="31"/>
      <c r="AZ771" s="31"/>
      <c r="BA771" s="31"/>
      <c r="BB771" s="31"/>
      <c r="BC771" s="31"/>
      <c r="BD771" s="31"/>
      <c r="BE771" s="31"/>
      <c r="BF771" s="31"/>
      <c r="BG771" s="31"/>
      <c r="BH771" s="31"/>
      <c r="BI771" s="31"/>
      <c r="BJ771" s="31"/>
      <c r="BK771" s="31"/>
      <c r="BL771" s="31"/>
      <c r="BM771" s="31"/>
      <c r="BN771" s="31"/>
      <c r="BO771" s="31"/>
      <c r="BP771" s="31"/>
      <c r="BQ771" s="31"/>
      <c r="BR771" s="31"/>
      <c r="BS771" s="31"/>
      <c r="BT771" s="31"/>
      <c r="BU771" s="31"/>
      <c r="BV771" s="31"/>
      <c r="BW771" s="31"/>
    </row>
    <row r="772" spans="6:75">
      <c r="F772" s="31"/>
      <c r="G772" s="31"/>
      <c r="H772" s="31"/>
      <c r="I772" s="66"/>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c r="AN772" s="31"/>
      <c r="AO772" s="31"/>
      <c r="AP772" s="31"/>
      <c r="AQ772" s="31"/>
      <c r="AR772" s="31"/>
      <c r="AS772" s="31"/>
      <c r="AT772" s="31"/>
      <c r="AU772" s="31"/>
      <c r="AV772" s="31"/>
      <c r="AW772" s="31"/>
      <c r="AX772" s="31"/>
      <c r="AY772" s="31"/>
      <c r="AZ772" s="31"/>
      <c r="BA772" s="31"/>
      <c r="BB772" s="31"/>
      <c r="BC772" s="31"/>
      <c r="BD772" s="31"/>
      <c r="BE772" s="31"/>
      <c r="BF772" s="31"/>
      <c r="BG772" s="31"/>
      <c r="BH772" s="31"/>
      <c r="BI772" s="31"/>
      <c r="BJ772" s="31"/>
      <c r="BK772" s="31"/>
      <c r="BL772" s="31"/>
      <c r="BM772" s="31"/>
      <c r="BN772" s="31"/>
      <c r="BO772" s="31"/>
      <c r="BP772" s="31"/>
      <c r="BQ772" s="31"/>
      <c r="BR772" s="31"/>
      <c r="BS772" s="31"/>
      <c r="BT772" s="31"/>
      <c r="BU772" s="31"/>
      <c r="BV772" s="31"/>
      <c r="BW772" s="31"/>
    </row>
    <row r="773" spans="6:75">
      <c r="F773" s="31"/>
      <c r="G773" s="31"/>
      <c r="H773" s="31"/>
      <c r="I773" s="66"/>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c r="AN773" s="31"/>
      <c r="AO773" s="31"/>
      <c r="AP773" s="31"/>
      <c r="AQ773" s="31"/>
      <c r="AR773" s="31"/>
      <c r="AS773" s="31"/>
      <c r="AT773" s="31"/>
      <c r="AU773" s="31"/>
      <c r="AV773" s="31"/>
      <c r="AW773" s="31"/>
      <c r="AX773" s="31"/>
      <c r="AY773" s="31"/>
      <c r="AZ773" s="31"/>
      <c r="BA773" s="31"/>
      <c r="BB773" s="31"/>
      <c r="BC773" s="31"/>
      <c r="BD773" s="31"/>
      <c r="BE773" s="31"/>
      <c r="BF773" s="31"/>
      <c r="BG773" s="31"/>
      <c r="BH773" s="31"/>
      <c r="BI773" s="31"/>
      <c r="BJ773" s="31"/>
      <c r="BK773" s="31"/>
      <c r="BL773" s="31"/>
      <c r="BM773" s="31"/>
      <c r="BN773" s="31"/>
      <c r="BO773" s="31"/>
      <c r="BP773" s="31"/>
      <c r="BQ773" s="31"/>
      <c r="BR773" s="31"/>
      <c r="BS773" s="31"/>
      <c r="BT773" s="31"/>
      <c r="BU773" s="31"/>
      <c r="BV773" s="31"/>
      <c r="BW773" s="31"/>
    </row>
    <row r="774" spans="6:75">
      <c r="F774" s="31"/>
      <c r="G774" s="31"/>
      <c r="H774" s="31"/>
      <c r="I774" s="66"/>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c r="AN774" s="31"/>
      <c r="AO774" s="31"/>
      <c r="AP774" s="31"/>
      <c r="AQ774" s="31"/>
      <c r="AR774" s="31"/>
      <c r="AS774" s="31"/>
      <c r="AT774" s="31"/>
      <c r="AU774" s="31"/>
      <c r="AV774" s="31"/>
      <c r="AW774" s="31"/>
      <c r="AX774" s="31"/>
      <c r="AY774" s="31"/>
      <c r="AZ774" s="31"/>
      <c r="BA774" s="31"/>
      <c r="BB774" s="31"/>
      <c r="BC774" s="31"/>
      <c r="BD774" s="31"/>
      <c r="BE774" s="31"/>
      <c r="BF774" s="31"/>
      <c r="BG774" s="31"/>
      <c r="BH774" s="31"/>
      <c r="BI774" s="31"/>
      <c r="BJ774" s="31"/>
      <c r="BK774" s="31"/>
      <c r="BL774" s="31"/>
      <c r="BM774" s="31"/>
      <c r="BN774" s="31"/>
      <c r="BO774" s="31"/>
      <c r="BP774" s="31"/>
      <c r="BQ774" s="31"/>
      <c r="BR774" s="31"/>
      <c r="BS774" s="31"/>
      <c r="BT774" s="31"/>
      <c r="BU774" s="31"/>
      <c r="BV774" s="31"/>
      <c r="BW774" s="31"/>
    </row>
    <row r="775" spans="6:75">
      <c r="F775" s="31"/>
      <c r="G775" s="31"/>
      <c r="H775" s="31"/>
      <c r="I775" s="66"/>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c r="AO775" s="31"/>
      <c r="AP775" s="31"/>
      <c r="AQ775" s="31"/>
      <c r="AR775" s="31"/>
      <c r="AS775" s="31"/>
      <c r="AT775" s="31"/>
      <c r="AU775" s="31"/>
      <c r="AV775" s="31"/>
      <c r="AW775" s="31"/>
      <c r="AX775" s="31"/>
      <c r="AY775" s="31"/>
      <c r="AZ775" s="31"/>
      <c r="BA775" s="31"/>
      <c r="BB775" s="31"/>
      <c r="BC775" s="31"/>
      <c r="BD775" s="31"/>
      <c r="BE775" s="31"/>
      <c r="BF775" s="31"/>
      <c r="BG775" s="31"/>
      <c r="BH775" s="31"/>
      <c r="BI775" s="31"/>
      <c r="BJ775" s="31"/>
      <c r="BK775" s="31"/>
      <c r="BL775" s="31"/>
      <c r="BM775" s="31"/>
      <c r="BN775" s="31"/>
      <c r="BO775" s="31"/>
      <c r="BP775" s="31"/>
      <c r="BQ775" s="31"/>
      <c r="BR775" s="31"/>
      <c r="BS775" s="31"/>
      <c r="BT775" s="31"/>
      <c r="BU775" s="31"/>
      <c r="BV775" s="31"/>
      <c r="BW775" s="31"/>
    </row>
    <row r="776" spans="6:75">
      <c r="F776" s="31"/>
      <c r="G776" s="31"/>
      <c r="H776" s="31"/>
      <c r="I776" s="66"/>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c r="AO776" s="31"/>
      <c r="AP776" s="31"/>
      <c r="AQ776" s="31"/>
      <c r="AR776" s="31"/>
      <c r="AS776" s="31"/>
      <c r="AT776" s="31"/>
      <c r="AU776" s="31"/>
      <c r="AV776" s="31"/>
      <c r="AW776" s="31"/>
      <c r="AX776" s="31"/>
      <c r="AY776" s="31"/>
      <c r="AZ776" s="31"/>
      <c r="BA776" s="31"/>
      <c r="BB776" s="31"/>
      <c r="BC776" s="31"/>
      <c r="BD776" s="31"/>
      <c r="BE776" s="31"/>
      <c r="BF776" s="31"/>
      <c r="BG776" s="31"/>
      <c r="BH776" s="31"/>
      <c r="BI776" s="31"/>
      <c r="BJ776" s="31"/>
      <c r="BK776" s="31"/>
      <c r="BL776" s="31"/>
      <c r="BM776" s="31"/>
      <c r="BN776" s="31"/>
      <c r="BO776" s="31"/>
      <c r="BP776" s="31"/>
      <c r="BQ776" s="31"/>
      <c r="BR776" s="31"/>
      <c r="BS776" s="31"/>
      <c r="BT776" s="31"/>
      <c r="BU776" s="31"/>
      <c r="BV776" s="31"/>
      <c r="BW776" s="31"/>
    </row>
    <row r="777" spans="6:75">
      <c r="F777" s="31"/>
      <c r="G777" s="31"/>
      <c r="H777" s="31"/>
      <c r="I777" s="66"/>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c r="AN777" s="31"/>
      <c r="AO777" s="31"/>
      <c r="AP777" s="31"/>
      <c r="AQ777" s="31"/>
      <c r="AR777" s="31"/>
      <c r="AS777" s="31"/>
      <c r="AT777" s="31"/>
      <c r="AU777" s="31"/>
      <c r="AV777" s="31"/>
      <c r="AW777" s="31"/>
      <c r="AX777" s="31"/>
      <c r="AY777" s="31"/>
      <c r="AZ777" s="31"/>
      <c r="BA777" s="31"/>
      <c r="BB777" s="31"/>
      <c r="BC777" s="31"/>
      <c r="BD777" s="31"/>
      <c r="BE777" s="31"/>
      <c r="BF777" s="31"/>
      <c r="BG777" s="31"/>
      <c r="BH777" s="31"/>
      <c r="BI777" s="31"/>
      <c r="BJ777" s="31"/>
      <c r="BK777" s="31"/>
      <c r="BL777" s="31"/>
      <c r="BM777" s="31"/>
      <c r="BN777" s="31"/>
      <c r="BO777" s="31"/>
      <c r="BP777" s="31"/>
      <c r="BQ777" s="31"/>
      <c r="BR777" s="31"/>
      <c r="BS777" s="31"/>
      <c r="BT777" s="31"/>
      <c r="BU777" s="31"/>
      <c r="BV777" s="31"/>
      <c r="BW777" s="31"/>
    </row>
    <row r="778" spans="6:75">
      <c r="F778" s="31"/>
      <c r="G778" s="31"/>
      <c r="H778" s="31"/>
      <c r="I778" s="66"/>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c r="AN778" s="31"/>
      <c r="AO778" s="31"/>
      <c r="AP778" s="31"/>
      <c r="AQ778" s="31"/>
      <c r="AR778" s="31"/>
      <c r="AS778" s="31"/>
      <c r="AT778" s="31"/>
      <c r="AU778" s="31"/>
      <c r="AV778" s="31"/>
      <c r="AW778" s="31"/>
      <c r="AX778" s="31"/>
      <c r="AY778" s="31"/>
      <c r="AZ778" s="31"/>
      <c r="BA778" s="31"/>
      <c r="BB778" s="31"/>
      <c r="BC778" s="31"/>
      <c r="BD778" s="31"/>
      <c r="BE778" s="31"/>
      <c r="BF778" s="31"/>
      <c r="BG778" s="31"/>
      <c r="BH778" s="31"/>
      <c r="BI778" s="31"/>
      <c r="BJ778" s="31"/>
      <c r="BK778" s="31"/>
      <c r="BL778" s="31"/>
      <c r="BM778" s="31"/>
      <c r="BN778" s="31"/>
      <c r="BO778" s="31"/>
      <c r="BP778" s="31"/>
      <c r="BQ778" s="31"/>
      <c r="BR778" s="31"/>
      <c r="BS778" s="31"/>
      <c r="BT778" s="31"/>
      <c r="BU778" s="31"/>
      <c r="BV778" s="31"/>
      <c r="BW778" s="31"/>
    </row>
    <row r="779" spans="6:75">
      <c r="F779" s="31"/>
      <c r="G779" s="31"/>
      <c r="H779" s="31"/>
      <c r="I779" s="66"/>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c r="AN779" s="31"/>
      <c r="AO779" s="31"/>
      <c r="AP779" s="31"/>
      <c r="AQ779" s="31"/>
      <c r="AR779" s="31"/>
      <c r="AS779" s="31"/>
      <c r="AT779" s="31"/>
      <c r="AU779" s="31"/>
      <c r="AV779" s="31"/>
      <c r="AW779" s="31"/>
      <c r="AX779" s="31"/>
      <c r="AY779" s="31"/>
      <c r="AZ779" s="31"/>
      <c r="BA779" s="31"/>
      <c r="BB779" s="31"/>
      <c r="BC779" s="31"/>
      <c r="BD779" s="31"/>
      <c r="BE779" s="31"/>
      <c r="BF779" s="31"/>
      <c r="BG779" s="31"/>
      <c r="BH779" s="31"/>
      <c r="BI779" s="31"/>
      <c r="BJ779" s="31"/>
      <c r="BK779" s="31"/>
      <c r="BL779" s="31"/>
      <c r="BM779" s="31"/>
      <c r="BN779" s="31"/>
      <c r="BO779" s="31"/>
      <c r="BP779" s="31"/>
      <c r="BQ779" s="31"/>
      <c r="BR779" s="31"/>
      <c r="BS779" s="31"/>
      <c r="BT779" s="31"/>
      <c r="BU779" s="31"/>
      <c r="BV779" s="31"/>
      <c r="BW779" s="31"/>
    </row>
    <row r="780" spans="6:75">
      <c r="F780" s="31"/>
      <c r="G780" s="31"/>
      <c r="H780" s="31"/>
      <c r="I780" s="66"/>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c r="AN780" s="31"/>
      <c r="AO780" s="31"/>
      <c r="AP780" s="31"/>
      <c r="AQ780" s="31"/>
      <c r="AR780" s="31"/>
      <c r="AS780" s="31"/>
      <c r="AT780" s="31"/>
      <c r="AU780" s="31"/>
      <c r="AV780" s="31"/>
      <c r="AW780" s="31"/>
      <c r="AX780" s="31"/>
      <c r="AY780" s="31"/>
      <c r="AZ780" s="31"/>
      <c r="BA780" s="31"/>
      <c r="BB780" s="31"/>
      <c r="BC780" s="31"/>
      <c r="BD780" s="31"/>
      <c r="BE780" s="31"/>
      <c r="BF780" s="31"/>
      <c r="BG780" s="31"/>
      <c r="BH780" s="31"/>
      <c r="BI780" s="31"/>
      <c r="BJ780" s="31"/>
      <c r="BK780" s="31"/>
      <c r="BL780" s="31"/>
      <c r="BM780" s="31"/>
      <c r="BN780" s="31"/>
      <c r="BO780" s="31"/>
      <c r="BP780" s="31"/>
      <c r="BQ780" s="31"/>
      <c r="BR780" s="31"/>
      <c r="BS780" s="31"/>
      <c r="BT780" s="31"/>
      <c r="BU780" s="31"/>
      <c r="BV780" s="31"/>
      <c r="BW780" s="31"/>
    </row>
    <row r="781" spans="6:75">
      <c r="F781" s="31"/>
      <c r="G781" s="31"/>
      <c r="H781" s="31"/>
      <c r="I781" s="66"/>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c r="AN781" s="31"/>
      <c r="AO781" s="31"/>
      <c r="AP781" s="31"/>
      <c r="AQ781" s="31"/>
      <c r="AR781" s="31"/>
      <c r="AS781" s="31"/>
      <c r="AT781" s="31"/>
      <c r="AU781" s="31"/>
      <c r="AV781" s="31"/>
      <c r="AW781" s="31"/>
      <c r="AX781" s="31"/>
      <c r="AY781" s="31"/>
      <c r="AZ781" s="31"/>
      <c r="BA781" s="31"/>
      <c r="BB781" s="31"/>
      <c r="BC781" s="31"/>
      <c r="BD781" s="31"/>
      <c r="BE781" s="31"/>
      <c r="BF781" s="31"/>
      <c r="BG781" s="31"/>
      <c r="BH781" s="31"/>
      <c r="BI781" s="31"/>
      <c r="BJ781" s="31"/>
      <c r="BK781" s="31"/>
      <c r="BL781" s="31"/>
      <c r="BM781" s="31"/>
      <c r="BN781" s="31"/>
      <c r="BO781" s="31"/>
      <c r="BP781" s="31"/>
      <c r="BQ781" s="31"/>
      <c r="BR781" s="31"/>
      <c r="BS781" s="31"/>
      <c r="BT781" s="31"/>
      <c r="BU781" s="31"/>
      <c r="BV781" s="31"/>
      <c r="BW781" s="31"/>
    </row>
    <row r="782" spans="6:75">
      <c r="F782" s="31"/>
      <c r="G782" s="31"/>
      <c r="H782" s="31"/>
      <c r="I782" s="66"/>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c r="AN782" s="31"/>
      <c r="AO782" s="31"/>
      <c r="AP782" s="31"/>
      <c r="AQ782" s="31"/>
      <c r="AR782" s="31"/>
      <c r="AS782" s="31"/>
      <c r="AT782" s="31"/>
      <c r="AU782" s="31"/>
      <c r="AV782" s="31"/>
      <c r="AW782" s="31"/>
      <c r="AX782" s="31"/>
      <c r="AY782" s="31"/>
      <c r="AZ782" s="31"/>
      <c r="BA782" s="31"/>
      <c r="BB782" s="31"/>
      <c r="BC782" s="31"/>
      <c r="BD782" s="31"/>
      <c r="BE782" s="31"/>
      <c r="BF782" s="31"/>
      <c r="BG782" s="31"/>
      <c r="BH782" s="31"/>
      <c r="BI782" s="31"/>
      <c r="BJ782" s="31"/>
      <c r="BK782" s="31"/>
      <c r="BL782" s="31"/>
      <c r="BM782" s="31"/>
      <c r="BN782" s="31"/>
      <c r="BO782" s="31"/>
      <c r="BP782" s="31"/>
      <c r="BQ782" s="31"/>
      <c r="BR782" s="31"/>
      <c r="BS782" s="31"/>
      <c r="BT782" s="31"/>
      <c r="BU782" s="31"/>
      <c r="BV782" s="31"/>
      <c r="BW782" s="31"/>
    </row>
    <row r="783" spans="6:75">
      <c r="F783" s="31"/>
      <c r="G783" s="31"/>
      <c r="H783" s="31"/>
      <c r="I783" s="66"/>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c r="AN783" s="31"/>
      <c r="AO783" s="31"/>
      <c r="AP783" s="31"/>
      <c r="AQ783" s="31"/>
      <c r="AR783" s="31"/>
      <c r="AS783" s="31"/>
      <c r="AT783" s="31"/>
      <c r="AU783" s="31"/>
      <c r="AV783" s="31"/>
      <c r="AW783" s="31"/>
      <c r="AX783" s="31"/>
      <c r="AY783" s="31"/>
      <c r="AZ783" s="31"/>
      <c r="BA783" s="31"/>
      <c r="BB783" s="31"/>
      <c r="BC783" s="31"/>
      <c r="BD783" s="31"/>
      <c r="BE783" s="31"/>
      <c r="BF783" s="31"/>
      <c r="BG783" s="31"/>
      <c r="BH783" s="31"/>
      <c r="BI783" s="31"/>
      <c r="BJ783" s="31"/>
      <c r="BK783" s="31"/>
      <c r="BL783" s="31"/>
      <c r="BM783" s="31"/>
      <c r="BN783" s="31"/>
      <c r="BO783" s="31"/>
      <c r="BP783" s="31"/>
      <c r="BQ783" s="31"/>
      <c r="BR783" s="31"/>
      <c r="BS783" s="31"/>
      <c r="BT783" s="31"/>
      <c r="BU783" s="31"/>
      <c r="BV783" s="31"/>
      <c r="BW783" s="31"/>
    </row>
    <row r="784" spans="6:75">
      <c r="F784" s="31"/>
      <c r="G784" s="31"/>
      <c r="H784" s="31"/>
      <c r="I784" s="66"/>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c r="AN784" s="31"/>
      <c r="AO784" s="31"/>
      <c r="AP784" s="31"/>
      <c r="AQ784" s="31"/>
      <c r="AR784" s="31"/>
      <c r="AS784" s="31"/>
      <c r="AT784" s="31"/>
      <c r="AU784" s="31"/>
      <c r="AV784" s="31"/>
      <c r="AW784" s="31"/>
      <c r="AX784" s="31"/>
      <c r="AY784" s="31"/>
      <c r="AZ784" s="31"/>
      <c r="BA784" s="31"/>
      <c r="BB784" s="31"/>
      <c r="BC784" s="31"/>
      <c r="BD784" s="31"/>
      <c r="BE784" s="31"/>
      <c r="BF784" s="31"/>
      <c r="BG784" s="31"/>
      <c r="BH784" s="31"/>
      <c r="BI784" s="31"/>
      <c r="BJ784" s="31"/>
      <c r="BK784" s="31"/>
      <c r="BL784" s="31"/>
      <c r="BM784" s="31"/>
      <c r="BN784" s="31"/>
      <c r="BO784" s="31"/>
      <c r="BP784" s="31"/>
      <c r="BQ784" s="31"/>
      <c r="BR784" s="31"/>
      <c r="BS784" s="31"/>
      <c r="BT784" s="31"/>
      <c r="BU784" s="31"/>
      <c r="BV784" s="31"/>
      <c r="BW784" s="31"/>
    </row>
    <row r="785" spans="6:75">
      <c r="F785" s="31"/>
      <c r="G785" s="31"/>
      <c r="H785" s="31"/>
      <c r="I785" s="66"/>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c r="AN785" s="31"/>
      <c r="AO785" s="31"/>
      <c r="AP785" s="31"/>
      <c r="AQ785" s="31"/>
      <c r="AR785" s="31"/>
      <c r="AS785" s="31"/>
      <c r="AT785" s="31"/>
      <c r="AU785" s="31"/>
      <c r="AV785" s="31"/>
      <c r="AW785" s="31"/>
      <c r="AX785" s="31"/>
      <c r="AY785" s="31"/>
      <c r="AZ785" s="31"/>
      <c r="BA785" s="31"/>
      <c r="BB785" s="31"/>
      <c r="BC785" s="31"/>
      <c r="BD785" s="31"/>
      <c r="BE785" s="31"/>
      <c r="BF785" s="31"/>
      <c r="BG785" s="31"/>
      <c r="BH785" s="31"/>
      <c r="BI785" s="31"/>
      <c r="BJ785" s="31"/>
      <c r="BK785" s="31"/>
      <c r="BL785" s="31"/>
      <c r="BM785" s="31"/>
      <c r="BN785" s="31"/>
      <c r="BO785" s="31"/>
      <c r="BP785" s="31"/>
      <c r="BQ785" s="31"/>
      <c r="BR785" s="31"/>
      <c r="BS785" s="31"/>
      <c r="BT785" s="31"/>
      <c r="BU785" s="31"/>
      <c r="BV785" s="31"/>
      <c r="BW785" s="31"/>
    </row>
    <row r="786" spans="6:75">
      <c r="F786" s="31"/>
      <c r="G786" s="31"/>
      <c r="H786" s="31"/>
      <c r="I786" s="66"/>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c r="AN786" s="31"/>
      <c r="AO786" s="31"/>
      <c r="AP786" s="31"/>
      <c r="AQ786" s="31"/>
      <c r="AR786" s="31"/>
      <c r="AS786" s="31"/>
      <c r="AT786" s="31"/>
      <c r="AU786" s="31"/>
      <c r="AV786" s="31"/>
      <c r="AW786" s="31"/>
      <c r="AX786" s="31"/>
      <c r="AY786" s="31"/>
      <c r="AZ786" s="31"/>
      <c r="BA786" s="31"/>
      <c r="BB786" s="31"/>
      <c r="BC786" s="31"/>
      <c r="BD786" s="31"/>
      <c r="BE786" s="31"/>
      <c r="BF786" s="31"/>
      <c r="BG786" s="31"/>
      <c r="BH786" s="31"/>
      <c r="BI786" s="31"/>
      <c r="BJ786" s="31"/>
      <c r="BK786" s="31"/>
      <c r="BL786" s="31"/>
      <c r="BM786" s="31"/>
      <c r="BN786" s="31"/>
      <c r="BO786" s="31"/>
      <c r="BP786" s="31"/>
      <c r="BQ786" s="31"/>
      <c r="BR786" s="31"/>
      <c r="BS786" s="31"/>
      <c r="BT786" s="31"/>
      <c r="BU786" s="31"/>
      <c r="BV786" s="31"/>
      <c r="BW786" s="31"/>
    </row>
    <row r="787" spans="6:75">
      <c r="F787" s="31"/>
      <c r="G787" s="31"/>
      <c r="H787" s="31"/>
      <c r="I787" s="66"/>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c r="AO787" s="31"/>
      <c r="AP787" s="31"/>
      <c r="AQ787" s="31"/>
      <c r="AR787" s="31"/>
      <c r="AS787" s="31"/>
      <c r="AT787" s="31"/>
      <c r="AU787" s="31"/>
      <c r="AV787" s="31"/>
      <c r="AW787" s="31"/>
      <c r="AX787" s="31"/>
      <c r="AY787" s="31"/>
      <c r="AZ787" s="31"/>
      <c r="BA787" s="31"/>
      <c r="BB787" s="31"/>
      <c r="BC787" s="31"/>
      <c r="BD787" s="31"/>
      <c r="BE787" s="31"/>
      <c r="BF787" s="31"/>
      <c r="BG787" s="31"/>
      <c r="BH787" s="31"/>
      <c r="BI787" s="31"/>
      <c r="BJ787" s="31"/>
      <c r="BK787" s="31"/>
      <c r="BL787" s="31"/>
      <c r="BM787" s="31"/>
      <c r="BN787" s="31"/>
      <c r="BO787" s="31"/>
      <c r="BP787" s="31"/>
      <c r="BQ787" s="31"/>
      <c r="BR787" s="31"/>
      <c r="BS787" s="31"/>
      <c r="BT787" s="31"/>
      <c r="BU787" s="31"/>
      <c r="BV787" s="31"/>
      <c r="BW787" s="31"/>
    </row>
    <row r="788" spans="6:75">
      <c r="F788" s="31"/>
      <c r="G788" s="31"/>
      <c r="H788" s="31"/>
      <c r="I788" s="66"/>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c r="AN788" s="31"/>
      <c r="AO788" s="31"/>
      <c r="AP788" s="31"/>
      <c r="AQ788" s="31"/>
      <c r="AR788" s="31"/>
      <c r="AS788" s="31"/>
      <c r="AT788" s="31"/>
      <c r="AU788" s="31"/>
      <c r="AV788" s="31"/>
      <c r="AW788" s="31"/>
      <c r="AX788" s="31"/>
      <c r="AY788" s="31"/>
      <c r="AZ788" s="31"/>
      <c r="BA788" s="31"/>
      <c r="BB788" s="31"/>
      <c r="BC788" s="31"/>
      <c r="BD788" s="31"/>
      <c r="BE788" s="31"/>
      <c r="BF788" s="31"/>
      <c r="BG788" s="31"/>
      <c r="BH788" s="31"/>
      <c r="BI788" s="31"/>
      <c r="BJ788" s="31"/>
      <c r="BK788" s="31"/>
      <c r="BL788" s="31"/>
      <c r="BM788" s="31"/>
      <c r="BN788" s="31"/>
      <c r="BO788" s="31"/>
      <c r="BP788" s="31"/>
      <c r="BQ788" s="31"/>
      <c r="BR788" s="31"/>
      <c r="BS788" s="31"/>
      <c r="BT788" s="31"/>
      <c r="BU788" s="31"/>
      <c r="BV788" s="31"/>
      <c r="BW788" s="31"/>
    </row>
    <row r="789" spans="6:75">
      <c r="F789" s="31"/>
      <c r="G789" s="31"/>
      <c r="H789" s="31"/>
      <c r="I789" s="66"/>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c r="AN789" s="31"/>
      <c r="AO789" s="31"/>
      <c r="AP789" s="31"/>
      <c r="AQ789" s="31"/>
      <c r="AR789" s="31"/>
      <c r="AS789" s="31"/>
      <c r="AT789" s="31"/>
      <c r="AU789" s="31"/>
      <c r="AV789" s="31"/>
      <c r="AW789" s="31"/>
      <c r="AX789" s="31"/>
      <c r="AY789" s="31"/>
      <c r="AZ789" s="31"/>
      <c r="BA789" s="31"/>
      <c r="BB789" s="31"/>
      <c r="BC789" s="31"/>
      <c r="BD789" s="31"/>
      <c r="BE789" s="31"/>
      <c r="BF789" s="31"/>
      <c r="BG789" s="31"/>
      <c r="BH789" s="31"/>
      <c r="BI789" s="31"/>
      <c r="BJ789" s="31"/>
      <c r="BK789" s="31"/>
      <c r="BL789" s="31"/>
      <c r="BM789" s="31"/>
      <c r="BN789" s="31"/>
      <c r="BO789" s="31"/>
      <c r="BP789" s="31"/>
      <c r="BQ789" s="31"/>
      <c r="BR789" s="31"/>
      <c r="BS789" s="31"/>
      <c r="BT789" s="31"/>
      <c r="BU789" s="31"/>
      <c r="BV789" s="31"/>
      <c r="BW789" s="31"/>
    </row>
    <row r="790" spans="6:75">
      <c r="F790" s="31"/>
      <c r="G790" s="31"/>
      <c r="H790" s="31"/>
      <c r="I790" s="66"/>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c r="AN790" s="31"/>
      <c r="AO790" s="31"/>
      <c r="AP790" s="31"/>
      <c r="AQ790" s="31"/>
      <c r="AR790" s="31"/>
      <c r="AS790" s="31"/>
      <c r="AT790" s="31"/>
      <c r="AU790" s="31"/>
      <c r="AV790" s="31"/>
      <c r="AW790" s="31"/>
      <c r="AX790" s="31"/>
      <c r="AY790" s="31"/>
      <c r="AZ790" s="31"/>
      <c r="BA790" s="31"/>
      <c r="BB790" s="31"/>
      <c r="BC790" s="31"/>
      <c r="BD790" s="31"/>
      <c r="BE790" s="31"/>
      <c r="BF790" s="31"/>
      <c r="BG790" s="31"/>
      <c r="BH790" s="31"/>
      <c r="BI790" s="31"/>
      <c r="BJ790" s="31"/>
      <c r="BK790" s="31"/>
      <c r="BL790" s="31"/>
      <c r="BM790" s="31"/>
      <c r="BN790" s="31"/>
      <c r="BO790" s="31"/>
      <c r="BP790" s="31"/>
      <c r="BQ790" s="31"/>
      <c r="BR790" s="31"/>
      <c r="BS790" s="31"/>
      <c r="BT790" s="31"/>
      <c r="BU790" s="31"/>
      <c r="BV790" s="31"/>
      <c r="BW790" s="31"/>
    </row>
    <row r="791" spans="6:75">
      <c r="F791" s="31"/>
      <c r="G791" s="31"/>
      <c r="H791" s="31"/>
      <c r="I791" s="66"/>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c r="AN791" s="31"/>
      <c r="AO791" s="31"/>
      <c r="AP791" s="31"/>
      <c r="AQ791" s="31"/>
      <c r="AR791" s="31"/>
      <c r="AS791" s="31"/>
      <c r="AT791" s="31"/>
      <c r="AU791" s="31"/>
      <c r="AV791" s="31"/>
      <c r="AW791" s="31"/>
      <c r="AX791" s="31"/>
      <c r="AY791" s="31"/>
      <c r="AZ791" s="31"/>
      <c r="BA791" s="31"/>
      <c r="BB791" s="31"/>
      <c r="BC791" s="31"/>
      <c r="BD791" s="31"/>
      <c r="BE791" s="31"/>
      <c r="BF791" s="31"/>
      <c r="BG791" s="31"/>
      <c r="BH791" s="31"/>
      <c r="BI791" s="31"/>
      <c r="BJ791" s="31"/>
      <c r="BK791" s="31"/>
      <c r="BL791" s="31"/>
      <c r="BM791" s="31"/>
      <c r="BN791" s="31"/>
      <c r="BO791" s="31"/>
      <c r="BP791" s="31"/>
      <c r="BQ791" s="31"/>
      <c r="BR791" s="31"/>
      <c r="BS791" s="31"/>
      <c r="BT791" s="31"/>
      <c r="BU791" s="31"/>
      <c r="BV791" s="31"/>
      <c r="BW791" s="31"/>
    </row>
    <row r="792" spans="6:75">
      <c r="F792" s="31"/>
      <c r="G792" s="31"/>
      <c r="H792" s="31"/>
      <c r="I792" s="66"/>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c r="AN792" s="31"/>
      <c r="AO792" s="31"/>
      <c r="AP792" s="31"/>
      <c r="AQ792" s="31"/>
      <c r="AR792" s="31"/>
      <c r="AS792" s="31"/>
      <c r="AT792" s="31"/>
      <c r="AU792" s="31"/>
      <c r="AV792" s="31"/>
      <c r="AW792" s="31"/>
      <c r="AX792" s="31"/>
      <c r="AY792" s="31"/>
      <c r="AZ792" s="31"/>
      <c r="BA792" s="31"/>
      <c r="BB792" s="31"/>
      <c r="BC792" s="31"/>
      <c r="BD792" s="31"/>
      <c r="BE792" s="31"/>
      <c r="BF792" s="31"/>
      <c r="BG792" s="31"/>
      <c r="BH792" s="31"/>
      <c r="BI792" s="31"/>
      <c r="BJ792" s="31"/>
      <c r="BK792" s="31"/>
      <c r="BL792" s="31"/>
      <c r="BM792" s="31"/>
      <c r="BN792" s="31"/>
      <c r="BO792" s="31"/>
      <c r="BP792" s="31"/>
      <c r="BQ792" s="31"/>
      <c r="BR792" s="31"/>
      <c r="BS792" s="31"/>
      <c r="BT792" s="31"/>
      <c r="BU792" s="31"/>
      <c r="BV792" s="31"/>
      <c r="BW792" s="31"/>
    </row>
    <row r="793" spans="6:75">
      <c r="F793" s="31"/>
      <c r="G793" s="31"/>
      <c r="H793" s="31"/>
      <c r="I793" s="66"/>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c r="AN793" s="31"/>
      <c r="AO793" s="31"/>
      <c r="AP793" s="31"/>
      <c r="AQ793" s="31"/>
      <c r="AR793" s="31"/>
      <c r="AS793" s="31"/>
      <c r="AT793" s="31"/>
      <c r="AU793" s="31"/>
      <c r="AV793" s="31"/>
      <c r="AW793" s="31"/>
      <c r="AX793" s="31"/>
      <c r="AY793" s="31"/>
      <c r="AZ793" s="31"/>
      <c r="BA793" s="31"/>
      <c r="BB793" s="31"/>
      <c r="BC793" s="31"/>
      <c r="BD793" s="31"/>
      <c r="BE793" s="31"/>
      <c r="BF793" s="31"/>
      <c r="BG793" s="31"/>
      <c r="BH793" s="31"/>
      <c r="BI793" s="31"/>
      <c r="BJ793" s="31"/>
      <c r="BK793" s="31"/>
      <c r="BL793" s="31"/>
      <c r="BM793" s="31"/>
      <c r="BN793" s="31"/>
      <c r="BO793" s="31"/>
      <c r="BP793" s="31"/>
      <c r="BQ793" s="31"/>
      <c r="BR793" s="31"/>
      <c r="BS793" s="31"/>
      <c r="BT793" s="31"/>
      <c r="BU793" s="31"/>
      <c r="BV793" s="31"/>
      <c r="BW793" s="31"/>
    </row>
    <row r="794" spans="6:75">
      <c r="F794" s="31"/>
      <c r="G794" s="31"/>
      <c r="H794" s="31"/>
      <c r="I794" s="66"/>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c r="AN794" s="31"/>
      <c r="AO794" s="31"/>
      <c r="AP794" s="31"/>
      <c r="AQ794" s="31"/>
      <c r="AR794" s="31"/>
      <c r="AS794" s="31"/>
      <c r="AT794" s="31"/>
      <c r="AU794" s="31"/>
      <c r="AV794" s="31"/>
      <c r="AW794" s="31"/>
      <c r="AX794" s="31"/>
      <c r="AY794" s="31"/>
      <c r="AZ794" s="31"/>
      <c r="BA794" s="31"/>
      <c r="BB794" s="31"/>
      <c r="BC794" s="31"/>
      <c r="BD794" s="31"/>
      <c r="BE794" s="31"/>
      <c r="BF794" s="31"/>
      <c r="BG794" s="31"/>
      <c r="BH794" s="31"/>
      <c r="BI794" s="31"/>
      <c r="BJ794" s="31"/>
      <c r="BK794" s="31"/>
      <c r="BL794" s="31"/>
      <c r="BM794" s="31"/>
      <c r="BN794" s="31"/>
      <c r="BO794" s="31"/>
      <c r="BP794" s="31"/>
      <c r="BQ794" s="31"/>
      <c r="BR794" s="31"/>
      <c r="BS794" s="31"/>
      <c r="BT794" s="31"/>
      <c r="BU794" s="31"/>
      <c r="BV794" s="31"/>
      <c r="BW794" s="31"/>
    </row>
    <row r="795" spans="6:75">
      <c r="F795" s="31"/>
      <c r="G795" s="31"/>
      <c r="H795" s="31"/>
      <c r="I795" s="66"/>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c r="AN795" s="31"/>
      <c r="AO795" s="31"/>
      <c r="AP795" s="31"/>
      <c r="AQ795" s="31"/>
      <c r="AR795" s="31"/>
      <c r="AS795" s="31"/>
      <c r="AT795" s="31"/>
      <c r="AU795" s="31"/>
      <c r="AV795" s="31"/>
      <c r="AW795" s="31"/>
      <c r="AX795" s="31"/>
      <c r="AY795" s="31"/>
      <c r="AZ795" s="31"/>
      <c r="BA795" s="31"/>
      <c r="BB795" s="31"/>
      <c r="BC795" s="31"/>
      <c r="BD795" s="31"/>
      <c r="BE795" s="31"/>
      <c r="BF795" s="31"/>
      <c r="BG795" s="31"/>
      <c r="BH795" s="31"/>
      <c r="BI795" s="31"/>
      <c r="BJ795" s="31"/>
      <c r="BK795" s="31"/>
      <c r="BL795" s="31"/>
      <c r="BM795" s="31"/>
      <c r="BN795" s="31"/>
      <c r="BO795" s="31"/>
      <c r="BP795" s="31"/>
      <c r="BQ795" s="31"/>
      <c r="BR795" s="31"/>
      <c r="BS795" s="31"/>
      <c r="BT795" s="31"/>
      <c r="BU795" s="31"/>
      <c r="BV795" s="31"/>
      <c r="BW795" s="31"/>
    </row>
    <row r="796" spans="6:75">
      <c r="F796" s="31"/>
      <c r="G796" s="31"/>
      <c r="H796" s="31"/>
      <c r="I796" s="66"/>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c r="AN796" s="31"/>
      <c r="AO796" s="31"/>
      <c r="AP796" s="31"/>
      <c r="AQ796" s="31"/>
      <c r="AR796" s="31"/>
      <c r="AS796" s="31"/>
      <c r="AT796" s="31"/>
      <c r="AU796" s="31"/>
      <c r="AV796" s="31"/>
      <c r="AW796" s="31"/>
      <c r="AX796" s="31"/>
      <c r="AY796" s="31"/>
      <c r="AZ796" s="31"/>
      <c r="BA796" s="31"/>
      <c r="BB796" s="31"/>
      <c r="BC796" s="31"/>
      <c r="BD796" s="31"/>
      <c r="BE796" s="31"/>
      <c r="BF796" s="31"/>
      <c r="BG796" s="31"/>
      <c r="BH796" s="31"/>
      <c r="BI796" s="31"/>
      <c r="BJ796" s="31"/>
      <c r="BK796" s="31"/>
      <c r="BL796" s="31"/>
      <c r="BM796" s="31"/>
      <c r="BN796" s="31"/>
      <c r="BO796" s="31"/>
      <c r="BP796" s="31"/>
      <c r="BQ796" s="31"/>
      <c r="BR796" s="31"/>
      <c r="BS796" s="31"/>
      <c r="BT796" s="31"/>
      <c r="BU796" s="31"/>
      <c r="BV796" s="31"/>
      <c r="BW796" s="31"/>
    </row>
    <row r="797" spans="6:75">
      <c r="F797" s="31"/>
      <c r="G797" s="31"/>
      <c r="H797" s="31"/>
      <c r="I797" s="66"/>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c r="AN797" s="31"/>
      <c r="AO797" s="31"/>
      <c r="AP797" s="31"/>
      <c r="AQ797" s="31"/>
      <c r="AR797" s="31"/>
      <c r="AS797" s="31"/>
      <c r="AT797" s="31"/>
      <c r="AU797" s="31"/>
      <c r="AV797" s="31"/>
      <c r="AW797" s="31"/>
      <c r="AX797" s="31"/>
      <c r="AY797" s="31"/>
      <c r="AZ797" s="31"/>
      <c r="BA797" s="31"/>
      <c r="BB797" s="31"/>
      <c r="BC797" s="31"/>
      <c r="BD797" s="31"/>
      <c r="BE797" s="31"/>
      <c r="BF797" s="31"/>
      <c r="BG797" s="31"/>
      <c r="BH797" s="31"/>
      <c r="BI797" s="31"/>
      <c r="BJ797" s="31"/>
      <c r="BK797" s="31"/>
      <c r="BL797" s="31"/>
      <c r="BM797" s="31"/>
      <c r="BN797" s="31"/>
      <c r="BO797" s="31"/>
      <c r="BP797" s="31"/>
      <c r="BQ797" s="31"/>
      <c r="BR797" s="31"/>
      <c r="BS797" s="31"/>
      <c r="BT797" s="31"/>
      <c r="BU797" s="31"/>
      <c r="BV797" s="31"/>
      <c r="BW797" s="31"/>
    </row>
    <row r="798" spans="6:75">
      <c r="F798" s="31"/>
      <c r="G798" s="31"/>
      <c r="H798" s="31"/>
      <c r="I798" s="66"/>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c r="AN798" s="31"/>
      <c r="AO798" s="31"/>
      <c r="AP798" s="31"/>
      <c r="AQ798" s="31"/>
      <c r="AR798" s="31"/>
      <c r="AS798" s="31"/>
      <c r="AT798" s="31"/>
      <c r="AU798" s="31"/>
      <c r="AV798" s="31"/>
      <c r="AW798" s="31"/>
      <c r="AX798" s="31"/>
      <c r="AY798" s="31"/>
      <c r="AZ798" s="31"/>
      <c r="BA798" s="31"/>
      <c r="BB798" s="31"/>
      <c r="BC798" s="31"/>
      <c r="BD798" s="31"/>
      <c r="BE798" s="31"/>
      <c r="BF798" s="31"/>
      <c r="BG798" s="31"/>
      <c r="BH798" s="31"/>
      <c r="BI798" s="31"/>
      <c r="BJ798" s="31"/>
      <c r="BK798" s="31"/>
      <c r="BL798" s="31"/>
      <c r="BM798" s="31"/>
      <c r="BN798" s="31"/>
      <c r="BO798" s="31"/>
      <c r="BP798" s="31"/>
      <c r="BQ798" s="31"/>
      <c r="BR798" s="31"/>
      <c r="BS798" s="31"/>
      <c r="BT798" s="31"/>
      <c r="BU798" s="31"/>
      <c r="BV798" s="31"/>
      <c r="BW798" s="31"/>
    </row>
    <row r="799" spans="6:75">
      <c r="I799" s="66"/>
    </row>
    <row r="800" spans="6:75">
      <c r="I800" s="66"/>
    </row>
    <row r="801" spans="9:9">
      <c r="I801" s="66"/>
    </row>
    <row r="802" spans="9:9">
      <c r="I802" s="66"/>
    </row>
    <row r="803" spans="9:9">
      <c r="I803" s="66"/>
    </row>
    <row r="804" spans="9:9">
      <c r="I804" s="66"/>
    </row>
    <row r="805" spans="9:9">
      <c r="I805" s="66"/>
    </row>
    <row r="806" spans="9:9">
      <c r="I806" s="66"/>
    </row>
    <row r="807" spans="9:9">
      <c r="I807" s="66"/>
    </row>
    <row r="808" spans="9:9">
      <c r="I808" s="66"/>
    </row>
    <row r="809" spans="9:9">
      <c r="I809" s="66"/>
    </row>
    <row r="810" spans="9:9">
      <c r="I810" s="66"/>
    </row>
    <row r="811" spans="9:9">
      <c r="I811" s="66"/>
    </row>
    <row r="812" spans="9:9">
      <c r="I812" s="66"/>
    </row>
    <row r="813" spans="9:9">
      <c r="I813" s="66"/>
    </row>
    <row r="814" spans="9:9">
      <c r="I814" s="66"/>
    </row>
    <row r="815" spans="9:9">
      <c r="I815" s="66"/>
    </row>
    <row r="816" spans="9:9">
      <c r="I816" s="66"/>
    </row>
    <row r="817" spans="9:9">
      <c r="I817" s="66"/>
    </row>
    <row r="818" spans="9:9">
      <c r="I818" s="66"/>
    </row>
    <row r="819" spans="9:9">
      <c r="I819" s="66"/>
    </row>
    <row r="820" spans="9:9">
      <c r="I820" s="66"/>
    </row>
    <row r="821" spans="9:9">
      <c r="I821" s="66"/>
    </row>
    <row r="822" spans="9:9">
      <c r="I822" s="66"/>
    </row>
    <row r="823" spans="9:9">
      <c r="I823" s="66"/>
    </row>
    <row r="824" spans="9:9">
      <c r="I824" s="66"/>
    </row>
    <row r="825" spans="9:9">
      <c r="I825" s="66"/>
    </row>
    <row r="826" spans="9:9">
      <c r="I826" s="66"/>
    </row>
    <row r="827" spans="9:9">
      <c r="I827" s="66"/>
    </row>
    <row r="828" spans="9:9">
      <c r="I828" s="66"/>
    </row>
    <row r="829" spans="9:9">
      <c r="I829" s="66"/>
    </row>
    <row r="830" spans="9:9">
      <c r="I830" s="66"/>
    </row>
    <row r="831" spans="9:9">
      <c r="I831" s="66"/>
    </row>
    <row r="832" spans="9:9">
      <c r="I832" s="66"/>
    </row>
    <row r="833" spans="9:9">
      <c r="I833" s="66"/>
    </row>
    <row r="834" spans="9:9">
      <c r="I834" s="66"/>
    </row>
    <row r="835" spans="9:9">
      <c r="I835" s="66"/>
    </row>
    <row r="836" spans="9:9">
      <c r="I836" s="66"/>
    </row>
    <row r="837" spans="9:9">
      <c r="I837" s="66"/>
    </row>
    <row r="838" spans="9:9">
      <c r="I838" s="66"/>
    </row>
    <row r="839" spans="9:9">
      <c r="I839" s="66"/>
    </row>
    <row r="840" spans="9:9">
      <c r="I840" s="66"/>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5CD29-F735-4F1D-9E07-32A299AF13B8}">
  <sheetPr filterMode="1"/>
  <dimension ref="A1:S76"/>
  <sheetViews>
    <sheetView workbookViewId="0">
      <pane ySplit="1" topLeftCell="B15" activePane="bottomLeft" state="frozen"/>
      <selection pane="bottomLeft" activeCell="Q25" sqref="Q25"/>
    </sheetView>
  </sheetViews>
  <sheetFormatPr defaultRowHeight="15.75"/>
  <cols>
    <col min="1" max="1" width="10.21875" customWidth="1"/>
    <col min="2" max="2" width="23.5546875" customWidth="1"/>
    <col min="3" max="18" width="10.21875" customWidth="1"/>
    <col min="19" max="19" width="13.88671875" customWidth="1"/>
  </cols>
  <sheetData>
    <row r="1" spans="1:19" s="54" customFormat="1" ht="65.25" customHeight="1">
      <c r="A1" s="54" t="s">
        <v>1170</v>
      </c>
      <c r="B1" s="120" t="s">
        <v>1171</v>
      </c>
      <c r="C1" s="121" t="s">
        <v>1172</v>
      </c>
      <c r="D1" s="122" t="s">
        <v>1173</v>
      </c>
      <c r="E1" s="122" t="s">
        <v>1174</v>
      </c>
      <c r="F1" s="122" t="s">
        <v>1175</v>
      </c>
      <c r="G1" s="122" t="s">
        <v>1176</v>
      </c>
      <c r="H1" s="122" t="s">
        <v>1177</v>
      </c>
      <c r="I1" s="122" t="s">
        <v>1178</v>
      </c>
      <c r="J1" s="122" t="s">
        <v>1179</v>
      </c>
      <c r="K1" s="122" t="s">
        <v>1180</v>
      </c>
      <c r="L1" s="122" t="s">
        <v>1181</v>
      </c>
      <c r="M1" s="123" t="s">
        <v>1182</v>
      </c>
      <c r="N1" s="123" t="s">
        <v>1183</v>
      </c>
      <c r="O1" s="123" t="s">
        <v>1184</v>
      </c>
      <c r="P1" s="123" t="s">
        <v>1185</v>
      </c>
      <c r="Q1" s="123" t="s">
        <v>1186</v>
      </c>
      <c r="R1" s="121" t="s">
        <v>1187</v>
      </c>
      <c r="S1" s="121" t="s">
        <v>1188</v>
      </c>
    </row>
    <row r="2" spans="1:19" hidden="1">
      <c r="A2" t="str">
        <f>'[88]2023 Q1'!A2</f>
        <v>4.3.2023</v>
      </c>
      <c r="B2" t="str">
        <f>'[88]2023 Q1'!B2</f>
        <v>Sneha Menda</v>
      </c>
      <c r="C2">
        <f>'[88]2023 Q1'!E2</f>
        <v>8</v>
      </c>
      <c r="D2">
        <f>'[88]2023 Q1'!F2</f>
        <v>8</v>
      </c>
      <c r="E2">
        <f>'[88]2023 Q1'!G2</f>
        <v>8</v>
      </c>
      <c r="F2">
        <f>'[88]2023 Q1'!H2</f>
        <v>8</v>
      </c>
      <c r="G2">
        <f>'[88]2023 Q1'!I2</f>
        <v>8</v>
      </c>
      <c r="H2">
        <f>'[88]2023 Q1'!J2</f>
        <v>8</v>
      </c>
      <c r="I2">
        <f>'[88]2023 Q1'!K2</f>
        <v>8</v>
      </c>
      <c r="K2">
        <f>'[88]2023 Q1'!L2</f>
        <v>8</v>
      </c>
      <c r="L2">
        <f>'[88]2023 Q1'!M2</f>
        <v>8</v>
      </c>
      <c r="M2">
        <f>'[88]2023 Q1'!N2</f>
        <v>8</v>
      </c>
      <c r="N2">
        <f>'[88]2023 Q1'!O2</f>
        <v>8</v>
      </c>
      <c r="O2">
        <f>'[88]2023 Q1'!P2</f>
        <v>8</v>
      </c>
      <c r="P2">
        <f>'[88]2023 Q1'!Q2</f>
        <v>8</v>
      </c>
      <c r="Q2">
        <f>'[88]2023 Q1'!R2</f>
        <v>0</v>
      </c>
      <c r="R2">
        <f>MIN(D2:P2)</f>
        <v>8</v>
      </c>
      <c r="S2" s="55" t="str">
        <f>'[88]2023 Q1'!S2</f>
        <v>05.02.2023</v>
      </c>
    </row>
    <row r="3" spans="1:19" hidden="1">
      <c r="A3" t="str">
        <f>'[88]2023 Q1'!A11</f>
        <v>4.10.2023</v>
      </c>
      <c r="B3" t="str">
        <f>'[88]2023 Q1'!B11</f>
        <v>Dave Lim</v>
      </c>
      <c r="C3">
        <f>'[88]2023 Q1'!E11</f>
        <v>10</v>
      </c>
      <c r="D3">
        <f>'[88]2023 Q1'!F11</f>
        <v>10</v>
      </c>
      <c r="E3">
        <f>'[88]2023 Q1'!G11</f>
        <v>10</v>
      </c>
      <c r="F3">
        <f>'[88]2023 Q1'!H11</f>
        <v>10</v>
      </c>
      <c r="G3">
        <f>'[88]2023 Q1'!I11</f>
        <v>10</v>
      </c>
      <c r="H3">
        <f>'[88]2023 Q1'!J11</f>
        <v>10</v>
      </c>
      <c r="I3">
        <f>'[88]2023 Q1'!K11</f>
        <v>10</v>
      </c>
      <c r="K3">
        <f>'[88]2023 Q1'!L11</f>
        <v>10</v>
      </c>
      <c r="L3">
        <f>'[88]2023 Q1'!M11</f>
        <v>10</v>
      </c>
      <c r="M3">
        <f>'[88]2023 Q1'!N11</f>
        <v>10</v>
      </c>
      <c r="N3">
        <f>'[88]2023 Q1'!O11</f>
        <v>10</v>
      </c>
      <c r="O3">
        <f>'[88]2023 Q1'!P11</f>
        <v>10</v>
      </c>
      <c r="P3">
        <f>'[88]2023 Q1'!Q11</f>
        <v>10</v>
      </c>
      <c r="R3">
        <f t="shared" ref="R3:R39" si="0">MIN(D3:P3)</f>
        <v>10</v>
      </c>
      <c r="S3" t="str">
        <f>'[88]2023 Q1'!S11</f>
        <v>05.08.2023</v>
      </c>
    </row>
    <row r="4" spans="1:19" hidden="1">
      <c r="A4" t="str">
        <f>'[88]2023 Q1'!A22</f>
        <v>4.17.2023</v>
      </c>
      <c r="B4" t="str">
        <f>'[88]2023 Q1'!B22</f>
        <v>Hira Umair</v>
      </c>
      <c r="C4">
        <f>'[88]2023 Q1'!E22</f>
        <v>11</v>
      </c>
      <c r="D4">
        <f>'[88]2023 Q1'!F22</f>
        <v>11</v>
      </c>
      <c r="E4">
        <f>'[88]2023 Q1'!G22</f>
        <v>11</v>
      </c>
      <c r="F4">
        <f>'[88]2023 Q1'!H22</f>
        <v>11</v>
      </c>
      <c r="G4">
        <f>'[88]2023 Q1'!I22</f>
        <v>11</v>
      </c>
      <c r="H4">
        <f>'[88]2023 Q1'!J22</f>
        <v>11</v>
      </c>
      <c r="I4">
        <f>'[88]2023 Q1'!K22</f>
        <v>11</v>
      </c>
      <c r="K4">
        <f>'[88]2023 Q1'!L22</f>
        <v>11</v>
      </c>
      <c r="L4">
        <f>'[88]2023 Q1'!M22</f>
        <v>11</v>
      </c>
      <c r="M4">
        <f>'[88]2023 Q1'!N22</f>
        <v>11</v>
      </c>
      <c r="N4">
        <f>'[88]2023 Q1'!O22</f>
        <v>11</v>
      </c>
      <c r="O4">
        <f>'[88]2023 Q1'!P22</f>
        <v>11</v>
      </c>
      <c r="P4">
        <f>'[88]2023 Q1'!Q22</f>
        <v>11</v>
      </c>
      <c r="R4">
        <f t="shared" si="0"/>
        <v>11</v>
      </c>
      <c r="S4" s="55">
        <f>'[88]2023 Q1'!S22</f>
        <v>45061</v>
      </c>
    </row>
    <row r="5" spans="1:19" hidden="1">
      <c r="A5" t="str">
        <f>'[88]2023 Q1'!A35</f>
        <v>5.1.2023</v>
      </c>
      <c r="B5" t="str">
        <f>'[88]2023 Q1'!B35</f>
        <v>Kristi Stead</v>
      </c>
      <c r="C5">
        <f>'[88]2023 Q1'!E35</f>
        <v>14</v>
      </c>
      <c r="D5">
        <f>'[88]2023 Q1'!F35</f>
        <v>14</v>
      </c>
      <c r="E5">
        <f>'[88]2023 Q1'!G35</f>
        <v>13</v>
      </c>
      <c r="F5">
        <f>'[88]2023 Q1'!H35</f>
        <v>13</v>
      </c>
      <c r="G5">
        <f>'[88]2023 Q1'!I35</f>
        <v>13</v>
      </c>
      <c r="H5">
        <f>'[88]2023 Q1'!J35</f>
        <v>13</v>
      </c>
      <c r="I5">
        <f>'[88]2023 Q1'!K35</f>
        <v>13</v>
      </c>
      <c r="K5">
        <f>'[88]2023 Q1'!L35</f>
        <v>13</v>
      </c>
      <c r="L5">
        <f>'[88]2023 Q1'!M35</f>
        <v>13</v>
      </c>
      <c r="M5">
        <f>'[88]2023 Q1'!N35</f>
        <v>13</v>
      </c>
      <c r="N5">
        <f>'[88]2023 Q1'!O35</f>
        <v>13</v>
      </c>
      <c r="O5">
        <f>'[88]2023 Q1'!P35</f>
        <v>14</v>
      </c>
      <c r="P5">
        <f>'[88]2023 Q1'!Q35</f>
        <v>14</v>
      </c>
      <c r="R5">
        <f t="shared" si="0"/>
        <v>13</v>
      </c>
      <c r="S5" s="55">
        <f>'[88]2023 Q1'!S35</f>
        <v>45075</v>
      </c>
    </row>
    <row r="6" spans="1:19" hidden="1">
      <c r="A6" t="str">
        <f>'[88]2023 Q1'!A50</f>
        <v>5.8.2023</v>
      </c>
      <c r="B6" t="str">
        <f>'[88]2023 Q1'!B50</f>
        <v>Rowena Lasala</v>
      </c>
      <c r="C6">
        <f>'[88]2023 Q1'!E50</f>
        <v>3</v>
      </c>
      <c r="D6">
        <f>'[88]2023 Q1'!F50</f>
        <v>3</v>
      </c>
      <c r="E6">
        <f>'[88]2023 Q1'!G50</f>
        <v>3</v>
      </c>
      <c r="F6">
        <f>'[88]2023 Q1'!H50</f>
        <v>3</v>
      </c>
      <c r="G6">
        <f>'[88]2023 Q1'!I50</f>
        <v>3</v>
      </c>
      <c r="H6">
        <f>'[88]2023 Q1'!J50</f>
        <v>3</v>
      </c>
      <c r="I6">
        <f>'[88]2023 Q1'!K50</f>
        <v>3</v>
      </c>
      <c r="K6">
        <f>'[88]2023 Q1'!L50</f>
        <v>3</v>
      </c>
      <c r="L6">
        <f>'[88]2023 Q1'!M50</f>
        <v>3</v>
      </c>
      <c r="M6">
        <f>'[88]2023 Q1'!N50</f>
        <v>3</v>
      </c>
      <c r="N6">
        <f>'[88]2023 Q1'!O50</f>
        <v>3</v>
      </c>
      <c r="O6">
        <f>'[88]2023 Q1'!P50</f>
        <v>3</v>
      </c>
      <c r="P6">
        <f>'[88]2023 Q1'!Q50</f>
        <v>3</v>
      </c>
      <c r="R6">
        <f t="shared" si="0"/>
        <v>3</v>
      </c>
      <c r="S6" t="str">
        <f>'[88]2023 Q1'!S50</f>
        <v>06.06.2023</v>
      </c>
    </row>
    <row r="7" spans="1:19" hidden="1">
      <c r="A7" t="str">
        <f>'[88]2023 Q1'!A54</f>
        <v>5.10.2023</v>
      </c>
      <c r="B7" t="str">
        <f>'[88]2023 Q1'!B54</f>
        <v>Gilisa Roberts</v>
      </c>
      <c r="C7">
        <f>'[88]2023 Q1'!E54</f>
        <v>10</v>
      </c>
      <c r="D7">
        <f>'[88]2023 Q1'!F54</f>
        <v>10</v>
      </c>
      <c r="E7">
        <f>'[88]2023 Q1'!G54</f>
        <v>10</v>
      </c>
      <c r="F7">
        <f>'[88]2023 Q1'!H54</f>
        <v>10</v>
      </c>
      <c r="G7">
        <f>'[88]2023 Q1'!I54</f>
        <v>10</v>
      </c>
      <c r="H7">
        <f>'[88]2023 Q1'!J54</f>
        <v>10</v>
      </c>
      <c r="I7">
        <f>'[88]2023 Q1'!K54</f>
        <v>10</v>
      </c>
      <c r="K7">
        <f>'[88]2023 Q1'!L54</f>
        <v>10</v>
      </c>
      <c r="L7">
        <f>'[88]2023 Q1'!M54</f>
        <v>10</v>
      </c>
      <c r="M7">
        <f>'[88]2023 Q1'!N54</f>
        <v>10</v>
      </c>
      <c r="N7">
        <f>'[88]2023 Q1'!O54</f>
        <v>10</v>
      </c>
      <c r="O7">
        <f>'[88]2023 Q1'!P54</f>
        <v>10</v>
      </c>
      <c r="P7">
        <f>'[88]2023 Q1'!Q54</f>
        <v>10</v>
      </c>
      <c r="R7">
        <f t="shared" si="0"/>
        <v>10</v>
      </c>
      <c r="S7" s="55">
        <f>'[88]2023 Q1'!S54</f>
        <v>45085</v>
      </c>
    </row>
    <row r="8" spans="1:19" hidden="1">
      <c r="A8" t="str">
        <f>'[88]2023 Q1'!A65</f>
        <v>5.4.2023</v>
      </c>
      <c r="B8" t="str">
        <f>'[88]2023 Q1'!B65</f>
        <v>Nancy Price</v>
      </c>
      <c r="C8">
        <f>'[88]2023 Q1'!E65</f>
        <v>7</v>
      </c>
      <c r="D8">
        <f>'[88]2023 Q1'!F65</f>
        <v>7</v>
      </c>
      <c r="E8">
        <f>'[88]2023 Q1'!G65</f>
        <v>7</v>
      </c>
      <c r="F8">
        <f>'[88]2023 Q1'!H65</f>
        <v>7</v>
      </c>
      <c r="G8">
        <f>'[88]2023 Q1'!I65</f>
        <v>7</v>
      </c>
      <c r="H8">
        <f>'[88]2023 Q1'!J65</f>
        <v>7</v>
      </c>
      <c r="I8">
        <f>'[88]2023 Q1'!K65</f>
        <v>7</v>
      </c>
      <c r="K8">
        <f>'[88]2023 Q1'!L65</f>
        <v>7</v>
      </c>
      <c r="L8">
        <f>'[88]2023 Q1'!M65</f>
        <v>7</v>
      </c>
      <c r="M8">
        <f>'[88]2023 Q1'!N65</f>
        <v>7</v>
      </c>
      <c r="N8">
        <f>'[88]2023 Q1'!O65</f>
        <v>7</v>
      </c>
      <c r="O8">
        <f>'[88]2023 Q1'!P65</f>
        <v>7</v>
      </c>
      <c r="P8">
        <f>'[88]2023 Q1'!Q65</f>
        <v>7</v>
      </c>
      <c r="R8">
        <f t="shared" si="0"/>
        <v>7</v>
      </c>
      <c r="S8" s="55">
        <f>'[88]2023 Q1'!S65</f>
        <v>0</v>
      </c>
    </row>
    <row r="9" spans="1:19" hidden="1">
      <c r="A9" t="str">
        <f>'[88]2023 Q1'!A73</f>
        <v>5.23.2023</v>
      </c>
      <c r="B9" t="str">
        <f>'[88]2023 Q1'!B73</f>
        <v>Dave Lim</v>
      </c>
      <c r="C9">
        <f>'[88]2023 Q1'!E73</f>
        <v>14</v>
      </c>
      <c r="D9">
        <f>'[88]2023 Q1'!F73</f>
        <v>14</v>
      </c>
      <c r="E9">
        <f>'[88]2023 Q1'!G73</f>
        <v>14</v>
      </c>
      <c r="F9">
        <f>'[88]2023 Q1'!H73</f>
        <v>14</v>
      </c>
      <c r="G9">
        <f>'[88]2023 Q1'!I73</f>
        <v>14</v>
      </c>
      <c r="H9">
        <f>'[88]2023 Q1'!J73</f>
        <v>14</v>
      </c>
      <c r="I9">
        <f>'[88]2023 Q1'!K73</f>
        <v>14</v>
      </c>
      <c r="K9">
        <f>'[88]2023 Q1'!L73</f>
        <v>14</v>
      </c>
      <c r="L9">
        <f>'[88]2023 Q1'!M73</f>
        <v>14</v>
      </c>
      <c r="M9">
        <f>'[88]2023 Q1'!N73</f>
        <v>14</v>
      </c>
      <c r="N9">
        <f>'[88]2023 Q1'!O73</f>
        <v>14</v>
      </c>
      <c r="O9">
        <f>'[88]2023 Q1'!P73</f>
        <v>14</v>
      </c>
      <c r="P9">
        <f>'[88]2023 Q1'!Q73</f>
        <v>0</v>
      </c>
      <c r="R9">
        <f t="shared" si="0"/>
        <v>0</v>
      </c>
      <c r="S9" t="str">
        <f>'[88]2023 Q1'!S73</f>
        <v>06.20.2023</v>
      </c>
    </row>
    <row r="10" spans="1:19" hidden="1">
      <c r="A10" t="str">
        <f>'[88]2023 Q1'!A88</f>
        <v>5.29.2023</v>
      </c>
      <c r="B10" t="str">
        <f>'[88]2023 Q1'!B88</f>
        <v>Bib Alli</v>
      </c>
      <c r="C10">
        <f>'[88]2023 Q1'!E88</f>
        <v>4</v>
      </c>
      <c r="D10">
        <f>'[88]2023 Q1'!F88</f>
        <v>4</v>
      </c>
      <c r="E10">
        <f>'[88]2023 Q1'!G88</f>
        <v>4</v>
      </c>
      <c r="F10">
        <f>'[88]2023 Q1'!H88</f>
        <v>4</v>
      </c>
      <c r="G10">
        <f>'[88]2023 Q1'!I88</f>
        <v>4</v>
      </c>
      <c r="H10">
        <f>'[88]2023 Q1'!J88</f>
        <v>4</v>
      </c>
      <c r="I10">
        <f>'[88]2023 Q1'!K88</f>
        <v>4</v>
      </c>
      <c r="K10">
        <f>'[88]2023 Q1'!L88</f>
        <v>4</v>
      </c>
      <c r="L10">
        <f>'[88]2023 Q1'!M88</f>
        <v>4</v>
      </c>
      <c r="M10">
        <f>'[88]2023 Q1'!N88</f>
        <v>4</v>
      </c>
      <c r="N10">
        <f>'[88]2023 Q1'!O88</f>
        <v>4</v>
      </c>
      <c r="O10">
        <f>'[88]2023 Q1'!P88</f>
        <v>4</v>
      </c>
      <c r="P10">
        <f>'[88]2023 Q1'!Q88</f>
        <v>4</v>
      </c>
      <c r="R10">
        <f t="shared" si="0"/>
        <v>4</v>
      </c>
      <c r="S10" t="str">
        <f>'[88]2023 Q1'!S88</f>
        <v>06.26.2023</v>
      </c>
    </row>
    <row r="11" spans="1:19" hidden="1">
      <c r="A11" t="str">
        <f>'[88]2023 Q1'!A94</f>
        <v>6.5.2023</v>
      </c>
      <c r="B11" t="str">
        <f>'[88]2023 Q1'!B94</f>
        <v>Sneha Menda</v>
      </c>
      <c r="C11">
        <f>'[88]2023 Q1'!E94</f>
        <v>12</v>
      </c>
      <c r="D11">
        <f>'[88]2023 Q1'!F94</f>
        <v>12</v>
      </c>
      <c r="E11">
        <f>'[88]2023 Q1'!G94</f>
        <v>12</v>
      </c>
      <c r="F11">
        <f>'[88]2023 Q1'!H94</f>
        <v>12</v>
      </c>
      <c r="G11">
        <f>'[88]2023 Q1'!I94</f>
        <v>12</v>
      </c>
      <c r="H11">
        <f>'[88]2023 Q1'!J94</f>
        <v>12</v>
      </c>
      <c r="I11">
        <f>'[88]2023 Q1'!K94</f>
        <v>12</v>
      </c>
      <c r="K11">
        <f>'[88]2023 Q1'!L94</f>
        <v>12</v>
      </c>
      <c r="L11">
        <f>'[88]2023 Q1'!M94</f>
        <v>12</v>
      </c>
      <c r="M11">
        <f>'[88]2023 Q1'!N94</f>
        <v>12</v>
      </c>
      <c r="N11">
        <f>'[88]2023 Q1'!O94</f>
        <v>12</v>
      </c>
      <c r="O11">
        <f>'[88]2023 Q1'!P94</f>
        <v>12</v>
      </c>
      <c r="P11">
        <f>'[88]2023 Q1'!Q94</f>
        <v>12</v>
      </c>
      <c r="R11">
        <f t="shared" si="0"/>
        <v>12</v>
      </c>
      <c r="S11" t="str">
        <f>'[88]2023 Q1'!S94</f>
        <v>07.04.2023</v>
      </c>
    </row>
    <row r="12" spans="1:19" hidden="1">
      <c r="A12" t="str">
        <f>'[88]2023 Q1'!A107</f>
        <v>6.12.2023</v>
      </c>
      <c r="B12" t="str">
        <f>'[88]2023 Q1'!B107</f>
        <v>Nancy Price</v>
      </c>
      <c r="C12">
        <f>'[88]2023 Q1'!E107</f>
        <v>8</v>
      </c>
      <c r="D12">
        <f>'[88]2023 Q1'!F107</f>
        <v>8</v>
      </c>
      <c r="E12">
        <f>'[88]2023 Q1'!G107</f>
        <v>8</v>
      </c>
      <c r="F12">
        <f>'[88]2023 Q1'!H107</f>
        <v>8</v>
      </c>
      <c r="G12">
        <f>'[88]2023 Q1'!I107</f>
        <v>8</v>
      </c>
      <c r="H12">
        <f>'[88]2023 Q1'!J107</f>
        <v>8</v>
      </c>
      <c r="I12">
        <f>'[88]2023 Q1'!K107</f>
        <v>8</v>
      </c>
      <c r="K12">
        <f>'[88]2023 Q1'!L107</f>
        <v>8</v>
      </c>
      <c r="L12">
        <f>'[88]2023 Q1'!M107</f>
        <v>8</v>
      </c>
      <c r="M12">
        <f>'[88]2023 Q1'!N107</f>
        <v>8</v>
      </c>
      <c r="N12">
        <f>'[88]2023 Q1'!O107</f>
        <v>8</v>
      </c>
      <c r="O12">
        <f>'[88]2023 Q1'!P107</f>
        <v>8</v>
      </c>
      <c r="P12">
        <f>'[88]2023 Q1'!Q107</f>
        <v>8</v>
      </c>
      <c r="R12">
        <f t="shared" si="0"/>
        <v>8</v>
      </c>
      <c r="S12" s="55">
        <f>'[88]2023 Q1'!S107</f>
        <v>45117</v>
      </c>
    </row>
    <row r="13" spans="1:19" hidden="1">
      <c r="A13" t="str">
        <f>'[88]2023 Q1'!A116</f>
        <v>6.19.2023</v>
      </c>
      <c r="B13" t="str">
        <f>'[88]2023 Q1'!B116</f>
        <v>Hira Umair</v>
      </c>
      <c r="C13">
        <f>'[88]2023 Q1'!E116</f>
        <v>14</v>
      </c>
      <c r="D13">
        <f>'[88]2023 Q1'!F116</f>
        <v>14</v>
      </c>
      <c r="E13">
        <f>'[88]2023 Q1'!G116</f>
        <v>14</v>
      </c>
      <c r="F13">
        <f>'[88]2023 Q1'!H116</f>
        <v>14</v>
      </c>
      <c r="G13">
        <f>'[88]2023 Q1'!I116</f>
        <v>14</v>
      </c>
      <c r="H13">
        <f>'[88]2023 Q1'!J116</f>
        <v>14</v>
      </c>
      <c r="I13">
        <f>'[88]2023 Q1'!K116</f>
        <v>14</v>
      </c>
      <c r="K13">
        <f>'[88]2023 Q1'!L116</f>
        <v>14</v>
      </c>
      <c r="L13">
        <f>'[88]2023 Q1'!M116</f>
        <v>14</v>
      </c>
      <c r="M13">
        <f>'[88]2023 Q1'!N116</f>
        <v>14</v>
      </c>
      <c r="N13">
        <f>'[88]2023 Q1'!O116</f>
        <v>14</v>
      </c>
      <c r="O13">
        <f>'[88]2023 Q1'!P116</f>
        <v>14</v>
      </c>
      <c r="P13">
        <f>'[88]2023 Q1'!Q116</f>
        <v>14</v>
      </c>
      <c r="R13">
        <f t="shared" si="0"/>
        <v>14</v>
      </c>
      <c r="S13" t="str">
        <f>'[88]2023 Q1'!S116</f>
        <v>July 17, 2023</v>
      </c>
    </row>
    <row r="14" spans="1:19" hidden="1">
      <c r="A14" t="str">
        <f>'[88]2023 Q1'!A131</f>
        <v>6.26.2023</v>
      </c>
      <c r="B14" t="str">
        <f>'[88]2023 Q1'!B131</f>
        <v>Rowena Lasala</v>
      </c>
      <c r="C14">
        <f>'[88]2023 Q1'!E131</f>
        <v>13</v>
      </c>
      <c r="D14">
        <f>'[88]2023 Q1'!F131</f>
        <v>13</v>
      </c>
      <c r="E14">
        <f>'[88]2023 Q1'!G131</f>
        <v>13</v>
      </c>
      <c r="F14">
        <f>'[88]2023 Q1'!H131</f>
        <v>13</v>
      </c>
      <c r="G14">
        <f>'[88]2023 Q1'!I131</f>
        <v>13</v>
      </c>
      <c r="H14">
        <f>'[88]2023 Q1'!J131</f>
        <v>13</v>
      </c>
      <c r="I14">
        <f>'[88]2023 Q1'!K131</f>
        <v>13</v>
      </c>
      <c r="K14">
        <f>'[88]2023 Q1'!L131</f>
        <v>13</v>
      </c>
      <c r="L14">
        <f>'[88]2023 Q1'!M131</f>
        <v>13</v>
      </c>
      <c r="M14">
        <f>'[88]2023 Q1'!N131</f>
        <v>13</v>
      </c>
      <c r="N14">
        <f>'[88]2023 Q1'!O131</f>
        <v>13</v>
      </c>
      <c r="O14">
        <f>'[88]2023 Q1'!P131</f>
        <v>13</v>
      </c>
      <c r="P14">
        <f>'[88]2023 Q1'!Q131</f>
        <v>13</v>
      </c>
      <c r="R14">
        <f t="shared" si="0"/>
        <v>13</v>
      </c>
      <c r="S14" s="55">
        <f>'[88]2023 Q1'!S131</f>
        <v>45132</v>
      </c>
    </row>
    <row r="15" spans="1:19">
      <c r="A15" t="str">
        <f>'[88]2023 Q2'!A2</f>
        <v>7.4.2023</v>
      </c>
      <c r="B15" t="str">
        <f>'[88]2023 Q2'!B2</f>
        <v>Jordan Saulnier</v>
      </c>
      <c r="C15">
        <f>'[88]2023 Q2'!E2</f>
        <v>4</v>
      </c>
      <c r="D15">
        <f>'[88]2023 Q2'!F2</f>
        <v>4</v>
      </c>
      <c r="E15">
        <f>'[88]2023 Q2'!H2</f>
        <v>4</v>
      </c>
      <c r="F15">
        <f>'[88]2023 Q2'!J2</f>
        <v>4</v>
      </c>
      <c r="G15">
        <f>'[88]2023 Q2'!L2</f>
        <v>4</v>
      </c>
      <c r="H15">
        <f>'[88]2023 Q2'!N2</f>
        <v>4</v>
      </c>
      <c r="I15">
        <f>'[88]2023 Q2'!P2</f>
        <v>4</v>
      </c>
      <c r="K15">
        <f>'[88]2023 Q2'!R2</f>
        <v>4</v>
      </c>
      <c r="L15">
        <f>'[88]2023 Q2'!T2</f>
        <v>4</v>
      </c>
      <c r="M15">
        <f>'[88]2023 Q2'!V2</f>
        <v>4</v>
      </c>
      <c r="N15">
        <f>'[88]2023 Q2'!X2</f>
        <v>4</v>
      </c>
      <c r="O15">
        <f>'[88]2023 Q2'!Z2</f>
        <v>4</v>
      </c>
      <c r="P15">
        <f>'[88]2023 Q2'!AB2</f>
        <v>4</v>
      </c>
      <c r="R15">
        <f t="shared" si="0"/>
        <v>4</v>
      </c>
      <c r="S15" t="str">
        <f>'[88]2023 Q2'!AE2</f>
        <v>08.01.2023</v>
      </c>
    </row>
    <row r="16" spans="1:19" hidden="1">
      <c r="A16" t="str">
        <f>'[88]2023 Q2'!A7</f>
        <v>7.10.2023</v>
      </c>
      <c r="B16" t="str">
        <f>'[88]2023 Q2'!B7</f>
        <v>Nancy Price</v>
      </c>
      <c r="C16">
        <f>'[88]2023 Q2'!E7</f>
        <v>10</v>
      </c>
      <c r="D16">
        <f>'[88]2023 Q2'!F7</f>
        <v>10</v>
      </c>
      <c r="E16">
        <f>'[88]2023 Q2'!H7</f>
        <v>10</v>
      </c>
      <c r="F16">
        <f>'[88]2023 Q2'!J7</f>
        <v>10</v>
      </c>
      <c r="G16">
        <f>'[88]2023 Q2'!L7</f>
        <v>10</v>
      </c>
      <c r="H16">
        <f>'[88]2023 Q2'!N7</f>
        <v>10</v>
      </c>
      <c r="I16">
        <f>'[88]2023 Q2'!P7</f>
        <v>10</v>
      </c>
      <c r="K16">
        <f>'[88]2023 Q2'!R7</f>
        <v>10</v>
      </c>
      <c r="L16">
        <f>'[88]2023 Q2'!T7</f>
        <v>10</v>
      </c>
      <c r="M16">
        <f>'[88]2023 Q2'!V7</f>
        <v>10</v>
      </c>
      <c r="N16">
        <f>'[88]2023 Q2'!X7</f>
        <v>10</v>
      </c>
      <c r="O16">
        <f>'[88]2023 Q2'!Z7</f>
        <v>10</v>
      </c>
      <c r="P16">
        <f>'[88]2023 Q2'!AB7</f>
        <v>10</v>
      </c>
      <c r="R16">
        <f t="shared" si="0"/>
        <v>10</v>
      </c>
      <c r="S16" t="str">
        <f>'[88]2023 Q2'!AE7</f>
        <v>August 8th 2023</v>
      </c>
    </row>
    <row r="17" spans="1:19" hidden="1">
      <c r="A17" t="str">
        <f>'[88]2023 Q2'!A18</f>
        <v>7.17.2023</v>
      </c>
      <c r="B17" s="55" t="str">
        <f>'[88]2023 Q2'!B18</f>
        <v>Scott McDonald</v>
      </c>
      <c r="C17">
        <f>'[88]2023 Q2'!E18</f>
        <v>10</v>
      </c>
      <c r="D17">
        <f>'[88]2023 Q2'!F18</f>
        <v>10</v>
      </c>
      <c r="E17">
        <f>'[88]2023 Q2'!H18</f>
        <v>10</v>
      </c>
      <c r="F17">
        <f>'[88]2023 Q2'!J18</f>
        <v>10</v>
      </c>
      <c r="G17">
        <f>'[88]2023 Q2'!L18</f>
        <v>10</v>
      </c>
      <c r="H17">
        <f>'[88]2023 Q2'!N18</f>
        <v>10</v>
      </c>
      <c r="I17">
        <f>'[88]2023 Q2'!P18</f>
        <v>10</v>
      </c>
      <c r="K17">
        <f>'[88]2023 Q2'!R18</f>
        <v>10</v>
      </c>
      <c r="L17">
        <f>'[88]2023 Q2'!T18</f>
        <v>10</v>
      </c>
      <c r="M17">
        <f>'[88]2023 Q2'!V18</f>
        <v>10</v>
      </c>
      <c r="N17">
        <f>'[88]2023 Q2'!X18</f>
        <v>10</v>
      </c>
      <c r="O17">
        <f>'[88]2023 Q2'!Z18</f>
        <v>10</v>
      </c>
      <c r="P17">
        <f>'[88]2023 Q2'!AB18</f>
        <v>10</v>
      </c>
      <c r="R17">
        <f t="shared" si="0"/>
        <v>10</v>
      </c>
      <c r="S17" t="str">
        <f>'[88]2023 Q2'!AE18</f>
        <v>08/15/2023</v>
      </c>
    </row>
    <row r="18" spans="1:19" hidden="1">
      <c r="A18" t="str">
        <f>'[88]2023 Q2'!A29</f>
        <v>7.24.2023</v>
      </c>
      <c r="B18" s="55" t="str">
        <f>'[88]2023 Q2'!B29</f>
        <v>Sneha Menda</v>
      </c>
      <c r="C18">
        <f>'[88]2023 Q2'!E29</f>
        <v>11</v>
      </c>
      <c r="D18">
        <f>'[88]2023 Q2'!F29</f>
        <v>11</v>
      </c>
      <c r="E18">
        <f>'[88]2023 Q2'!H29</f>
        <v>11</v>
      </c>
      <c r="F18">
        <f>'[88]2023 Q2'!J29</f>
        <v>11</v>
      </c>
      <c r="G18">
        <f>'[88]2023 Q2'!L29</f>
        <v>11</v>
      </c>
      <c r="H18">
        <f>'[88]2023 Q2'!N29</f>
        <v>11</v>
      </c>
      <c r="I18">
        <f>'[88]2023 Q2'!P29</f>
        <v>11</v>
      </c>
      <c r="K18">
        <f>'[88]2023 Q2'!R29</f>
        <v>11</v>
      </c>
      <c r="L18">
        <f>'[88]2023 Q2'!T29</f>
        <v>11</v>
      </c>
      <c r="M18">
        <f>'[88]2023 Q2'!V29</f>
        <v>11</v>
      </c>
      <c r="N18">
        <f>'[88]2023 Q2'!X29</f>
        <v>11</v>
      </c>
      <c r="O18">
        <f>'[88]2023 Q2'!Z29</f>
        <v>11</v>
      </c>
      <c r="P18">
        <f>'[88]2023 Q2'!AB29</f>
        <v>11</v>
      </c>
      <c r="R18">
        <f t="shared" si="0"/>
        <v>11</v>
      </c>
      <c r="S18" s="55">
        <f>'[88]2023 Q2'!AE29</f>
        <v>45160</v>
      </c>
    </row>
    <row r="19" spans="1:19" hidden="1">
      <c r="A19" t="str">
        <f>'[88]2023 Q2'!A41</f>
        <v>7.31.2023</v>
      </c>
      <c r="B19" s="55" t="str">
        <f>'[88]2023 Q2'!B41</f>
        <v>Hira Umair</v>
      </c>
      <c r="C19">
        <f>'[88]2023 Q2'!E41</f>
        <v>6</v>
      </c>
      <c r="D19">
        <f>'[88]2023 Q2'!F41</f>
        <v>6</v>
      </c>
      <c r="E19">
        <f>'[88]2023 Q2'!H41</f>
        <v>6</v>
      </c>
      <c r="F19">
        <f>'[88]2023 Q2'!J41</f>
        <v>6</v>
      </c>
      <c r="G19">
        <f>'[88]2023 Q2'!L41</f>
        <v>6</v>
      </c>
      <c r="H19">
        <f>'[88]2023 Q2'!N41</f>
        <v>6</v>
      </c>
      <c r="I19">
        <f>'[88]2023 Q2'!P41</f>
        <v>6</v>
      </c>
      <c r="K19">
        <f>'[88]2023 Q2'!R41</f>
        <v>6</v>
      </c>
      <c r="L19">
        <f>'[88]2023 Q2'!T41</f>
        <v>6</v>
      </c>
      <c r="M19">
        <f>'[88]2023 Q2'!V41</f>
        <v>6</v>
      </c>
      <c r="N19">
        <f>'[88]2023 Q2'!X41</f>
        <v>6</v>
      </c>
      <c r="O19">
        <f>'[88]2023 Q2'!Z41</f>
        <v>6</v>
      </c>
      <c r="P19">
        <f>'[88]2023 Q2'!AB41</f>
        <v>6</v>
      </c>
      <c r="R19">
        <f t="shared" si="0"/>
        <v>6</v>
      </c>
      <c r="S19" s="55">
        <f>'[88]2023 Q2'!AE41</f>
        <v>45166</v>
      </c>
    </row>
    <row r="20" spans="1:19" hidden="1">
      <c r="A20" t="str">
        <f>'[88]2023 Q2'!A53</f>
        <v>8.8.2023</v>
      </c>
      <c r="B20" s="55" t="str">
        <f>'[88]2023 Q2'!B53</f>
        <v>Dave Lim</v>
      </c>
      <c r="C20">
        <f>'[88]2023 Q2'!E53</f>
        <v>10</v>
      </c>
      <c r="D20">
        <f>'[88]2023 Q2'!F53</f>
        <v>10</v>
      </c>
      <c r="E20">
        <f>'[88]2023 Q2'!H53</f>
        <v>10</v>
      </c>
      <c r="F20">
        <f>'[88]2023 Q2'!J53</f>
        <v>10</v>
      </c>
      <c r="G20">
        <f>'[88]2023 Q2'!L53</f>
        <v>10</v>
      </c>
      <c r="H20">
        <f>'[88]2023 Q2'!N53</f>
        <v>10</v>
      </c>
      <c r="I20">
        <f>'[88]2023 Q2'!P53</f>
        <v>10</v>
      </c>
      <c r="K20">
        <f>'[88]2023 Q2'!R53</f>
        <v>10</v>
      </c>
      <c r="L20">
        <f>'[88]2023 Q2'!T53</f>
        <v>10</v>
      </c>
      <c r="M20">
        <f>'[88]2023 Q2'!V53</f>
        <v>10</v>
      </c>
      <c r="N20">
        <f>'[88]2023 Q2'!X53</f>
        <v>10</v>
      </c>
      <c r="O20">
        <f>'[88]2023 Q2'!Z53</f>
        <v>10</v>
      </c>
      <c r="P20">
        <f>'[88]2023 Q2'!AB53</f>
        <v>10</v>
      </c>
      <c r="R20">
        <f t="shared" si="0"/>
        <v>10</v>
      </c>
      <c r="S20" s="55">
        <f>'[88]2023 Q2'!AE53</f>
        <v>45175</v>
      </c>
    </row>
    <row r="21" spans="1:19" hidden="1">
      <c r="A21" t="str">
        <f>'[88]2023 Q2'!A64</f>
        <v>8.14.2023</v>
      </c>
      <c r="B21" s="55" t="str">
        <f>'[88]2023 Q2'!B64</f>
        <v>Rowena Lasala</v>
      </c>
      <c r="C21">
        <f>'[88]2023 Q2'!E64</f>
        <v>8</v>
      </c>
      <c r="D21">
        <f>'[88]2023 Q2'!F64</f>
        <v>8</v>
      </c>
      <c r="E21">
        <f>'[88]2023 Q2'!H64</f>
        <v>8</v>
      </c>
      <c r="F21">
        <f>'[88]2023 Q2'!J64</f>
        <v>8</v>
      </c>
      <c r="G21">
        <f>'[88]2023 Q2'!L64</f>
        <v>8</v>
      </c>
      <c r="H21">
        <f>'[88]2023 Q2'!N64</f>
        <v>8</v>
      </c>
      <c r="I21">
        <f>'[88]2023 Q2'!P64</f>
        <v>8</v>
      </c>
      <c r="K21">
        <f>'[88]2023 Q2'!R64</f>
        <v>8</v>
      </c>
      <c r="L21">
        <f>'[88]2023 Q2'!T64</f>
        <v>8</v>
      </c>
      <c r="M21">
        <f>'[88]2023 Q2'!V64</f>
        <v>8</v>
      </c>
      <c r="N21">
        <f>'[88]2023 Q2'!X64</f>
        <v>8</v>
      </c>
      <c r="O21">
        <f>'[88]2023 Q2'!Z64</f>
        <v>8</v>
      </c>
      <c r="P21">
        <f>'[88]2023 Q2'!AB64</f>
        <v>8</v>
      </c>
      <c r="R21">
        <f t="shared" si="0"/>
        <v>8</v>
      </c>
      <c r="S21" s="55">
        <f>'[88]2023 Q2'!AE64</f>
        <v>45152</v>
      </c>
    </row>
    <row r="22" spans="1:19" hidden="1">
      <c r="A22" t="str">
        <f>'[88]2023 Q2'!A73</f>
        <v>8.28.2023</v>
      </c>
      <c r="B22" s="55" t="str">
        <f>'[88]2023 Q2'!B73</f>
        <v>Hira Umair</v>
      </c>
      <c r="C22">
        <f>'[88]2023 Q2'!E73</f>
        <v>8</v>
      </c>
      <c r="D22" s="56">
        <f>'[88]2023 Q2'!F73</f>
        <v>8</v>
      </c>
      <c r="E22" s="56">
        <f>'[88]2023 Q2'!H73</f>
        <v>8</v>
      </c>
      <c r="F22" s="56">
        <f>'[88]2023 Q2'!J73</f>
        <v>8</v>
      </c>
      <c r="G22" s="56">
        <f>'[88]2023 Q2'!L73</f>
        <v>8</v>
      </c>
      <c r="H22" s="56">
        <f>'[88]2023 Q2'!N73</f>
        <v>8</v>
      </c>
      <c r="I22" s="56">
        <f>'[88]2023 Q2'!P73</f>
        <v>8</v>
      </c>
      <c r="J22" s="56"/>
      <c r="K22" s="56">
        <f>'[88]2023 Q2'!R73</f>
        <v>8</v>
      </c>
      <c r="L22" s="56">
        <f>'[88]2023 Q2'!T73</f>
        <v>8</v>
      </c>
      <c r="M22" s="56">
        <f>'[88]2023 Q2'!V73</f>
        <v>8</v>
      </c>
      <c r="N22" s="56">
        <f>'[88]2023 Q2'!X73</f>
        <v>8</v>
      </c>
      <c r="O22" s="56">
        <f>'[88]2023 Q2'!Z73</f>
        <v>8</v>
      </c>
      <c r="P22" s="56">
        <f>'[88]2023 Q2'!AB73</f>
        <v>8</v>
      </c>
      <c r="Q22" s="56"/>
      <c r="R22">
        <f t="shared" si="0"/>
        <v>8</v>
      </c>
      <c r="S22" s="45" t="str">
        <f>'[88]2023 Q2'!AE73</f>
        <v>09.26.2023</v>
      </c>
    </row>
    <row r="23" spans="1:19" hidden="1">
      <c r="A23" t="str">
        <f>'[88]2023 Q2'!A83</f>
        <v>09.11.2023</v>
      </c>
      <c r="B23" s="55" t="str">
        <f>'[88]2023 Q2'!B83</f>
        <v>Scott McDonald</v>
      </c>
      <c r="C23">
        <f>'[88]2023 Q2'!E83</f>
        <v>11</v>
      </c>
      <c r="D23" s="56">
        <f>'[88]2023 Q2'!F83</f>
        <v>11</v>
      </c>
      <c r="E23" s="56">
        <f>'[88]2023 Q2'!H83</f>
        <v>11</v>
      </c>
      <c r="F23" s="56">
        <f>'[88]2023 Q2'!J83</f>
        <v>11</v>
      </c>
      <c r="G23" s="56">
        <f>'[88]2023 Q2'!L83</f>
        <v>11</v>
      </c>
      <c r="H23" s="56">
        <f>'[88]2023 Q2'!N83</f>
        <v>11</v>
      </c>
      <c r="I23" s="56">
        <f>'[88]2023 Q2'!P83</f>
        <v>11</v>
      </c>
      <c r="J23" s="56"/>
      <c r="K23" s="56">
        <f>'[88]2023 Q2'!R83</f>
        <v>11</v>
      </c>
      <c r="L23" s="56">
        <f>'[88]2023 Q2'!T83</f>
        <v>11</v>
      </c>
      <c r="M23" s="56">
        <f>'[88]2023 Q2'!V83</f>
        <v>11</v>
      </c>
      <c r="N23" s="56">
        <f>'[88]2023 Q2'!X83</f>
        <v>11</v>
      </c>
      <c r="O23" s="56">
        <f>'[88]2023 Q2'!Z83</f>
        <v>11</v>
      </c>
      <c r="P23" s="56">
        <f>'[88]2023 Q2'!AB83</f>
        <v>11</v>
      </c>
      <c r="Q23" s="56"/>
      <c r="R23">
        <f t="shared" si="0"/>
        <v>11</v>
      </c>
      <c r="S23" s="55">
        <f>'[88]2023 Q2'!AE83</f>
        <v>45202</v>
      </c>
    </row>
    <row r="24" spans="1:19" hidden="1">
      <c r="A24" t="str">
        <f>'[88]2023 Q2'!A95</f>
        <v>09.18.2023</v>
      </c>
      <c r="B24" s="55" t="str">
        <f>'[88]2023 Q2'!B95</f>
        <v>Gilisa Roberts</v>
      </c>
      <c r="C24">
        <f>'[88]2023 Q2'!E95</f>
        <v>10</v>
      </c>
      <c r="D24" s="56">
        <f>'[88]2023 Q2'!F95</f>
        <v>10</v>
      </c>
      <c r="E24" s="56">
        <f>'[88]2023 Q2'!H95</f>
        <v>10</v>
      </c>
      <c r="F24" s="56">
        <f>'[88]2023 Q2'!J95</f>
        <v>10</v>
      </c>
      <c r="G24" s="56">
        <f>'[88]2023 Q2'!L95</f>
        <v>10</v>
      </c>
      <c r="H24" s="56">
        <f>'[88]2023 Q2'!N95</f>
        <v>10</v>
      </c>
      <c r="I24" s="56">
        <f>'[88]2023 Q2'!P95</f>
        <v>10</v>
      </c>
      <c r="J24" s="56"/>
      <c r="K24" s="56">
        <f>'[88]2023 Q2'!R95</f>
        <v>10</v>
      </c>
      <c r="L24" s="56">
        <f>'[88]2023 Q2'!T95</f>
        <v>10</v>
      </c>
      <c r="M24" s="56">
        <f>'[88]2023 Q2'!V95</f>
        <v>10</v>
      </c>
      <c r="N24" s="56">
        <f>'[88]2023 Q2'!X95</f>
        <v>10</v>
      </c>
      <c r="O24" s="56">
        <f>'[88]2023 Q2'!Z95</f>
        <v>11</v>
      </c>
      <c r="P24" s="56">
        <f>'[88]2023 Q2'!AB95</f>
        <v>10</v>
      </c>
      <c r="Q24" s="56"/>
      <c r="R24">
        <f t="shared" si="0"/>
        <v>10</v>
      </c>
      <c r="S24" s="55">
        <f>'[88]2023 Q2'!AE95</f>
        <v>45203</v>
      </c>
    </row>
    <row r="25" spans="1:19">
      <c r="A25" t="str">
        <f>'[88]2023 Q3'!A2</f>
        <v>10.02.2023</v>
      </c>
      <c r="B25" t="str">
        <f>'[88]2023 Q3'!B2</f>
        <v>Jordan Saulnier</v>
      </c>
      <c r="C25">
        <f>'[88]2023 Q3'!E2</f>
        <v>9</v>
      </c>
      <c r="D25">
        <f>'[88]2023 Q3'!F2</f>
        <v>9</v>
      </c>
      <c r="E25">
        <f>'[88]2023 Q3'!H2</f>
        <v>9</v>
      </c>
      <c r="F25">
        <f>'[88]2023 Q3'!J2</f>
        <v>9</v>
      </c>
      <c r="G25">
        <f>'[88]2023 Q3'!L2</f>
        <v>9</v>
      </c>
      <c r="H25">
        <f>'[88]2023 Q3'!N2</f>
        <v>9</v>
      </c>
      <c r="I25">
        <f>'[88]2023 Q3'!P2</f>
        <v>9</v>
      </c>
      <c r="J25">
        <f>'[88]2023 Q3'!R2</f>
        <v>0</v>
      </c>
      <c r="K25">
        <f>'[88]2023 Q3'!T2</f>
        <v>9</v>
      </c>
      <c r="L25">
        <f>'[88]2023 Q3'!V2</f>
        <v>9</v>
      </c>
      <c r="M25">
        <f>'[88]2023 Q3'!X2</f>
        <v>9</v>
      </c>
      <c r="N25">
        <f>'[88]2023 Q3'!Z2</f>
        <v>8</v>
      </c>
      <c r="O25">
        <f>'[88]2023 Q3'!AB2</f>
        <v>8</v>
      </c>
      <c r="P25">
        <f>'[88]2023 Q3'!AD2</f>
        <v>9</v>
      </c>
      <c r="Q25">
        <f>'[88]2023 Q3'!AF2</f>
        <v>0</v>
      </c>
      <c r="R25">
        <f t="shared" si="0"/>
        <v>0</v>
      </c>
      <c r="S25" s="55">
        <f>'[88]2023 Q3'!AI2</f>
        <v>45215</v>
      </c>
    </row>
    <row r="26" spans="1:19" hidden="1">
      <c r="A26" t="str">
        <f>'[88]2023 Q3'!A12</f>
        <v>10.16.2023</v>
      </c>
      <c r="B26" s="55" t="str">
        <f>'[88]2023 Q3'!B12</f>
        <v>Ruschel Bartolome</v>
      </c>
      <c r="C26">
        <f>'[88]2023 Q3'!E12</f>
        <v>8</v>
      </c>
      <c r="D26">
        <f>'[88]2023 Q3'!F12</f>
        <v>8</v>
      </c>
      <c r="E26">
        <f>'[88]2023 Q3'!H12</f>
        <v>8</v>
      </c>
      <c r="F26">
        <f>'[88]2023 Q3'!J12</f>
        <v>8</v>
      </c>
      <c r="G26">
        <f>'[88]2023 Q3'!L12</f>
        <v>8</v>
      </c>
      <c r="H26">
        <f>'[88]2023 Q3'!N12</f>
        <v>8</v>
      </c>
      <c r="I26">
        <f>'[88]2023 Q3'!P12</f>
        <v>8</v>
      </c>
      <c r="J26">
        <f>'[88]2023 Q3'!R12</f>
        <v>0</v>
      </c>
      <c r="K26">
        <f>'[88]2023 Q3'!T12</f>
        <v>8</v>
      </c>
      <c r="L26">
        <f>'[88]2023 Q3'!V12</f>
        <v>8</v>
      </c>
      <c r="M26">
        <f>'[88]2023 Q3'!X12</f>
        <v>8</v>
      </c>
      <c r="N26">
        <f>'[88]2023 Q3'!Z12</f>
        <v>8</v>
      </c>
      <c r="O26">
        <f>'[88]2023 Q3'!AB12</f>
        <v>8</v>
      </c>
      <c r="P26">
        <f>'[88]2023 Q3'!AD12</f>
        <v>8</v>
      </c>
      <c r="Q26">
        <f>'[88]2023 Q3'!AF12</f>
        <v>0</v>
      </c>
      <c r="R26">
        <f t="shared" si="0"/>
        <v>0</v>
      </c>
      <c r="S26" s="55">
        <f>'[88]2023 Q3'!AI12</f>
        <v>45229</v>
      </c>
    </row>
    <row r="27" spans="1:19" hidden="1">
      <c r="A27" t="str">
        <f>'[88]2023 Q3'!A21</f>
        <v>11.06.2023</v>
      </c>
      <c r="B27" s="55" t="str">
        <f>'[88]2023 Q3'!B21</f>
        <v>Scott McDonald</v>
      </c>
      <c r="C27">
        <f>'[88]2023 Q3'!E21</f>
        <v>8</v>
      </c>
      <c r="D27">
        <f>'[88]2023 Q3'!F21</f>
        <v>10</v>
      </c>
      <c r="E27">
        <f>'[88]2023 Q3'!H21</f>
        <v>10</v>
      </c>
      <c r="F27">
        <f>'[88]2023 Q3'!J21</f>
        <v>10</v>
      </c>
      <c r="G27">
        <f>'[88]2023 Q3'!L21</f>
        <v>10</v>
      </c>
      <c r="H27">
        <f>'[88]2023 Q3'!N21</f>
        <v>10</v>
      </c>
      <c r="I27">
        <f>'[88]2023 Q3'!P21</f>
        <v>10</v>
      </c>
      <c r="J27">
        <f>'[88]2023 Q3'!R21</f>
        <v>0</v>
      </c>
      <c r="K27">
        <f>'[88]2023 Q3'!T21</f>
        <v>10</v>
      </c>
      <c r="L27">
        <f>'[88]2023 Q3'!V21</f>
        <v>10</v>
      </c>
      <c r="M27">
        <f>'[88]2023 Q3'!X21</f>
        <v>10</v>
      </c>
      <c r="N27" s="56">
        <f>'[88]2023 Q3'!Z21</f>
        <v>10</v>
      </c>
      <c r="O27">
        <f>'[88]2023 Q3'!AB21</f>
        <v>10</v>
      </c>
      <c r="P27">
        <f>'[88]2023 Q3'!AD21</f>
        <v>10</v>
      </c>
      <c r="Q27">
        <f>'[88]2023 Q3'!AF21</f>
        <v>0</v>
      </c>
      <c r="R27">
        <f t="shared" si="0"/>
        <v>0</v>
      </c>
      <c r="S27" s="55">
        <f>'[88]2023 Q3'!AI21</f>
        <v>45250</v>
      </c>
    </row>
    <row r="28" spans="1:19">
      <c r="A28" t="str">
        <f>'[88]2023 Q3'!A32</f>
        <v>11.20.2023</v>
      </c>
      <c r="B28" s="55" t="str">
        <f>'[88]2023 Q3'!B32</f>
        <v>Jordan Saulnier</v>
      </c>
      <c r="C28">
        <f>'[88]2023 Q3'!E32</f>
        <v>8</v>
      </c>
      <c r="D28">
        <f>'[88]2023 Q3'!F32</f>
        <v>9</v>
      </c>
      <c r="E28">
        <f>'[88]2023 Q3'!H32</f>
        <v>9</v>
      </c>
      <c r="F28">
        <f>'[88]2023 Q3'!J32</f>
        <v>9</v>
      </c>
      <c r="G28">
        <f>'[88]2023 Q3'!L32</f>
        <v>9</v>
      </c>
      <c r="H28">
        <f>'[88]2023 Q3'!N32</f>
        <v>9</v>
      </c>
      <c r="I28">
        <f>'[88]2023 Q3'!P32</f>
        <v>9</v>
      </c>
      <c r="J28">
        <f>'[88]2023 Q3'!R32</f>
        <v>9</v>
      </c>
      <c r="K28">
        <f>'[88]2023 Q3'!T32</f>
        <v>9</v>
      </c>
      <c r="L28">
        <f>'[88]2023 Q3'!V32</f>
        <v>9</v>
      </c>
      <c r="M28">
        <f>'[88]2023 Q3'!X32</f>
        <v>9</v>
      </c>
      <c r="N28" s="56">
        <f>'[88]2023 Q3'!Z32</f>
        <v>9</v>
      </c>
      <c r="O28">
        <f>'[88]2023 Q3'!AB32</f>
        <v>9</v>
      </c>
      <c r="P28">
        <f>'[88]2023 Q3'!AD32</f>
        <v>9</v>
      </c>
      <c r="Q28">
        <f>'[88]2023 Q3'!AF32</f>
        <v>9</v>
      </c>
      <c r="R28">
        <f t="shared" si="0"/>
        <v>9</v>
      </c>
      <c r="S28" s="55">
        <f>'[88]2023 Q3'!AI32</f>
        <v>45265</v>
      </c>
    </row>
    <row r="29" spans="1:19" hidden="1">
      <c r="A29" t="str">
        <f>'[88]2023 Q3'!A32</f>
        <v>11.20.2023</v>
      </c>
      <c r="B29" s="55" t="s">
        <v>44</v>
      </c>
      <c r="C29">
        <f>'[88]2023 Q3'!E32</f>
        <v>8</v>
      </c>
      <c r="D29">
        <f>'[88]2023 Q3'!F32</f>
        <v>9</v>
      </c>
      <c r="E29">
        <f>'[88]2023 Q3'!H32</f>
        <v>9</v>
      </c>
      <c r="F29">
        <f>'[88]2023 Q3'!J32</f>
        <v>9</v>
      </c>
      <c r="G29">
        <f>'[88]2023 Q3'!L32</f>
        <v>9</v>
      </c>
      <c r="H29">
        <f>'[88]2023 Q3'!N32</f>
        <v>9</v>
      </c>
      <c r="I29">
        <f>'[88]2023 Q3'!P32</f>
        <v>9</v>
      </c>
      <c r="J29">
        <f>'[88]2023 Q3'!R32</f>
        <v>9</v>
      </c>
      <c r="K29">
        <f>'[88]2023 Q3'!T32</f>
        <v>9</v>
      </c>
      <c r="L29">
        <f>'[88]2023 Q3'!V32</f>
        <v>9</v>
      </c>
      <c r="M29">
        <f>'[88]2023 Q3'!X32</f>
        <v>9</v>
      </c>
      <c r="N29" s="56">
        <f>'[88]2023 Q3'!Z32</f>
        <v>9</v>
      </c>
      <c r="O29">
        <f>'[88]2023 Q3'!AB32</f>
        <v>9</v>
      </c>
      <c r="P29">
        <f>'[88]2023 Q3'!AD32</f>
        <v>9</v>
      </c>
      <c r="Q29">
        <f>'[88]2023 Q3'!AF32</f>
        <v>9</v>
      </c>
      <c r="R29">
        <f t="shared" ref="R29" si="1">MIN(D29:P29)</f>
        <v>9</v>
      </c>
      <c r="S29" s="55">
        <f>'[88]2023 Q3'!AI32</f>
        <v>45265</v>
      </c>
    </row>
    <row r="30" spans="1:19" hidden="1">
      <c r="A30" t="str">
        <f>'[88]2023 Q3'!A42</f>
        <v>11.27.2023</v>
      </c>
      <c r="B30" s="55" t="str">
        <f>'[88]2023 Q3'!B42</f>
        <v>Ruschel Bartolome</v>
      </c>
      <c r="C30">
        <f>'[88]2023 Q3'!E42</f>
        <v>10</v>
      </c>
      <c r="D30">
        <f>'[88]2023 Q3'!F42</f>
        <v>10</v>
      </c>
      <c r="E30">
        <f>'[88]2023 Q3'!H42</f>
        <v>10</v>
      </c>
      <c r="F30">
        <f>'[88]2023 Q3'!J42</f>
        <v>10</v>
      </c>
      <c r="G30">
        <f>'[88]2023 Q3'!L42</f>
        <v>10</v>
      </c>
      <c r="H30">
        <f>'[88]2023 Q3'!N42</f>
        <v>10</v>
      </c>
      <c r="I30">
        <f>'[88]2023 Q3'!P42</f>
        <v>10</v>
      </c>
      <c r="J30">
        <f>'[88]2023 Q3'!R42</f>
        <v>10</v>
      </c>
      <c r="K30">
        <f>'[88]2023 Q3'!T42</f>
        <v>10</v>
      </c>
      <c r="L30">
        <f>'[88]2023 Q3'!V42</f>
        <v>10</v>
      </c>
      <c r="M30">
        <f>'[88]2023 Q3'!X42</f>
        <v>10</v>
      </c>
      <c r="N30" s="56">
        <f>'[88]2023 Q3'!Z42</f>
        <v>10</v>
      </c>
      <c r="O30">
        <f>'[88]2023 Q3'!AB42</f>
        <v>10</v>
      </c>
      <c r="P30">
        <f>'[88]2023 Q3'!AD42</f>
        <v>10</v>
      </c>
      <c r="Q30">
        <f>'[88]2023 Q3'!AF42</f>
        <v>10</v>
      </c>
      <c r="R30">
        <f t="shared" si="0"/>
        <v>10</v>
      </c>
      <c r="S30" s="55" t="str">
        <f>'[88]2023 Q3'!AI42</f>
        <v>12/13/2023</v>
      </c>
    </row>
    <row r="31" spans="1:19" hidden="1">
      <c r="A31" t="str">
        <f>'[88]HomeTrust Compliance'!A2</f>
        <v>04.03.2023</v>
      </c>
      <c r="B31" t="str">
        <f>'[88]HomeTrust Compliance'!B3</f>
        <v>Debbie Anthony</v>
      </c>
      <c r="C31">
        <f>'[88]HomeTrust Compliance'!E2</f>
        <v>3</v>
      </c>
      <c r="D31">
        <f>'[88]HomeTrust Compliance'!F2</f>
        <v>3</v>
      </c>
      <c r="E31">
        <f>'[88]HomeTrust Compliance'!H2</f>
        <v>3</v>
      </c>
      <c r="F31">
        <f>'[88]HomeTrust Compliance'!J2</f>
        <v>3</v>
      </c>
      <c r="G31">
        <f>'[88]HomeTrust Compliance'!L2</f>
        <v>3</v>
      </c>
      <c r="H31">
        <f>'[88]HomeTrust Compliance'!N2</f>
        <v>3</v>
      </c>
      <c r="I31">
        <f>'[88]HomeTrust Compliance'!P2</f>
        <v>3</v>
      </c>
      <c r="K31">
        <f>'[88]HomeTrust Compliance'!R2</f>
        <v>3</v>
      </c>
      <c r="L31">
        <f>'[88]HomeTrust Compliance'!T2</f>
        <v>3</v>
      </c>
      <c r="P31">
        <f>'[88]HomeTrust Compliance'!W2</f>
        <v>3</v>
      </c>
      <c r="Q31">
        <f>'[88]2023 Q1'!R30</f>
        <v>0</v>
      </c>
      <c r="R31">
        <f t="shared" si="0"/>
        <v>3</v>
      </c>
      <c r="S31" s="55">
        <f>'[88]2023 Q1'!S30</f>
        <v>45061</v>
      </c>
    </row>
    <row r="32" spans="1:19" hidden="1">
      <c r="A32" t="str">
        <f>'[88]HomeTrust Compliance'!A6</f>
        <v>06.12.2023</v>
      </c>
      <c r="B32" t="str">
        <f>'[88]HomeTrust Compliance'!B7</f>
        <v>Debbie Anthony</v>
      </c>
      <c r="C32">
        <f>'[88]HomeTrust Compliance'!E6</f>
        <v>1</v>
      </c>
      <c r="D32">
        <f>'[88]HomeTrust Compliance'!F6</f>
        <v>2</v>
      </c>
      <c r="E32">
        <f>'[88]HomeTrust Compliance'!H6</f>
        <v>2</v>
      </c>
      <c r="F32">
        <f>'[88]HomeTrust Compliance'!J6</f>
        <v>2</v>
      </c>
      <c r="G32">
        <f>'[88]HomeTrust Compliance'!L6</f>
        <v>2</v>
      </c>
      <c r="H32">
        <f>'[88]HomeTrust Compliance'!N6</f>
        <v>2</v>
      </c>
      <c r="I32">
        <f>'[88]HomeTrust Compliance'!P6</f>
        <v>2</v>
      </c>
      <c r="K32">
        <f>'[88]HomeTrust Compliance'!R6</f>
        <v>2</v>
      </c>
      <c r="L32">
        <f>'[88]HomeTrust Compliance'!T6</f>
        <v>2</v>
      </c>
      <c r="P32">
        <f>'[88]HomeTrust Compliance'!W6</f>
        <v>2</v>
      </c>
      <c r="R32">
        <f t="shared" si="0"/>
        <v>2</v>
      </c>
      <c r="S32" s="55">
        <f>'[88]2023 Q1'!S34</f>
        <v>1</v>
      </c>
    </row>
    <row r="33" spans="1:19" hidden="1">
      <c r="A33" t="str">
        <f>'[88]HomeTrust Compliance'!A9</f>
        <v>08.01.2023</v>
      </c>
      <c r="B33" t="str">
        <f>'[88]HomeTrust Compliance'!B10</f>
        <v>Debbie Anthony</v>
      </c>
      <c r="C33">
        <f>'[88]HomeTrust Compliance'!E9</f>
        <v>1</v>
      </c>
      <c r="D33">
        <f>'[88]HomeTrust Compliance'!F9</f>
        <v>2</v>
      </c>
      <c r="E33">
        <f>'[88]HomeTrust Compliance'!H9</f>
        <v>2</v>
      </c>
      <c r="F33">
        <f>'[88]HomeTrust Compliance'!J9</f>
        <v>2</v>
      </c>
      <c r="G33">
        <f>'[88]HomeTrust Compliance'!L9</f>
        <v>2</v>
      </c>
      <c r="H33">
        <f>'[88]HomeTrust Compliance'!N9</f>
        <v>2</v>
      </c>
      <c r="I33">
        <f>'[88]HomeTrust Compliance'!P9</f>
        <v>2</v>
      </c>
      <c r="K33">
        <f>'[88]HomeTrust Compliance'!R9</f>
        <v>2</v>
      </c>
      <c r="L33">
        <f>'[88]HomeTrust Compliance'!T9</f>
        <v>2</v>
      </c>
      <c r="P33">
        <f>'[88]HomeTrust Compliance'!W9</f>
        <v>2</v>
      </c>
      <c r="R33">
        <f t="shared" si="0"/>
        <v>2</v>
      </c>
      <c r="S33" s="55">
        <f>'[88]2023 Q1'!S37</f>
        <v>45072</v>
      </c>
    </row>
    <row r="34" spans="1:19" hidden="1">
      <c r="A34" t="str">
        <f>'[88]HomeTrust Compliance'!A12</f>
        <v>10.02.2023</v>
      </c>
      <c r="B34" t="str">
        <f>'[88]HomeTrust Compliance'!B13</f>
        <v>Debbie Anthony</v>
      </c>
      <c r="C34">
        <f>'[88]HomeTrust Compliance'!E12</f>
        <v>3</v>
      </c>
      <c r="D34">
        <f>'[88]HomeTrust Compliance'!F12</f>
        <v>3</v>
      </c>
      <c r="E34">
        <f>'[88]HomeTrust Compliance'!H12</f>
        <v>3</v>
      </c>
      <c r="F34">
        <f>'[88]HomeTrust Compliance'!J12</f>
        <v>3</v>
      </c>
      <c r="G34">
        <f>'[88]HomeTrust Compliance'!L12</f>
        <v>3</v>
      </c>
      <c r="H34">
        <f>'[88]HomeTrust Compliance'!N12</f>
        <v>3</v>
      </c>
      <c r="I34">
        <f>'[88]HomeTrust Compliance'!P12</f>
        <v>3</v>
      </c>
      <c r="K34">
        <f>'[88]HomeTrust Compliance'!R12</f>
        <v>3</v>
      </c>
      <c r="L34">
        <f>'[88]HomeTrust Compliance'!T12</f>
        <v>3</v>
      </c>
      <c r="P34">
        <f>'[88]HomeTrust Compliance'!W12</f>
        <v>3</v>
      </c>
      <c r="R34">
        <f t="shared" si="0"/>
        <v>3</v>
      </c>
      <c r="S34" s="55">
        <f>'[88]2023 Q1'!S40</f>
        <v>45072</v>
      </c>
    </row>
    <row r="35" spans="1:19" hidden="1">
      <c r="A35" t="str">
        <f>'[88]HomeTrust Compliance'!A16</f>
        <v>11.20.2023</v>
      </c>
      <c r="B35" t="str">
        <f>'[88]HomeTrust Compliance'!B17</f>
        <v>Debbie Anthony</v>
      </c>
      <c r="C35">
        <f>'[88]HomeTrust Compliance'!E16</f>
        <v>2</v>
      </c>
      <c r="D35">
        <f>'[88]HomeTrust Compliance'!F16</f>
        <v>2</v>
      </c>
      <c r="E35">
        <f>'[88]HomeTrust Compliance'!H16</f>
        <v>2</v>
      </c>
      <c r="F35">
        <f>'[88]HomeTrust Compliance'!J16</f>
        <v>2</v>
      </c>
      <c r="G35">
        <f>'[88]HomeTrust Compliance'!L16</f>
        <v>2</v>
      </c>
      <c r="H35">
        <f>'[88]HomeTrust Compliance'!N16</f>
        <v>2</v>
      </c>
      <c r="I35">
        <f>'[88]HomeTrust Compliance'!P16</f>
        <v>2</v>
      </c>
      <c r="K35">
        <f>'[88]HomeTrust Compliance'!R16</f>
        <v>2</v>
      </c>
      <c r="L35">
        <f>'[88]HomeTrust Compliance'!T16</f>
        <v>2</v>
      </c>
      <c r="P35">
        <f>'[88]HomeTrust Compliance'!W16</f>
        <v>2</v>
      </c>
      <c r="R35">
        <f t="shared" si="0"/>
        <v>2</v>
      </c>
      <c r="S35" s="55">
        <f>'[88]2023 Q1'!S44</f>
        <v>45072</v>
      </c>
    </row>
    <row r="36" spans="1:19" hidden="1">
      <c r="A36" t="str">
        <f>[88]Laurentian!A2</f>
        <v>08.10.2023</v>
      </c>
      <c r="B36" t="str">
        <f>[88]Laurentian!B3</f>
        <v>Stephany Chavez</v>
      </c>
      <c r="C36">
        <f>[88]Laurentian!E2</f>
        <v>13</v>
      </c>
      <c r="D36">
        <f>[88]Laurentian!F2</f>
        <v>0</v>
      </c>
      <c r="E36">
        <f>[88]Laurentian!G2</f>
        <v>0</v>
      </c>
      <c r="F36">
        <f>[88]Laurentian!H2</f>
        <v>0</v>
      </c>
      <c r="G36">
        <f>[88]Laurentian!I2</f>
        <v>0</v>
      </c>
      <c r="H36">
        <f>[88]Laurentian!J2</f>
        <v>0</v>
      </c>
      <c r="I36">
        <f>[88]Laurentian!K2</f>
        <v>0</v>
      </c>
      <c r="K36">
        <f>[88]Laurentian!L2</f>
        <v>0</v>
      </c>
      <c r="L36">
        <f>[88]Laurentian!M2</f>
        <v>0</v>
      </c>
      <c r="P36">
        <f>[88]Laurentian!N2</f>
        <v>0</v>
      </c>
      <c r="R36">
        <f t="shared" si="0"/>
        <v>0</v>
      </c>
      <c r="S36" s="55">
        <f>'[88]2023 Q1'!S35</f>
        <v>45075</v>
      </c>
    </row>
    <row r="37" spans="1:19" hidden="1">
      <c r="A37" t="str">
        <f>[88]Laurentian!A18</f>
        <v>08.14.2023</v>
      </c>
      <c r="B37" t="s">
        <v>1189</v>
      </c>
      <c r="C37">
        <f>[88]Laurentian!E18</f>
        <v>11</v>
      </c>
      <c r="D37">
        <f>[88]Laurentian!F18</f>
        <v>8</v>
      </c>
      <c r="E37">
        <f>[88]Laurentian!G18</f>
        <v>11</v>
      </c>
      <c r="F37">
        <f>[88]Laurentian!H18</f>
        <v>9</v>
      </c>
      <c r="G37">
        <f>[88]Laurentian!I18</f>
        <v>9</v>
      </c>
      <c r="H37">
        <f>[88]Laurentian!J18</f>
        <v>10</v>
      </c>
      <c r="I37">
        <f>[88]Laurentian!K18</f>
        <v>9</v>
      </c>
      <c r="K37">
        <f>[88]Laurentian!L18</f>
        <v>0</v>
      </c>
      <c r="L37">
        <f>[88]Laurentian!M18</f>
        <v>10</v>
      </c>
      <c r="P37">
        <f>[88]Laurentian!N18</f>
        <v>9</v>
      </c>
      <c r="R37">
        <f t="shared" si="0"/>
        <v>0</v>
      </c>
      <c r="S37" s="55">
        <f>'[88]2023 Q1'!S51</f>
        <v>45079</v>
      </c>
    </row>
    <row r="38" spans="1:19" hidden="1">
      <c r="A38" t="str">
        <f>[88]Laurentian!A38</f>
        <v>9.20.2023</v>
      </c>
      <c r="B38" t="s">
        <v>1189</v>
      </c>
      <c r="C38">
        <f>[88]Laurentian!E38</f>
        <v>13</v>
      </c>
      <c r="D38">
        <f>[88]Laurentian!F38</f>
        <v>3</v>
      </c>
      <c r="E38">
        <f>[88]Laurentian!G38</f>
        <v>3</v>
      </c>
      <c r="F38">
        <f>[88]Laurentian!H38</f>
        <v>3</v>
      </c>
      <c r="G38">
        <f>[88]Laurentian!I38</f>
        <v>3</v>
      </c>
      <c r="H38">
        <f>[88]Laurentian!J38</f>
        <v>4</v>
      </c>
      <c r="I38">
        <f>[88]Laurentian!K38</f>
        <v>6</v>
      </c>
      <c r="K38">
        <f>[88]Laurentian!L38</f>
        <v>0</v>
      </c>
      <c r="L38">
        <f>[88]Laurentian!M38</f>
        <v>3</v>
      </c>
      <c r="P38">
        <f>[88]Laurentian!N38</f>
        <v>5</v>
      </c>
      <c r="R38">
        <f t="shared" si="0"/>
        <v>0</v>
      </c>
    </row>
    <row r="39" spans="1:19" hidden="1">
      <c r="A39" t="str">
        <f>[88]Laurentian!A57</f>
        <v>10.16.2023</v>
      </c>
      <c r="B39" t="s">
        <v>1189</v>
      </c>
      <c r="C39">
        <f>[88]Laurentian!E57</f>
        <v>11</v>
      </c>
      <c r="D39">
        <f>[88]Laurentian!F57</f>
        <v>10</v>
      </c>
      <c r="E39">
        <f>[88]Laurentian!G57</f>
        <v>10</v>
      </c>
      <c r="F39">
        <f>[88]Laurentian!H57</f>
        <v>10</v>
      </c>
      <c r="G39">
        <f>[88]Laurentian!I57</f>
        <v>10</v>
      </c>
      <c r="H39">
        <f>[88]Laurentian!J57</f>
        <v>10</v>
      </c>
      <c r="I39">
        <f>[88]Laurentian!K57</f>
        <v>10</v>
      </c>
      <c r="K39">
        <f>[88]Laurentian!L57</f>
        <v>0</v>
      </c>
      <c r="L39">
        <f>[88]Laurentian!M57</f>
        <v>10</v>
      </c>
      <c r="P39">
        <f>[88]Laurentian!N57</f>
        <v>10</v>
      </c>
      <c r="R39">
        <f t="shared" si="0"/>
        <v>0</v>
      </c>
    </row>
    <row r="40" spans="1:19" hidden="1">
      <c r="A40" t="str">
        <f>'[88]2024 Q4'!A2</f>
        <v>01.29.2024</v>
      </c>
      <c r="B40" t="str">
        <f>'[88]2024 Q4'!B2</f>
        <v>Rowena Lasala</v>
      </c>
      <c r="C40">
        <f>'[88]2024 Q4'!E2</f>
        <v>5</v>
      </c>
      <c r="D40">
        <f>'[88]2024 Q4'!F2</f>
        <v>7</v>
      </c>
      <c r="E40">
        <f>'[88]2024 Q4'!H2</f>
        <v>7</v>
      </c>
      <c r="F40">
        <f>'[88]2024 Q4'!J2</f>
        <v>8</v>
      </c>
      <c r="G40">
        <f>'[88]2024 Q4'!L2</f>
        <v>8</v>
      </c>
      <c r="H40">
        <f>'[88]2024 Q4'!N2</f>
        <v>7</v>
      </c>
      <c r="I40">
        <f>'[88]2024 Q4'!P2</f>
        <v>7</v>
      </c>
      <c r="J40">
        <f>'[88]2024 Q4'!R2</f>
        <v>7</v>
      </c>
      <c r="K40">
        <f>'[88]2024 Q4'!T2</f>
        <v>7</v>
      </c>
      <c r="L40" s="56">
        <f>'[88]2024 Q4'!V2</f>
        <v>8</v>
      </c>
      <c r="M40">
        <f>'[88]2024 Q4'!X2</f>
        <v>6</v>
      </c>
      <c r="N40" s="56">
        <f>'[88]2024 Q4'!Z2</f>
        <v>7</v>
      </c>
      <c r="O40">
        <f>'[88]2024 Q4'!AB2</f>
        <v>6</v>
      </c>
      <c r="P40">
        <f>'[88]2024 Q4'!AD2</f>
        <v>7</v>
      </c>
      <c r="Q40">
        <f>'[88]2024 Q4'!AF2</f>
        <v>7</v>
      </c>
      <c r="R40">
        <f>MIN(D40:Q40)</f>
        <v>6</v>
      </c>
      <c r="S40" s="55">
        <f>'[88]2024 Q4'!AI2</f>
        <v>45336</v>
      </c>
    </row>
    <row r="41" spans="1:19" hidden="1">
      <c r="A41" t="str">
        <f>'[88]2024 Q4'!A2</f>
        <v>01.29.2024</v>
      </c>
      <c r="B41" t="str">
        <f>'[88]2024 Q4'!C2</f>
        <v>Maria Skubiszewska</v>
      </c>
      <c r="C41">
        <f>'[88]2024 Q4'!E2</f>
        <v>5</v>
      </c>
      <c r="D41">
        <f>'[88]2024 Q4'!F2</f>
        <v>7</v>
      </c>
      <c r="E41">
        <f>'[88]2024 Q4'!H2</f>
        <v>7</v>
      </c>
      <c r="F41">
        <f>'[88]2024 Q4'!J2</f>
        <v>8</v>
      </c>
      <c r="G41">
        <f>'[88]2024 Q4'!L2</f>
        <v>8</v>
      </c>
      <c r="H41">
        <f>'[88]2024 Q4'!N2</f>
        <v>7</v>
      </c>
      <c r="I41">
        <f>'[88]2024 Q4'!P2</f>
        <v>7</v>
      </c>
      <c r="J41">
        <f>'[88]2024 Q4'!R2</f>
        <v>7</v>
      </c>
      <c r="K41">
        <f>'[88]2024 Q4'!T2</f>
        <v>7</v>
      </c>
      <c r="L41" s="56">
        <f>'[88]2024 Q4'!V2</f>
        <v>8</v>
      </c>
      <c r="M41">
        <f>'[88]2024 Q4'!X2</f>
        <v>6</v>
      </c>
      <c r="N41" s="56">
        <f>'[88]2024 Q4'!Z2</f>
        <v>7</v>
      </c>
      <c r="O41">
        <f>'[88]2024 Q4'!AB2</f>
        <v>6</v>
      </c>
      <c r="P41">
        <f>'[88]2024 Q4'!AD2</f>
        <v>7</v>
      </c>
      <c r="Q41">
        <f>'[88]2024 Q4'!AF2</f>
        <v>7</v>
      </c>
      <c r="R41">
        <f t="shared" ref="R41:R50" si="2">MIN(D41:Q41)</f>
        <v>6</v>
      </c>
      <c r="S41" s="55">
        <f>'[88]2024 Q4'!AI2</f>
        <v>45336</v>
      </c>
    </row>
    <row r="42" spans="1:19">
      <c r="A42" t="str">
        <f>'[88]2024 Q4'!A15</f>
        <v>01.29.2024</v>
      </c>
      <c r="B42" t="str">
        <f>'[88]2024 Q4'!B15</f>
        <v>Jordan Saulnier</v>
      </c>
      <c r="C42">
        <f>'[88]2024 Q4'!E15</f>
        <v>6</v>
      </c>
      <c r="D42">
        <f>'[88]2024 Q4'!F15</f>
        <v>8</v>
      </c>
      <c r="E42">
        <f>'[88]2024 Q4'!H15</f>
        <v>8</v>
      </c>
      <c r="F42">
        <f>'[88]2024 Q4'!J15</f>
        <v>8</v>
      </c>
      <c r="G42">
        <f>'[88]2024 Q4'!L15</f>
        <v>8</v>
      </c>
      <c r="H42">
        <f>'[88]2024 Q4'!N15</f>
        <v>8</v>
      </c>
      <c r="I42">
        <f>'[88]2024 Q4'!P15</f>
        <v>8</v>
      </c>
      <c r="J42">
        <f>'[88]2024 Q4'!R15</f>
        <v>8</v>
      </c>
      <c r="K42">
        <f>'[88]2024 Q4'!T15</f>
        <v>8</v>
      </c>
      <c r="L42" s="56">
        <f>'[88]2024 Q4'!V15</f>
        <v>8</v>
      </c>
      <c r="M42">
        <f>'[88]2024 Q4'!X15</f>
        <v>7</v>
      </c>
      <c r="N42" s="56">
        <f>'[88]2024 Q4'!Z15</f>
        <v>8</v>
      </c>
      <c r="O42">
        <f>'[88]2024 Q4'!AB15</f>
        <v>7</v>
      </c>
      <c r="P42">
        <f>'[88]2024 Q4'!AD15</f>
        <v>7</v>
      </c>
      <c r="Q42">
        <f>'[88]2024 Q4'!AF15</f>
        <v>8</v>
      </c>
      <c r="R42">
        <f t="shared" si="2"/>
        <v>7</v>
      </c>
      <c r="S42" s="55">
        <f>'[88]2024 Q4'!AI15</f>
        <v>45336</v>
      </c>
    </row>
    <row r="43" spans="1:19" hidden="1">
      <c r="A43" t="str">
        <f>'[88]2024 Q4'!A15</f>
        <v>01.29.2024</v>
      </c>
      <c r="B43" t="str">
        <f>'[88]2024 Q4'!C15</f>
        <v>Kristi Stead</v>
      </c>
      <c r="C43">
        <f>'[88]2024 Q4'!E15</f>
        <v>6</v>
      </c>
      <c r="D43">
        <f>'[88]2024 Q4'!F15</f>
        <v>8</v>
      </c>
      <c r="E43">
        <f>'[88]2024 Q4'!H15</f>
        <v>8</v>
      </c>
      <c r="F43">
        <f>'[88]2024 Q4'!J15</f>
        <v>8</v>
      </c>
      <c r="G43">
        <f>'[88]2024 Q4'!L15</f>
        <v>8</v>
      </c>
      <c r="H43">
        <f>'[88]2024 Q4'!N15</f>
        <v>8</v>
      </c>
      <c r="I43">
        <f>'[88]2024 Q4'!P15</f>
        <v>8</v>
      </c>
      <c r="J43">
        <f>'[88]2024 Q4'!R15</f>
        <v>8</v>
      </c>
      <c r="K43">
        <f>'[88]2024 Q4'!T15</f>
        <v>8</v>
      </c>
      <c r="L43" s="56">
        <f>'[88]2024 Q4'!V15</f>
        <v>8</v>
      </c>
      <c r="M43">
        <f>'[88]2024 Q4'!X15</f>
        <v>7</v>
      </c>
      <c r="N43" s="56">
        <f>'[88]2024 Q4'!Z15</f>
        <v>8</v>
      </c>
      <c r="O43">
        <f>'[88]2024 Q4'!AB15</f>
        <v>7</v>
      </c>
      <c r="P43">
        <f>'[88]2024 Q4'!AD15</f>
        <v>7</v>
      </c>
      <c r="Q43">
        <f>'[88]2024 Q4'!AF15</f>
        <v>8</v>
      </c>
      <c r="R43">
        <f t="shared" si="2"/>
        <v>7</v>
      </c>
      <c r="S43" s="55">
        <f>'[88]2024 Q4'!AI15</f>
        <v>45336</v>
      </c>
    </row>
    <row r="44" spans="1:19" hidden="1">
      <c r="A44" t="str">
        <f>'[88]2024 Q4'!A25</f>
        <v>02.05.2024</v>
      </c>
      <c r="B44" t="str">
        <f>'[88]2024 Q4'!B25</f>
        <v>Dave Lim</v>
      </c>
      <c r="C44">
        <f>'[88]2024 Q4'!E25</f>
        <v>6</v>
      </c>
      <c r="D44">
        <f>'[88]2024 Q4'!F25</f>
        <v>9</v>
      </c>
      <c r="E44">
        <f>'[88]2024 Q4'!H25</f>
        <v>9</v>
      </c>
      <c r="F44">
        <f>'[88]2024 Q4'!J25</f>
        <v>9</v>
      </c>
      <c r="G44">
        <f>'[88]2024 Q4'!L25</f>
        <v>9</v>
      </c>
      <c r="H44">
        <f>'[88]2024 Q4'!N25</f>
        <v>9</v>
      </c>
      <c r="I44">
        <f>'[88]2024 Q4'!P25</f>
        <v>9</v>
      </c>
      <c r="J44">
        <f>'[88]2024 Q4'!R25</f>
        <v>9</v>
      </c>
      <c r="K44">
        <f>'[88]2024 Q4'!T25</f>
        <v>9</v>
      </c>
      <c r="L44" s="56">
        <f>'[88]2024 Q4'!V25</f>
        <v>9</v>
      </c>
      <c r="M44">
        <f>'[88]2024 Q4'!X25</f>
        <v>9</v>
      </c>
      <c r="N44" s="56">
        <f>'[88]2024 Q4'!Z25</f>
        <v>9</v>
      </c>
      <c r="O44">
        <f>'[88]2024 Q4'!AB25</f>
        <v>9</v>
      </c>
      <c r="P44">
        <f>'[88]2024 Q4'!AD25</f>
        <v>9</v>
      </c>
      <c r="Q44">
        <f>'[88]2024 Q4'!AF25</f>
        <v>9</v>
      </c>
      <c r="R44">
        <f t="shared" si="2"/>
        <v>9</v>
      </c>
      <c r="S44" s="55">
        <f>'[88]2024 Q4'!AI25</f>
        <v>45343</v>
      </c>
    </row>
    <row r="45" spans="1:19" hidden="1">
      <c r="A45" t="str">
        <f>'[88]2024 Q4'!A25</f>
        <v>02.05.2024</v>
      </c>
      <c r="B45" t="str">
        <f>'[88]2024 Q4'!C25</f>
        <v>Siya Nugent</v>
      </c>
      <c r="C45">
        <f>'[88]2024 Q4'!E25</f>
        <v>6</v>
      </c>
      <c r="D45">
        <f>'[88]2024 Q4'!F25</f>
        <v>9</v>
      </c>
      <c r="E45">
        <f>'[88]2024 Q4'!H25</f>
        <v>9</v>
      </c>
      <c r="F45">
        <f>'[88]2024 Q4'!J25</f>
        <v>9</v>
      </c>
      <c r="G45">
        <f>'[88]2024 Q4'!L25</f>
        <v>9</v>
      </c>
      <c r="H45">
        <f>'[88]2024 Q4'!N25</f>
        <v>9</v>
      </c>
      <c r="I45">
        <f>'[88]2024 Q4'!P25</f>
        <v>9</v>
      </c>
      <c r="J45">
        <f>'[88]2024 Q4'!R25</f>
        <v>9</v>
      </c>
      <c r="K45">
        <f>'[88]2024 Q4'!T25</f>
        <v>9</v>
      </c>
      <c r="L45" s="56">
        <f>'[88]2024 Q4'!V25</f>
        <v>9</v>
      </c>
      <c r="M45">
        <f>'[88]2024 Q4'!X25</f>
        <v>9</v>
      </c>
      <c r="N45" s="56">
        <f>'[88]2024 Q4'!Z25</f>
        <v>9</v>
      </c>
      <c r="O45">
        <f>'[88]2024 Q4'!AB25</f>
        <v>9</v>
      </c>
      <c r="P45">
        <f>'[88]2024 Q4'!AD25</f>
        <v>9</v>
      </c>
      <c r="Q45">
        <f>'[88]2024 Q4'!AF25</f>
        <v>9</v>
      </c>
      <c r="R45">
        <f t="shared" si="2"/>
        <v>9</v>
      </c>
      <c r="S45" s="55">
        <f>'[88]2024 Q4'!AI25</f>
        <v>45343</v>
      </c>
    </row>
    <row r="46" spans="1:19" hidden="1">
      <c r="A46" t="str">
        <f>'[88]2024 Q4'!A38</f>
        <v>02.12.2024</v>
      </c>
      <c r="B46" t="str">
        <f>'[88]2024 Q4'!B38</f>
        <v>Kristi Stead</v>
      </c>
      <c r="C46">
        <f>'[88]2024 Q4'!E38</f>
        <v>8</v>
      </c>
      <c r="D46">
        <f>'[88]2024 Q4'!F38</f>
        <v>8</v>
      </c>
      <c r="E46">
        <f>'[88]2024 Q4'!H38</f>
        <v>8</v>
      </c>
      <c r="F46">
        <f>'[88]2024 Q4'!J38</f>
        <v>8</v>
      </c>
      <c r="G46" s="56">
        <f>'[88]2024 Q4'!L38</f>
        <v>8</v>
      </c>
      <c r="H46">
        <f>'[88]2024 Q4'!N38</f>
        <v>8</v>
      </c>
      <c r="I46">
        <f>'[88]2024 Q4'!P38</f>
        <v>8</v>
      </c>
      <c r="J46">
        <f>'[88]2024 Q4'!R38</f>
        <v>8</v>
      </c>
      <c r="K46">
        <f>'[88]2024 Q4'!T38</f>
        <v>8</v>
      </c>
      <c r="L46" s="56">
        <f>'[88]2024 Q4'!V38</f>
        <v>8</v>
      </c>
      <c r="M46">
        <f>'[88]2024 Q4'!X38</f>
        <v>8</v>
      </c>
      <c r="N46" s="56">
        <f>'[88]2024 Q4'!Z38</f>
        <v>8</v>
      </c>
      <c r="O46">
        <f>'[88]2024 Q4'!AB38</f>
        <v>8</v>
      </c>
      <c r="P46">
        <f>'[88]2024 Q4'!AD38</f>
        <v>8</v>
      </c>
      <c r="Q46">
        <f>'[88]2024 Q4'!AF38</f>
        <v>8</v>
      </c>
      <c r="R46">
        <f t="shared" si="2"/>
        <v>8</v>
      </c>
      <c r="S46" s="55">
        <f>'[88]2024 Q4'!AI38</f>
        <v>45350</v>
      </c>
    </row>
    <row r="47" spans="1:19" hidden="1">
      <c r="A47" t="str">
        <f>'[88]2024 Q4'!A38</f>
        <v>02.12.2024</v>
      </c>
      <c r="B47" t="str">
        <f>'[88]2024 Q4'!C38</f>
        <v>Catherine Saigo</v>
      </c>
      <c r="C47">
        <f>'[88]2024 Q4'!E38</f>
        <v>8</v>
      </c>
      <c r="D47">
        <f>'[88]2024 Q4'!F38</f>
        <v>8</v>
      </c>
      <c r="E47">
        <f>'[88]2024 Q4'!H38</f>
        <v>8</v>
      </c>
      <c r="F47">
        <f>'[88]2024 Q4'!J38</f>
        <v>8</v>
      </c>
      <c r="G47" s="56">
        <f>'[88]2024 Q4'!L38</f>
        <v>8</v>
      </c>
      <c r="H47">
        <f>'[88]2024 Q4'!N38</f>
        <v>8</v>
      </c>
      <c r="I47">
        <f>'[88]2024 Q4'!P38</f>
        <v>8</v>
      </c>
      <c r="J47">
        <f>'[88]2024 Q4'!R38</f>
        <v>8</v>
      </c>
      <c r="K47">
        <f>'[88]2024 Q4'!T38</f>
        <v>8</v>
      </c>
      <c r="L47" s="56">
        <f>'[88]2024 Q4'!V38</f>
        <v>8</v>
      </c>
      <c r="M47">
        <f>'[88]2024 Q4'!X38</f>
        <v>8</v>
      </c>
      <c r="N47" s="56">
        <f>'[88]2024 Q4'!Z38</f>
        <v>8</v>
      </c>
      <c r="O47">
        <f>'[88]2024 Q4'!AB38</f>
        <v>8</v>
      </c>
      <c r="P47">
        <f>'[88]2024 Q4'!AD38</f>
        <v>8</v>
      </c>
      <c r="Q47">
        <f>'[88]2024 Q4'!AF38</f>
        <v>8</v>
      </c>
      <c r="R47">
        <f t="shared" si="2"/>
        <v>8</v>
      </c>
      <c r="S47" s="55">
        <f>'[88]2024 Q4'!AI38</f>
        <v>45350</v>
      </c>
    </row>
    <row r="48" spans="1:19" hidden="1">
      <c r="A48" t="str">
        <f>'[88]2024 Q4'!A54</f>
        <v>03.04.2024</v>
      </c>
      <c r="B48" t="str">
        <f>'[88]2024 Q4'!B54</f>
        <v>Gilisa Roberts</v>
      </c>
      <c r="C48">
        <f>'[88]2024 Q4'!E54</f>
        <v>7</v>
      </c>
      <c r="D48">
        <f>'[88]2024 Q4'!F54</f>
        <v>9</v>
      </c>
      <c r="E48">
        <f>'[88]2024 Q4'!H54</f>
        <v>6</v>
      </c>
      <c r="F48">
        <f>'[88]2024 Q4'!J54</f>
        <v>6</v>
      </c>
      <c r="G48" s="56">
        <f>'[88]2024 Q4'!L54</f>
        <v>6</v>
      </c>
      <c r="H48">
        <f>'[88]2024 Q4'!N54</f>
        <v>6</v>
      </c>
      <c r="I48">
        <f>'[88]2024 Q4'!P54</f>
        <v>6</v>
      </c>
      <c r="K48">
        <f>'[88]2024 Q4'!T54</f>
        <v>6</v>
      </c>
      <c r="L48" s="56">
        <f>'[88]2024 Q4'!V54</f>
        <v>6</v>
      </c>
      <c r="M48">
        <f>'[88]2024 Q4'!X54</f>
        <v>6</v>
      </c>
      <c r="N48" s="56">
        <f>'[88]2024 Q4'!Z54</f>
        <v>6</v>
      </c>
      <c r="O48">
        <f>'[88]2024 Q4'!AB54</f>
        <v>6</v>
      </c>
      <c r="P48">
        <f>'[88]2024 Q4'!AD54</f>
        <v>6</v>
      </c>
      <c r="Q48">
        <f>'[88]2024 Q4'!AF54</f>
        <v>6</v>
      </c>
      <c r="R48">
        <f t="shared" si="2"/>
        <v>6</v>
      </c>
      <c r="S48" s="55">
        <f>'[88]2024 Q4'!AI54</f>
        <v>45371</v>
      </c>
    </row>
    <row r="49" spans="1:19" hidden="1">
      <c r="A49" t="str">
        <f>'[88]2024 Q4'!A54</f>
        <v>03.04.2024</v>
      </c>
      <c r="B49" t="str">
        <f>'[88]2024 Q4'!C54</f>
        <v>Viena Lacena</v>
      </c>
      <c r="C49">
        <f>'[88]2024 Q4'!E54</f>
        <v>7</v>
      </c>
      <c r="D49">
        <f>'[88]2024 Q4'!F54</f>
        <v>9</v>
      </c>
      <c r="E49">
        <f>'[88]2024 Q4'!H54</f>
        <v>6</v>
      </c>
      <c r="F49">
        <f>'[88]2024 Q4'!J54</f>
        <v>6</v>
      </c>
      <c r="G49" s="56">
        <f>'[88]2024 Q4'!L54</f>
        <v>6</v>
      </c>
      <c r="H49">
        <f>'[88]2024 Q4'!N54</f>
        <v>6</v>
      </c>
      <c r="I49">
        <f>'[88]2024 Q4'!P54</f>
        <v>6</v>
      </c>
      <c r="K49">
        <f>'[88]2024 Q4'!T54</f>
        <v>6</v>
      </c>
      <c r="L49" s="56">
        <f>'[88]2024 Q4'!V54</f>
        <v>6</v>
      </c>
      <c r="M49">
        <f>'[88]2024 Q4'!X54</f>
        <v>6</v>
      </c>
      <c r="N49" s="56">
        <f>'[88]2024 Q4'!Z54</f>
        <v>6</v>
      </c>
      <c r="O49">
        <f>'[88]2024 Q4'!AB54</f>
        <v>6</v>
      </c>
      <c r="P49">
        <f>'[88]2024 Q4'!AD54</f>
        <v>6</v>
      </c>
      <c r="Q49">
        <f>'[88]2024 Q4'!AF54</f>
        <v>6</v>
      </c>
      <c r="R49">
        <f t="shared" si="2"/>
        <v>6</v>
      </c>
      <c r="S49" s="55">
        <f>'[88]2024 Q4'!AI54</f>
        <v>45371</v>
      </c>
    </row>
    <row r="50" spans="1:19" hidden="1">
      <c r="A50" t="str">
        <f>'[88]HomeTrust Compliance'!A19</f>
        <v>02.05.2024</v>
      </c>
      <c r="B50" t="str">
        <f>'[88]HomeTrust Compliance'!B19</f>
        <v>Debbie Anthony</v>
      </c>
      <c r="C50">
        <f>'[88]HomeTrust Compliance'!E19</f>
        <v>5</v>
      </c>
      <c r="D50">
        <f>'[88]HomeTrust Compliance'!F19</f>
        <v>6</v>
      </c>
      <c r="E50">
        <f>'[88]HomeTrust Compliance'!H19</f>
        <v>5</v>
      </c>
      <c r="F50">
        <f>'[88]HomeTrust Compliance'!J19</f>
        <v>5</v>
      </c>
      <c r="G50">
        <f>'[88]HomeTrust Compliance'!L19</f>
        <v>5</v>
      </c>
      <c r="H50">
        <f>'[88]HomeTrust Compliance'!N19</f>
        <v>5</v>
      </c>
      <c r="I50">
        <f>'[88]HomeTrust Compliance'!P19</f>
        <v>6</v>
      </c>
      <c r="K50">
        <f>'[88]HomeTrust Compliance'!R19</f>
        <v>5</v>
      </c>
      <c r="L50">
        <f>'[88]HomeTrust Compliance'!T19</f>
        <v>5</v>
      </c>
      <c r="P50">
        <f>'[88]HomeTrust Compliance'!W19</f>
        <v>6</v>
      </c>
      <c r="R50">
        <f t="shared" si="2"/>
        <v>5</v>
      </c>
      <c r="S50" s="45">
        <f>'[88]HomeTrust Compliance'!S19</f>
        <v>0</v>
      </c>
    </row>
    <row r="51" spans="1:19" hidden="1">
      <c r="A51" t="s">
        <v>1190</v>
      </c>
      <c r="B51" s="55" t="s">
        <v>41</v>
      </c>
      <c r="C51">
        <v>10</v>
      </c>
      <c r="D51">
        <v>10</v>
      </c>
      <c r="E51">
        <v>10</v>
      </c>
      <c r="F51">
        <v>10</v>
      </c>
      <c r="G51">
        <v>10</v>
      </c>
      <c r="H51">
        <v>10</v>
      </c>
      <c r="I51">
        <v>10</v>
      </c>
      <c r="K51">
        <v>10</v>
      </c>
      <c r="L51">
        <v>10</v>
      </c>
      <c r="M51">
        <v>10</v>
      </c>
      <c r="N51">
        <v>10</v>
      </c>
      <c r="O51">
        <v>10</v>
      </c>
      <c r="P51">
        <v>10</v>
      </c>
      <c r="R51">
        <v>10</v>
      </c>
      <c r="S51" t="s">
        <v>1191</v>
      </c>
    </row>
    <row r="52" spans="1:19" hidden="1">
      <c r="A52" t="str">
        <f>[88]Laurentian!A38</f>
        <v>9.20.2023</v>
      </c>
      <c r="B52" t="s">
        <v>38</v>
      </c>
      <c r="C52">
        <f>[88]Laurentian!E38</f>
        <v>13</v>
      </c>
      <c r="D52">
        <f>[88]Laurentian!F38</f>
        <v>3</v>
      </c>
      <c r="E52">
        <f>[88]Laurentian!G38</f>
        <v>3</v>
      </c>
      <c r="F52">
        <f>[88]Laurentian!H38</f>
        <v>3</v>
      </c>
      <c r="G52">
        <f>[88]Laurentian!I38</f>
        <v>3</v>
      </c>
      <c r="H52">
        <f>[88]Laurentian!J38</f>
        <v>4</v>
      </c>
      <c r="I52">
        <f>[88]Laurentian!K38</f>
        <v>6</v>
      </c>
      <c r="K52">
        <f>[88]Laurentian!L38</f>
        <v>0</v>
      </c>
      <c r="L52">
        <f>[88]Laurentian!M38</f>
        <v>3</v>
      </c>
      <c r="P52">
        <f>[88]Laurentian!N38</f>
        <v>5</v>
      </c>
      <c r="R52">
        <f>MIN(D52:P52)</f>
        <v>0</v>
      </c>
    </row>
    <row r="53" spans="1:19" hidden="1">
      <c r="A53" t="str">
        <f>[88]Laurentian!A57</f>
        <v>10.16.2023</v>
      </c>
      <c r="B53" t="s">
        <v>38</v>
      </c>
      <c r="C53">
        <f>[88]Laurentian!E57</f>
        <v>11</v>
      </c>
      <c r="D53">
        <f>[88]Laurentian!F57</f>
        <v>10</v>
      </c>
      <c r="E53">
        <f>[88]Laurentian!G57</f>
        <v>10</v>
      </c>
      <c r="F53">
        <f>[88]Laurentian!H57</f>
        <v>10</v>
      </c>
      <c r="G53">
        <f>[88]Laurentian!I57</f>
        <v>10</v>
      </c>
      <c r="H53">
        <f>[88]Laurentian!J57</f>
        <v>10</v>
      </c>
      <c r="I53">
        <f>[88]Laurentian!K57</f>
        <v>10</v>
      </c>
      <c r="K53">
        <f>[88]Laurentian!L57</f>
        <v>0</v>
      </c>
      <c r="L53">
        <f>[88]Laurentian!M57</f>
        <v>10</v>
      </c>
      <c r="P53">
        <f>[88]Laurentian!N57</f>
        <v>10</v>
      </c>
      <c r="R53">
        <f>MIN(D53:P53)</f>
        <v>0</v>
      </c>
    </row>
    <row r="54" spans="1:19" hidden="1">
      <c r="A54" t="s">
        <v>1192</v>
      </c>
      <c r="B54" t="s">
        <v>41</v>
      </c>
      <c r="C54">
        <v>7</v>
      </c>
      <c r="D54">
        <v>7</v>
      </c>
      <c r="E54">
        <v>7</v>
      </c>
      <c r="F54">
        <v>7</v>
      </c>
      <c r="G54">
        <v>7</v>
      </c>
      <c r="H54">
        <v>7</v>
      </c>
      <c r="I54">
        <v>7</v>
      </c>
      <c r="K54">
        <v>7</v>
      </c>
      <c r="L54">
        <v>7</v>
      </c>
      <c r="M54">
        <v>7</v>
      </c>
      <c r="N54">
        <v>7</v>
      </c>
      <c r="O54">
        <v>7</v>
      </c>
      <c r="P54">
        <v>7</v>
      </c>
      <c r="R54">
        <v>7</v>
      </c>
      <c r="S54">
        <v>0</v>
      </c>
    </row>
    <row r="55" spans="1:19" hidden="1">
      <c r="A55" t="s">
        <v>1193</v>
      </c>
      <c r="B55" t="s">
        <v>32</v>
      </c>
      <c r="C55">
        <v>10</v>
      </c>
      <c r="D55">
        <v>10</v>
      </c>
      <c r="E55">
        <v>10</v>
      </c>
      <c r="F55">
        <v>10</v>
      </c>
      <c r="G55">
        <v>10</v>
      </c>
      <c r="H55">
        <v>10</v>
      </c>
      <c r="I55">
        <v>10</v>
      </c>
      <c r="J55">
        <v>10</v>
      </c>
      <c r="K55">
        <v>10</v>
      </c>
      <c r="L55">
        <v>10</v>
      </c>
      <c r="M55">
        <v>10</v>
      </c>
      <c r="N55">
        <v>10</v>
      </c>
      <c r="O55">
        <v>10</v>
      </c>
      <c r="P55">
        <v>10</v>
      </c>
      <c r="Q55">
        <v>10</v>
      </c>
      <c r="R55">
        <v>10</v>
      </c>
      <c r="S55" t="s">
        <v>1194</v>
      </c>
    </row>
    <row r="73" spans="1:16">
      <c r="A73">
        <f>[88]Laurentian!A88</f>
        <v>0</v>
      </c>
      <c r="B73">
        <f>[88]Laurentian!B89</f>
        <v>0</v>
      </c>
      <c r="C73">
        <f>[88]Laurentian!E88</f>
        <v>0</v>
      </c>
      <c r="D73">
        <f>[88]Laurentian!F88</f>
        <v>0</v>
      </c>
      <c r="E73">
        <f>[88]Laurentian!G88</f>
        <v>0</v>
      </c>
      <c r="F73">
        <f>[88]Laurentian!H88</f>
        <v>0</v>
      </c>
      <c r="G73">
        <f>[88]Laurentian!I88</f>
        <v>0</v>
      </c>
      <c r="H73">
        <f>[88]Laurentian!J88</f>
        <v>0</v>
      </c>
      <c r="I73">
        <f>[88]Laurentian!K88</f>
        <v>0</v>
      </c>
      <c r="K73">
        <f>[88]Laurentian!L88</f>
        <v>0</v>
      </c>
      <c r="L73">
        <f>[88]Laurentian!M88</f>
        <v>0</v>
      </c>
      <c r="P73">
        <f>[88]Laurentian!N88</f>
        <v>0</v>
      </c>
    </row>
    <row r="74" spans="1:16">
      <c r="A74">
        <f>[88]Laurentian!A89</f>
        <v>0</v>
      </c>
      <c r="B74">
        <f>[88]Laurentian!B90</f>
        <v>0</v>
      </c>
      <c r="C74">
        <f>[88]Laurentian!E89</f>
        <v>0</v>
      </c>
      <c r="D74">
        <f>[88]Laurentian!F89</f>
        <v>0</v>
      </c>
      <c r="E74">
        <f>[88]Laurentian!G89</f>
        <v>0</v>
      </c>
      <c r="F74">
        <f>[88]Laurentian!H89</f>
        <v>0</v>
      </c>
      <c r="G74">
        <f>[88]Laurentian!I89</f>
        <v>0</v>
      </c>
      <c r="H74">
        <f>[88]Laurentian!J89</f>
        <v>0</v>
      </c>
      <c r="I74">
        <f>[88]Laurentian!K89</f>
        <v>0</v>
      </c>
      <c r="K74">
        <f>[88]Laurentian!L89</f>
        <v>0</v>
      </c>
      <c r="L74">
        <f>[88]Laurentian!M89</f>
        <v>0</v>
      </c>
      <c r="P74">
        <f>[88]Laurentian!N89</f>
        <v>0</v>
      </c>
    </row>
    <row r="75" spans="1:16">
      <c r="A75">
        <f>[88]Laurentian!A90</f>
        <v>0</v>
      </c>
      <c r="B75">
        <f>[88]Laurentian!B91</f>
        <v>0</v>
      </c>
      <c r="C75">
        <f>[88]Laurentian!E90</f>
        <v>0</v>
      </c>
      <c r="D75">
        <f>[88]Laurentian!F90</f>
        <v>0</v>
      </c>
      <c r="E75">
        <f>[88]Laurentian!G90</f>
        <v>0</v>
      </c>
      <c r="F75">
        <f>[88]Laurentian!H90</f>
        <v>0</v>
      </c>
      <c r="G75">
        <f>[88]Laurentian!I90</f>
        <v>0</v>
      </c>
      <c r="H75">
        <f>[88]Laurentian!J90</f>
        <v>0</v>
      </c>
      <c r="I75">
        <f>[88]Laurentian!K90</f>
        <v>0</v>
      </c>
      <c r="K75">
        <f>[88]Laurentian!L90</f>
        <v>0</v>
      </c>
      <c r="L75">
        <f>[88]Laurentian!M90</f>
        <v>0</v>
      </c>
      <c r="P75">
        <f>[88]Laurentian!N90</f>
        <v>0</v>
      </c>
    </row>
    <row r="76" spans="1:16">
      <c r="A76">
        <f>[88]Laurentian!A91</f>
        <v>0</v>
      </c>
      <c r="B76">
        <f>[88]Laurentian!B92</f>
        <v>0</v>
      </c>
      <c r="C76">
        <f>[88]Laurentian!E91</f>
        <v>0</v>
      </c>
      <c r="D76">
        <f>[88]Laurentian!F91</f>
        <v>0</v>
      </c>
      <c r="E76">
        <f>[88]Laurentian!G91</f>
        <v>0</v>
      </c>
      <c r="F76">
        <f>[88]Laurentian!H91</f>
        <v>0</v>
      </c>
      <c r="G76">
        <f>[88]Laurentian!I91</f>
        <v>0</v>
      </c>
      <c r="H76">
        <f>[88]Laurentian!J91</f>
        <v>0</v>
      </c>
      <c r="I76">
        <f>[88]Laurentian!K91</f>
        <v>0</v>
      </c>
      <c r="K76">
        <f>[88]Laurentian!L91</f>
        <v>0</v>
      </c>
      <c r="L76">
        <f>[88]Laurentian!M91</f>
        <v>0</v>
      </c>
      <c r="P76">
        <f>[88]Laurentian!N91</f>
        <v>0</v>
      </c>
    </row>
  </sheetData>
  <autoFilter ref="A1:T55" xr:uid="{99B5CD29-F735-4F1D-9E07-32A299AF13B8}">
    <filterColumn colId="1">
      <filters>
        <filter val="Jordan Saulnier"/>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9965E-74D3-4926-ABDA-228496C5E397}">
  <dimension ref="A3:C24"/>
  <sheetViews>
    <sheetView workbookViewId="0">
      <selection activeCell="C16" sqref="C16"/>
    </sheetView>
  </sheetViews>
  <sheetFormatPr defaultRowHeight="15.75"/>
  <cols>
    <col min="1" max="1" width="15.5546875" bestFit="1" customWidth="1"/>
    <col min="2" max="2" width="39.21875" bestFit="1" customWidth="1"/>
    <col min="3" max="3" width="11.33203125" bestFit="1" customWidth="1"/>
    <col min="4" max="11" width="2.21875" bestFit="1" customWidth="1"/>
    <col min="12" max="16" width="3.33203125" bestFit="1" customWidth="1"/>
    <col min="17" max="17" width="6.21875" bestFit="1" customWidth="1"/>
    <col min="18" max="18" width="9.6640625" bestFit="1" customWidth="1"/>
    <col min="19" max="23" width="2.21875" bestFit="1" customWidth="1"/>
    <col min="24" max="31" width="3.33203125" bestFit="1" customWidth="1"/>
    <col min="32" max="32" width="4" bestFit="1" customWidth="1"/>
    <col min="33" max="33" width="9.6640625" bestFit="1" customWidth="1"/>
    <col min="34" max="34" width="3.33203125" bestFit="1" customWidth="1"/>
    <col min="35" max="35" width="16.33203125" bestFit="1" customWidth="1"/>
    <col min="36" max="36" width="12.88671875" bestFit="1" customWidth="1"/>
    <col min="37" max="40" width="3.33203125" bestFit="1" customWidth="1"/>
    <col min="41" max="41" width="15.44140625" bestFit="1" customWidth="1"/>
    <col min="42" max="42" width="7.88671875" bestFit="1" customWidth="1"/>
    <col min="43" max="43" width="4.44140625" bestFit="1" customWidth="1"/>
    <col min="44" max="44" width="10.21875" bestFit="1" customWidth="1"/>
    <col min="45" max="45" width="14.21875" bestFit="1" customWidth="1"/>
    <col min="46" max="47" width="2.21875" bestFit="1" customWidth="1"/>
    <col min="48" max="48" width="16.6640625" bestFit="1" customWidth="1"/>
    <col min="49" max="49" width="14.33203125" bestFit="1" customWidth="1"/>
    <col min="50" max="52" width="3.33203125" bestFit="1" customWidth="1"/>
    <col min="53" max="53" width="16.88671875" bestFit="1" customWidth="1"/>
    <col min="54" max="54" width="7.44140625" bestFit="1" customWidth="1"/>
    <col min="55" max="55" width="9.77734375" bestFit="1" customWidth="1"/>
    <col min="56" max="56" width="5.88671875" bestFit="1" customWidth="1"/>
    <col min="57" max="57" width="8.21875" bestFit="1" customWidth="1"/>
    <col min="58" max="58" width="17.44140625" bestFit="1" customWidth="1"/>
    <col min="59" max="59" width="3.33203125" bestFit="1" customWidth="1"/>
    <col min="60" max="60" width="19.88671875" bestFit="1" customWidth="1"/>
    <col min="61" max="61" width="14.33203125" bestFit="1" customWidth="1"/>
    <col min="62" max="62" width="2.21875" bestFit="1" customWidth="1"/>
    <col min="63" max="63" width="16.77734375" bestFit="1" customWidth="1"/>
    <col min="64" max="64" width="19.21875" bestFit="1" customWidth="1"/>
    <col min="65" max="65" width="2.21875" bestFit="1" customWidth="1"/>
    <col min="66" max="66" width="21.5546875" bestFit="1" customWidth="1"/>
    <col min="67" max="67" width="9.21875" bestFit="1" customWidth="1"/>
    <col min="68" max="68" width="11.6640625" bestFit="1" customWidth="1"/>
    <col min="69" max="69" width="17" bestFit="1" customWidth="1"/>
    <col min="70" max="70" width="19.5546875" bestFit="1" customWidth="1"/>
    <col min="71" max="71" width="14" bestFit="1" customWidth="1"/>
    <col min="72" max="72" width="16.44140625" bestFit="1" customWidth="1"/>
    <col min="73" max="73" width="9.6640625" bestFit="1" customWidth="1"/>
    <col min="74" max="75" width="3.33203125" bestFit="1" customWidth="1"/>
    <col min="76" max="76" width="7.21875" bestFit="1" customWidth="1"/>
    <col min="77" max="77" width="4.77734375" bestFit="1" customWidth="1"/>
    <col min="78" max="78" width="7.21875" bestFit="1" customWidth="1"/>
    <col min="79" max="79" width="4.77734375" bestFit="1" customWidth="1"/>
    <col min="80" max="80" width="7.21875" bestFit="1" customWidth="1"/>
    <col min="81" max="81" width="5.6640625" bestFit="1" customWidth="1"/>
    <col min="82" max="82" width="4" bestFit="1" customWidth="1"/>
    <col min="83" max="83" width="8" bestFit="1" customWidth="1"/>
    <col min="84" max="84" width="9.6640625" bestFit="1" customWidth="1"/>
  </cols>
  <sheetData>
    <row r="3" spans="1:3">
      <c r="A3" s="32" t="s">
        <v>1171</v>
      </c>
      <c r="B3" t="s">
        <v>1195</v>
      </c>
      <c r="C3" t="s">
        <v>1196</v>
      </c>
    </row>
    <row r="4" spans="1:3">
      <c r="A4" t="s">
        <v>1197</v>
      </c>
      <c r="B4">
        <v>4</v>
      </c>
      <c r="C4">
        <v>4</v>
      </c>
    </row>
    <row r="5" spans="1:3">
      <c r="A5" t="s">
        <v>107</v>
      </c>
      <c r="B5">
        <v>40</v>
      </c>
      <c r="C5">
        <v>29</v>
      </c>
    </row>
    <row r="6" spans="1:3">
      <c r="A6" t="s">
        <v>23</v>
      </c>
      <c r="B6">
        <v>27</v>
      </c>
      <c r="C6">
        <v>26</v>
      </c>
    </row>
    <row r="7" spans="1:3">
      <c r="A7" t="s">
        <v>64</v>
      </c>
      <c r="B7">
        <v>39</v>
      </c>
      <c r="C7">
        <v>39</v>
      </c>
    </row>
    <row r="8" spans="1:3">
      <c r="A8" t="s">
        <v>31</v>
      </c>
      <c r="B8">
        <v>28</v>
      </c>
      <c r="C8">
        <v>28</v>
      </c>
    </row>
    <row r="9" spans="1:3">
      <c r="A9" t="s">
        <v>34</v>
      </c>
      <c r="B9">
        <v>25</v>
      </c>
      <c r="C9">
        <v>25</v>
      </c>
    </row>
    <row r="10" spans="1:3">
      <c r="A10" t="s">
        <v>65</v>
      </c>
      <c r="B10">
        <v>29</v>
      </c>
      <c r="C10">
        <v>30</v>
      </c>
    </row>
    <row r="11" spans="1:3">
      <c r="A11" t="s">
        <v>62</v>
      </c>
      <c r="B11">
        <v>31</v>
      </c>
      <c r="C11">
        <v>31</v>
      </c>
    </row>
    <row r="12" spans="1:3">
      <c r="A12" t="s">
        <v>27</v>
      </c>
      <c r="B12">
        <v>27</v>
      </c>
      <c r="C12">
        <v>20</v>
      </c>
    </row>
    <row r="13" spans="1:3">
      <c r="A13" t="s">
        <v>37</v>
      </c>
      <c r="B13">
        <v>29</v>
      </c>
      <c r="C13">
        <v>21</v>
      </c>
    </row>
    <row r="14" spans="1:3">
      <c r="A14" t="s">
        <v>36</v>
      </c>
      <c r="B14">
        <v>18</v>
      </c>
      <c r="C14">
        <v>10</v>
      </c>
    </row>
    <row r="15" spans="1:3">
      <c r="A15" t="s">
        <v>33</v>
      </c>
      <c r="B15">
        <v>5</v>
      </c>
      <c r="C15">
        <v>6</v>
      </c>
    </row>
    <row r="16" spans="1:3">
      <c r="A16" t="s">
        <v>44</v>
      </c>
      <c r="B16">
        <v>15</v>
      </c>
      <c r="C16">
        <v>15</v>
      </c>
    </row>
    <row r="17" spans="1:3">
      <c r="A17" t="s">
        <v>50</v>
      </c>
      <c r="B17">
        <v>15</v>
      </c>
      <c r="C17">
        <v>17</v>
      </c>
    </row>
    <row r="18" spans="1:3">
      <c r="A18" t="s">
        <v>40</v>
      </c>
      <c r="B18">
        <v>48</v>
      </c>
      <c r="C18">
        <v>0</v>
      </c>
    </row>
    <row r="19" spans="1:3">
      <c r="A19" t="s">
        <v>38</v>
      </c>
      <c r="B19">
        <v>30</v>
      </c>
      <c r="C19">
        <v>9</v>
      </c>
    </row>
    <row r="20" spans="1:3">
      <c r="A20" t="s">
        <v>166</v>
      </c>
    </row>
    <row r="21" spans="1:3">
      <c r="A21" t="s">
        <v>1198</v>
      </c>
      <c r="B21">
        <v>8</v>
      </c>
      <c r="C21">
        <v>8</v>
      </c>
    </row>
    <row r="22" spans="1:3">
      <c r="A22" t="s">
        <v>41</v>
      </c>
      <c r="B22">
        <v>17</v>
      </c>
      <c r="C22">
        <v>17</v>
      </c>
    </row>
    <row r="23" spans="1:3">
      <c r="A23" t="s">
        <v>32</v>
      </c>
      <c r="B23">
        <v>10</v>
      </c>
      <c r="C23">
        <v>10</v>
      </c>
    </row>
    <row r="24" spans="1:3">
      <c r="A24" t="s">
        <v>171</v>
      </c>
      <c r="B24">
        <v>445</v>
      </c>
      <c r="C24">
        <v>345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B8957-C1CE-4006-B58E-A8A5E1640464}">
  <dimension ref="A1:F27"/>
  <sheetViews>
    <sheetView workbookViewId="0">
      <selection activeCell="B24" sqref="B24"/>
    </sheetView>
  </sheetViews>
  <sheetFormatPr defaultRowHeight="15.75"/>
  <cols>
    <col min="1" max="1" width="24.5546875" bestFit="1" customWidth="1"/>
    <col min="2" max="2" width="17.21875" bestFit="1" customWidth="1"/>
    <col min="3" max="3" width="22" bestFit="1" customWidth="1"/>
    <col min="4" max="4" width="23.77734375" bestFit="1" customWidth="1"/>
    <col min="5" max="5" width="15.77734375" bestFit="1" customWidth="1"/>
    <col min="6" max="6" width="26.44140625" bestFit="1" customWidth="1"/>
    <col min="7" max="16" width="13.33203125" bestFit="1" customWidth="1"/>
    <col min="17" max="18" width="6.6640625" bestFit="1" customWidth="1"/>
    <col min="19" max="19" width="13.33203125" bestFit="1" customWidth="1"/>
    <col min="21" max="22" width="13.33203125" bestFit="1" customWidth="1"/>
    <col min="24" max="30" width="13.33203125" bestFit="1" customWidth="1"/>
    <col min="31" max="31" width="6.6640625" bestFit="1" customWidth="1"/>
    <col min="34" max="34" width="6.88671875" bestFit="1" customWidth="1"/>
    <col min="35" max="35" width="6.21875" bestFit="1" customWidth="1"/>
    <col min="36" max="36" width="19.6640625" bestFit="1" customWidth="1"/>
    <col min="37" max="50" width="13.33203125" bestFit="1" customWidth="1"/>
    <col min="51" max="52" width="6.6640625" bestFit="1" customWidth="1"/>
    <col min="53" max="53" width="13.33203125" bestFit="1" customWidth="1"/>
    <col min="55" max="56" width="13.33203125" bestFit="1" customWidth="1"/>
    <col min="58" max="64" width="13.33203125" bestFit="1" customWidth="1"/>
    <col min="65" max="65" width="6.6640625" bestFit="1" customWidth="1"/>
    <col min="67" max="67" width="6.6640625" bestFit="1" customWidth="1"/>
    <col min="68" max="68" width="6.88671875" bestFit="1" customWidth="1"/>
    <col min="69" max="69" width="6.21875" bestFit="1" customWidth="1"/>
    <col min="70" max="70" width="21.33203125" bestFit="1" customWidth="1"/>
    <col min="71" max="84" width="13.33203125" bestFit="1" customWidth="1"/>
    <col min="85" max="86" width="6.6640625" bestFit="1" customWidth="1"/>
    <col min="87" max="87" width="13.33203125" bestFit="1" customWidth="1"/>
    <col min="89" max="90" width="13.33203125" bestFit="1" customWidth="1"/>
    <col min="92" max="98" width="13.33203125" bestFit="1" customWidth="1"/>
    <col min="99" max="99" width="6.6640625" bestFit="1" customWidth="1"/>
    <col min="102" max="102" width="6.88671875" bestFit="1" customWidth="1"/>
    <col min="103" max="103" width="6.21875" bestFit="1" customWidth="1"/>
    <col min="104" max="104" width="19.5546875" bestFit="1" customWidth="1"/>
    <col min="105" max="105" width="23.77734375" bestFit="1" customWidth="1"/>
    <col min="106" max="106" width="25.44140625" bestFit="1" customWidth="1"/>
  </cols>
  <sheetData>
    <row r="1" spans="1:6">
      <c r="A1" s="32" t="s">
        <v>1199</v>
      </c>
      <c r="B1" t="s">
        <v>1200</v>
      </c>
      <c r="C1" t="s">
        <v>1201</v>
      </c>
      <c r="D1" t="s">
        <v>1202</v>
      </c>
      <c r="E1" t="s">
        <v>1203</v>
      </c>
      <c r="F1" t="s">
        <v>1204</v>
      </c>
    </row>
    <row r="2" spans="1:6">
      <c r="A2" s="33" t="s">
        <v>20</v>
      </c>
      <c r="B2" s="34">
        <v>0.82474154761904761</v>
      </c>
      <c r="C2" s="34">
        <v>0</v>
      </c>
      <c r="D2" s="34">
        <v>0.12777777777777777</v>
      </c>
      <c r="E2" s="34">
        <v>0.73566468253968254</v>
      </c>
      <c r="F2" s="34">
        <v>6.699346405228758E-2</v>
      </c>
    </row>
    <row r="3" spans="1:6">
      <c r="A3" s="33" t="s">
        <v>45</v>
      </c>
      <c r="B3" s="34">
        <v>0.97057465794622033</v>
      </c>
      <c r="C3" s="34">
        <v>0</v>
      </c>
      <c r="D3" s="34">
        <v>0</v>
      </c>
      <c r="E3" s="34">
        <v>0.86337152777777781</v>
      </c>
      <c r="F3" s="34">
        <v>0.5</v>
      </c>
    </row>
    <row r="4" spans="1:6">
      <c r="A4" s="33" t="s">
        <v>21</v>
      </c>
      <c r="B4" s="34">
        <v>0.84286333333333341</v>
      </c>
      <c r="C4" s="34">
        <v>0.5</v>
      </c>
      <c r="D4" s="34">
        <v>0</v>
      </c>
      <c r="E4" s="34">
        <v>0.88375000000000004</v>
      </c>
      <c r="F4" s="34">
        <v>0.42857142857142855</v>
      </c>
    </row>
    <row r="5" spans="1:6">
      <c r="A5" s="33" t="s">
        <v>23</v>
      </c>
      <c r="B5" s="34">
        <v>0.87081337365181122</v>
      </c>
      <c r="C5" s="34">
        <v>0.19999999999999998</v>
      </c>
      <c r="D5" s="34">
        <v>0</v>
      </c>
      <c r="E5" s="34">
        <v>0.7198470238095237</v>
      </c>
      <c r="F5" s="34">
        <v>0.13920454545454547</v>
      </c>
    </row>
    <row r="6" spans="1:6">
      <c r="A6" s="33" t="s">
        <v>64</v>
      </c>
      <c r="B6" s="34">
        <v>0.88304929220085482</v>
      </c>
      <c r="C6" s="34">
        <v>0.27413419913419912</v>
      </c>
      <c r="D6" s="34">
        <v>0.22095959595959597</v>
      </c>
      <c r="E6" s="34">
        <v>0.72890376984126981</v>
      </c>
      <c r="F6" s="34">
        <v>0.17457542457542458</v>
      </c>
    </row>
    <row r="7" spans="1:6">
      <c r="A7" s="33" t="s">
        <v>26</v>
      </c>
      <c r="B7" s="34">
        <v>0.87632756814264157</v>
      </c>
      <c r="C7" s="34">
        <v>0.29723071046600458</v>
      </c>
      <c r="D7" s="34">
        <v>0.1522222222222222</v>
      </c>
      <c r="E7" s="34">
        <v>0.67614276695526709</v>
      </c>
      <c r="F7" s="34">
        <v>0.23816849816849817</v>
      </c>
    </row>
    <row r="8" spans="1:6">
      <c r="A8" s="33" t="s">
        <v>22</v>
      </c>
      <c r="B8" s="34">
        <v>0.89444748954748965</v>
      </c>
      <c r="C8" s="34">
        <v>0.171506734006734</v>
      </c>
      <c r="D8" s="34">
        <v>0.24973544973544973</v>
      </c>
      <c r="E8" s="34">
        <v>0.73599562358937354</v>
      </c>
      <c r="F8" s="34">
        <v>0.13770053475935828</v>
      </c>
    </row>
    <row r="9" spans="1:6">
      <c r="A9" s="33" t="s">
        <v>27</v>
      </c>
      <c r="B9" s="34">
        <v>0.86541463265900764</v>
      </c>
      <c r="C9" s="34">
        <v>0.23261784511784511</v>
      </c>
      <c r="D9" s="34">
        <v>0.13835978835978835</v>
      </c>
      <c r="E9" s="34">
        <v>0.69153075396825392</v>
      </c>
      <c r="F9" s="34">
        <v>0.19797979797979801</v>
      </c>
    </row>
    <row r="10" spans="1:6">
      <c r="A10" s="33" t="s">
        <v>31</v>
      </c>
      <c r="B10" s="34">
        <v>0.87280076190476197</v>
      </c>
      <c r="C10" s="34">
        <v>8.8235294117647065E-2</v>
      </c>
      <c r="D10" s="34">
        <v>0.14285714285714285</v>
      </c>
      <c r="E10" s="34">
        <v>0.70694369172494176</v>
      </c>
      <c r="F10" s="34">
        <v>0.18907563025210083</v>
      </c>
    </row>
    <row r="11" spans="1:6">
      <c r="A11" s="33" t="s">
        <v>48</v>
      </c>
      <c r="B11" s="34">
        <v>0.95435089900030523</v>
      </c>
      <c r="C11" s="34">
        <v>0.05</v>
      </c>
      <c r="D11" s="34">
        <v>6.25E-2</v>
      </c>
      <c r="E11" s="34">
        <v>0.80365252976190471</v>
      </c>
      <c r="F11" s="34">
        <v>0.5</v>
      </c>
    </row>
    <row r="12" spans="1:6">
      <c r="A12" s="33" t="s">
        <v>32</v>
      </c>
      <c r="B12" s="34">
        <v>0.95911111111111125</v>
      </c>
      <c r="C12" s="34">
        <v>5.0649350649350652E-2</v>
      </c>
      <c r="D12" s="34">
        <v>0.11111111111111112</v>
      </c>
      <c r="E12" s="34">
        <v>0.75688354978354977</v>
      </c>
      <c r="F12" s="34">
        <v>4.7619047619047616E-2</v>
      </c>
    </row>
    <row r="13" spans="1:6">
      <c r="A13" s="33" t="s">
        <v>34</v>
      </c>
      <c r="B13" s="34">
        <v>0.84826370060468625</v>
      </c>
      <c r="C13" s="34">
        <v>0.36969308469308471</v>
      </c>
      <c r="D13" s="34">
        <v>0.13357142857142859</v>
      </c>
      <c r="E13" s="34">
        <v>0.62308382820882824</v>
      </c>
      <c r="F13" s="34">
        <v>0.1226190476190476</v>
      </c>
    </row>
    <row r="14" spans="1:6">
      <c r="A14" s="33" t="s">
        <v>65</v>
      </c>
      <c r="B14" s="34">
        <v>0.8873315613275613</v>
      </c>
      <c r="C14" s="34">
        <v>0.2308080808080808</v>
      </c>
      <c r="D14" s="34">
        <v>8.8888888888888878E-2</v>
      </c>
      <c r="E14" s="34">
        <v>0.7861934523809524</v>
      </c>
      <c r="F14" s="34">
        <v>0.20310530049660486</v>
      </c>
    </row>
    <row r="15" spans="1:6">
      <c r="A15" s="33" t="s">
        <v>36</v>
      </c>
      <c r="B15" s="34">
        <v>0.92652525252525275</v>
      </c>
      <c r="C15" s="34">
        <v>0.21590909090909091</v>
      </c>
      <c r="D15" s="34">
        <v>0.27777777777777779</v>
      </c>
      <c r="E15" s="34">
        <v>0.84057367632367619</v>
      </c>
      <c r="F15" s="34">
        <v>0.12878787878787878</v>
      </c>
    </row>
    <row r="16" spans="1:6">
      <c r="A16" s="33" t="s">
        <v>37</v>
      </c>
      <c r="B16" s="34">
        <v>0.82765256944444432</v>
      </c>
      <c r="C16" s="34">
        <v>0.25786713286713286</v>
      </c>
      <c r="D16" s="34">
        <v>0.05</v>
      </c>
      <c r="E16" s="34">
        <v>0.78231209415584413</v>
      </c>
      <c r="F16" s="34">
        <v>0.21130952380952381</v>
      </c>
    </row>
    <row r="17" spans="1:6">
      <c r="A17" s="33" t="s">
        <v>62</v>
      </c>
      <c r="B17" s="34">
        <v>0.88942603641456586</v>
      </c>
      <c r="C17" s="34">
        <v>0.14191176470588235</v>
      </c>
      <c r="D17" s="34">
        <v>0.14374999999999999</v>
      </c>
      <c r="E17" s="34">
        <v>0.70198954274891778</v>
      </c>
      <c r="F17" s="34">
        <v>0.16282051282051282</v>
      </c>
    </row>
    <row r="18" spans="1:6">
      <c r="A18" s="33" t="s">
        <v>166</v>
      </c>
      <c r="B18" s="34"/>
      <c r="C18" s="34"/>
      <c r="D18" s="34"/>
      <c r="E18" s="34"/>
      <c r="F18" s="34"/>
    </row>
    <row r="19" spans="1:6">
      <c r="A19" s="33" t="s">
        <v>41</v>
      </c>
      <c r="B19" s="34">
        <v>0.8199541309523809</v>
      </c>
      <c r="C19" s="34">
        <v>0.24786324786324787</v>
      </c>
      <c r="D19" s="34">
        <v>8.3333333333333329E-2</v>
      </c>
      <c r="E19" s="34">
        <v>0.69426124338624329</v>
      </c>
      <c r="F19" s="34">
        <v>0.16452991452991453</v>
      </c>
    </row>
    <row r="20" spans="1:6">
      <c r="A20" s="33" t="s">
        <v>33</v>
      </c>
      <c r="B20" s="34">
        <v>0.89197718253968239</v>
      </c>
      <c r="C20" s="34">
        <v>0.37179487179487181</v>
      </c>
      <c r="D20" s="34">
        <v>0.16666666666666666</v>
      </c>
      <c r="E20" s="34">
        <v>0.78706062610229288</v>
      </c>
      <c r="F20" s="34">
        <v>5.7142857142857141E-2</v>
      </c>
    </row>
    <row r="21" spans="1:6">
      <c r="A21" s="33" t="s">
        <v>38</v>
      </c>
      <c r="B21" s="34">
        <v>0.87585761904761905</v>
      </c>
      <c r="C21" s="34">
        <v>0.18264831573655102</v>
      </c>
      <c r="D21" s="34">
        <v>4.8717948717948718E-2</v>
      </c>
      <c r="E21" s="34">
        <v>0.4677900432900432</v>
      </c>
      <c r="F21" s="34">
        <v>0.21928896976850942</v>
      </c>
    </row>
    <row r="22" spans="1:6">
      <c r="A22" s="33" t="s">
        <v>44</v>
      </c>
      <c r="B22" s="34">
        <v>0.44696969696969707</v>
      </c>
      <c r="C22" s="34">
        <v>0.17499999999999999</v>
      </c>
      <c r="D22" s="34">
        <v>0</v>
      </c>
      <c r="E22" s="34">
        <v>0.78309892884892873</v>
      </c>
      <c r="F22" s="34">
        <v>0.13636363636363635</v>
      </c>
    </row>
    <row r="23" spans="1:6">
      <c r="A23" s="33" t="s">
        <v>50</v>
      </c>
      <c r="B23" s="34">
        <v>0.95327698412698414</v>
      </c>
      <c r="C23" s="34">
        <v>8.3333333333333329E-2</v>
      </c>
      <c r="D23" s="34">
        <v>0.1111111111111111</v>
      </c>
      <c r="E23" s="34">
        <v>0.79757722222222227</v>
      </c>
      <c r="F23" s="34">
        <v>0.19444444444444442</v>
      </c>
    </row>
    <row r="24" spans="1:6">
      <c r="A24" s="33" t="s">
        <v>40</v>
      </c>
      <c r="B24" s="34">
        <v>0.87624999999999986</v>
      </c>
      <c r="C24" s="34">
        <v>8.5336538461538464E-2</v>
      </c>
      <c r="D24" s="34">
        <v>1.9230769230769232E-2</v>
      </c>
      <c r="E24" s="34">
        <v>0.81518939393939394</v>
      </c>
      <c r="F24" s="34">
        <v>0.1045673076923077</v>
      </c>
    </row>
    <row r="25" spans="1:6">
      <c r="A25" s="33" t="s">
        <v>70</v>
      </c>
      <c r="B25" s="34">
        <v>0.95897435897435901</v>
      </c>
      <c r="C25" s="34">
        <v>0</v>
      </c>
      <c r="D25" s="34">
        <v>0</v>
      </c>
      <c r="E25" s="34">
        <v>0.78</v>
      </c>
      <c r="F25" s="34">
        <v>0</v>
      </c>
    </row>
    <row r="26" spans="1:6">
      <c r="A26" s="33" t="s">
        <v>1198</v>
      </c>
      <c r="B26" s="34">
        <v>0.86468229166666655</v>
      </c>
      <c r="C26" s="34">
        <v>4.5454545454545456E-2</v>
      </c>
      <c r="D26" s="34">
        <v>0.1</v>
      </c>
      <c r="E26" s="34">
        <v>0.78391193181818175</v>
      </c>
      <c r="F26" s="34">
        <v>0.11309523809523808</v>
      </c>
    </row>
    <row r="27" spans="1:6">
      <c r="A27" s="33" t="s">
        <v>171</v>
      </c>
      <c r="B27" s="34">
        <v>0.87811950818910478</v>
      </c>
      <c r="C27" s="34">
        <v>0.17231253706585772</v>
      </c>
      <c r="D27" s="34">
        <v>0.10980101141391464</v>
      </c>
      <c r="E27" s="34">
        <v>0.7327751066282111</v>
      </c>
      <c r="F27" s="34">
        <v>0.18424577993301694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DEFBC-2B84-495B-92D3-33B0D73F0052}">
  <dimension ref="A1:G32"/>
  <sheetViews>
    <sheetView workbookViewId="0">
      <selection activeCell="K11" sqref="K11"/>
    </sheetView>
  </sheetViews>
  <sheetFormatPr defaultRowHeight="15.75"/>
  <cols>
    <col min="1" max="1" width="28" bestFit="1" customWidth="1"/>
    <col min="2" max="2" width="12.5546875" customWidth="1"/>
    <col min="3" max="7" width="12.6640625" bestFit="1" customWidth="1"/>
  </cols>
  <sheetData>
    <row r="1" spans="1:7">
      <c r="A1" s="51" t="s">
        <v>11</v>
      </c>
      <c r="B1" s="51" t="s">
        <v>1205</v>
      </c>
      <c r="C1" s="51" t="s">
        <v>1206</v>
      </c>
      <c r="D1" s="51" t="s">
        <v>1207</v>
      </c>
      <c r="E1" s="51" t="s">
        <v>1208</v>
      </c>
      <c r="F1" s="51" t="s">
        <v>1209</v>
      </c>
      <c r="G1" s="51" t="s">
        <v>74</v>
      </c>
    </row>
    <row r="2" spans="1:7">
      <c r="A2" s="71" t="s">
        <v>19</v>
      </c>
      <c r="B2" s="45" t="e">
        <f>'[89]Evaluation 1'!E2</f>
        <v>#DIV/0!</v>
      </c>
      <c r="C2" s="63"/>
      <c r="D2" s="63"/>
      <c r="E2" s="63"/>
      <c r="F2" s="63"/>
      <c r="G2" s="45" t="e">
        <f>AVERAGE(Table3[[#This Row],[Observation 1]:[Observation 5]])</f>
        <v>#DIV/0!</v>
      </c>
    </row>
    <row r="3" spans="1:7" ht="17.25">
      <c r="A3" s="11" t="s">
        <v>20</v>
      </c>
      <c r="B3" s="45">
        <f>'[90]Evaluation 1'!E2</f>
        <v>0.84761904761904761</v>
      </c>
      <c r="C3" s="45">
        <f>[91]Q4!E2</f>
        <v>0.82857142857142863</v>
      </c>
      <c r="D3" s="45"/>
      <c r="E3" s="45"/>
      <c r="F3" s="45"/>
      <c r="G3" s="45">
        <f>AVERAGE(Table3[[#This Row],[Observation 1]:[Observation 5]])</f>
        <v>0.83809523809523812</v>
      </c>
    </row>
    <row r="4" spans="1:7" ht="17.25">
      <c r="A4" s="12" t="s">
        <v>21</v>
      </c>
      <c r="B4" t="s">
        <v>1210</v>
      </c>
      <c r="C4" t="s">
        <v>1210</v>
      </c>
      <c r="D4" t="s">
        <v>1210</v>
      </c>
      <c r="E4" t="s">
        <v>1210</v>
      </c>
      <c r="F4" t="s">
        <v>1210</v>
      </c>
      <c r="G4" t="s">
        <v>1210</v>
      </c>
    </row>
    <row r="5" spans="1:7" ht="17.25">
      <c r="A5" s="13" t="s">
        <v>22</v>
      </c>
      <c r="B5" s="45">
        <f>[92]Q4!E2</f>
        <v>0.81720430107526887</v>
      </c>
      <c r="G5" s="45">
        <f t="shared" ref="G5:G17" si="0">AVERAGE(B5:F5)</f>
        <v>0.81720430107526887</v>
      </c>
    </row>
    <row r="6" spans="1:7" ht="17.25">
      <c r="A6" s="49" t="s">
        <v>23</v>
      </c>
      <c r="B6" s="45">
        <f>'[93]Evaluation 1'!E2</f>
        <v>0.99411764705882355</v>
      </c>
      <c r="G6" s="45">
        <f t="shared" si="0"/>
        <v>0.99411764705882355</v>
      </c>
    </row>
    <row r="7" spans="1:7" ht="17.25">
      <c r="A7" s="49" t="s">
        <v>24</v>
      </c>
      <c r="B7" s="45"/>
      <c r="G7" s="45" t="e">
        <f>AVERAGE(B7:F7)</f>
        <v>#DIV/0!</v>
      </c>
    </row>
    <row r="8" spans="1:7" ht="17.25">
      <c r="A8" s="49" t="s">
        <v>25</v>
      </c>
      <c r="B8" s="45">
        <f>[94]Q1!E2</f>
        <v>0.78431372549019607</v>
      </c>
      <c r="G8" s="45">
        <f>AVERAGE(B8:F8)</f>
        <v>0.78431372549019607</v>
      </c>
    </row>
    <row r="9" spans="1:7" ht="17.25">
      <c r="A9" s="11" t="s">
        <v>26</v>
      </c>
      <c r="B9" s="45">
        <f>'[95]Evaluation 1'!E2</f>
        <v>0.90666666666666662</v>
      </c>
      <c r="G9" s="45">
        <f t="shared" si="0"/>
        <v>0.90666666666666662</v>
      </c>
    </row>
    <row r="10" spans="1:7" ht="17.25">
      <c r="A10" s="50" t="s">
        <v>27</v>
      </c>
      <c r="B10" s="45">
        <f>'[96]Evaluation 1'!E2</f>
        <v>0.97599999999999998</v>
      </c>
      <c r="C10" s="45">
        <f>'[96]Evaluation 2'!E2</f>
        <v>0.9</v>
      </c>
      <c r="D10" s="45">
        <f>[97]Scorecard!E2</f>
        <v>0.85333333333333339</v>
      </c>
      <c r="G10" s="45">
        <f t="shared" si="0"/>
        <v>0.9097777777777778</v>
      </c>
    </row>
    <row r="11" spans="1:7" ht="17.25">
      <c r="A11" s="38" t="s">
        <v>28</v>
      </c>
      <c r="B11" t="s">
        <v>29</v>
      </c>
      <c r="C11" t="s">
        <v>29</v>
      </c>
      <c r="D11" t="s">
        <v>29</v>
      </c>
      <c r="E11" t="s">
        <v>29</v>
      </c>
      <c r="F11" t="s">
        <v>29</v>
      </c>
      <c r="G11" t="s">
        <v>29</v>
      </c>
    </row>
    <row r="12" spans="1:7" ht="17.25">
      <c r="A12" s="38" t="s">
        <v>124</v>
      </c>
      <c r="B12" s="45">
        <f>'[98]Evaluation 1'!E2</f>
        <v>0.99310344827586206</v>
      </c>
      <c r="C12" s="45">
        <f>[99]Q1!E2</f>
        <v>0.792156862745098</v>
      </c>
      <c r="G12" s="45">
        <f t="shared" si="0"/>
        <v>0.89263015551048008</v>
      </c>
    </row>
    <row r="13" spans="1:7" ht="17.25">
      <c r="A13" s="49" t="s">
        <v>31</v>
      </c>
      <c r="B13" s="45">
        <f>'[100]Evaluation 1'!E2</f>
        <v>0.80919540229885056</v>
      </c>
      <c r="G13" s="45">
        <f t="shared" si="0"/>
        <v>0.80919540229885056</v>
      </c>
    </row>
    <row r="14" spans="1:7" ht="17.25">
      <c r="A14" s="40" t="s">
        <v>32</v>
      </c>
      <c r="B14" s="45">
        <f>'[101]Evaluation 1'!E2</f>
        <v>0.8</v>
      </c>
      <c r="G14" s="45">
        <f t="shared" si="0"/>
        <v>0.8</v>
      </c>
    </row>
    <row r="15" spans="1:7" ht="17.25">
      <c r="A15" s="50" t="s">
        <v>33</v>
      </c>
      <c r="B15" s="45">
        <f>'[102]Evaluation 1'!E2</f>
        <v>1.2784313725490195</v>
      </c>
      <c r="C15" s="45">
        <f>'[102]Evaluation 2'!E2</f>
        <v>0.92873563218390809</v>
      </c>
      <c r="D15" s="45">
        <f>[103]Scorecard!E2</f>
        <v>0.88888888888888884</v>
      </c>
      <c r="G15" s="45">
        <f t="shared" si="0"/>
        <v>1.0320186312072721</v>
      </c>
    </row>
    <row r="16" spans="1:7" ht="17.25">
      <c r="A16" s="12" t="s">
        <v>34</v>
      </c>
      <c r="B16" s="45">
        <f>'[104]Evaluation 1'!E2</f>
        <v>0.8</v>
      </c>
      <c r="C16" s="45">
        <f>[105]Q4!E2</f>
        <v>0.80919540229885056</v>
      </c>
      <c r="G16" s="45">
        <f t="shared" si="0"/>
        <v>0.8045977011494253</v>
      </c>
    </row>
    <row r="17" spans="1:7" ht="17.25">
      <c r="A17" s="49" t="s">
        <v>35</v>
      </c>
      <c r="B17" s="45">
        <f>[106]Scorecard!E2</f>
        <v>0.7655913978494624</v>
      </c>
      <c r="G17" s="45">
        <f t="shared" si="0"/>
        <v>0.7655913978494624</v>
      </c>
    </row>
    <row r="18" spans="1:7" ht="17.25">
      <c r="A18" s="11" t="s">
        <v>36</v>
      </c>
      <c r="B18" s="45" t="s">
        <v>1211</v>
      </c>
      <c r="C18" s="45" t="s">
        <v>1211</v>
      </c>
      <c r="D18" s="45" t="s">
        <v>1211</v>
      </c>
      <c r="E18" s="45" t="s">
        <v>1211</v>
      </c>
      <c r="F18" s="45" t="s">
        <v>1211</v>
      </c>
      <c r="G18" s="45" t="s">
        <v>1211</v>
      </c>
    </row>
    <row r="19" spans="1:7" ht="17.25">
      <c r="A19" s="49" t="s">
        <v>37</v>
      </c>
      <c r="B19" t="s">
        <v>1212</v>
      </c>
      <c r="C19" t="s">
        <v>1212</v>
      </c>
      <c r="D19" t="s">
        <v>1212</v>
      </c>
      <c r="E19" t="s">
        <v>1212</v>
      </c>
      <c r="F19" t="s">
        <v>1212</v>
      </c>
      <c r="G19" t="s">
        <v>1212</v>
      </c>
    </row>
    <row r="20" spans="1:7" ht="17.25">
      <c r="A20" s="13" t="s">
        <v>38</v>
      </c>
      <c r="B20" s="45">
        <f>[107]Q4!E2</f>
        <v>0.8086021505376344</v>
      </c>
      <c r="G20" s="45">
        <f t="shared" ref="G20" si="1">AVERAGE(B20:F20)</f>
        <v>0.8086021505376344</v>
      </c>
    </row>
    <row r="21" spans="1:7" ht="17.25">
      <c r="A21" s="50" t="s">
        <v>39</v>
      </c>
      <c r="B21" t="s">
        <v>1210</v>
      </c>
      <c r="C21" t="s">
        <v>1210</v>
      </c>
      <c r="D21" t="s">
        <v>1210</v>
      </c>
      <c r="E21" t="s">
        <v>1210</v>
      </c>
      <c r="F21" t="s">
        <v>1210</v>
      </c>
      <c r="G21" t="s">
        <v>1210</v>
      </c>
    </row>
    <row r="22" spans="1:7" ht="17.25">
      <c r="A22" s="15" t="s">
        <v>40</v>
      </c>
      <c r="B22" s="45"/>
      <c r="G22" s="45" t="e">
        <f>AVERAGE(B22:F22)</f>
        <v>#DIV/0!</v>
      </c>
    </row>
    <row r="23" spans="1:7" ht="17.25">
      <c r="A23" s="50" t="s">
        <v>41</v>
      </c>
      <c r="B23" t="s">
        <v>1212</v>
      </c>
      <c r="C23" t="s">
        <v>1212</v>
      </c>
      <c r="D23" t="s">
        <v>1212</v>
      </c>
      <c r="E23" t="s">
        <v>1212</v>
      </c>
      <c r="F23" t="s">
        <v>1212</v>
      </c>
      <c r="G23" t="s">
        <v>1212</v>
      </c>
    </row>
    <row r="24" spans="1:7" ht="17.25">
      <c r="A24" s="50" t="s">
        <v>42</v>
      </c>
      <c r="G24" s="45" t="e">
        <f>AVERAGE(B24:F24)</f>
        <v>#DIV/0!</v>
      </c>
    </row>
    <row r="25" spans="1:7" ht="17.25">
      <c r="A25" s="50" t="s">
        <v>43</v>
      </c>
      <c r="B25" s="45">
        <f>[108]Q1!E2</f>
        <v>0.79139784946236558</v>
      </c>
      <c r="G25" s="45">
        <f>AVERAGE(B25:F25)</f>
        <v>0.79139784946236558</v>
      </c>
    </row>
    <row r="26" spans="1:7" ht="17.25">
      <c r="A26" s="50" t="s">
        <v>44</v>
      </c>
      <c r="B26" s="45">
        <f>[109]Q4!E2</f>
        <v>0.81720430107526887</v>
      </c>
      <c r="G26" s="45">
        <f t="shared" ref="G26" si="2">AVERAGE(B26:F26)</f>
        <v>0.81720430107526887</v>
      </c>
    </row>
    <row r="27" spans="1:7" ht="17.25">
      <c r="A27" s="58" t="s">
        <v>45</v>
      </c>
      <c r="B27" s="59">
        <f>'[110]Evaluation 1'!E2</f>
        <v>0.70123456790123462</v>
      </c>
      <c r="C27" s="60"/>
      <c r="D27" s="60"/>
      <c r="E27" s="60"/>
      <c r="F27" s="60"/>
      <c r="G27" s="59">
        <f>AVERAGE(Table3[[#This Row],[Observation 1]:[Observation 5]])</f>
        <v>0.70123456790123462</v>
      </c>
    </row>
    <row r="28" spans="1:7" ht="17.25">
      <c r="A28" s="61" t="s">
        <v>46</v>
      </c>
      <c r="B28" s="59"/>
      <c r="C28" s="60"/>
      <c r="D28" s="60"/>
      <c r="E28" s="60"/>
      <c r="F28" s="60"/>
      <c r="G28" s="59" t="e">
        <f>AVERAGE(B28:F28)</f>
        <v>#DIV/0!</v>
      </c>
    </row>
    <row r="29" spans="1:7" ht="17.25">
      <c r="A29" s="62" t="s">
        <v>47</v>
      </c>
      <c r="B29" s="59"/>
      <c r="C29" s="60"/>
      <c r="D29" s="60"/>
      <c r="E29" s="60"/>
      <c r="F29" s="60"/>
      <c r="G29" s="59" t="e">
        <f>AVERAGE(B29:F29)</f>
        <v>#DIV/0!</v>
      </c>
    </row>
    <row r="30" spans="1:7" ht="17.25">
      <c r="A30" s="58" t="s">
        <v>48</v>
      </c>
      <c r="B30" s="59"/>
      <c r="C30" s="60"/>
      <c r="D30" s="60"/>
      <c r="E30" s="60"/>
      <c r="F30" s="60"/>
      <c r="G30" s="59" t="e">
        <f>AVERAGE(B30:F30)</f>
        <v>#DIV/0!</v>
      </c>
    </row>
    <row r="31" spans="1:7" ht="17.25">
      <c r="A31" s="61" t="s">
        <v>49</v>
      </c>
      <c r="B31" s="60" t="s">
        <v>29</v>
      </c>
      <c r="C31" s="60" t="s">
        <v>29</v>
      </c>
      <c r="D31" s="60" t="s">
        <v>29</v>
      </c>
      <c r="E31" s="60" t="s">
        <v>29</v>
      </c>
      <c r="F31" s="60" t="s">
        <v>29</v>
      </c>
      <c r="G31" s="60" t="s">
        <v>29</v>
      </c>
    </row>
    <row r="32" spans="1:7">
      <c r="A32" s="60" t="s">
        <v>50</v>
      </c>
      <c r="B32" s="59">
        <f>[111]Q1!E2</f>
        <v>0.70537634408602146</v>
      </c>
      <c r="C32" s="60"/>
      <c r="D32" s="60"/>
      <c r="E32" s="60"/>
      <c r="F32" s="60"/>
      <c r="G32" s="59">
        <f t="shared" ref="G32" si="3">AVERAGE(B32:F32)</f>
        <v>0.70537634408602146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26383-6521-49D9-8D51-E867F2597D72}">
  <dimension ref="A2:L14"/>
  <sheetViews>
    <sheetView workbookViewId="0">
      <selection activeCell="A2" sqref="A2"/>
    </sheetView>
  </sheetViews>
  <sheetFormatPr defaultRowHeight="15.75"/>
  <cols>
    <col min="1" max="1" width="32.109375" bestFit="1" customWidth="1"/>
    <col min="2" max="2" width="13.6640625" bestFit="1" customWidth="1"/>
    <col min="3" max="3" width="7.88671875" bestFit="1" customWidth="1"/>
    <col min="4" max="4" width="11.33203125" bestFit="1" customWidth="1"/>
    <col min="5" max="5" width="8.88671875" bestFit="1" customWidth="1"/>
    <col min="6" max="7" width="9.6640625" bestFit="1" customWidth="1"/>
    <col min="8" max="8" width="12.21875" bestFit="1" customWidth="1"/>
    <col min="9" max="9" width="11.21875" bestFit="1" customWidth="1"/>
    <col min="10" max="10" width="12.5546875" bestFit="1" customWidth="1"/>
    <col min="11" max="11" width="12.6640625" bestFit="1" customWidth="1"/>
    <col min="12" max="13" width="9.6640625" bestFit="1" customWidth="1"/>
    <col min="14" max="14" width="11.21875" bestFit="1" customWidth="1"/>
    <col min="15" max="16" width="9.6640625" bestFit="1" customWidth="1"/>
    <col min="17" max="17" width="6.109375" bestFit="1" customWidth="1"/>
    <col min="18" max="18" width="3.77734375" bestFit="1" customWidth="1"/>
    <col min="19" max="19" width="6.109375" bestFit="1" customWidth="1"/>
    <col min="20" max="20" width="4.77734375" bestFit="1" customWidth="1"/>
    <col min="21" max="21" width="3.33203125" bestFit="1" customWidth="1"/>
    <col min="22" max="22" width="7.21875" bestFit="1" customWidth="1"/>
    <col min="23" max="23" width="4.77734375" bestFit="1" customWidth="1"/>
    <col min="24" max="24" width="3.33203125" bestFit="1" customWidth="1"/>
    <col min="25" max="25" width="7.21875" bestFit="1" customWidth="1"/>
    <col min="26" max="26" width="4.77734375" bestFit="1" customWidth="1"/>
    <col min="27" max="27" width="7.21875" bestFit="1" customWidth="1"/>
    <col min="28" max="28" width="4.77734375" bestFit="1" customWidth="1"/>
    <col min="29" max="29" width="7.21875" bestFit="1" customWidth="1"/>
    <col min="30" max="30" width="3.21875" bestFit="1" customWidth="1"/>
    <col min="31" max="31" width="2.21875" bestFit="1" customWidth="1"/>
    <col min="32" max="32" width="5.5546875" bestFit="1" customWidth="1"/>
    <col min="33" max="33" width="5.6640625" bestFit="1" customWidth="1"/>
    <col min="34" max="34" width="8" bestFit="1" customWidth="1"/>
    <col min="35" max="35" width="9.6640625" bestFit="1" customWidth="1"/>
    <col min="36" max="37" width="7.21875" bestFit="1" customWidth="1"/>
    <col min="38" max="38" width="4.77734375" bestFit="1" customWidth="1"/>
    <col min="39" max="39" width="7.21875" bestFit="1" customWidth="1"/>
    <col min="40" max="40" width="4.77734375" bestFit="1" customWidth="1"/>
    <col min="41" max="42" width="7.21875" bestFit="1" customWidth="1"/>
    <col min="43" max="43" width="4.77734375" bestFit="1" customWidth="1"/>
    <col min="44" max="45" width="7.21875" bestFit="1" customWidth="1"/>
    <col min="46" max="46" width="4.77734375" bestFit="1" customWidth="1"/>
    <col min="47" max="48" width="7.21875" bestFit="1" customWidth="1"/>
    <col min="49" max="49" width="3.77734375" bestFit="1" customWidth="1"/>
    <col min="50" max="50" width="6.109375" bestFit="1" customWidth="1"/>
    <col min="51" max="51" width="3.21875" bestFit="1" customWidth="1"/>
    <col min="52" max="53" width="5.5546875" bestFit="1" customWidth="1"/>
    <col min="54" max="54" width="5.6640625" bestFit="1" customWidth="1"/>
    <col min="55" max="56" width="8" bestFit="1" customWidth="1"/>
    <col min="57" max="57" width="9.6640625" bestFit="1" customWidth="1"/>
    <col min="58" max="58" width="7.6640625" bestFit="1" customWidth="1"/>
    <col min="59" max="59" width="6.109375" bestFit="1" customWidth="1"/>
    <col min="60" max="60" width="8.6640625" bestFit="1" customWidth="1"/>
    <col min="61" max="61" width="6.21875" bestFit="1" customWidth="1"/>
    <col min="62" max="62" width="6.109375" bestFit="1" customWidth="1"/>
    <col min="63" max="63" width="7.6640625" bestFit="1" customWidth="1"/>
    <col min="64" max="64" width="8.6640625" bestFit="1" customWidth="1"/>
    <col min="65" max="65" width="6.21875" bestFit="1" customWidth="1"/>
    <col min="66" max="67" width="6.109375" bestFit="1" customWidth="1"/>
    <col min="68" max="68" width="8.6640625" bestFit="1" customWidth="1"/>
    <col min="69" max="69" width="6.21875" bestFit="1" customWidth="1"/>
    <col min="70" max="71" width="7.6640625" bestFit="1" customWidth="1"/>
    <col min="72" max="72" width="8.6640625" bestFit="1" customWidth="1"/>
    <col min="73" max="73" width="6.21875" bestFit="1" customWidth="1"/>
    <col min="74" max="74" width="6.109375" bestFit="1" customWidth="1"/>
    <col min="75" max="75" width="7.6640625" bestFit="1" customWidth="1"/>
    <col min="76" max="76" width="8.6640625" bestFit="1" customWidth="1"/>
    <col min="77" max="77" width="6.21875" bestFit="1" customWidth="1"/>
    <col min="78" max="79" width="7.6640625" bestFit="1" customWidth="1"/>
    <col min="80" max="80" width="8.6640625" bestFit="1" customWidth="1"/>
    <col min="81" max="81" width="5.21875" bestFit="1" customWidth="1"/>
    <col min="82" max="83" width="7.6640625" bestFit="1" customWidth="1"/>
    <col min="84" max="84" width="3.77734375" bestFit="1" customWidth="1"/>
    <col min="85" max="86" width="6.109375" bestFit="1" customWidth="1"/>
    <col min="87" max="87" width="7.6640625" bestFit="1" customWidth="1"/>
    <col min="88" max="88" width="6.21875" bestFit="1" customWidth="1"/>
    <col min="89" max="89" width="6.109375" bestFit="1" customWidth="1"/>
    <col min="90" max="90" width="7.6640625" bestFit="1" customWidth="1"/>
    <col min="91" max="91" width="8.6640625" bestFit="1" customWidth="1"/>
    <col min="92" max="92" width="6.21875" bestFit="1" customWidth="1"/>
    <col min="93" max="93" width="6.109375" bestFit="1" customWidth="1"/>
    <col min="94" max="94" width="7.6640625" bestFit="1" customWidth="1"/>
    <col min="95" max="95" width="3.77734375" bestFit="1" customWidth="1"/>
    <col min="96" max="97" width="6.109375" bestFit="1" customWidth="1"/>
    <col min="98" max="98" width="8.6640625" bestFit="1" customWidth="1"/>
    <col min="99" max="99" width="6.21875" bestFit="1" customWidth="1"/>
    <col min="100" max="100" width="6.109375" bestFit="1" customWidth="1"/>
    <col min="101" max="101" width="7.6640625" bestFit="1" customWidth="1"/>
    <col min="102" max="102" width="8.6640625" bestFit="1" customWidth="1"/>
    <col min="103" max="103" width="6.21875" bestFit="1" customWidth="1"/>
    <col min="104" max="104" width="6.109375" bestFit="1" customWidth="1"/>
    <col min="105" max="105" width="7.6640625" bestFit="1" customWidth="1"/>
    <col min="106" max="106" width="3.77734375" bestFit="1" customWidth="1"/>
    <col min="107" max="108" width="6.109375" bestFit="1" customWidth="1"/>
    <col min="109" max="109" width="8.6640625" bestFit="1" customWidth="1"/>
    <col min="110" max="110" width="6.21875" bestFit="1" customWidth="1"/>
    <col min="111" max="111" width="7.6640625" bestFit="1" customWidth="1"/>
    <col min="112" max="112" width="3.77734375" bestFit="1" customWidth="1"/>
    <col min="113" max="114" width="6.109375" bestFit="1" customWidth="1"/>
    <col min="115" max="115" width="8.6640625" bestFit="1" customWidth="1"/>
    <col min="116" max="116" width="5.21875" bestFit="1" customWidth="1"/>
    <col min="117" max="117" width="7.6640625" bestFit="1" customWidth="1"/>
    <col min="118" max="118" width="3.77734375" bestFit="1" customWidth="1"/>
    <col min="119" max="119" width="6.109375" bestFit="1" customWidth="1"/>
    <col min="120" max="120" width="7.6640625" bestFit="1" customWidth="1"/>
    <col min="121" max="121" width="5.21875" bestFit="1" customWidth="1"/>
    <col min="122" max="122" width="7.6640625" bestFit="1" customWidth="1"/>
    <col min="123" max="123" width="3.77734375" bestFit="1" customWidth="1"/>
    <col min="124" max="124" width="6.109375" bestFit="1" customWidth="1"/>
    <col min="125" max="125" width="7.6640625" bestFit="1" customWidth="1"/>
    <col min="126" max="126" width="5.21875" bestFit="1" customWidth="1"/>
    <col min="127" max="127" width="7.6640625" bestFit="1" customWidth="1"/>
    <col min="128" max="128" width="3.77734375" bestFit="1" customWidth="1"/>
    <col min="129" max="131" width="6.109375" bestFit="1" customWidth="1"/>
    <col min="132" max="132" width="3.77734375" bestFit="1" customWidth="1"/>
    <col min="133" max="135" width="6.109375" bestFit="1" customWidth="1"/>
    <col min="136" max="136" width="3.77734375" bestFit="1" customWidth="1"/>
    <col min="137" max="139" width="6.109375" bestFit="1" customWidth="1"/>
    <col min="140" max="140" width="4.77734375" bestFit="1" customWidth="1"/>
    <col min="141" max="143" width="7.21875" bestFit="1" customWidth="1"/>
    <col min="144" max="144" width="4.77734375" bestFit="1" customWidth="1"/>
    <col min="145" max="145" width="7.21875" bestFit="1" customWidth="1"/>
    <col min="146" max="146" width="4.77734375" bestFit="1" customWidth="1"/>
    <col min="147" max="149" width="7.21875" bestFit="1" customWidth="1"/>
    <col min="150" max="150" width="4.77734375" bestFit="1" customWidth="1"/>
    <col min="151" max="152" width="7.21875" bestFit="1" customWidth="1"/>
    <col min="153" max="153" width="4.77734375" bestFit="1" customWidth="1"/>
    <col min="154" max="154" width="7.21875" bestFit="1" customWidth="1"/>
    <col min="155" max="155" width="4.77734375" bestFit="1" customWidth="1"/>
    <col min="156" max="157" width="7.21875" bestFit="1" customWidth="1"/>
    <col min="158" max="158" width="4.77734375" bestFit="1" customWidth="1"/>
    <col min="159" max="161" width="7.21875" bestFit="1" customWidth="1"/>
    <col min="162" max="162" width="4.77734375" bestFit="1" customWidth="1"/>
    <col min="163" max="165" width="7.21875" bestFit="1" customWidth="1"/>
    <col min="166" max="166" width="4.77734375" bestFit="1" customWidth="1"/>
    <col min="167" max="169" width="7.21875" bestFit="1" customWidth="1"/>
    <col min="170" max="170" width="4.77734375" bestFit="1" customWidth="1"/>
    <col min="171" max="172" width="6.109375" bestFit="1" customWidth="1"/>
    <col min="173" max="173" width="7.21875" bestFit="1" customWidth="1"/>
    <col min="174" max="174" width="4.77734375" bestFit="1" customWidth="1"/>
    <col min="175" max="176" width="6.109375" bestFit="1" customWidth="1"/>
    <col min="177" max="177" width="7.21875" bestFit="1" customWidth="1"/>
    <col min="178" max="178" width="4.77734375" bestFit="1" customWidth="1"/>
    <col min="179" max="180" width="6.109375" bestFit="1" customWidth="1"/>
    <col min="181" max="181" width="7.21875" bestFit="1" customWidth="1"/>
    <col min="182" max="182" width="5.6640625" bestFit="1" customWidth="1"/>
    <col min="183" max="185" width="8" bestFit="1" customWidth="1"/>
    <col min="186" max="186" width="9.6640625" bestFit="1" customWidth="1"/>
  </cols>
  <sheetData>
    <row r="2" spans="1:12">
      <c r="A2" s="32" t="s">
        <v>1213</v>
      </c>
      <c r="B2" s="32" t="s">
        <v>1171</v>
      </c>
    </row>
    <row r="3" spans="1:12">
      <c r="A3" s="32" t="s">
        <v>1172</v>
      </c>
      <c r="B3" t="s">
        <v>1197</v>
      </c>
      <c r="C3" t="s">
        <v>107</v>
      </c>
      <c r="D3" t="s">
        <v>23</v>
      </c>
      <c r="E3" t="s">
        <v>64</v>
      </c>
      <c r="F3" t="s">
        <v>31</v>
      </c>
      <c r="G3" t="s">
        <v>34</v>
      </c>
      <c r="H3" t="s">
        <v>65</v>
      </c>
      <c r="I3" t="s">
        <v>62</v>
      </c>
      <c r="J3" t="s">
        <v>27</v>
      </c>
      <c r="K3" t="s">
        <v>37</v>
      </c>
      <c r="L3" t="s">
        <v>171</v>
      </c>
    </row>
    <row r="4" spans="1:12">
      <c r="A4">
        <v>3</v>
      </c>
      <c r="H4">
        <v>1</v>
      </c>
      <c r="L4">
        <v>1</v>
      </c>
    </row>
    <row r="5" spans="1:12">
      <c r="A5">
        <v>4</v>
      </c>
      <c r="B5">
        <v>1</v>
      </c>
      <c r="J5">
        <v>1</v>
      </c>
      <c r="L5">
        <v>2</v>
      </c>
    </row>
    <row r="6" spans="1:12">
      <c r="A6">
        <v>7</v>
      </c>
      <c r="G6">
        <v>1</v>
      </c>
      <c r="L6">
        <v>1</v>
      </c>
    </row>
    <row r="7" spans="1:12">
      <c r="A7">
        <v>8</v>
      </c>
      <c r="E7">
        <v>1</v>
      </c>
      <c r="G7">
        <v>1</v>
      </c>
      <c r="H7">
        <v>1</v>
      </c>
      <c r="I7">
        <v>1</v>
      </c>
      <c r="L7">
        <v>4</v>
      </c>
    </row>
    <row r="8" spans="1:12">
      <c r="A8">
        <v>10</v>
      </c>
      <c r="C8">
        <v>2</v>
      </c>
      <c r="D8">
        <v>1</v>
      </c>
      <c r="G8">
        <v>1</v>
      </c>
      <c r="K8">
        <v>1</v>
      </c>
      <c r="L8">
        <v>5</v>
      </c>
    </row>
    <row r="9" spans="1:12">
      <c r="A9">
        <v>11</v>
      </c>
      <c r="E9">
        <v>1</v>
      </c>
      <c r="I9">
        <v>1</v>
      </c>
      <c r="K9">
        <v>1</v>
      </c>
      <c r="L9">
        <v>3</v>
      </c>
    </row>
    <row r="10" spans="1:12">
      <c r="A10">
        <v>12</v>
      </c>
      <c r="I10">
        <v>1</v>
      </c>
      <c r="L10">
        <v>1</v>
      </c>
    </row>
    <row r="11" spans="1:12">
      <c r="A11">
        <v>13</v>
      </c>
      <c r="H11">
        <v>1</v>
      </c>
      <c r="L11">
        <v>1</v>
      </c>
    </row>
    <row r="12" spans="1:12">
      <c r="A12">
        <v>14</v>
      </c>
      <c r="C12">
        <v>1</v>
      </c>
      <c r="E12">
        <v>1</v>
      </c>
      <c r="F12">
        <v>1</v>
      </c>
      <c r="L12">
        <v>3</v>
      </c>
    </row>
    <row r="13" spans="1:12">
      <c r="A13">
        <v>6</v>
      </c>
      <c r="E13">
        <v>1</v>
      </c>
      <c r="L13">
        <v>1</v>
      </c>
    </row>
    <row r="14" spans="1:12">
      <c r="A14" t="s">
        <v>171</v>
      </c>
      <c r="B14">
        <v>1</v>
      </c>
      <c r="C14">
        <v>3</v>
      </c>
      <c r="D14">
        <v>1</v>
      </c>
      <c r="E14">
        <v>4</v>
      </c>
      <c r="F14">
        <v>1</v>
      </c>
      <c r="G14">
        <v>3</v>
      </c>
      <c r="H14">
        <v>3</v>
      </c>
      <c r="I14">
        <v>3</v>
      </c>
      <c r="J14">
        <v>1</v>
      </c>
      <c r="K14">
        <v>2</v>
      </c>
      <c r="L14">
        <v>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9981572050E6F4BBD129C2AA2DED0A0" ma:contentTypeVersion="6" ma:contentTypeDescription="Create a new document." ma:contentTypeScope="" ma:versionID="dba709bb40dcabfc6b1bbeb6a46ed5dd">
  <xsd:schema xmlns:xsd="http://www.w3.org/2001/XMLSchema" xmlns:xs="http://www.w3.org/2001/XMLSchema" xmlns:p="http://schemas.microsoft.com/office/2006/metadata/properties" xmlns:ns2="861adf3d-1412-4842-9367-b5bdf30a3f84" xmlns:ns3="e81dcfd3-bb5b-4c01-b359-5c535f40575b" targetNamespace="http://schemas.microsoft.com/office/2006/metadata/properties" ma:root="true" ma:fieldsID="18c954a6880cbd9e06c7f95d0f0a5e62" ns2:_="" ns3:_="">
    <xsd:import namespace="861adf3d-1412-4842-9367-b5bdf30a3f84"/>
    <xsd:import namespace="e81dcfd3-bb5b-4c01-b359-5c535f40575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1adf3d-1412-4842-9367-b5bdf30a3f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1dcfd3-bb5b-4c01-b359-5c535f40575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C29D4E-D296-4F6D-9847-F69359A74D50}"/>
</file>

<file path=customXml/itemProps2.xml><?xml version="1.0" encoding="utf-8"?>
<ds:datastoreItem xmlns:ds="http://schemas.openxmlformats.org/officeDocument/2006/customXml" ds:itemID="{F4667B3D-EF76-41CA-BAA5-65992DA14C43}"/>
</file>

<file path=customXml/itemProps3.xml><?xml version="1.0" encoding="utf-8"?>
<ds:datastoreItem xmlns:ds="http://schemas.openxmlformats.org/officeDocument/2006/customXml" ds:itemID="{DDAC746C-CB76-4B39-BDC8-818E2B5ACDE0}"/>
</file>

<file path=docProps/app.xml><?xml version="1.0" encoding="utf-8"?>
<Properties xmlns="http://schemas.openxmlformats.org/officeDocument/2006/extended-properties" xmlns:vt="http://schemas.openxmlformats.org/officeDocument/2006/docPropsVTypes">
  <Template>TM11628816</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Juanita Peloza (Americas)</cp:lastModifiedBy>
  <cp:revision/>
  <dcterms:created xsi:type="dcterms:W3CDTF">2019-02-19T22:00:27Z</dcterms:created>
  <dcterms:modified xsi:type="dcterms:W3CDTF">2025-04-10T21:14:26Z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0x01010019981572050E6F4BBD129C2AA2DED0A0</vt:lpwstr>
  </property>
  <property fmtid="{D5CDD505-2E9C-101B-9397-08002B2CF9AE}" pid="3" name="MSIP_Label_4637e5cc-ed1f-4ad6-a881-35c0f1c6f3d8_Enabled">
    <vt:lpwstr>true</vt:lpwstr>
  </property>
  <property fmtid="{D5CDD505-2E9C-101B-9397-08002B2CF9AE}" pid="4" name="MSIP_Label_4637e5cc-ed1f-4ad6-a881-35c0f1c6f3d8_SetDate">
    <vt:lpwstr>2023-06-07T20:36:59Z</vt:lpwstr>
  </property>
  <property fmtid="{D5CDD505-2E9C-101B-9397-08002B2CF9AE}" pid="5" name="MSIP_Label_4637e5cc-ed1f-4ad6-a881-35c0f1c6f3d8_Method">
    <vt:lpwstr>Standard</vt:lpwstr>
  </property>
  <property fmtid="{D5CDD505-2E9C-101B-9397-08002B2CF9AE}" pid="6" name="MSIP_Label_4637e5cc-ed1f-4ad6-a881-35c0f1c6f3d8_Name">
    <vt:lpwstr>General</vt:lpwstr>
  </property>
  <property fmtid="{D5CDD505-2E9C-101B-9397-08002B2CF9AE}" pid="7" name="MSIP_Label_4637e5cc-ed1f-4ad6-a881-35c0f1c6f3d8_SiteId">
    <vt:lpwstr>e3cf3c98-a978-465f-8254-9d541eeea73c</vt:lpwstr>
  </property>
  <property fmtid="{D5CDD505-2E9C-101B-9397-08002B2CF9AE}" pid="8" name="MSIP_Label_4637e5cc-ed1f-4ad6-a881-35c0f1c6f3d8_ActionId">
    <vt:lpwstr>5c709be3-05af-4695-b864-5e864523a737</vt:lpwstr>
  </property>
  <property fmtid="{D5CDD505-2E9C-101B-9397-08002B2CF9AE}" pid="9" name="MSIP_Label_4637e5cc-ed1f-4ad6-a881-35c0f1c6f3d8_ContentBits">
    <vt:lpwstr>0</vt:lpwstr>
  </property>
  <property fmtid="{D5CDD505-2E9C-101B-9397-08002B2CF9AE}" pid="10" name="MediaServiceImageTags">
    <vt:lpwstr/>
  </property>
</Properties>
</file>