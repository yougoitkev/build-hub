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pontt.sharepoint.com/sites/Training/Shared Documents/Training Resources/Time Utilization Tracking (TUT)/"/>
    </mc:Choice>
  </mc:AlternateContent>
  <xr:revisionPtr revIDLastSave="484" documentId="8_{AEA8EBF4-EFDF-4E80-BAA2-B4A75AEA8715}" xr6:coauthVersionLast="47" xr6:coauthVersionMax="47" xr10:uidLastSave="{6B69E503-A384-4ABA-B530-7EA4A43B0E96}"/>
  <bookViews>
    <workbookView xWindow="-120" yWindow="-120" windowWidth="29040" windowHeight="15720" firstSheet="8" activeTab="8" xr2:uid="{6A2A4B6D-A730-427A-A027-A656321237B9}"/>
  </bookViews>
  <sheets>
    <sheet name="Dashboard YTD" sheetId="11" r:id="rId1"/>
    <sheet name="Definitions" sheetId="12" r:id="rId2"/>
    <sheet name="April 2025" sheetId="1" r:id="rId3"/>
    <sheet name="May 2025" sheetId="14" r:id="rId4"/>
    <sheet name="June 2025" sheetId="15" r:id="rId5"/>
    <sheet name="July 2025" sheetId="16" r:id="rId6"/>
    <sheet name="Aug 2025" sheetId="17" r:id="rId7"/>
    <sheet name="Sept 2025" sheetId="18" r:id="rId8"/>
    <sheet name="Oct 2025" sheetId="19" r:id="rId9"/>
    <sheet name="Nov 2025" sheetId="20" r:id="rId10"/>
    <sheet name="Dec 2025" sheetId="22" r:id="rId11"/>
    <sheet name="Jan 2026" sheetId="23" r:id="rId12"/>
    <sheet name="Feb 2026" sheetId="24" r:id="rId13"/>
    <sheet name="March 2026" sheetId="25" r:id="rId14"/>
  </sheets>
  <externalReferences>
    <externalReference r:id="rId15"/>
  </externalReferences>
  <definedNames>
    <definedName name="Display_Week">[1]ProjectSchedule_PCB_Curriculum!$P$4</definedName>
    <definedName name="Project_Start">[1]ProjectSchedule_PCB_Curriculum!$P$3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9" i="19" l="1"/>
  <c r="J29" i="19"/>
  <c r="I29" i="19"/>
  <c r="H29" i="19"/>
  <c r="H28" i="19"/>
  <c r="H27" i="19"/>
  <c r="H26" i="19"/>
  <c r="H25" i="19"/>
  <c r="H24" i="19"/>
  <c r="F4" i="19"/>
  <c r="J24" i="14"/>
  <c r="K24" i="14" s="1"/>
  <c r="I25" i="14"/>
  <c r="I26" i="14"/>
  <c r="I27" i="14"/>
  <c r="I28" i="14"/>
  <c r="I24" i="14"/>
  <c r="H26" i="14"/>
  <c r="H27" i="14"/>
  <c r="H28" i="14"/>
  <c r="E24" i="1"/>
  <c r="E25" i="1" s="1"/>
  <c r="E26" i="1" s="1"/>
  <c r="E27" i="1" s="1"/>
  <c r="E28" i="1" s="1"/>
  <c r="E29" i="1" s="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6" i="11"/>
  <c r="E24" i="25"/>
  <c r="E25" i="25" s="1"/>
  <c r="H29" i="25"/>
  <c r="H26" i="25"/>
  <c r="H25" i="25"/>
  <c r="H24" i="25"/>
  <c r="H23" i="25"/>
  <c r="E17" i="25"/>
  <c r="F17" i="25" s="1"/>
  <c r="F16" i="25"/>
  <c r="E16" i="25"/>
  <c r="F15" i="25"/>
  <c r="E15" i="25"/>
  <c r="F14" i="25"/>
  <c r="E14" i="25"/>
  <c r="E13" i="25"/>
  <c r="F13" i="25" s="1"/>
  <c r="E12" i="25"/>
  <c r="F12" i="25" s="1"/>
  <c r="E11" i="25"/>
  <c r="F11" i="25" s="1"/>
  <c r="F10" i="25"/>
  <c r="E10" i="25"/>
  <c r="E9" i="25"/>
  <c r="F9" i="25" s="1"/>
  <c r="F8" i="25"/>
  <c r="E8" i="25"/>
  <c r="F7" i="25"/>
  <c r="E7" i="25"/>
  <c r="F6" i="25"/>
  <c r="E6" i="25"/>
  <c r="E5" i="25"/>
  <c r="F5" i="25" s="1"/>
  <c r="F4" i="25"/>
  <c r="E4" i="25"/>
  <c r="F3" i="25"/>
  <c r="E3" i="25"/>
  <c r="F2" i="25"/>
  <c r="E2" i="25"/>
  <c r="E24" i="20"/>
  <c r="E25" i="20" s="1"/>
  <c r="H29" i="24"/>
  <c r="H28" i="24"/>
  <c r="H27" i="24"/>
  <c r="H26" i="24"/>
  <c r="H25" i="24"/>
  <c r="H24" i="24"/>
  <c r="E24" i="24"/>
  <c r="E25" i="24" s="1"/>
  <c r="H23" i="24"/>
  <c r="E17" i="24"/>
  <c r="F17" i="24" s="1"/>
  <c r="E16" i="24"/>
  <c r="F16" i="24" s="1"/>
  <c r="E15" i="24"/>
  <c r="F15" i="24" s="1"/>
  <c r="E14" i="24"/>
  <c r="F14" i="24" s="1"/>
  <c r="E13" i="24"/>
  <c r="F13" i="24" s="1"/>
  <c r="E12" i="24"/>
  <c r="F12" i="24" s="1"/>
  <c r="E11" i="24"/>
  <c r="F11" i="24" s="1"/>
  <c r="E10" i="24"/>
  <c r="F10" i="24" s="1"/>
  <c r="E9" i="24"/>
  <c r="F9" i="24" s="1"/>
  <c r="E8" i="24"/>
  <c r="F8" i="24" s="1"/>
  <c r="E7" i="24"/>
  <c r="F7" i="24" s="1"/>
  <c r="E6" i="24"/>
  <c r="F6" i="24" s="1"/>
  <c r="E5" i="24"/>
  <c r="F5" i="24" s="1"/>
  <c r="E4" i="24"/>
  <c r="F4" i="24" s="1"/>
  <c r="E3" i="24"/>
  <c r="F3" i="24" s="1"/>
  <c r="E2" i="24"/>
  <c r="F2" i="24" s="1"/>
  <c r="H29" i="23"/>
  <c r="H28" i="23"/>
  <c r="H27" i="23"/>
  <c r="H26" i="23"/>
  <c r="H25" i="23"/>
  <c r="H24" i="23"/>
  <c r="E24" i="23"/>
  <c r="E25" i="23" s="1"/>
  <c r="H23" i="23"/>
  <c r="E17" i="23"/>
  <c r="F17" i="23" s="1"/>
  <c r="F16" i="23"/>
  <c r="E16" i="23"/>
  <c r="F15" i="23"/>
  <c r="E15" i="23"/>
  <c r="F14" i="23"/>
  <c r="E14" i="23"/>
  <c r="E13" i="23"/>
  <c r="F13" i="23" s="1"/>
  <c r="E12" i="23"/>
  <c r="F12" i="23" s="1"/>
  <c r="E11" i="23"/>
  <c r="F11" i="23" s="1"/>
  <c r="F10" i="23"/>
  <c r="E10" i="23"/>
  <c r="E9" i="23"/>
  <c r="F9" i="23" s="1"/>
  <c r="F8" i="23"/>
  <c r="E8" i="23"/>
  <c r="F7" i="23"/>
  <c r="E7" i="23"/>
  <c r="F6" i="23"/>
  <c r="E6" i="23"/>
  <c r="E5" i="23"/>
  <c r="F5" i="23" s="1"/>
  <c r="F4" i="23"/>
  <c r="E4" i="23"/>
  <c r="F3" i="23"/>
  <c r="E3" i="23"/>
  <c r="E2" i="23"/>
  <c r="F2" i="23" s="1"/>
  <c r="H29" i="22"/>
  <c r="H28" i="22"/>
  <c r="H27" i="22"/>
  <c r="H26" i="22"/>
  <c r="H25" i="22"/>
  <c r="H24" i="22"/>
  <c r="E24" i="22"/>
  <c r="E25" i="22" s="1"/>
  <c r="H23" i="22"/>
  <c r="E17" i="22"/>
  <c r="F17" i="22" s="1"/>
  <c r="E16" i="22"/>
  <c r="F16" i="22" s="1"/>
  <c r="F15" i="22"/>
  <c r="E15" i="22"/>
  <c r="E14" i="22"/>
  <c r="F14" i="22" s="1"/>
  <c r="E13" i="22"/>
  <c r="F13" i="22" s="1"/>
  <c r="E12" i="22"/>
  <c r="F12" i="22" s="1"/>
  <c r="E11" i="22"/>
  <c r="F11" i="22" s="1"/>
  <c r="E10" i="22"/>
  <c r="F10" i="22" s="1"/>
  <c r="E9" i="22"/>
  <c r="F9" i="22" s="1"/>
  <c r="E8" i="22"/>
  <c r="F8" i="22" s="1"/>
  <c r="F7" i="22"/>
  <c r="E7" i="22"/>
  <c r="E6" i="22"/>
  <c r="F6" i="22" s="1"/>
  <c r="E5" i="22"/>
  <c r="F5" i="22" s="1"/>
  <c r="E4" i="22"/>
  <c r="F4" i="22" s="1"/>
  <c r="F3" i="22"/>
  <c r="E3" i="22"/>
  <c r="E2" i="22"/>
  <c r="F2" i="22" s="1"/>
  <c r="H29" i="20"/>
  <c r="H28" i="20"/>
  <c r="H27" i="20"/>
  <c r="H26" i="20"/>
  <c r="H25" i="20"/>
  <c r="H24" i="20"/>
  <c r="H23" i="20"/>
  <c r="E17" i="20"/>
  <c r="F17" i="20" s="1"/>
  <c r="E16" i="20"/>
  <c r="F16" i="20" s="1"/>
  <c r="E15" i="20"/>
  <c r="F15" i="20" s="1"/>
  <c r="F14" i="20"/>
  <c r="E14" i="20"/>
  <c r="E13" i="20"/>
  <c r="F13" i="20" s="1"/>
  <c r="E12" i="20"/>
  <c r="F12" i="20" s="1"/>
  <c r="E11" i="20"/>
  <c r="F11" i="20" s="1"/>
  <c r="F10" i="20"/>
  <c r="E10" i="20"/>
  <c r="E9" i="20"/>
  <c r="F9" i="20" s="1"/>
  <c r="E8" i="20"/>
  <c r="F8" i="20" s="1"/>
  <c r="E7" i="20"/>
  <c r="F7" i="20" s="1"/>
  <c r="F6" i="20"/>
  <c r="E6" i="20"/>
  <c r="E5" i="20"/>
  <c r="F5" i="20" s="1"/>
  <c r="E4" i="20"/>
  <c r="F4" i="20" s="1"/>
  <c r="E3" i="20"/>
  <c r="F3" i="20" s="1"/>
  <c r="E2" i="20"/>
  <c r="F2" i="20" s="1"/>
  <c r="E24" i="19"/>
  <c r="E25" i="19" s="1"/>
  <c r="H23" i="19"/>
  <c r="E17" i="19"/>
  <c r="F17" i="19" s="1"/>
  <c r="E16" i="19"/>
  <c r="F16" i="19" s="1"/>
  <c r="F15" i="19"/>
  <c r="E15" i="19"/>
  <c r="F14" i="19"/>
  <c r="E14" i="19"/>
  <c r="E13" i="19"/>
  <c r="F13" i="19" s="1"/>
  <c r="E12" i="19"/>
  <c r="F12" i="19" s="1"/>
  <c r="E11" i="19"/>
  <c r="F11" i="19" s="1"/>
  <c r="F10" i="19"/>
  <c r="E10" i="19"/>
  <c r="E9" i="19"/>
  <c r="F9" i="19" s="1"/>
  <c r="E8" i="19"/>
  <c r="F8" i="19" s="1"/>
  <c r="F7" i="19"/>
  <c r="E7" i="19"/>
  <c r="F6" i="19"/>
  <c r="E6" i="19"/>
  <c r="E5" i="19"/>
  <c r="F5" i="19" s="1"/>
  <c r="E4" i="19"/>
  <c r="F3" i="19"/>
  <c r="E3" i="19"/>
  <c r="F2" i="19"/>
  <c r="E2" i="19"/>
  <c r="H29" i="18"/>
  <c r="H28" i="18"/>
  <c r="H27" i="18"/>
  <c r="H26" i="18"/>
  <c r="H25" i="18"/>
  <c r="H24" i="18"/>
  <c r="E24" i="18"/>
  <c r="E25" i="18" s="1"/>
  <c r="H23" i="18"/>
  <c r="E17" i="18"/>
  <c r="F17" i="18" s="1"/>
  <c r="E16" i="18"/>
  <c r="F16" i="18" s="1"/>
  <c r="E15" i="18"/>
  <c r="F15" i="18" s="1"/>
  <c r="E14" i="18"/>
  <c r="F14" i="18" s="1"/>
  <c r="E13" i="18"/>
  <c r="F13" i="18" s="1"/>
  <c r="E12" i="18"/>
  <c r="F12" i="18" s="1"/>
  <c r="E11" i="18"/>
  <c r="F11" i="18" s="1"/>
  <c r="E10" i="18"/>
  <c r="F10" i="18" s="1"/>
  <c r="E9" i="18"/>
  <c r="F9" i="18" s="1"/>
  <c r="E8" i="18"/>
  <c r="F8" i="18" s="1"/>
  <c r="E7" i="18"/>
  <c r="F7" i="18" s="1"/>
  <c r="E6" i="18"/>
  <c r="F6" i="18" s="1"/>
  <c r="E5" i="18"/>
  <c r="F5" i="18" s="1"/>
  <c r="E4" i="18"/>
  <c r="F4" i="18" s="1"/>
  <c r="E3" i="18"/>
  <c r="F3" i="18" s="1"/>
  <c r="E2" i="18"/>
  <c r="F2" i="18" s="1"/>
  <c r="H29" i="17"/>
  <c r="H28" i="17"/>
  <c r="H27" i="17"/>
  <c r="H26" i="17"/>
  <c r="H25" i="17"/>
  <c r="H24" i="17"/>
  <c r="E24" i="17"/>
  <c r="H23" i="17"/>
  <c r="E17" i="17"/>
  <c r="F17" i="17" s="1"/>
  <c r="E16" i="17"/>
  <c r="F16" i="17" s="1"/>
  <c r="E15" i="17"/>
  <c r="F15" i="17" s="1"/>
  <c r="E14" i="17"/>
  <c r="F14" i="17" s="1"/>
  <c r="E13" i="17"/>
  <c r="F13" i="17" s="1"/>
  <c r="E12" i="17"/>
  <c r="F12" i="17" s="1"/>
  <c r="E11" i="17"/>
  <c r="F11" i="17" s="1"/>
  <c r="E10" i="17"/>
  <c r="F10" i="17" s="1"/>
  <c r="E9" i="17"/>
  <c r="F9" i="17" s="1"/>
  <c r="E8" i="17"/>
  <c r="F8" i="17" s="1"/>
  <c r="E7" i="17"/>
  <c r="F7" i="17" s="1"/>
  <c r="E6" i="17"/>
  <c r="F6" i="17" s="1"/>
  <c r="E5" i="17"/>
  <c r="F5" i="17" s="1"/>
  <c r="E4" i="17"/>
  <c r="F4" i="17" s="1"/>
  <c r="E3" i="17"/>
  <c r="F3" i="17" s="1"/>
  <c r="E2" i="17"/>
  <c r="F2" i="17" s="1"/>
  <c r="F18" i="17" s="1"/>
  <c r="H29" i="16"/>
  <c r="H28" i="16"/>
  <c r="H27" i="16"/>
  <c r="H26" i="16"/>
  <c r="H25" i="16"/>
  <c r="H24" i="16"/>
  <c r="E24" i="16"/>
  <c r="E25" i="16" s="1"/>
  <c r="H23" i="16"/>
  <c r="E17" i="16"/>
  <c r="F17" i="16" s="1"/>
  <c r="E16" i="16"/>
  <c r="F16" i="16" s="1"/>
  <c r="E15" i="16"/>
  <c r="F15" i="16" s="1"/>
  <c r="F14" i="16"/>
  <c r="E14" i="16"/>
  <c r="E13" i="16"/>
  <c r="F13" i="16" s="1"/>
  <c r="E12" i="16"/>
  <c r="F12" i="16" s="1"/>
  <c r="E11" i="16"/>
  <c r="F11" i="16" s="1"/>
  <c r="F10" i="16"/>
  <c r="E10" i="16"/>
  <c r="E9" i="16"/>
  <c r="F9" i="16" s="1"/>
  <c r="E8" i="16"/>
  <c r="F8" i="16" s="1"/>
  <c r="E7" i="16"/>
  <c r="F7" i="16" s="1"/>
  <c r="F6" i="16"/>
  <c r="E6" i="16"/>
  <c r="E5" i="16"/>
  <c r="F5" i="16" s="1"/>
  <c r="E4" i="16"/>
  <c r="F4" i="16" s="1"/>
  <c r="E3" i="16"/>
  <c r="F3" i="16" s="1"/>
  <c r="E2" i="16"/>
  <c r="F2" i="16" s="1"/>
  <c r="H29" i="15"/>
  <c r="H28" i="15"/>
  <c r="H27" i="15"/>
  <c r="H26" i="15"/>
  <c r="H25" i="15"/>
  <c r="H24" i="15"/>
  <c r="E24" i="15"/>
  <c r="E25" i="15" s="1"/>
  <c r="H23" i="15"/>
  <c r="E17" i="15"/>
  <c r="F17" i="15" s="1"/>
  <c r="E16" i="15"/>
  <c r="F16" i="15" s="1"/>
  <c r="E15" i="15"/>
  <c r="F15" i="15" s="1"/>
  <c r="F14" i="15"/>
  <c r="E14" i="15"/>
  <c r="E13" i="15"/>
  <c r="F13" i="15" s="1"/>
  <c r="E12" i="15"/>
  <c r="F12" i="15" s="1"/>
  <c r="E11" i="15"/>
  <c r="F11" i="15" s="1"/>
  <c r="F10" i="15"/>
  <c r="E10" i="15"/>
  <c r="E9" i="15"/>
  <c r="F9" i="15" s="1"/>
  <c r="E8" i="15"/>
  <c r="F8" i="15" s="1"/>
  <c r="E7" i="15"/>
  <c r="F7" i="15" s="1"/>
  <c r="F6" i="15"/>
  <c r="E6" i="15"/>
  <c r="E5" i="15"/>
  <c r="F5" i="15" s="1"/>
  <c r="E4" i="15"/>
  <c r="F4" i="15" s="1"/>
  <c r="E3" i="15"/>
  <c r="F3" i="15" s="1"/>
  <c r="E2" i="15"/>
  <c r="F2" i="15" s="1"/>
  <c r="H29" i="14"/>
  <c r="I29" i="14" s="1"/>
  <c r="H25" i="14"/>
  <c r="H24" i="14"/>
  <c r="E24" i="14"/>
  <c r="E25" i="14" s="1"/>
  <c r="H23" i="14"/>
  <c r="E17" i="14"/>
  <c r="F17" i="14" s="1"/>
  <c r="E16" i="14"/>
  <c r="F16" i="14" s="1"/>
  <c r="E15" i="14"/>
  <c r="F15" i="14" s="1"/>
  <c r="F14" i="14"/>
  <c r="E14" i="14"/>
  <c r="E13" i="14"/>
  <c r="F13" i="14" s="1"/>
  <c r="E12" i="14"/>
  <c r="F12" i="14" s="1"/>
  <c r="E11" i="14"/>
  <c r="F11" i="14" s="1"/>
  <c r="F10" i="14"/>
  <c r="E10" i="14"/>
  <c r="E9" i="14"/>
  <c r="F9" i="14" s="1"/>
  <c r="E8" i="14"/>
  <c r="F8" i="14" s="1"/>
  <c r="E7" i="14"/>
  <c r="F7" i="14" s="1"/>
  <c r="F6" i="14"/>
  <c r="E6" i="14"/>
  <c r="E5" i="14"/>
  <c r="F5" i="14" s="1"/>
  <c r="E4" i="14"/>
  <c r="F4" i="14" s="1"/>
  <c r="E3" i="14"/>
  <c r="F3" i="14" s="1"/>
  <c r="E2" i="14"/>
  <c r="F2" i="14" s="1"/>
  <c r="J29" i="1"/>
  <c r="J23" i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3" i="1"/>
  <c r="F3" i="1" s="1"/>
  <c r="E4" i="1"/>
  <c r="F4" i="1" s="1"/>
  <c r="E5" i="1"/>
  <c r="F5" i="1" s="1"/>
  <c r="E6" i="1"/>
  <c r="F6" i="1" s="1"/>
  <c r="E7" i="1"/>
  <c r="F7" i="1" s="1"/>
  <c r="E8" i="1"/>
  <c r="F8" i="1" s="1"/>
  <c r="E2" i="1"/>
  <c r="F2" i="1" s="1"/>
  <c r="I24" i="17" l="1"/>
  <c r="B16" i="11"/>
  <c r="B9" i="11"/>
  <c r="B21" i="11"/>
  <c r="B6" i="11"/>
  <c r="B14" i="11"/>
  <c r="B13" i="11"/>
  <c r="B7" i="11"/>
  <c r="B8" i="11"/>
  <c r="B19" i="11"/>
  <c r="B10" i="11"/>
  <c r="B17" i="11"/>
  <c r="B15" i="11"/>
  <c r="B11" i="11"/>
  <c r="B20" i="11"/>
  <c r="B18" i="11"/>
  <c r="B12" i="11"/>
  <c r="F18" i="25"/>
  <c r="J24" i="25"/>
  <c r="K24" i="25" s="1"/>
  <c r="I24" i="25"/>
  <c r="E25" i="17"/>
  <c r="E26" i="17" s="1"/>
  <c r="E27" i="17" s="1"/>
  <c r="I24" i="24"/>
  <c r="J25" i="25"/>
  <c r="K25" i="25" s="1"/>
  <c r="E26" i="25"/>
  <c r="E27" i="25" s="1"/>
  <c r="I27" i="25" s="1"/>
  <c r="I25" i="25"/>
  <c r="I29" i="25"/>
  <c r="K29" i="25" s="1"/>
  <c r="I23" i="25"/>
  <c r="J23" i="25" s="1"/>
  <c r="H30" i="25"/>
  <c r="I24" i="23"/>
  <c r="I24" i="22"/>
  <c r="I24" i="20"/>
  <c r="I24" i="19"/>
  <c r="J25" i="24"/>
  <c r="K25" i="24" s="1"/>
  <c r="E26" i="24"/>
  <c r="I25" i="24"/>
  <c r="F18" i="24"/>
  <c r="J29" i="24"/>
  <c r="J24" i="24"/>
  <c r="K24" i="24" s="1"/>
  <c r="I29" i="24"/>
  <c r="K29" i="24"/>
  <c r="I23" i="24"/>
  <c r="J23" i="24" s="1"/>
  <c r="H30" i="24"/>
  <c r="J25" i="23"/>
  <c r="K25" i="23" s="1"/>
  <c r="I25" i="23"/>
  <c r="E26" i="23"/>
  <c r="F18" i="23"/>
  <c r="J24" i="23"/>
  <c r="K24" i="23" s="1"/>
  <c r="I29" i="23"/>
  <c r="K29" i="23" s="1"/>
  <c r="J29" i="23"/>
  <c r="I23" i="23"/>
  <c r="H30" i="23"/>
  <c r="F18" i="22"/>
  <c r="I25" i="22"/>
  <c r="J25" i="22"/>
  <c r="K25" i="22" s="1"/>
  <c r="E26" i="22"/>
  <c r="J24" i="22"/>
  <c r="K24" i="22" s="1"/>
  <c r="I29" i="22"/>
  <c r="K29" i="22" s="1"/>
  <c r="I23" i="22"/>
  <c r="J23" i="22" s="1"/>
  <c r="H30" i="22"/>
  <c r="J25" i="20"/>
  <c r="K25" i="20" s="1"/>
  <c r="I25" i="20"/>
  <c r="E26" i="20"/>
  <c r="K29" i="20"/>
  <c r="F18" i="20"/>
  <c r="J24" i="20"/>
  <c r="K24" i="20" s="1"/>
  <c r="I29" i="20"/>
  <c r="J29" i="20"/>
  <c r="I23" i="20"/>
  <c r="H30" i="20"/>
  <c r="J25" i="19"/>
  <c r="K25" i="19" s="1"/>
  <c r="I25" i="19"/>
  <c r="E26" i="19"/>
  <c r="F18" i="19"/>
  <c r="J24" i="19"/>
  <c r="K24" i="19" s="1"/>
  <c r="I23" i="19"/>
  <c r="J23" i="19" s="1"/>
  <c r="H30" i="19"/>
  <c r="I24" i="18"/>
  <c r="J25" i="18"/>
  <c r="K25" i="18" s="1"/>
  <c r="I25" i="18"/>
  <c r="E26" i="18"/>
  <c r="F18" i="18"/>
  <c r="J24" i="18"/>
  <c r="K24" i="18" s="1"/>
  <c r="I29" i="18"/>
  <c r="J29" i="18" s="1"/>
  <c r="I23" i="18"/>
  <c r="H30" i="18"/>
  <c r="I27" i="17"/>
  <c r="J27" i="17"/>
  <c r="K27" i="17" s="1"/>
  <c r="E28" i="17"/>
  <c r="J24" i="17"/>
  <c r="K24" i="17" s="1"/>
  <c r="I29" i="17"/>
  <c r="K29" i="17" s="1"/>
  <c r="I26" i="17"/>
  <c r="J29" i="17"/>
  <c r="J26" i="17"/>
  <c r="K26" i="17" s="1"/>
  <c r="I23" i="17"/>
  <c r="H30" i="17"/>
  <c r="I25" i="17"/>
  <c r="J25" i="17"/>
  <c r="K25" i="17" s="1"/>
  <c r="I24" i="16"/>
  <c r="J25" i="16"/>
  <c r="K25" i="16" s="1"/>
  <c r="I25" i="16"/>
  <c r="E26" i="16"/>
  <c r="F18" i="16"/>
  <c r="J24" i="16"/>
  <c r="K24" i="16" s="1"/>
  <c r="I29" i="16"/>
  <c r="J29" i="16" s="1"/>
  <c r="I23" i="16"/>
  <c r="H30" i="16"/>
  <c r="I24" i="15"/>
  <c r="J24" i="15"/>
  <c r="K24" i="15" s="1"/>
  <c r="J25" i="15"/>
  <c r="K25" i="15" s="1"/>
  <c r="I25" i="15"/>
  <c r="E26" i="15"/>
  <c r="F18" i="15"/>
  <c r="I29" i="15"/>
  <c r="K29" i="15" s="1"/>
  <c r="I23" i="15"/>
  <c r="J23" i="15" s="1"/>
  <c r="H30" i="15"/>
  <c r="F18" i="14"/>
  <c r="J25" i="14"/>
  <c r="K25" i="14" s="1"/>
  <c r="E26" i="14"/>
  <c r="J29" i="14"/>
  <c r="K29" i="14"/>
  <c r="I23" i="14"/>
  <c r="H30" i="14"/>
  <c r="I26" i="19" l="1"/>
  <c r="J26" i="19"/>
  <c r="K26" i="19" s="1"/>
  <c r="K2" i="11"/>
  <c r="J29" i="25"/>
  <c r="I26" i="25"/>
  <c r="J26" i="25"/>
  <c r="K26" i="25" s="1"/>
  <c r="E28" i="25"/>
  <c r="J28" i="25" s="1"/>
  <c r="J27" i="25"/>
  <c r="K27" i="25" s="1"/>
  <c r="E27" i="24"/>
  <c r="I26" i="24"/>
  <c r="J26" i="24"/>
  <c r="J23" i="23"/>
  <c r="E27" i="23"/>
  <c r="J26" i="23"/>
  <c r="K26" i="23" s="1"/>
  <c r="I26" i="23"/>
  <c r="J29" i="22"/>
  <c r="E27" i="22"/>
  <c r="I26" i="22"/>
  <c r="J26" i="22"/>
  <c r="E27" i="20"/>
  <c r="J26" i="20"/>
  <c r="K26" i="20" s="1"/>
  <c r="I26" i="20"/>
  <c r="J23" i="20"/>
  <c r="E27" i="19"/>
  <c r="K29" i="18"/>
  <c r="J23" i="18"/>
  <c r="E27" i="18"/>
  <c r="I26" i="18"/>
  <c r="J26" i="18"/>
  <c r="K26" i="18" s="1"/>
  <c r="E29" i="17"/>
  <c r="J28" i="17"/>
  <c r="K28" i="17" s="1"/>
  <c r="K30" i="17" s="1"/>
  <c r="I28" i="17"/>
  <c r="I30" i="17" s="1"/>
  <c r="J23" i="17"/>
  <c r="K29" i="16"/>
  <c r="J23" i="16"/>
  <c r="E27" i="16"/>
  <c r="J26" i="16"/>
  <c r="K26" i="16" s="1"/>
  <c r="I26" i="16"/>
  <c r="J29" i="15"/>
  <c r="E27" i="15"/>
  <c r="J26" i="15"/>
  <c r="I26" i="15"/>
  <c r="E27" i="14"/>
  <c r="J26" i="14"/>
  <c r="K26" i="14" s="1"/>
  <c r="J23" i="14"/>
  <c r="H29" i="1"/>
  <c r="I29" i="1" s="1"/>
  <c r="K29" i="1" s="1"/>
  <c r="H23" i="1"/>
  <c r="J30" i="25" l="1"/>
  <c r="J24" i="1"/>
  <c r="E29" i="25"/>
  <c r="I28" i="25"/>
  <c r="I30" i="25" s="1"/>
  <c r="K28" i="25"/>
  <c r="K30" i="25" s="1"/>
  <c r="K26" i="24"/>
  <c r="I27" i="24"/>
  <c r="E28" i="24"/>
  <c r="J27" i="24"/>
  <c r="I27" i="23"/>
  <c r="E28" i="23"/>
  <c r="J27" i="23"/>
  <c r="K26" i="22"/>
  <c r="I27" i="22"/>
  <c r="E28" i="22"/>
  <c r="J27" i="22"/>
  <c r="I27" i="20"/>
  <c r="E28" i="20"/>
  <c r="J27" i="20"/>
  <c r="I27" i="19"/>
  <c r="E28" i="19"/>
  <c r="J27" i="19"/>
  <c r="K27" i="19" s="1"/>
  <c r="I27" i="18"/>
  <c r="E28" i="18"/>
  <c r="J27" i="18"/>
  <c r="K27" i="18" s="1"/>
  <c r="J30" i="17"/>
  <c r="I27" i="16"/>
  <c r="E28" i="16"/>
  <c r="J27" i="16"/>
  <c r="K27" i="16" s="1"/>
  <c r="K26" i="15"/>
  <c r="I27" i="15"/>
  <c r="E28" i="15"/>
  <c r="J27" i="15"/>
  <c r="E28" i="14"/>
  <c r="J27" i="14"/>
  <c r="K27" i="14" s="1"/>
  <c r="H30" i="1"/>
  <c r="I23" i="1"/>
  <c r="K24" i="1" l="1"/>
  <c r="I25" i="1"/>
  <c r="J25" i="1"/>
  <c r="K27" i="24"/>
  <c r="E29" i="24"/>
  <c r="J28" i="24"/>
  <c r="J30" i="24" s="1"/>
  <c r="I28" i="24"/>
  <c r="I30" i="24" s="1"/>
  <c r="K27" i="23"/>
  <c r="E29" i="23"/>
  <c r="J28" i="23"/>
  <c r="J30" i="23" s="1"/>
  <c r="I28" i="23"/>
  <c r="I30" i="23" s="1"/>
  <c r="E29" i="22"/>
  <c r="J28" i="22"/>
  <c r="J30" i="22" s="1"/>
  <c r="I28" i="22"/>
  <c r="I30" i="22" s="1"/>
  <c r="K27" i="22"/>
  <c r="K27" i="20"/>
  <c r="E29" i="20"/>
  <c r="J28" i="20"/>
  <c r="J30" i="20" s="1"/>
  <c r="I28" i="20"/>
  <c r="I30" i="20" s="1"/>
  <c r="E29" i="19"/>
  <c r="J28" i="19"/>
  <c r="J30" i="19" s="1"/>
  <c r="I28" i="19"/>
  <c r="I30" i="19" s="1"/>
  <c r="E29" i="18"/>
  <c r="J28" i="18"/>
  <c r="J30" i="18" s="1"/>
  <c r="I28" i="18"/>
  <c r="I30" i="18" s="1"/>
  <c r="E29" i="16"/>
  <c r="J28" i="16"/>
  <c r="J30" i="16" s="1"/>
  <c r="I28" i="16"/>
  <c r="I30" i="16" s="1"/>
  <c r="E29" i="15"/>
  <c r="J28" i="15"/>
  <c r="J30" i="15" s="1"/>
  <c r="I28" i="15"/>
  <c r="I30" i="15" s="1"/>
  <c r="K27" i="15"/>
  <c r="E29" i="14"/>
  <c r="J28" i="14"/>
  <c r="I30" i="14"/>
  <c r="F18" i="1"/>
  <c r="K28" i="14" l="1"/>
  <c r="K30" i="14" s="1"/>
  <c r="I26" i="1"/>
  <c r="J26" i="1"/>
  <c r="K28" i="24"/>
  <c r="K30" i="24" s="1"/>
  <c r="K28" i="23"/>
  <c r="K30" i="23" s="1"/>
  <c r="K28" i="22"/>
  <c r="K30" i="22" s="1"/>
  <c r="K28" i="20"/>
  <c r="K30" i="20" s="1"/>
  <c r="K28" i="19"/>
  <c r="K30" i="19" s="1"/>
  <c r="K28" i="18"/>
  <c r="K30" i="18" s="1"/>
  <c r="K28" i="16"/>
  <c r="K30" i="16" s="1"/>
  <c r="K28" i="15"/>
  <c r="K30" i="15" s="1"/>
  <c r="J30" i="14"/>
  <c r="K3" i="11"/>
  <c r="I27" i="1" l="1"/>
  <c r="J27" i="1"/>
  <c r="J28" i="1"/>
  <c r="J30" i="1" l="1"/>
  <c r="I28" i="1"/>
  <c r="I30" i="1" s="1"/>
  <c r="K3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tc={5AB45FE8-D69A-4634-B48A-465757E70134}</author>
    <author>M1S</author>
    <author/>
  </authors>
  <commentList>
    <comment ref="A2" authorId="0" shapeId="0" xr:uid="{5AB45FE8-D69A-4634-B48A-465757E7013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Date formats should be input as YYYY-MM-DD. Else they will impact aggregate reporting </t>
      </text>
    </comment>
    <comment ref="E21" authorId="1" shapeId="0" xr:uid="{E85FC69C-74A4-48D5-B11C-6B64C22A0BA2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2" shapeId="0" xr:uid="{EB2209FD-218A-431A-B887-6E8E846B2621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2" shapeId="0" xr:uid="{6D5415E7-7261-4604-B2BC-89E2BDF32144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2" shapeId="0" xr:uid="{15BBA1EA-3513-4E14-9F70-EAA3A7E90136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2" shapeId="0" xr:uid="{65E45D0A-AF4E-4514-BBF9-2B057D91396D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2" shapeId="0" xr:uid="{1B86C618-6E1B-4DFB-BAFC-A78FC6186F53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E40140C1-C793-451B-8E83-C23AAC78851A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A79276AD-EC00-4AF1-8E62-843D16C9E4A0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29FD7234-389B-4D8F-8798-6FA1F36CE878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CD5228E2-383B-4540-A74F-7DE7EBFF21A9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B2C92427-2D77-4B1F-890E-71A83ED4A592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47CBAEFA-00FD-455F-877A-FB509A5171E3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E78B0BA0-068A-4CA2-B739-BE66398E085E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10413271-9151-43AF-917B-CD0CE19A8104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9E94201F-B46E-4005-97E5-19B9A4FF50B4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2216094C-50FF-495E-81E9-7E751AFAAA5E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BA53E42B-1B4B-498A-9169-22DBE085F189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78FDFC08-AEF3-451B-8DF0-97A32DBC471D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8AFF2BFB-0C82-4E3C-83C2-54C2ED859414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D6F20118-9011-4F09-B47E-F9D417E9F80C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119B7828-DFD5-4D93-A3F8-5D6675E9C0DC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07548001-DC37-4A07-AF4A-0942366FC64D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65551310-3CA8-4267-887F-6AB40FB503D3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E11C410C-C459-456E-BA95-FA94952CFF19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B783384B-A81B-4092-9F4E-A8DE4BA2F56E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72C8BEAD-04B3-4011-9648-093F06C9DAC2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80580728-48EB-46A3-B1EF-9F4B4B282E2C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40CE3F4E-EBC5-422F-97D7-B5D482D3143A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76FB31FA-8E6F-4093-9748-70BE32A935C4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D35F09A0-580D-47D9-A24B-926286EC56F7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D1B1868C-1984-4E60-8A8F-0ACDB884987F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DFADD43D-D9A2-4255-865A-2D76F7E4E40B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6AEA18EA-87CA-414A-AF63-78337C3D2744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F4C4A41C-DAA3-464C-BBDB-E71232611159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88327231-A32D-4F3E-82AD-92B78F26CB5A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485F9082-6A1E-4165-A9A8-C30CF679A594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9A43CC51-F60E-43E2-800D-614294620C12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5FD6B175-15B1-405A-9542-B5FE0499CE06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5208C2C9-3FF5-405E-96AB-FCB9FECD2B40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44F8EAAF-0CA7-4B61-B81E-9BDB5C86A6BB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9EEA0B1C-5F30-44D1-89FF-5D661C2F827F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91CFA65A-206A-41D5-899B-32121D6AEF0E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 Christopher Panganiban</author>
    <author>M1S</author>
    <author/>
  </authors>
  <commentList>
    <comment ref="B11" authorId="0" shapeId="0" xr:uid="{952ED489-A244-448F-AE1A-FC9602A0FC89}">
      <text>
        <r>
          <rPr>
            <sz val="11"/>
            <color theme="1"/>
            <rFont val="Calibri"/>
            <family val="2"/>
            <scheme val="minor"/>
          </rPr>
          <t>Glen Christopher Panganiban:
SMART Action Plan Creation for October 1 Group PCX/JF</t>
        </r>
      </text>
    </comment>
    <comment ref="E21" authorId="1" shapeId="0" xr:uid="{0310DA10-9D9D-49EA-894B-23139473DC65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2" shapeId="0" xr:uid="{74FA9EC7-13EF-44C1-8E7A-7D6384181FA2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2" shapeId="0" xr:uid="{98216A43-E533-4EA4-B15B-322A328994F5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2" shapeId="0" xr:uid="{5202ED5F-8AB5-4DED-A9CD-8D22EAD8A457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2" shapeId="0" xr:uid="{4732A0AC-6629-43C3-B9DE-1154E980AB0F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2" shapeId="0" xr:uid="{48669C44-2BCE-4CA9-A8E7-B0E2E8A36719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4E5630AE-B584-4567-B4FD-E43B569BD6D3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3B68D52C-0F9E-4015-B866-6BCFE8775642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B6B6BCC1-30E7-4F5A-A542-E7FB8B38B198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D16B55EA-4566-4542-A11B-7C9404B23E1B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AAEE94AD-9CD0-421E-95EC-35D72BBE5089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3D94EF40-B66D-42C2-9745-A6811CE0796B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763BB8E9-F7E6-4D26-81A2-643309BF53AD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80651D44-5BEB-467D-BF70-2BB7B3B3701B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5F64999C-E61A-476B-8904-7F6411E5F476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E20DEAB1-4AE5-47EA-9658-BAE2F075857A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922F1CFE-0D72-45B3-A3F4-1792B4405836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241473E3-13E6-4F52-89E0-70C2FBCA7220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D84D5B39-0123-4105-B36E-8AFA33D7C766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B22B71BB-AEDD-44C9-B691-B684F2468CB7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0EAD598A-3715-4283-A278-FA6C474A3568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FF1FF3FD-9250-4B07-814A-2E8673831AC3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831B8DA5-D9F2-4316-9DC3-17669912286F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8133BF98-778C-41C4-91AD-3798AAC65B1D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M1S</author>
    <author/>
  </authors>
  <commentList>
    <comment ref="E21" authorId="0" shapeId="0" xr:uid="{57BA06C8-227C-475E-A303-38E2B94F90C3}">
      <text>
        <r>
          <rPr>
            <b/>
            <sz val="9"/>
            <color indexed="81"/>
            <rFont val="Tahoma"/>
            <family val="2"/>
          </rPr>
          <t>NTT:
Please add your name to the form here before hitting submit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1" shapeId="0" xr:uid="{BB91D226-4E72-49F3-9BFF-D88DE1D9A5BA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time as 24h clock. 3:00pm = 15:00</t>
        </r>
      </text>
    </comment>
    <comment ref="G22" authorId="1" shapeId="0" xr:uid="{F7B99C65-229D-4DC7-B5F9-C21699C06F55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end time in 24h format. Ex 5:00pm = 17:00</t>
        </r>
      </text>
    </comment>
    <comment ref="H22" authorId="1" shapeId="0" xr:uid="{DE5F52B7-488C-47F7-BA3D-72AEE9D47F80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 xml:space="preserve">Lunches automatically deducted for regular 5 day full time work week.
</t>
        </r>
      </text>
    </comment>
    <comment ref="K22" authorId="1" shapeId="0" xr:uid="{4EAC88EF-48CE-46A6-9214-C1DA6017227E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Input training hours manually. Total will populate automatically.</t>
        </r>
      </text>
    </comment>
    <comment ref="E23" authorId="1" shapeId="0" xr:uid="{6A022866-BF48-4ED0-8F09-61063DF708E1}">
      <text>
        <r>
          <rPr>
            <b/>
            <sz val="9"/>
            <color indexed="8"/>
            <rFont val="Tahoma"/>
            <family val="2"/>
          </rPr>
          <t xml:space="preserve">Jason Deley:
</t>
        </r>
        <r>
          <rPr>
            <sz val="9"/>
            <color indexed="8"/>
            <rFont val="Tahoma"/>
            <family val="2"/>
          </rPr>
          <t>Insert start of week as MM/DD
Send to your Training Manager, CCPayroll, MPG Payroll, Denise Bush, Twyla Lantz</t>
        </r>
      </text>
    </comment>
  </commentList>
</comments>
</file>

<file path=xl/sharedStrings.xml><?xml version="1.0" encoding="utf-8"?>
<sst xmlns="http://schemas.openxmlformats.org/spreadsheetml/2006/main" count="382" uniqueCount="63">
  <si>
    <t>Facilitation Utilization Tracker (TUT) Dashboard</t>
  </si>
  <si>
    <t>Billable Productivity</t>
  </si>
  <si>
    <t>Non-Billable Productivity</t>
  </si>
  <si>
    <t>Time Utilization YTD</t>
  </si>
  <si>
    <t>Total Hours</t>
  </si>
  <si>
    <t>Facilitation Utilization Tracker (TUT) Dashboard Defintions</t>
  </si>
  <si>
    <t>Admin outside class hours</t>
  </si>
  <si>
    <t xml:space="preserve">Paperwork and tickets not related to class prep, emails and reports out side of class hours, PR updates outside of class hours. </t>
  </si>
  <si>
    <t>Prep</t>
  </si>
  <si>
    <t>All activities related to setting up a class, inclduing but not limited to tickets, WebEx, PR set up, ECN's, CMPs and following up on equipment.</t>
  </si>
  <si>
    <t>Facilitation</t>
  </si>
  <si>
    <t xml:space="preserve">Time spent facilitating a class, excluding breaks and lunches. </t>
  </si>
  <si>
    <t>Moderating</t>
  </si>
  <si>
    <t>Time spent assisting a Facilitator in class, this includes tickets, emails and reports during class hours.</t>
  </si>
  <si>
    <t>Nesting</t>
  </si>
  <si>
    <t>Answering questions, reviewing reports, QA Coachbacks, commincations with Ops regarding nesters.</t>
  </si>
  <si>
    <t>Coaching</t>
  </si>
  <si>
    <t>Coaching agents of outside of class hours, this includes staying to answer questions during breaks, lunch or after class.</t>
  </si>
  <si>
    <t>Meetings</t>
  </si>
  <si>
    <t>Team meetings, 1:1 with TM, Hand-off meetings and other meetings with Ops</t>
  </si>
  <si>
    <t>Material Review</t>
  </si>
  <si>
    <t>Reviewing content for accuracy and submitting change log requests out side of training hours.</t>
  </si>
  <si>
    <t>Personal Development</t>
  </si>
  <si>
    <t>Workshops or courses during business hours including LinkedIn Learning</t>
  </si>
  <si>
    <t>Scheduled Time Off</t>
  </si>
  <si>
    <t>Vacation and approved leaves including breavement (code as 7.5 hours)</t>
  </si>
  <si>
    <t>Unplanned Time Off</t>
  </si>
  <si>
    <t>Sick days (code as 7.5 hours)</t>
  </si>
  <si>
    <t>Special Projects</t>
  </si>
  <si>
    <t>As assigned by your TM, examples include, reworking job aids, reports on behalf of a TM, implementing process improvements and so on.</t>
  </si>
  <si>
    <t>QA Support</t>
  </si>
  <si>
    <t>Assist QA team with quotas when not in training</t>
  </si>
  <si>
    <t>Production Hours</t>
  </si>
  <si>
    <t>ATs when not in training or TSs if working production overtime.</t>
  </si>
  <si>
    <t>Loan to other department</t>
  </si>
  <si>
    <t>Support or observations of other departments such as Recritment, Design and WFM.</t>
  </si>
  <si>
    <t>TM Support</t>
  </si>
  <si>
    <t>Assignments to support the Training Manager such as peer-to-peer observations, reports and special meetings.</t>
  </si>
  <si>
    <t>Time Utilization Tracker</t>
  </si>
  <si>
    <t xml:space="preserve">Summary of Hours </t>
  </si>
  <si>
    <t>Date</t>
  </si>
  <si>
    <t>Task</t>
  </si>
  <si>
    <t>Hours</t>
  </si>
  <si>
    <t>Tereka Tyler Davis</t>
  </si>
  <si>
    <t>Shift Start</t>
  </si>
  <si>
    <t>Shift End</t>
  </si>
  <si>
    <t>Hours Worked</t>
  </si>
  <si>
    <t>QA Hours</t>
  </si>
  <si>
    <t>Training Hours</t>
  </si>
  <si>
    <t>Training Description</t>
  </si>
  <si>
    <t>Off</t>
  </si>
  <si>
    <t>BEFORE HITTING SUBMIT</t>
  </si>
  <si>
    <t>*Please put your name in the Name Field (E21)</t>
  </si>
  <si>
    <t>*Please update the date in field E23 to the Sunday for the week</t>
  </si>
  <si>
    <t>*Ensure that your hours vs training hours and descriptons are accurage</t>
  </si>
  <si>
    <t>Name:</t>
  </si>
  <si>
    <t>Name: Angelica Jessa Regalado</t>
  </si>
  <si>
    <t>Name: T T Davis</t>
  </si>
  <si>
    <t>Training Bootcamp</t>
  </si>
  <si>
    <t>Production</t>
  </si>
  <si>
    <t>Overtime from Dec 6 9:30PM to Dec 7 1:18AM</t>
  </si>
  <si>
    <t>Name: Glen Christopher Panganiban</t>
  </si>
  <si>
    <t>Jasmine Doucet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</si>
</sst>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&quot;, &quot;mmmm\ dd&quot;, &quot;yyyy"/>
    <numFmt numFmtId="165" formatCode="h:mm;@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b/>
      <sz val="12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 tint="0.34998626667073579"/>
      <name val="Calibri Light"/>
      <family val="2"/>
      <scheme val="maj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indexed="8"/>
      <name val="Calibri"/>
      <family val="2"/>
    </font>
    <font>
      <i/>
      <sz val="12"/>
      <color indexed="8"/>
      <name val="Times New Roman"/>
      <family val="1"/>
    </font>
    <font>
      <i/>
      <sz val="10"/>
      <color indexed="8"/>
      <name val="Times New Roman"/>
      <family val="1"/>
    </font>
    <font>
      <sz val="12"/>
      <color indexed="8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2158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8"/>
        <bgColor indexed="58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249977111117893"/>
      </left>
      <right/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7" fillId="2" borderId="0" applyNumberFormat="0" applyBorder="0" applyAlignment="0" applyProtection="0"/>
    <xf numFmtId="0" fontId="1" fillId="0" borderId="0" applyNumberFormat="0" applyFill="0" applyProtection="0">
      <alignment horizontal="right" indent="1"/>
    </xf>
    <xf numFmtId="0" fontId="8" fillId="0" borderId="0" applyNumberFormat="0" applyFill="0" applyProtection="0">
      <alignment vertical="top"/>
    </xf>
    <xf numFmtId="0" fontId="8" fillId="0" borderId="0" applyNumberFormat="0" applyFill="0" applyAlignment="0" applyProtection="0"/>
    <xf numFmtId="0" fontId="10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1" xfId="0" applyBorder="1"/>
    <xf numFmtId="0" fontId="6" fillId="3" borderId="0" xfId="0" applyFont="1" applyFill="1"/>
    <xf numFmtId="0" fontId="5" fillId="0" borderId="1" xfId="0" applyFont="1" applyBorder="1" applyAlignment="1">
      <alignment horizontal="right"/>
    </xf>
    <xf numFmtId="0" fontId="0" fillId="4" borderId="1" xfId="0" applyFill="1" applyBorder="1"/>
    <xf numFmtId="0" fontId="2" fillId="3" borderId="0" xfId="0" applyFont="1" applyFill="1"/>
    <xf numFmtId="0" fontId="0" fillId="3" borderId="0" xfId="0" applyFill="1"/>
    <xf numFmtId="0" fontId="9" fillId="3" borderId="0" xfId="0" applyFont="1" applyFill="1"/>
    <xf numFmtId="10" fontId="12" fillId="3" borderId="0" xfId="0" applyNumberFormat="1" applyFont="1" applyFill="1"/>
    <xf numFmtId="0" fontId="13" fillId="5" borderId="0" xfId="0" applyFont="1" applyFill="1"/>
    <xf numFmtId="0" fontId="14" fillId="6" borderId="3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4" fillId="6" borderId="5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164" fontId="13" fillId="7" borderId="7" xfId="0" applyNumberFormat="1" applyFont="1" applyFill="1" applyBorder="1" applyAlignment="1">
      <alignment horizontal="right" vertical="center"/>
    </xf>
    <xf numFmtId="165" fontId="0" fillId="0" borderId="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7" xfId="0" applyNumberForma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16" fillId="6" borderId="6" xfId="0" applyNumberFormat="1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14" fontId="0" fillId="0" borderId="1" xfId="0" applyNumberFormat="1" applyBorder="1"/>
    <xf numFmtId="14" fontId="0" fillId="4" borderId="1" xfId="0" applyNumberFormat="1" applyFill="1" applyBorder="1"/>
    <xf numFmtId="14" fontId="0" fillId="0" borderId="0" xfId="0" applyNumberFormat="1"/>
    <xf numFmtId="2" fontId="0" fillId="0" borderId="12" xfId="0" applyNumberFormat="1" applyBorder="1" applyAlignment="1">
      <alignment horizontal="center" vertical="center"/>
    </xf>
    <xf numFmtId="20" fontId="0" fillId="0" borderId="12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left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left"/>
    </xf>
    <xf numFmtId="0" fontId="0" fillId="0" borderId="1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wrapText="1"/>
    </xf>
    <xf numFmtId="0" fontId="3" fillId="3" borderId="0" xfId="0" applyFont="1" applyFill="1" applyAlignment="1">
      <alignment horizontal="center"/>
    </xf>
    <xf numFmtId="0" fontId="4" fillId="3" borderId="2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15" fillId="6" borderId="13" xfId="0" applyFont="1" applyFill="1" applyBorder="1" applyAlignment="1">
      <alignment horizontal="right" vertical="center"/>
    </xf>
  </cellXfs>
  <cellStyles count="6">
    <cellStyle name="Good 2" xfId="1" xr:uid="{7E1F20CE-9264-454D-AC43-249B8AE275BA}"/>
    <cellStyle name="Heading 1 2" xfId="4" xr:uid="{98B21BF5-7E26-4BE2-8FC8-FBA15544413A}"/>
    <cellStyle name="Heading 2 2" xfId="3" xr:uid="{C843FAF9-9421-4BF2-9CA6-C63676CBFC30}"/>
    <cellStyle name="Heading 3 2" xfId="2" xr:uid="{ACDA40B4-3383-40AA-A4FD-43C4745850E6}"/>
    <cellStyle name="Normal" xfId="0" builtinId="0"/>
    <cellStyle name="Title 2" xfId="5" xr:uid="{94B4B189-44DE-4D5C-B4D9-EF5C815C5A4C}"/>
  </cellStyles>
  <dxfs count="6"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158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TUT YTD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759280914968114E-2"/>
          <c:y val="0.10630553167096589"/>
          <c:w val="0.55612221327119582"/>
          <c:h val="0.8693294786990833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E-4089-A871-5F54415403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E-4089-A871-5F54415403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E-4089-A871-5F54415403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E-4089-A871-5F54415403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E-4089-A871-5F544154036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E-4089-A871-5F544154036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E-4089-A871-5F544154036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E-4089-A871-5F544154036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E-4089-A871-5F544154036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E-4089-A871-5F544154036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5CE-4089-A871-5F544154036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5CE-4089-A871-5F544154036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5CE-4089-A871-5F544154036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5CE-4089-A871-5F544154036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5CE-4089-A871-5F544154036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5CE-4089-A871-5F544154036B}"/>
              </c:ext>
            </c:extLst>
          </c:dPt>
          <c:cat>
            <c:strRef>
              <c:f>'Dashboard YTD'!$A$6:$A$21</c:f>
              <c:strCache>
                <c:ptCount val="16"/>
                <c:pt idx="0">
                  <c:v>Admin outside class hours</c:v>
                </c:pt>
                <c:pt idx="1">
                  <c:v>Prep</c:v>
                </c:pt>
                <c:pt idx="2">
                  <c:v>Facilitation</c:v>
                </c:pt>
                <c:pt idx="3">
                  <c:v>Moderating</c:v>
                </c:pt>
                <c:pt idx="4">
                  <c:v>Nesting</c:v>
                </c:pt>
                <c:pt idx="5">
                  <c:v>Coaching</c:v>
                </c:pt>
                <c:pt idx="6">
                  <c:v>Meetings</c:v>
                </c:pt>
                <c:pt idx="7">
                  <c:v>Material Review</c:v>
                </c:pt>
                <c:pt idx="8">
                  <c:v>Personal Development</c:v>
                </c:pt>
                <c:pt idx="9">
                  <c:v>Scheduled Time Off</c:v>
                </c:pt>
                <c:pt idx="10">
                  <c:v>Unplanned Time Off</c:v>
                </c:pt>
                <c:pt idx="11">
                  <c:v>Special Projects</c:v>
                </c:pt>
                <c:pt idx="12">
                  <c:v>QA Support</c:v>
                </c:pt>
                <c:pt idx="13">
                  <c:v>Production Hours</c:v>
                </c:pt>
                <c:pt idx="14">
                  <c:v>Loan to other department</c:v>
                </c:pt>
                <c:pt idx="15">
                  <c:v>TM Support</c:v>
                </c:pt>
              </c:strCache>
            </c:strRef>
          </c:cat>
          <c:val>
            <c:numRef>
              <c:f>'Dashboard YTD'!$B$6:$B$21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  <c:pt idx="12">
                  <c:v>0</c:v>
                </c:pt>
                <c:pt idx="13">
                  <c:v>27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9-4090-9FB6-6724948E7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6652235641363333"/>
          <c:y val="3.9347529111308649E-2"/>
          <c:w val="0.30581428655937587"/>
          <c:h val="0.960652470888691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4</xdr:row>
      <xdr:rowOff>163830</xdr:rowOff>
    </xdr:from>
    <xdr:to>
      <xdr:col>14</xdr:col>
      <xdr:colOff>441960</xdr:colOff>
      <xdr:row>29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19050</xdr:rowOff>
        </xdr:from>
        <xdr:to>
          <xdr:col>11</xdr:col>
          <xdr:colOff>2095500</xdr:colOff>
          <xdr:row>33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12</xdr:col>
          <xdr:colOff>0</xdr:colOff>
          <xdr:row>33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31</xdr:row>
          <xdr:rowOff>47625</xdr:rowOff>
        </xdr:from>
        <xdr:to>
          <xdr:col>11</xdr:col>
          <xdr:colOff>2095500</xdr:colOff>
          <xdr:row>33</xdr:row>
          <xdr:rowOff>95250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11</xdr:col>
          <xdr:colOff>2095500</xdr:colOff>
          <xdr:row>33</xdr:row>
          <xdr:rowOff>95250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38100</xdr:rowOff>
        </xdr:from>
        <xdr:to>
          <xdr:col>12</xdr:col>
          <xdr:colOff>19050</xdr:colOff>
          <xdr:row>33</xdr:row>
          <xdr:rowOff>57150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31</xdr:row>
          <xdr:rowOff>38100</xdr:rowOff>
        </xdr:from>
        <xdr:to>
          <xdr:col>12</xdr:col>
          <xdr:colOff>19050</xdr:colOff>
          <xdr:row>33</xdr:row>
          <xdr:rowOff>57150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Ops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19050</xdr:rowOff>
        </xdr:from>
        <xdr:to>
          <xdr:col>12</xdr:col>
          <xdr:colOff>0</xdr:colOff>
          <xdr:row>33</xdr:row>
          <xdr:rowOff>47625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8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Ops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31</xdr:row>
          <xdr:rowOff>19050</xdr:rowOff>
        </xdr:from>
        <xdr:to>
          <xdr:col>12</xdr:col>
          <xdr:colOff>0</xdr:colOff>
          <xdr:row>33</xdr:row>
          <xdr:rowOff>47625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9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38100</xdr:rowOff>
        </xdr:from>
        <xdr:to>
          <xdr:col>11</xdr:col>
          <xdr:colOff>2085975</xdr:colOff>
          <xdr:row>33</xdr:row>
          <xdr:rowOff>57150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A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1200150</xdr:colOff>
          <xdr:row>31</xdr:row>
          <xdr:rowOff>19050</xdr:rowOff>
        </xdr:from>
        <xdr:to>
          <xdr:col>11</xdr:col>
          <xdr:colOff>2085975</xdr:colOff>
          <xdr:row>33</xdr:row>
          <xdr:rowOff>47625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B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12</xdr:col>
          <xdr:colOff>19050</xdr:colOff>
          <xdr:row>33</xdr:row>
          <xdr:rowOff>28575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C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1200150</xdr:colOff>
          <xdr:row>31</xdr:row>
          <xdr:rowOff>19050</xdr:rowOff>
        </xdr:from>
        <xdr:to>
          <xdr:col>11</xdr:col>
          <xdr:colOff>2076450</xdr:colOff>
          <xdr:row>33</xdr:row>
          <xdr:rowOff>38100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D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Payrol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CB/Admin/SF_Project%20Track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ProjectSchedule_PCB_Curriculum"/>
      <sheetName val="ProjectSchedule_Migration"/>
      <sheetName val="FFM"/>
      <sheetName val="Bill C86"/>
      <sheetName val=" Sept 22"/>
      <sheetName val="Jan"/>
      <sheetName val="Feb"/>
      <sheetName val="Mar"/>
      <sheetName val="Apr"/>
      <sheetName val="May"/>
      <sheetName val="June"/>
      <sheetName val="July"/>
      <sheetName val="Aug"/>
      <sheetName val="Sept"/>
      <sheetName val="Oct"/>
      <sheetName val="Nov"/>
      <sheetName val="Dec_2021"/>
      <sheetName val="Jan_2022"/>
      <sheetName val="Feb_2022"/>
      <sheetName val="Mar_2022"/>
      <sheetName val="April_2022"/>
      <sheetName val="May_202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ason Deley" id="{29FB2912-66FC-49C4-BC2A-949DF4F57008}" userId="S::jason.deley@millennium1solutions.com::db5bbba3-70c1-411d-ab41-6395e254902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04-05T18:49:41.54" personId="{29FB2912-66FC-49C4-BC2A-949DF4F57008}" id="{5AB45FE8-D69A-4634-B48A-465757E70134}">
    <text xml:space="preserve">Date formats should be input as YYYY-MM-DD. Else they will impact aggregate reporting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2704-ECB5-42CA-BBCB-38AD4F01AEE9}">
  <sheetPr codeName="Sheet1"/>
  <dimension ref="A1:L21"/>
  <sheetViews>
    <sheetView workbookViewId="0">
      <selection activeCell="Q4" sqref="Q4"/>
    </sheetView>
  </sheetViews>
  <sheetFormatPr defaultRowHeight="15"/>
  <cols>
    <col min="1" max="1" width="45" bestFit="1" customWidth="1"/>
    <col min="2" max="2" width="12.85546875" customWidth="1"/>
    <col min="7" max="7" width="8.85546875" customWidth="1"/>
  </cols>
  <sheetData>
    <row r="1" spans="1:12" ht="19.899999999999999" customHeight="1">
      <c r="A1" s="34" t="s">
        <v>0</v>
      </c>
      <c r="B1" s="34"/>
      <c r="C1" s="34"/>
      <c r="D1" s="34"/>
      <c r="E1" s="34"/>
      <c r="F1" s="7"/>
      <c r="G1" s="6"/>
      <c r="H1" s="6"/>
      <c r="I1" s="6"/>
      <c r="J1" s="6"/>
      <c r="K1" s="6"/>
      <c r="L1" s="6"/>
    </row>
    <row r="2" spans="1:12" ht="26.25">
      <c r="A2" s="34"/>
      <c r="B2" s="34"/>
      <c r="C2" s="34"/>
      <c r="D2" s="34"/>
      <c r="E2" s="34"/>
      <c r="F2" s="7"/>
      <c r="G2" s="35" t="s">
        <v>1</v>
      </c>
      <c r="H2" s="35"/>
      <c r="I2" s="35"/>
      <c r="J2" s="35"/>
      <c r="K2" s="8">
        <f>(SUM(B9,B8,B10,B11)/(SUM(B6,B7,B8,B9,B10,B11,B12,B13,B14,B16)))</f>
        <v>0</v>
      </c>
      <c r="L2" s="6"/>
    </row>
    <row r="3" spans="1:12" ht="25.9" customHeight="1">
      <c r="A3" s="34"/>
      <c r="B3" s="34"/>
      <c r="C3" s="34"/>
      <c r="D3" s="34"/>
      <c r="E3" s="34"/>
      <c r="F3" s="6"/>
      <c r="G3" s="35" t="s">
        <v>2</v>
      </c>
      <c r="H3" s="35"/>
      <c r="I3" s="35"/>
      <c r="J3" s="35"/>
      <c r="K3" s="8">
        <f>(SUM(B6,B7,B12,B13,B14,B16)/(SUM(B6,B7,B8,B9,B10,B11,B12,B13,B14,B16)))</f>
        <v>1</v>
      </c>
      <c r="L3" s="6"/>
    </row>
    <row r="4" spans="1:12" ht="16.149999999999999" customHeight="1"/>
    <row r="5" spans="1:12">
      <c r="A5" s="5" t="s">
        <v>3</v>
      </c>
      <c r="B5" s="5" t="s">
        <v>4</v>
      </c>
    </row>
    <row r="6" spans="1:12">
      <c r="A6" s="1" t="str">
        <f>Definitions!A4</f>
        <v>Admin outside class hours</v>
      </c>
      <c r="B6" s="1">
        <f>'April 2025'!F2+'May 2025'!F2+'June 2025'!F2+'July 2025'!F2+'Aug 2025'!F2+'Sept 2025'!F2+'Oct 2025'!F2+'Nov 2025'!F2+'Dec 2025'!F2+'Jan 2026'!F2+'Feb 2026'!F2+'March 2026'!F2</f>
        <v>0</v>
      </c>
    </row>
    <row r="7" spans="1:12">
      <c r="A7" s="1" t="str">
        <f>Definitions!A5</f>
        <v>Prep</v>
      </c>
      <c r="B7" s="1">
        <f>'April 2025'!F3+'May 2025'!F3+'June 2025'!F3+'July 2025'!F3+'Aug 2025'!F3+'Sept 2025'!F3+'Oct 2025'!F3+'Nov 2025'!F3+'Dec 2025'!F3+'Jan 2026'!F3+'Feb 2026'!F3+'March 2026'!F3</f>
        <v>0</v>
      </c>
    </row>
    <row r="8" spans="1:12">
      <c r="A8" s="1" t="str">
        <f>Definitions!A6</f>
        <v>Facilitation</v>
      </c>
      <c r="B8" s="1">
        <f>'April 2025'!F4+'May 2025'!F4+'June 2025'!F4+'July 2025'!F4+'Aug 2025'!F4+'Sept 2025'!F4+'Oct 2025'!F4+'Nov 2025'!F4+'Dec 2025'!F4+'Jan 2026'!F4+'Feb 2026'!F4+'March 2026'!F4</f>
        <v>0</v>
      </c>
    </row>
    <row r="9" spans="1:12">
      <c r="A9" s="1" t="str">
        <f>Definitions!A7</f>
        <v>Moderating</v>
      </c>
      <c r="B9" s="1">
        <f>'April 2025'!F5+'May 2025'!F5+'June 2025'!F5+'July 2025'!F5+'Aug 2025'!F5+'Sept 2025'!F5+'Oct 2025'!F5+'Nov 2025'!F5+'Dec 2025'!F5+'Jan 2026'!F5+'Feb 2026'!F5+'March 2026'!F5</f>
        <v>0</v>
      </c>
    </row>
    <row r="10" spans="1:12">
      <c r="A10" s="1" t="str">
        <f>Definitions!A8</f>
        <v>Nesting</v>
      </c>
      <c r="B10" s="1">
        <f>'April 2025'!F6+'May 2025'!F6+'June 2025'!F6+'July 2025'!F6+'Aug 2025'!F6+'Sept 2025'!F6+'Oct 2025'!F6+'Nov 2025'!F6+'Dec 2025'!F6+'Jan 2026'!F6+'Feb 2026'!F6+'March 2026'!F6</f>
        <v>0</v>
      </c>
    </row>
    <row r="11" spans="1:12">
      <c r="A11" s="1" t="str">
        <f>Definitions!A9</f>
        <v>Coaching</v>
      </c>
      <c r="B11" s="1">
        <f>'April 2025'!F7+'May 2025'!F7+'June 2025'!F7+'July 2025'!F7+'Aug 2025'!F7+'Sept 2025'!F7+'Oct 2025'!F7+'Nov 2025'!F7+'Dec 2025'!F7+'Jan 2026'!F7+'Feb 2026'!F7+'March 2026'!F7</f>
        <v>0</v>
      </c>
    </row>
    <row r="12" spans="1:12">
      <c r="A12" s="1" t="str">
        <f>Definitions!A10</f>
        <v>Meetings</v>
      </c>
      <c r="B12" s="1">
        <f>'April 2025'!F8+'May 2025'!F8+'June 2025'!F8+'July 2025'!F8+'Aug 2025'!F8+'Sept 2025'!F8+'Oct 2025'!F8+'Nov 2025'!F8+'Dec 2025'!F8+'Jan 2026'!F8+'Feb 2026'!F8+'March 2026'!F8</f>
        <v>0</v>
      </c>
    </row>
    <row r="13" spans="1:12">
      <c r="A13" s="1" t="str">
        <f>Definitions!A11</f>
        <v>Material Review</v>
      </c>
      <c r="B13" s="1">
        <f>'April 2025'!F9+'May 2025'!F9+'June 2025'!F9+'July 2025'!F9+'Aug 2025'!F9+'Sept 2025'!F9+'Oct 2025'!F9+'Nov 2025'!F9+'Dec 2025'!F9+'Jan 2026'!F9+'Feb 2026'!F9+'March 2026'!F9</f>
        <v>21</v>
      </c>
    </row>
    <row r="14" spans="1:12">
      <c r="A14" s="1" t="str">
        <f>Definitions!A12</f>
        <v>Personal Development</v>
      </c>
      <c r="B14" s="1">
        <f>'April 2025'!F10+'May 2025'!F10+'June 2025'!F10+'July 2025'!F10+'Aug 2025'!F10+'Sept 2025'!F10+'Oct 2025'!F10+'Nov 2025'!F10+'Dec 2025'!F10+'Jan 2026'!F10+'Feb 2026'!F10+'March 2026'!F10</f>
        <v>0</v>
      </c>
    </row>
    <row r="15" spans="1:12">
      <c r="A15" s="1" t="str">
        <f>Definitions!A13</f>
        <v>Scheduled Time Off</v>
      </c>
      <c r="B15" s="1">
        <f>'April 2025'!F11+'May 2025'!F11+'June 2025'!F11+'July 2025'!F11+'Aug 2025'!F11+'Sept 2025'!F11+'Oct 2025'!F11+'Nov 2025'!F11+'Dec 2025'!F11+'Jan 2026'!F11+'Feb 2026'!F11+'March 2026'!F11</f>
        <v>0</v>
      </c>
    </row>
    <row r="16" spans="1:12">
      <c r="A16" s="1" t="str">
        <f>Definitions!A14</f>
        <v>Unplanned Time Off</v>
      </c>
      <c r="B16" s="1">
        <f>'April 2025'!F12+'May 2025'!F12+'June 2025'!F12+'July 2025'!F12+'Aug 2025'!F12+'Sept 2025'!F12+'Oct 2025'!F12+'Nov 2025'!F12+'Dec 2025'!F12+'Jan 2026'!F12+'Feb 2026'!F12+'March 2026'!F12</f>
        <v>0</v>
      </c>
    </row>
    <row r="17" spans="1:2">
      <c r="A17" s="1" t="str">
        <f>Definitions!A15</f>
        <v>Special Projects</v>
      </c>
      <c r="B17" s="1">
        <f>'April 2025'!F13+'May 2025'!F13+'June 2025'!F13+'July 2025'!F13+'Aug 2025'!F13+'Sept 2025'!F13+'Oct 2025'!F13+'Nov 2025'!F13+'Dec 2025'!F13+'Jan 2026'!F13+'Feb 2026'!F13+'March 2026'!F13</f>
        <v>15</v>
      </c>
    </row>
    <row r="18" spans="1:2">
      <c r="A18" s="1" t="str">
        <f>Definitions!A16</f>
        <v>QA Support</v>
      </c>
      <c r="B18" s="1">
        <f>'April 2025'!F14+'May 2025'!F14+'June 2025'!F14+'July 2025'!F14+'Aug 2025'!F14+'Sept 2025'!F14+'Oct 2025'!F14+'Nov 2025'!F14+'Dec 2025'!F14+'Jan 2026'!F14+'Feb 2026'!F14+'March 2026'!F14</f>
        <v>0</v>
      </c>
    </row>
    <row r="19" spans="1:2">
      <c r="A19" s="1" t="str">
        <f>Definitions!A17</f>
        <v>Production Hours</v>
      </c>
      <c r="B19" s="1">
        <f>'April 2025'!F15+'May 2025'!F15+'June 2025'!F15+'July 2025'!F15+'Aug 2025'!F15+'Sept 2025'!F15+'Oct 2025'!F15+'Nov 2025'!F15+'Dec 2025'!F15+'Jan 2026'!F15+'Feb 2026'!F15+'March 2026'!F15</f>
        <v>27</v>
      </c>
    </row>
    <row r="20" spans="1:2">
      <c r="A20" s="1" t="str">
        <f>Definitions!A18</f>
        <v>Loan to other department</v>
      </c>
      <c r="B20" s="1">
        <f>'April 2025'!F16+'May 2025'!F16+'June 2025'!F16+'July 2025'!F16+'Aug 2025'!F16+'Sept 2025'!F16+'Oct 2025'!F16+'Nov 2025'!F16+'Dec 2025'!F16+'Jan 2026'!F16+'Feb 2026'!F16+'March 2026'!F16</f>
        <v>0</v>
      </c>
    </row>
    <row r="21" spans="1:2">
      <c r="A21" s="1" t="str">
        <f>Definitions!A19</f>
        <v>TM Support</v>
      </c>
      <c r="B21" s="1">
        <f>'April 2025'!F17+'May 2025'!F17+'June 2025'!F17+'July 2025'!F17+'Aug 2025'!F17+'Sept 2025'!F17+'Oct 2025'!F17+'Nov 2025'!F17+'Dec 2025'!F17+'Jan 2026'!F17+'Feb 2026'!F17+'March 2026'!F17</f>
        <v>0</v>
      </c>
    </row>
  </sheetData>
  <mergeCells count="3">
    <mergeCell ref="A1:E3"/>
    <mergeCell ref="G2:J2"/>
    <mergeCell ref="G3:J3"/>
  </mergeCells>
  <conditionalFormatting sqref="K2">
    <cfRule type="cellIs" dxfId="5" priority="4" operator="lessThan">
      <formula>0.749999</formula>
    </cfRule>
    <cfRule type="cellIs" dxfId="4" priority="5" operator="between">
      <formula>0.75</formula>
      <formula>0.849999</formula>
    </cfRule>
    <cfRule type="cellIs" dxfId="3" priority="6" operator="greaterThan">
      <formula>0.85</formula>
    </cfRule>
  </conditionalFormatting>
  <conditionalFormatting sqref="K3">
    <cfRule type="cellIs" dxfId="2" priority="1" operator="greaterThan">
      <formula>0.25</formula>
    </cfRule>
    <cfRule type="cellIs" dxfId="1" priority="2" operator="between">
      <formula>0.14999</formula>
      <formula>0.25</formula>
    </cfRule>
    <cfRule type="cellIs" dxfId="0" priority="3" operator="lessThan">
      <formula>0.15</formula>
    </cfRule>
  </conditionalFormatting>
  <pageMargins left="0.7" right="0.7" top="0.75" bottom="0.75" header="0.3" footer="0.3"/>
  <headerFooter>
    <oddFooter>&amp;C_x000D_&amp;1#&amp;"Arial"&amp;8&amp;K2E404D Sensitivity Label: Confidential - All Employees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B0320-5172-4877-B46C-8DBEA47B61EC}">
  <sheetPr codeName="Sheet2"/>
  <dimension ref="A1:I19"/>
  <sheetViews>
    <sheetView workbookViewId="0">
      <selection activeCell="A7" sqref="A7"/>
    </sheetView>
  </sheetViews>
  <sheetFormatPr defaultRowHeight="15"/>
  <cols>
    <col min="1" max="1" width="24.5703125" bestFit="1" customWidth="1"/>
  </cols>
  <sheetData>
    <row r="1" spans="1:9" ht="14.45" customHeight="1">
      <c r="A1" s="34" t="s">
        <v>5</v>
      </c>
      <c r="B1" s="34"/>
      <c r="C1" s="34"/>
      <c r="D1" s="34"/>
      <c r="E1" s="34"/>
      <c r="F1" s="34"/>
      <c r="G1" s="34"/>
      <c r="H1" s="34"/>
      <c r="I1" s="34"/>
    </row>
    <row r="2" spans="1:9" ht="14.45" customHeight="1">
      <c r="A2" s="34"/>
      <c r="B2" s="34"/>
      <c r="C2" s="34"/>
      <c r="D2" s="34"/>
      <c r="E2" s="34"/>
      <c r="F2" s="34"/>
      <c r="G2" s="34"/>
      <c r="H2" s="34"/>
      <c r="I2" s="34"/>
    </row>
    <row r="3" spans="1:9" ht="14.45" customHeight="1">
      <c r="A3" s="34"/>
      <c r="B3" s="34"/>
      <c r="C3" s="34"/>
      <c r="D3" s="34"/>
      <c r="E3" s="34"/>
      <c r="F3" s="34"/>
      <c r="G3" s="34"/>
      <c r="H3" s="34"/>
      <c r="I3" s="34"/>
    </row>
    <row r="4" spans="1:9" ht="31.15" customHeight="1">
      <c r="A4" s="1" t="s">
        <v>6</v>
      </c>
      <c r="B4" s="36" t="s">
        <v>7</v>
      </c>
      <c r="C4" s="36"/>
      <c r="D4" s="36"/>
      <c r="E4" s="36"/>
      <c r="F4" s="36"/>
      <c r="G4" s="36"/>
      <c r="H4" s="36"/>
      <c r="I4" s="36"/>
    </row>
    <row r="5" spans="1:9" ht="30.6" customHeight="1">
      <c r="A5" s="1" t="s">
        <v>8</v>
      </c>
      <c r="B5" s="36" t="s">
        <v>9</v>
      </c>
      <c r="C5" s="36"/>
      <c r="D5" s="36"/>
      <c r="E5" s="36"/>
      <c r="F5" s="36"/>
      <c r="G5" s="36"/>
      <c r="H5" s="36"/>
      <c r="I5" s="36"/>
    </row>
    <row r="6" spans="1:9" ht="26.45" customHeight="1">
      <c r="A6" s="1" t="s">
        <v>10</v>
      </c>
      <c r="B6" s="36" t="s">
        <v>11</v>
      </c>
      <c r="C6" s="36"/>
      <c r="D6" s="36"/>
      <c r="E6" s="36"/>
      <c r="F6" s="36"/>
      <c r="G6" s="36"/>
      <c r="H6" s="36"/>
      <c r="I6" s="36"/>
    </row>
    <row r="7" spans="1:9" ht="31.15" customHeight="1">
      <c r="A7" s="1" t="s">
        <v>12</v>
      </c>
      <c r="B7" s="36" t="s">
        <v>13</v>
      </c>
      <c r="C7" s="36"/>
      <c r="D7" s="36"/>
      <c r="E7" s="36"/>
      <c r="F7" s="36"/>
      <c r="G7" s="36"/>
      <c r="H7" s="36"/>
      <c r="I7" s="36"/>
    </row>
    <row r="8" spans="1:9" ht="31.9" customHeight="1">
      <c r="A8" s="1" t="s">
        <v>14</v>
      </c>
      <c r="B8" s="36" t="s">
        <v>15</v>
      </c>
      <c r="C8" s="36"/>
      <c r="D8" s="36"/>
      <c r="E8" s="36"/>
      <c r="F8" s="36"/>
      <c r="G8" s="36"/>
      <c r="H8" s="36"/>
      <c r="I8" s="36"/>
    </row>
    <row r="9" spans="1:9" ht="30" customHeight="1">
      <c r="A9" s="1" t="s">
        <v>16</v>
      </c>
      <c r="B9" s="36" t="s">
        <v>17</v>
      </c>
      <c r="C9" s="36"/>
      <c r="D9" s="36"/>
      <c r="E9" s="36"/>
      <c r="F9" s="36"/>
      <c r="G9" s="36"/>
      <c r="H9" s="36"/>
      <c r="I9" s="36"/>
    </row>
    <row r="10" spans="1:9" ht="31.9" customHeight="1">
      <c r="A10" s="1" t="s">
        <v>18</v>
      </c>
      <c r="B10" s="36" t="s">
        <v>19</v>
      </c>
      <c r="C10" s="36"/>
      <c r="D10" s="36"/>
      <c r="E10" s="36"/>
      <c r="F10" s="36"/>
      <c r="G10" s="36"/>
      <c r="H10" s="36"/>
      <c r="I10" s="36"/>
    </row>
    <row r="11" spans="1:9" ht="27.6" customHeight="1">
      <c r="A11" s="1" t="s">
        <v>20</v>
      </c>
      <c r="B11" s="36" t="s">
        <v>21</v>
      </c>
      <c r="C11" s="36"/>
      <c r="D11" s="36"/>
      <c r="E11" s="36"/>
      <c r="F11" s="36"/>
      <c r="G11" s="36"/>
      <c r="H11" s="36"/>
      <c r="I11" s="36"/>
    </row>
    <row r="12" spans="1:9" ht="29.45" customHeight="1">
      <c r="A12" s="1" t="s">
        <v>22</v>
      </c>
      <c r="B12" s="36" t="s">
        <v>23</v>
      </c>
      <c r="C12" s="36"/>
      <c r="D12" s="36"/>
      <c r="E12" s="36"/>
      <c r="F12" s="36"/>
      <c r="G12" s="36"/>
      <c r="H12" s="36"/>
      <c r="I12" s="36"/>
    </row>
    <row r="13" spans="1:9" ht="29.45" customHeight="1">
      <c r="A13" s="1" t="s">
        <v>24</v>
      </c>
      <c r="B13" s="37" t="s">
        <v>25</v>
      </c>
      <c r="C13" s="38"/>
      <c r="D13" s="38"/>
      <c r="E13" s="38"/>
      <c r="F13" s="38"/>
      <c r="G13" s="38"/>
      <c r="H13" s="38"/>
      <c r="I13" s="39"/>
    </row>
    <row r="14" spans="1:9" ht="28.15" customHeight="1">
      <c r="A14" s="1" t="s">
        <v>26</v>
      </c>
      <c r="B14" s="36" t="s">
        <v>27</v>
      </c>
      <c r="C14" s="36"/>
      <c r="D14" s="36"/>
      <c r="E14" s="36"/>
      <c r="F14" s="36"/>
      <c r="G14" s="36"/>
      <c r="H14" s="36"/>
      <c r="I14" s="36"/>
    </row>
    <row r="15" spans="1:9" ht="30" customHeight="1">
      <c r="A15" s="1" t="s">
        <v>28</v>
      </c>
      <c r="B15" s="36" t="s">
        <v>29</v>
      </c>
      <c r="C15" s="36"/>
      <c r="D15" s="36"/>
      <c r="E15" s="36"/>
      <c r="F15" s="36"/>
      <c r="G15" s="36"/>
      <c r="H15" s="36"/>
      <c r="I15" s="36"/>
    </row>
    <row r="16" spans="1:9" ht="30" customHeight="1">
      <c r="A16" s="1" t="s">
        <v>30</v>
      </c>
      <c r="B16" s="40" t="s">
        <v>31</v>
      </c>
      <c r="C16" s="40"/>
      <c r="D16" s="40"/>
      <c r="E16" s="40"/>
      <c r="F16" s="40"/>
      <c r="G16" s="40"/>
      <c r="H16" s="40"/>
      <c r="I16" s="40"/>
    </row>
    <row r="17" spans="1:9" ht="30" customHeight="1">
      <c r="A17" s="1" t="s">
        <v>32</v>
      </c>
      <c r="B17" s="40" t="s">
        <v>33</v>
      </c>
      <c r="C17" s="40"/>
      <c r="D17" s="40"/>
      <c r="E17" s="40"/>
      <c r="F17" s="40"/>
      <c r="G17" s="40"/>
      <c r="H17" s="40"/>
      <c r="I17" s="40"/>
    </row>
    <row r="18" spans="1:9" ht="30" customHeight="1">
      <c r="A18" s="1" t="s">
        <v>34</v>
      </c>
      <c r="B18" s="40" t="s">
        <v>35</v>
      </c>
      <c r="C18" s="40"/>
      <c r="D18" s="40"/>
      <c r="E18" s="40"/>
      <c r="F18" s="40"/>
      <c r="G18" s="40"/>
      <c r="H18" s="40"/>
      <c r="I18" s="40"/>
    </row>
    <row r="19" spans="1:9" ht="30" customHeight="1">
      <c r="A19" s="1" t="s">
        <v>36</v>
      </c>
      <c r="B19" s="40" t="s">
        <v>37</v>
      </c>
      <c r="C19" s="40"/>
      <c r="D19" s="40"/>
      <c r="E19" s="40"/>
      <c r="F19" s="40"/>
      <c r="G19" s="40"/>
      <c r="H19" s="40"/>
      <c r="I19" s="40"/>
    </row>
  </sheetData>
  <mergeCells count="17">
    <mergeCell ref="B13:I13"/>
    <mergeCell ref="B16:I16"/>
    <mergeCell ref="B17:I17"/>
    <mergeCell ref="B18:I18"/>
    <mergeCell ref="B19:I19"/>
    <mergeCell ref="B15:I15"/>
    <mergeCell ref="B14:I14"/>
    <mergeCell ref="A1:I3"/>
    <mergeCell ref="B4:I4"/>
    <mergeCell ref="B5:I5"/>
    <mergeCell ref="B6:I6"/>
    <mergeCell ref="B7:I7"/>
    <mergeCell ref="B8:I8"/>
    <mergeCell ref="B9:I9"/>
    <mergeCell ref="B10:I10"/>
    <mergeCell ref="B11:I11"/>
    <mergeCell ref="B12:I12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B348-A312-41E9-B1CA-59F2CE3E4338}">
  <sheetPr codeName="Sheet3"/>
  <dimension ref="A1:L323"/>
  <sheetViews>
    <sheetView workbookViewId="0">
      <selection activeCell="E23" sqref="E23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4.28515625" bestFit="1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/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43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45747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>E23+1</f>
        <v>45748</v>
      </c>
      <c r="F24" s="21">
        <v>900</v>
      </c>
      <c r="G24" s="32">
        <v>0.6875</v>
      </c>
      <c r="H24" s="22">
        <v>7</v>
      </c>
      <c r="I24" s="22">
        <v>7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ref="E25:E29" si="0">E24+1</f>
        <v>45749</v>
      </c>
      <c r="F25" s="32">
        <v>0.35416666666666669</v>
      </c>
      <c r="G25" s="32">
        <v>0.6875</v>
      </c>
      <c r="H25" s="22"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v>7.5</v>
      </c>
      <c r="L25" s="33"/>
    </row>
    <row r="26" spans="1:12" ht="15.75" thickBot="1">
      <c r="A26" s="28"/>
      <c r="B26" s="1"/>
      <c r="C26" s="1"/>
      <c r="E26" s="20">
        <f t="shared" si="0"/>
        <v>45750</v>
      </c>
      <c r="F26" s="32">
        <v>0.35416666666666669</v>
      </c>
      <c r="G26" s="32">
        <v>0.6875</v>
      </c>
      <c r="H26" s="22"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v>7.5</v>
      </c>
      <c r="L26" s="33"/>
    </row>
    <row r="27" spans="1:12" ht="15.75" thickBot="1">
      <c r="A27" s="28"/>
      <c r="B27" s="1"/>
      <c r="C27" s="1"/>
      <c r="E27" s="20">
        <f t="shared" si="0"/>
        <v>45751</v>
      </c>
      <c r="F27" s="32">
        <v>0.35416666666666669</v>
      </c>
      <c r="G27" s="32">
        <v>0.6875</v>
      </c>
      <c r="H27" s="22"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v>7.5</v>
      </c>
      <c r="L27" s="33"/>
    </row>
    <row r="28" spans="1:12" ht="15.75" thickBot="1">
      <c r="A28" s="28"/>
      <c r="B28" s="1"/>
      <c r="C28" s="1"/>
      <c r="E28" s="20">
        <f t="shared" si="0"/>
        <v>45752</v>
      </c>
      <c r="F28" s="32">
        <v>0.35416666666666669</v>
      </c>
      <c r="G28" s="32">
        <v>0.6875</v>
      </c>
      <c r="H28" s="22"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v>7.5</v>
      </c>
      <c r="L28" s="33"/>
    </row>
    <row r="29" spans="1:12" ht="15.75" thickBot="1">
      <c r="A29" s="28"/>
      <c r="B29" s="1"/>
      <c r="C29" s="1"/>
      <c r="E29" s="20">
        <f t="shared" si="0"/>
        <v>45753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1">IFERROR(IF(AND(G29&gt;0, H29&gt;0), (IF(H29&lt;G29, H29+1, H29)-G29-TIME(0,30,0))*24, 0),0)</f>
        <v>0</v>
      </c>
      <c r="J29" s="17">
        <f t="shared" si="1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</v>
      </c>
      <c r="I30" s="26">
        <f>SUM(I23:I29)</f>
        <v>7</v>
      </c>
      <c r="J30" s="26">
        <f>SUM(J23:J29)</f>
        <v>0</v>
      </c>
      <c r="K30" s="26">
        <f>SUM(K23:K29)</f>
        <v>30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honeticPr fontId="21" type="noConversion"/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SubmitToPayroll">
                <anchor moveWithCells="1" sizeWithCells="1">
                  <from>
                    <xdr:col>11</xdr:col>
                    <xdr:colOff>19050</xdr:colOff>
                    <xdr:row>31</xdr:row>
                    <xdr:rowOff>19050</xdr:rowOff>
                  </from>
                  <to>
                    <xdr:col>11</xdr:col>
                    <xdr:colOff>2095500</xdr:colOff>
                    <xdr:row>33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F3C328-BFF3-47FC-A4EF-35AE1279CA51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99D2D-CF2F-4C58-A408-A52EADFD5F01}">
  <sheetPr codeName="Sheet4"/>
  <dimension ref="A1:L323"/>
  <sheetViews>
    <sheetView workbookViewId="0">
      <selection activeCell="C10" sqref="C10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/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55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45795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45796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si="0"/>
        <v>45797</v>
      </c>
      <c r="F25" s="21">
        <v>900</v>
      </c>
      <c r="G25" s="21">
        <v>1700</v>
      </c>
      <c r="H25" s="22">
        <f>SUM(F25-G25+50)/-100</f>
        <v>7.5</v>
      </c>
      <c r="I25" s="22">
        <f t="shared" ref="I25:I28" si="1">SUMIFS($C$3:$C$1004,$A$3:$A$1004,E25,$B$3:$B$1004,"*"&amp;E16&amp;"*")</f>
        <v>0</v>
      </c>
      <c r="J25" s="22">
        <f>SUMIFS($C$3:$C$1004,$A$3:$A$1004,E25,$B$3:$B$1004,"*"&amp;E14&amp;"*")</f>
        <v>0</v>
      </c>
      <c r="K25" s="22">
        <f t="shared" ref="K25:K28" si="2"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45798</v>
      </c>
      <c r="F26" s="21">
        <v>900</v>
      </c>
      <c r="G26" s="21">
        <v>1700</v>
      </c>
      <c r="H26" s="22">
        <f t="shared" ref="H26:H28" si="3">SUM(F26-G26+50)/-100</f>
        <v>7.5</v>
      </c>
      <c r="I26" s="22">
        <f t="shared" si="1"/>
        <v>0</v>
      </c>
      <c r="J26" s="22">
        <f>SUMIFS($C$3:$C$1004,$A$3:$A$1004,E26,$B$3:$B$1004,"*"&amp;E14&amp;"*")</f>
        <v>0</v>
      </c>
      <c r="K26" s="22">
        <f t="shared" si="2"/>
        <v>0</v>
      </c>
      <c r="L26" s="31"/>
    </row>
    <row r="27" spans="1:12" ht="15.75" thickBot="1">
      <c r="A27" s="28"/>
      <c r="B27" s="1"/>
      <c r="C27" s="1"/>
      <c r="E27" s="20">
        <f t="shared" si="0"/>
        <v>45799</v>
      </c>
      <c r="F27" s="21">
        <v>900</v>
      </c>
      <c r="G27" s="21">
        <v>1700</v>
      </c>
      <c r="H27" s="22">
        <f t="shared" si="3"/>
        <v>7.5</v>
      </c>
      <c r="I27" s="22">
        <f t="shared" si="1"/>
        <v>0</v>
      </c>
      <c r="J27" s="22">
        <f>SUMIFS($C$3:$C$1004,$A$3:$A$1004,E27,$B$3:$B$1004,"*"&amp;E14&amp;"*")</f>
        <v>0</v>
      </c>
      <c r="K27" s="22">
        <f t="shared" si="2"/>
        <v>0</v>
      </c>
      <c r="L27" s="31"/>
    </row>
    <row r="28" spans="1:12" ht="15.75" thickBot="1">
      <c r="A28" s="28"/>
      <c r="B28" s="1"/>
      <c r="C28" s="1"/>
      <c r="E28" s="20">
        <f t="shared" si="0"/>
        <v>45800</v>
      </c>
      <c r="F28" s="21">
        <v>900</v>
      </c>
      <c r="G28" s="21">
        <v>1700</v>
      </c>
      <c r="H28" s="22">
        <f t="shared" si="3"/>
        <v>7.5</v>
      </c>
      <c r="I28" s="22">
        <f t="shared" si="1"/>
        <v>0</v>
      </c>
      <c r="J28" s="22">
        <f>SUMIFS($C$3:$C$1004,$A$3:$A$1004,E28,$B$3:$B$1004,"*"&amp;E14&amp;"*")</f>
        <v>0</v>
      </c>
      <c r="K28" s="22">
        <f t="shared" si="2"/>
        <v>0</v>
      </c>
      <c r="L28" s="31"/>
    </row>
    <row r="29" spans="1:12" ht="15.75" thickBot="1">
      <c r="A29" s="28"/>
      <c r="B29" s="1"/>
      <c r="C29" s="1"/>
      <c r="E29" s="20">
        <f t="shared" si="0"/>
        <v>45801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4">IFERROR(IF(AND(G29&gt;0, H29&gt;0), (IF(H29&lt;G29, H29+1, H29)-G29-TIME(0,30,0))*24, 0),0)</f>
        <v>0</v>
      </c>
      <c r="J29" s="17">
        <f t="shared" si="4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ubmitToPayroll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12</xdr:col>
                    <xdr:colOff>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D8A6B9-720D-49ED-A92F-18BA49B77672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D27B6-811B-4038-BB65-42D87E6C63D0}">
  <sheetPr codeName="Sheet5"/>
  <dimension ref="A1:L323"/>
  <sheetViews>
    <sheetView workbookViewId="0">
      <selection activeCell="B3" sqref="B3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>
        <v>45838</v>
      </c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55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45809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45810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si="0"/>
        <v>45811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45812</v>
      </c>
      <c r="F26" s="21">
        <v>900</v>
      </c>
      <c r="G26" s="21">
        <v>1700</v>
      </c>
      <c r="H26" s="22">
        <f>SUM(F26-G26+50)/-100</f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0</v>
      </c>
      <c r="L26" s="31"/>
    </row>
    <row r="27" spans="1:12" ht="15.75" thickBot="1">
      <c r="A27" s="28"/>
      <c r="B27" s="1"/>
      <c r="C27" s="1"/>
      <c r="E27" s="20">
        <f t="shared" si="0"/>
        <v>45813</v>
      </c>
      <c r="F27" s="21">
        <v>900</v>
      </c>
      <c r="G27" s="21">
        <v>1700</v>
      </c>
      <c r="H27" s="22">
        <f>SUM(F27-G27+50)/-100</f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45814</v>
      </c>
      <c r="F28" s="21">
        <v>900</v>
      </c>
      <c r="G28" s="21">
        <v>1700</v>
      </c>
      <c r="H28" s="22">
        <f>SUM(F28-G28+50)/-100</f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45815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2">IFERROR(IF(AND(G29&gt;0, H29&gt;0), (IF(H29&lt;G29, H29+1, H29)-G29-TIME(0,30,0))*24, 0),0)</f>
        <v>0</v>
      </c>
      <c r="J29" s="17">
        <f t="shared" si="2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SubmitToPayroll">
                <anchor moveWithCells="1" sizeWithCells="1">
                  <from>
                    <xdr:col>11</xdr:col>
                    <xdr:colOff>0</xdr:colOff>
                    <xdr:row>31</xdr:row>
                    <xdr:rowOff>47625</xdr:rowOff>
                  </from>
                  <to>
                    <xdr:col>11</xdr:col>
                    <xdr:colOff>2095500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705EEC-CF53-4042-8582-63AB06137F42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C31C2-3D52-42D5-83F6-EC4AC6070AFA}">
  <sheetPr codeName="Sheet6"/>
  <dimension ref="A1:L323"/>
  <sheetViews>
    <sheetView workbookViewId="0">
      <selection activeCell="C10" sqref="C10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/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55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45837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45838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si="0"/>
        <v>45839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45840</v>
      </c>
      <c r="F26" s="21">
        <v>900</v>
      </c>
      <c r="G26" s="21">
        <v>1700</v>
      </c>
      <c r="H26" s="22">
        <f>SUM(F26-G26+50)/-100</f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0</v>
      </c>
      <c r="L26" s="31"/>
    </row>
    <row r="27" spans="1:12" ht="15.75" thickBot="1">
      <c r="A27" s="28"/>
      <c r="B27" s="1"/>
      <c r="C27" s="1"/>
      <c r="E27" s="20">
        <f t="shared" si="0"/>
        <v>45841</v>
      </c>
      <c r="F27" s="21">
        <v>900</v>
      </c>
      <c r="G27" s="21">
        <v>1700</v>
      </c>
      <c r="H27" s="22">
        <f>SUM(F27-G27+50)/-100</f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45842</v>
      </c>
      <c r="F28" s="21">
        <v>900</v>
      </c>
      <c r="G28" s="21">
        <v>1700</v>
      </c>
      <c r="H28" s="22">
        <f>SUM(F28-G28+50)/-100</f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45843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2">IFERROR(IF(AND(G29&gt;0, H29&gt;0), (IF(H29&lt;G29, H29+1, H29)-G29-TIME(0,30,0))*24, 0),0)</f>
        <v>0</v>
      </c>
      <c r="J29" s="17">
        <f t="shared" si="2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SubmitToPayroll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11</xdr:col>
                    <xdr:colOff>2095500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8B2E2-5C45-4EDF-95C2-4D9AD65CDB26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63C54-F7E6-4CB8-AA20-2B27220DD891}">
  <sheetPr codeName="Sheet7"/>
  <dimension ref="A1:L323"/>
  <sheetViews>
    <sheetView workbookViewId="0">
      <selection activeCell="A3" sqref="A3:C19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SUMIF($B$4:B608,"*"&amp;E2&amp;"*",$C$3:C608)</f>
        <v>0</v>
      </c>
    </row>
    <row r="3" spans="1:6" ht="15.75">
      <c r="A3" s="28"/>
      <c r="B3" s="1"/>
      <c r="C3" s="1"/>
      <c r="E3" s="1" t="str">
        <f>Definitions!A5</f>
        <v>Prep</v>
      </c>
      <c r="F3" s="3">
        <f>SUMIF($B$4:B609,"*"&amp;E3&amp;"*",$C$3:C609)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SUMIF($B$4:B610,"*"&amp;E4&amp;"*",$C$3:C610)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SUMIF($B$4:B611,"*"&amp;E5&amp;"*",$C$3:C611)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SUMIF($B$4:B612,"*"&amp;E6&amp;"*",$C$3:C612)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SUMIF($B$4:B613,"*"&amp;E7&amp;"*",$C$3:C613)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SUMIF($B$4:B614,"*"&amp;E8&amp;"*",$C$3:C614)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SUMIF($B$4:B615,"*"&amp;E9&amp;"*",$C$3:C615)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SUMIF($B$4:B616,"*"&amp;E10&amp;"*",$C$3:C616)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SUMIF($B$4:B617,"*"&amp;E11&amp;"*",$C$3:C617)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SUMIF($B$4:B618,"*"&amp;E12&amp;"*",$C$3:C618)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SUMIF($B$4:B619,"*"&amp;E13&amp;"*",$C$3:C619)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SUMIF($B$4:B620,"*"&amp;E14&amp;"*",$C$3:C620)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SUMIF($B$4:B621,"*"&amp;E15&amp;"*",$C$3:C621)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SUMIF($B$4:B622,"*"&amp;E16&amp;"*",$C$3:C622)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SUMIF($B$4:B623,"*"&amp;E17&amp;"*",$C$3:C623)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55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45865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45866</v>
      </c>
      <c r="F24" s="21">
        <v>900</v>
      </c>
      <c r="G24" s="21">
        <v>1700</v>
      </c>
      <c r="H24" s="22">
        <f>SUM(F24-G24+50)/-100</f>
        <v>7.5</v>
      </c>
      <c r="I24" s="22" t="e">
        <f>SUMIFS($C$3:$C$1004,$A$3:$A$1004,E24,$B$4:$B$1004,"*"&amp;E15&amp;"*")</f>
        <v>#VALUE!</v>
      </c>
      <c r="J24" s="22" t="e">
        <f>SUMIFS($C$3:$C$1004,$A$3:$A$1004,E24,$B$4:$B$1004,"*"&amp;E14&amp;"*")</f>
        <v>#VALUE!</v>
      </c>
      <c r="K24" s="22" t="e">
        <f>SUMIFS($C$3:$C$1004,$A$3:$A$1004,E24,$B$4:$B$1004,"&lt;&gt;*Production Hours*")-J24</f>
        <v>#VALUE!</v>
      </c>
      <c r="L24" s="31"/>
    </row>
    <row r="25" spans="1:12" ht="15.75" thickBot="1">
      <c r="A25" s="28"/>
      <c r="B25" s="1"/>
      <c r="C25" s="1"/>
      <c r="E25" s="20">
        <f t="shared" si="0"/>
        <v>45867</v>
      </c>
      <c r="F25" s="21">
        <v>900</v>
      </c>
      <c r="G25" s="21">
        <v>1700</v>
      </c>
      <c r="H25" s="22">
        <f>SUM(F25-G25+50)/-100</f>
        <v>7.5</v>
      </c>
      <c r="I25" s="22" t="e">
        <f>SUMIFS($C$3:$C$1004,$A$3:$A$1004,E25,$B$4:$B$1004,"*"&amp;E15&amp;"*")</f>
        <v>#VALUE!</v>
      </c>
      <c r="J25" s="22" t="e">
        <f>SUMIFS($C$3:$C$1004,$A$3:$A$1004,E25,$B$4:$B$1004,"*"&amp;E14&amp;"*")</f>
        <v>#VALUE!</v>
      </c>
      <c r="K25" s="22" t="e">
        <f>SUMIFS($C$3:$C$1004,$A$3:$A$1004,E25,$B$4:$B$1004,"&lt;&gt;*Production Hours*")-J25</f>
        <v>#VALUE!</v>
      </c>
      <c r="L25" s="31"/>
    </row>
    <row r="26" spans="1:12" ht="15.75" thickBot="1">
      <c r="A26" s="28"/>
      <c r="B26" s="1"/>
      <c r="C26" s="1"/>
      <c r="E26" s="20">
        <f t="shared" si="0"/>
        <v>45868</v>
      </c>
      <c r="F26" s="21">
        <v>900</v>
      </c>
      <c r="G26" s="21">
        <v>1700</v>
      </c>
      <c r="H26" s="22">
        <f>SUM(F26-G26+50)/-100</f>
        <v>7.5</v>
      </c>
      <c r="I26" s="22" t="e">
        <f>SUMIFS($C$3:$C$1004,$A$3:$A$1004,E26,$B$4:$B$1004,"*"&amp;E15&amp;"*")</f>
        <v>#VALUE!</v>
      </c>
      <c r="J26" s="22" t="e">
        <f>SUMIFS($C$3:$C$1004,$A$3:$A$1004,E26,$B$4:$B$1004,"*"&amp;E14&amp;"*")</f>
        <v>#VALUE!</v>
      </c>
      <c r="K26" s="22" t="e">
        <f>SUMIFS($C$3:$C$1004,$A$3:$A$1004,E26,$B$4:$B$1004,"&lt;&gt;*Production Hours*")-J26</f>
        <v>#VALUE!</v>
      </c>
      <c r="L26" s="31"/>
    </row>
    <row r="27" spans="1:12" ht="15.75" thickBot="1">
      <c r="A27" s="28"/>
      <c r="B27" s="1"/>
      <c r="C27" s="1"/>
      <c r="E27" s="20">
        <f t="shared" si="0"/>
        <v>45869</v>
      </c>
      <c r="F27" s="21">
        <v>900</v>
      </c>
      <c r="G27" s="21">
        <v>1700</v>
      </c>
      <c r="H27" s="22">
        <f>SUM(F27-G27+50)/-100</f>
        <v>7.5</v>
      </c>
      <c r="I27" s="22" t="e">
        <f>SUMIFS($C$3:$C$1004,$A$3:$A$1004,E27,$B$4:$B$1004,"*"&amp;E15&amp;"*")</f>
        <v>#VALUE!</v>
      </c>
      <c r="J27" s="22" t="e">
        <f>SUMIFS($C$3:$C$1004,$A$3:$A$1004,E27,$B$4:$B$1004,"*"&amp;E14&amp;"*")</f>
        <v>#VALUE!</v>
      </c>
      <c r="K27" s="22" t="e">
        <f>SUMIFS($C$3:$C$1004,$A$3:$A$1004,E27,$B$4:$B$1004,"&lt;&gt;*Production Hours*")-J27</f>
        <v>#VALUE!</v>
      </c>
      <c r="L27" s="31"/>
    </row>
    <row r="28" spans="1:12" ht="15.75" thickBot="1">
      <c r="A28" s="28"/>
      <c r="B28" s="1"/>
      <c r="C28" s="1"/>
      <c r="E28" s="20">
        <f t="shared" si="0"/>
        <v>45870</v>
      </c>
      <c r="F28" s="21">
        <v>900</v>
      </c>
      <c r="G28" s="21">
        <v>1700</v>
      </c>
      <c r="H28" s="22">
        <f>SUM(F28-G28+50)/-100</f>
        <v>7.5</v>
      </c>
      <c r="I28" s="22" t="e">
        <f>SUMIFS($C$3:$C$1004,$A$3:$A$1004,E28,$B$4:$B$1004,"*"&amp;E15&amp;"*")</f>
        <v>#VALUE!</v>
      </c>
      <c r="J28" s="22" t="e">
        <f>SUMIFS($C$3:$C$1004,$A$3:$A$1004,E28,$B$4:$B$1004,"*"&amp;E14&amp;"*")</f>
        <v>#VALUE!</v>
      </c>
      <c r="K28" s="22" t="e">
        <f>SUMIFS($C$3:$C$1004,$A$3:$A$1004,E28,$B$4:$B$1004,"&lt;&gt;*Production Hours*")-J28</f>
        <v>#VALUE!</v>
      </c>
      <c r="L28" s="31"/>
    </row>
    <row r="29" spans="1:12" ht="15.75" thickBot="1">
      <c r="A29" s="28"/>
      <c r="B29" s="1"/>
      <c r="C29" s="1"/>
      <c r="E29" s="20">
        <f t="shared" si="0"/>
        <v>45871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1">IFERROR(IF(AND(G29&gt;0, H29&gt;0), (IF(H29&lt;G29, H29+1, H29)-G29-TIME(0,30,0))*24, 0),0)</f>
        <v>0</v>
      </c>
      <c r="J29" s="17">
        <f t="shared" si="1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 t="e">
        <f>SUM(I23:I29)</f>
        <v>#VALUE!</v>
      </c>
      <c r="J30" s="26" t="e">
        <f>SUM(J23:J29)</f>
        <v>#VALUE!</v>
      </c>
      <c r="K30" s="26" t="e">
        <f>SUM(K23:K29)</f>
        <v>#VALUE!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SubmitToPayroll">
                <anchor moveWithCells="1" sizeWithCells="1">
                  <from>
                    <xdr:col>11</xdr:col>
                    <xdr:colOff>19050</xdr:colOff>
                    <xdr:row>31</xdr:row>
                    <xdr:rowOff>38100</xdr:rowOff>
                  </from>
                  <to>
                    <xdr:col>12</xdr:col>
                    <xdr:colOff>19050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452C5B-B7EE-4245-BDB6-7714C83CEB6B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57A1-825D-49D5-B182-1FCE51E5CFF8}">
  <sheetPr codeName="Sheet8"/>
  <dimension ref="A1:L323"/>
  <sheetViews>
    <sheetView topLeftCell="A8" workbookViewId="0">
      <selection activeCell="A3" sqref="A3:C25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/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56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45900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45901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si="0"/>
        <v>45902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45903</v>
      </c>
      <c r="F26" s="21">
        <v>900</v>
      </c>
      <c r="G26" s="21">
        <v>1700</v>
      </c>
      <c r="H26" s="22">
        <f>SUM(F26-G26+50)/-100</f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0</v>
      </c>
      <c r="L26" s="31"/>
    </row>
    <row r="27" spans="1:12" ht="15.75" thickBot="1">
      <c r="A27" s="28"/>
      <c r="B27" s="1"/>
      <c r="C27" s="1"/>
      <c r="E27" s="20">
        <f t="shared" si="0"/>
        <v>45904</v>
      </c>
      <c r="F27" s="21">
        <v>900</v>
      </c>
      <c r="G27" s="21">
        <v>1700</v>
      </c>
      <c r="H27" s="22">
        <f>SUM(F27-G27+50)/-100</f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45905</v>
      </c>
      <c r="F28" s="21">
        <v>900</v>
      </c>
      <c r="G28" s="21">
        <v>1700</v>
      </c>
      <c r="H28" s="22">
        <f>SUM(F28-G28+50)/-100</f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45906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2">IFERROR(IF(AND(G29&gt;0, H29&gt;0), (IF(H29&lt;G29, H29+1, H29)-G29-TIME(0,30,0))*24, 0),0)</f>
        <v>0</v>
      </c>
      <c r="J29" s="17">
        <f t="shared" si="2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ubmitToPayroll">
                <anchor moveWithCells="1" sizeWithCells="1">
                  <from>
                    <xdr:col>11</xdr:col>
                    <xdr:colOff>28575</xdr:colOff>
                    <xdr:row>31</xdr:row>
                    <xdr:rowOff>38100</xdr:rowOff>
                  </from>
                  <to>
                    <xdr:col>12</xdr:col>
                    <xdr:colOff>19050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95C23A-FF96-4640-A552-D928FC638AAA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5667-3CBC-4729-AA81-648D4EA13AF8}">
  <sheetPr codeName="Sheet9"/>
  <dimension ref="A1:L323"/>
  <sheetViews>
    <sheetView tabSelected="1" workbookViewId="0">
      <selection activeCell="L19" sqref="L19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8" width="17" customWidth="1"/>
    <col min="9" max="9" width="16.85546875" customWidth="1"/>
    <col min="10" max="10" width="17" customWidth="1"/>
    <col min="11" max="11" width="17.7109375" customWidth="1"/>
    <col min="12" max="12" width="46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>
        <v>45992</v>
      </c>
      <c r="B3" s="1" t="s">
        <v>28</v>
      </c>
      <c r="C3" s="1">
        <v>7.5</v>
      </c>
      <c r="E3" s="1" t="str">
        <f>Definitions!A5</f>
        <v>Prep</v>
      </c>
      <c r="F3" s="3">
        <f>SUMIF($B$3:B609,"*"&amp;E3&amp;"*",$C$3:C609)</f>
        <v>0</v>
      </c>
    </row>
    <row r="4" spans="1:6" ht="15.75">
      <c r="A4" s="28">
        <v>45993</v>
      </c>
      <c r="B4" s="1" t="s">
        <v>28</v>
      </c>
      <c r="C4" s="1">
        <v>7.5</v>
      </c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>
        <v>45994</v>
      </c>
      <c r="B5" s="1" t="s">
        <v>32</v>
      </c>
      <c r="C5" s="1">
        <v>7.72</v>
      </c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>
        <v>45995</v>
      </c>
      <c r="B6" s="1" t="s">
        <v>32</v>
      </c>
      <c r="C6" s="1">
        <v>9.51</v>
      </c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>
        <v>45996</v>
      </c>
      <c r="B7" s="1" t="s">
        <v>32</v>
      </c>
      <c r="C7" s="1">
        <v>7.68</v>
      </c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>
        <v>45997</v>
      </c>
      <c r="B8" s="1" t="s">
        <v>32</v>
      </c>
      <c r="C8" s="1">
        <v>2.09</v>
      </c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15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27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42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57</v>
      </c>
    </row>
    <row r="22" spans="1:12" ht="21.7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45991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45992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7.5</v>
      </c>
      <c r="L24" s="31" t="s">
        <v>58</v>
      </c>
    </row>
    <row r="25" spans="1:12" ht="15.75" thickBot="1">
      <c r="A25" s="28"/>
      <c r="B25" s="1"/>
      <c r="C25" s="1"/>
      <c r="E25" s="20">
        <f t="shared" si="0"/>
        <v>45993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7.5</v>
      </c>
      <c r="L25" s="31" t="s">
        <v>58</v>
      </c>
    </row>
    <row r="26" spans="1:12" ht="15.75" thickBot="1">
      <c r="A26" s="28"/>
      <c r="B26" s="1"/>
      <c r="C26" s="1"/>
      <c r="E26" s="20">
        <f t="shared" si="0"/>
        <v>45994</v>
      </c>
      <c r="F26" s="21">
        <v>900</v>
      </c>
      <c r="G26" s="21">
        <v>1722</v>
      </c>
      <c r="H26" s="22">
        <f>SUM(F26-G26+50)/-100</f>
        <v>7.72</v>
      </c>
      <c r="I26" s="22">
        <f>SUMIFS($C$3:$C$1004,$A$3:$A$1004,E26,$B$3:$B$1004,"*"&amp;E15&amp;"*")</f>
        <v>7.72</v>
      </c>
      <c r="J26" s="22">
        <f>SUMIFS($C$3:$C$1004,$A$3:$A$1004,E26,$B$3:$B$1004,"*"&amp;E14&amp;"*")</f>
        <v>0</v>
      </c>
      <c r="K26" s="22">
        <f>SUMIFS($C$3:$C$1004,$A$3:$A$1004,E26,$B$3:$B$1004,"&lt;&gt;*Production Hours*")-J26</f>
        <v>0</v>
      </c>
      <c r="L26" s="31" t="s">
        <v>59</v>
      </c>
    </row>
    <row r="27" spans="1:12" ht="15.75" thickBot="1">
      <c r="A27" s="28"/>
      <c r="B27" s="1"/>
      <c r="C27" s="1"/>
      <c r="E27" s="20">
        <f t="shared" si="0"/>
        <v>45995</v>
      </c>
      <c r="F27" s="21">
        <v>900</v>
      </c>
      <c r="G27" s="21">
        <v>1901</v>
      </c>
      <c r="H27" s="22">
        <f>SUM(F27-G27+50)/-100</f>
        <v>9.51</v>
      </c>
      <c r="I27" s="22">
        <f>SUMIFS($C$3:$C$1004,$A$3:$A$1004,E27,$B$3:$B$1004,"*"&amp;E15&amp;"*")</f>
        <v>9.51</v>
      </c>
      <c r="J27" s="22">
        <f>SUMIFS($C$3:$C$1004,$A$3:$A$1004,E27,$B$3:$B$1004,"*"&amp;E14&amp;"*")</f>
        <v>0</v>
      </c>
      <c r="K27" s="22">
        <f t="shared" ref="K26:K28" si="1">SUMIFS($C$3:$C$1004,$A$3:$A$1004,E27,$B$3:$B$1004,"&lt;&gt;*Production Hours*")-J27</f>
        <v>0</v>
      </c>
      <c r="L27" s="31" t="s">
        <v>59</v>
      </c>
    </row>
    <row r="28" spans="1:12">
      <c r="A28" s="28"/>
      <c r="B28" s="1"/>
      <c r="C28" s="1"/>
      <c r="E28" s="20">
        <f t="shared" si="0"/>
        <v>45996</v>
      </c>
      <c r="F28" s="21">
        <v>900</v>
      </c>
      <c r="G28" s="21">
        <v>1718</v>
      </c>
      <c r="H28" s="22">
        <f>SUM(F28-G28+50)/-100</f>
        <v>7.68</v>
      </c>
      <c r="I28" s="22">
        <f>SUMIFS($C$3:$C$1004,$A$3:$A$1004,E28,$B$3:$B$1004,"*"&amp;E15&amp;"*")</f>
        <v>7.68</v>
      </c>
      <c r="J28" s="22">
        <f>SUMIFS($C$3:$C$1004,$A$3:$A$1004,E28,$B$3:$B$1004,"*"&amp;E14&amp;"*")</f>
        <v>0</v>
      </c>
      <c r="K28" s="22">
        <f t="shared" si="1"/>
        <v>0</v>
      </c>
      <c r="L28" s="31" t="s">
        <v>59</v>
      </c>
    </row>
    <row r="29" spans="1:12">
      <c r="A29" s="28"/>
      <c r="B29" s="1"/>
      <c r="C29" s="1"/>
      <c r="E29" s="20">
        <f t="shared" si="0"/>
        <v>45997</v>
      </c>
      <c r="F29" s="21">
        <v>2100</v>
      </c>
      <c r="G29" s="21">
        <v>2359</v>
      </c>
      <c r="H29" s="22">
        <f>SUM(F29-G29+50)/-100</f>
        <v>2.09</v>
      </c>
      <c r="I29" s="22">
        <f>SUMIFS($C$3:$C$1004,$A$3:$A$1004,E29,$B$3:$B$1004,"*"&amp;E15&amp;"*")</f>
        <v>2.09</v>
      </c>
      <c r="J29" s="22">
        <f>SUMIFS($C$3:$C$1004,$A$3:$A$1004,E29,$B$3:$B$1004,"*"&amp;E14&amp;"*")</f>
        <v>0</v>
      </c>
      <c r="K29" s="22">
        <f>SUMIFS($C$3:$C$1004,$A$3:$A$1004,E29,$B$3:$B$1004,"&lt;&gt;*Production Hours*")-J29</f>
        <v>0</v>
      </c>
      <c r="L29" s="25" t="s">
        <v>60</v>
      </c>
    </row>
    <row r="30" spans="1:12" ht="15.75">
      <c r="A30" s="28"/>
      <c r="B30" s="1"/>
      <c r="C30" s="1"/>
      <c r="E30" s="44" t="s">
        <v>4</v>
      </c>
      <c r="F30" s="44"/>
      <c r="G30" s="44"/>
      <c r="H30" s="26">
        <f>SUM(H23:H29)</f>
        <v>42</v>
      </c>
      <c r="I30" s="26">
        <f>SUM(I23:I29)</f>
        <v>27</v>
      </c>
      <c r="J30" s="26">
        <f>SUM(J23:J29)</f>
        <v>0</v>
      </c>
      <c r="K30" s="26">
        <f>SUM(K23:K29)</f>
        <v>15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SubmitToPayroll">
                <anchor moveWithCells="1" sizeWithCells="1">
                  <from>
                    <xdr:col>11</xdr:col>
                    <xdr:colOff>19050</xdr:colOff>
                    <xdr:row>31</xdr:row>
                    <xdr:rowOff>19050</xdr:rowOff>
                  </from>
                  <to>
                    <xdr:col>12</xdr:col>
                    <xdr:colOff>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DDDADF-930D-4E33-9CD9-E380F1C9A476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673CA-14BB-454E-AFFA-E297E93F5EB8}">
  <sheetPr codeName="Sheet10"/>
  <dimension ref="A1:L323"/>
  <sheetViews>
    <sheetView topLeftCell="A16" workbookViewId="0">
      <selection activeCell="H19" sqref="H19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>
        <v>45233</v>
      </c>
      <c r="B3" s="1" t="s">
        <v>14</v>
      </c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>
        <v>45234</v>
      </c>
      <c r="B4" s="1" t="s">
        <v>14</v>
      </c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>
        <v>45235</v>
      </c>
      <c r="B5" s="1" t="s">
        <v>14</v>
      </c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>
        <v>45967</v>
      </c>
      <c r="B6" s="1" t="s">
        <v>14</v>
      </c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>
        <v>45968</v>
      </c>
      <c r="B7" s="1" t="s">
        <v>14</v>
      </c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>
        <v>45971</v>
      </c>
      <c r="B8" s="1" t="s">
        <v>14</v>
      </c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>
        <v>45972</v>
      </c>
      <c r="B9" s="1" t="s">
        <v>14</v>
      </c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>
        <v>45973</v>
      </c>
      <c r="B10" s="1" t="s">
        <v>14</v>
      </c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>
        <v>45974</v>
      </c>
      <c r="B11" s="1" t="s">
        <v>22</v>
      </c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>
        <v>45975</v>
      </c>
      <c r="B12" s="1" t="s">
        <v>22</v>
      </c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>
        <v>45978</v>
      </c>
      <c r="B13" s="1" t="s">
        <v>12</v>
      </c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>
        <v>45979</v>
      </c>
      <c r="B14" s="1" t="s">
        <v>12</v>
      </c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>
        <v>45980</v>
      </c>
      <c r="B15" s="1" t="s">
        <v>12</v>
      </c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>
        <v>45981</v>
      </c>
      <c r="B16" s="1" t="s">
        <v>12</v>
      </c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>
        <v>45982</v>
      </c>
      <c r="B17" s="1" t="s">
        <v>12</v>
      </c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>
        <v>45985</v>
      </c>
      <c r="B18" s="1" t="s">
        <v>12</v>
      </c>
      <c r="C18" s="1"/>
      <c r="E18" s="2" t="s">
        <v>4</v>
      </c>
      <c r="F18" s="2">
        <f>SUM(F2:F17)</f>
        <v>0</v>
      </c>
    </row>
    <row r="19" spans="1:12">
      <c r="A19" s="28">
        <v>45986</v>
      </c>
      <c r="B19" s="1" t="s">
        <v>12</v>
      </c>
      <c r="C19" s="1"/>
    </row>
    <row r="20" spans="1:12">
      <c r="A20" s="28">
        <v>45987</v>
      </c>
      <c r="B20" s="1" t="s">
        <v>22</v>
      </c>
      <c r="C20" s="1"/>
    </row>
    <row r="21" spans="1:12" ht="15.75" thickBot="1">
      <c r="A21" s="28">
        <v>45988</v>
      </c>
      <c r="B21" s="1" t="s">
        <v>22</v>
      </c>
      <c r="C21" s="1"/>
      <c r="E21" s="9" t="s">
        <v>61</v>
      </c>
    </row>
    <row r="22" spans="1:12" ht="14.45" customHeight="1" thickBot="1">
      <c r="A22" s="28">
        <v>45989</v>
      </c>
      <c r="B22" s="1" t="s">
        <v>22</v>
      </c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45963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>E23+1</f>
        <v>45964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ref="E25:E29" si="0">E24+1</f>
        <v>45965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45966</v>
      </c>
      <c r="F26" s="21">
        <v>900</v>
      </c>
      <c r="G26" s="21">
        <v>1700</v>
      </c>
      <c r="H26" s="22">
        <f>SUM(F26-G26+50)/-100</f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0</v>
      </c>
      <c r="L26" s="31"/>
    </row>
    <row r="27" spans="1:12" ht="15.75" thickBot="1">
      <c r="A27" s="28"/>
      <c r="B27" s="1"/>
      <c r="C27" s="1"/>
      <c r="E27" s="20">
        <f t="shared" si="0"/>
        <v>45967</v>
      </c>
      <c r="F27" s="21">
        <v>900</v>
      </c>
      <c r="G27" s="21">
        <v>1700</v>
      </c>
      <c r="H27" s="22">
        <f>SUM(F27-G27+50)/-100</f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45968</v>
      </c>
      <c r="F28" s="21">
        <v>900</v>
      </c>
      <c r="G28" s="21">
        <v>1700</v>
      </c>
      <c r="H28" s="22">
        <f>SUM(F28-G28+50)/-100</f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45969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2">IFERROR(IF(AND(G29&gt;0, H29&gt;0), (IF(H29&lt;G29, H29+1, H29)-G29-TIME(0,30,0))*24, 0),0)</f>
        <v>0</v>
      </c>
      <c r="J29" s="17">
        <f t="shared" si="2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2" r:id="rId4" name="Button 4">
              <controlPr defaultSize="0" print="0" autoFill="0" autoPict="0" macro="[0]!SubmitToPayroll">
                <anchor moveWithCells="1" sizeWithCells="1">
                  <from>
                    <xdr:col>11</xdr:col>
                    <xdr:colOff>0</xdr:colOff>
                    <xdr:row>31</xdr:row>
                    <xdr:rowOff>19050</xdr:rowOff>
                  </from>
                  <to>
                    <xdr:col>12</xdr:col>
                    <xdr:colOff>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925CB0-319D-4CAB-8AD3-44581A494816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FF47A-DF85-4A10-A422-F6A93EB09BC8}">
  <sheetPr codeName="Sheet11"/>
  <dimension ref="A1:L323"/>
  <sheetViews>
    <sheetView workbookViewId="0">
      <selection activeCell="E24" sqref="E24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>
        <v>45261</v>
      </c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55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45991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45992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si="0"/>
        <v>45993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45994</v>
      </c>
      <c r="F26" s="21">
        <v>900</v>
      </c>
      <c r="G26" s="21">
        <v>1700</v>
      </c>
      <c r="H26" s="22">
        <f>SUM(F26-G26+50)/-100</f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0</v>
      </c>
      <c r="L26" s="31"/>
    </row>
    <row r="27" spans="1:12" ht="15.75" thickBot="1">
      <c r="A27" s="28"/>
      <c r="B27" s="1"/>
      <c r="C27" s="1"/>
      <c r="E27" s="20">
        <f t="shared" si="0"/>
        <v>45995</v>
      </c>
      <c r="F27" s="21">
        <v>900</v>
      </c>
      <c r="G27" s="21">
        <v>1700</v>
      </c>
      <c r="H27" s="22">
        <f>SUM(F27-G27+50)/-100</f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45996</v>
      </c>
      <c r="F28" s="21">
        <v>900</v>
      </c>
      <c r="G28" s="21">
        <v>1700</v>
      </c>
      <c r="H28" s="22">
        <f>SUM(F28-G28+50)/-100</f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45997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2">IFERROR(IF(AND(G29&gt;0, H29&gt;0), (IF(H29&lt;G29, H29+1, H29)-G29-TIME(0,30,0))*24, 0),0)</f>
        <v>0</v>
      </c>
      <c r="J29" s="17">
        <f t="shared" si="2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SubmitToPayroll">
                <anchor moveWithCells="1" sizeWithCells="1">
                  <from>
                    <xdr:col>11</xdr:col>
                    <xdr:colOff>19050</xdr:colOff>
                    <xdr:row>31</xdr:row>
                    <xdr:rowOff>38100</xdr:rowOff>
                  </from>
                  <to>
                    <xdr:col>11</xdr:col>
                    <xdr:colOff>2085975</xdr:colOff>
                    <xdr:row>33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FFEB0B-909D-42A9-98F1-F2F3B429669A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17F2-C6B5-4EB6-A757-0663AB84DFF6}">
  <sheetPr codeName="Sheet12"/>
  <dimension ref="A1:L323"/>
  <sheetViews>
    <sheetView workbookViewId="0">
      <selection activeCell="E24" sqref="E24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>
        <v>45659</v>
      </c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55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46019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46020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si="0"/>
        <v>46021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46022</v>
      </c>
      <c r="F26" s="21">
        <v>900</v>
      </c>
      <c r="G26" s="21">
        <v>1700</v>
      </c>
      <c r="H26" s="22">
        <f>SUM(F26-G26+50)/-100</f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0</v>
      </c>
      <c r="L26" s="31"/>
    </row>
    <row r="27" spans="1:12" ht="15.75" thickBot="1">
      <c r="A27" s="28"/>
      <c r="B27" s="1"/>
      <c r="C27" s="1"/>
      <c r="E27" s="20">
        <f t="shared" si="0"/>
        <v>46023</v>
      </c>
      <c r="F27" s="21">
        <v>900</v>
      </c>
      <c r="G27" s="21">
        <v>1700</v>
      </c>
      <c r="H27" s="22">
        <f>SUM(F27-G27+50)/-100</f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46024</v>
      </c>
      <c r="F28" s="21">
        <v>900</v>
      </c>
      <c r="G28" s="21">
        <v>1700</v>
      </c>
      <c r="H28" s="22">
        <f>SUM(F28-G28+50)/-100</f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46025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2">IFERROR(IF(AND(G29&gt;0, H29&gt;0), (IF(H29&lt;G29, H29+1, H29)-G29-TIME(0,30,0))*24, 0),0)</f>
        <v>0</v>
      </c>
      <c r="J29" s="17">
        <f t="shared" si="2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SubmitToPayroll">
                <anchor moveWithCells="1" sizeWithCells="1">
                  <from>
                    <xdr:col>10</xdr:col>
                    <xdr:colOff>1200150</xdr:colOff>
                    <xdr:row>31</xdr:row>
                    <xdr:rowOff>19050</xdr:rowOff>
                  </from>
                  <to>
                    <xdr:col>11</xdr:col>
                    <xdr:colOff>2085975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267CA-D161-4267-867C-089194C7098B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A5D70-06B5-4E1F-9F3D-223C63C6BE25}">
  <sheetPr codeName="Sheet13"/>
  <dimension ref="A1:L323"/>
  <sheetViews>
    <sheetView workbookViewId="0">
      <selection activeCell="E24" sqref="E24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>
        <v>45324</v>
      </c>
      <c r="B3" s="1"/>
      <c r="C3" s="1"/>
      <c r="E3" s="1" t="str">
        <f>Definitions!A5</f>
        <v>Prep</v>
      </c>
      <c r="F3" s="3">
        <f>SUMIF($B$3:B609,"*"&amp;E3&amp;"*",$C$3:C609)</f>
        <v>0</v>
      </c>
    </row>
    <row r="4" spans="1:6" ht="15.75">
      <c r="A4" s="28"/>
      <c r="B4" s="1"/>
      <c r="C4" s="1"/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/>
      <c r="B5" s="1"/>
      <c r="C5" s="1"/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0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0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55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46054</v>
      </c>
      <c r="F23" s="16" t="s">
        <v>50</v>
      </c>
      <c r="G23" s="16" t="s">
        <v>50</v>
      </c>
      <c r="H23" s="17">
        <f>IFERROR(IF(AND(F23&gt;0, G23&gt;0), (IF(G23&lt;F23, G23+1, G23)-F23-TIME(0,30,0))*24, 0),0)</f>
        <v>0</v>
      </c>
      <c r="I23" s="17">
        <f>IFERROR(IF(AND(G23&gt;0, H23&gt;0), (IF(H23&lt;G23, H23+1, H23)-G23-TIME(0,30,0))*24, 0),0)</f>
        <v>0</v>
      </c>
      <c r="J23" s="17">
        <f>IFERROR(IF(AND(H23&gt;0, I23&gt;0), (IF(I23&lt;H23, I23+1, I23)-H23-TIME(0,30,0))*24, 0),0)</f>
        <v>0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 t="shared" ref="E24:E29" si="0">E23+1</f>
        <v>46055</v>
      </c>
      <c r="F24" s="21">
        <v>900</v>
      </c>
      <c r="G24" s="21">
        <v>1700</v>
      </c>
      <c r="H24" s="22">
        <f>SUM(F24-G24+50)/-100</f>
        <v>7.5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0</v>
      </c>
      <c r="L24" s="31"/>
    </row>
    <row r="25" spans="1:12" ht="15.75" thickBot="1">
      <c r="A25" s="28"/>
      <c r="B25" s="1"/>
      <c r="C25" s="1"/>
      <c r="E25" s="20">
        <f t="shared" si="0"/>
        <v>46056</v>
      </c>
      <c r="F25" s="21">
        <v>900</v>
      </c>
      <c r="G25" s="21">
        <v>1700</v>
      </c>
      <c r="H25" s="22">
        <f>SUM(F25-G25+50)/-100</f>
        <v>7.5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0</v>
      </c>
      <c r="L25" s="31"/>
    </row>
    <row r="26" spans="1:12" ht="15.75" thickBot="1">
      <c r="A26" s="28"/>
      <c r="B26" s="1"/>
      <c r="C26" s="1"/>
      <c r="E26" s="20">
        <f t="shared" si="0"/>
        <v>46057</v>
      </c>
      <c r="F26" s="21">
        <v>900</v>
      </c>
      <c r="G26" s="21">
        <v>1700</v>
      </c>
      <c r="H26" s="22">
        <f>SUM(F26-G26+50)/-100</f>
        <v>7.5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0</v>
      </c>
      <c r="L26" s="31"/>
    </row>
    <row r="27" spans="1:12" ht="15.75" thickBot="1">
      <c r="A27" s="28"/>
      <c r="B27" s="1"/>
      <c r="C27" s="1"/>
      <c r="E27" s="20">
        <f t="shared" si="0"/>
        <v>46058</v>
      </c>
      <c r="F27" s="21">
        <v>900</v>
      </c>
      <c r="G27" s="21">
        <v>1700</v>
      </c>
      <c r="H27" s="22">
        <f>SUM(F27-G27+50)/-100</f>
        <v>7.5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46059</v>
      </c>
      <c r="F28" s="21">
        <v>900</v>
      </c>
      <c r="G28" s="21">
        <v>1700</v>
      </c>
      <c r="H28" s="22">
        <f>SUM(F28-G28+50)/-100</f>
        <v>7.5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46060</v>
      </c>
      <c r="F29" s="23" t="s">
        <v>50</v>
      </c>
      <c r="G29" s="24" t="s">
        <v>50</v>
      </c>
      <c r="H29" s="17">
        <f>IFERROR(IF(AND(F29&gt;0, G29&gt;0), (IF(G29&lt;F29, G29+1, G29)-F29-TIME(0,30,0))*24, 0),0)</f>
        <v>0</v>
      </c>
      <c r="I29" s="17">
        <f t="shared" ref="I29:J29" si="2">IFERROR(IF(AND(G29&gt;0, H29&gt;0), (IF(H29&lt;G29, H29+1, H29)-G29-TIME(0,30,0))*24, 0),0)</f>
        <v>0</v>
      </c>
      <c r="J29" s="17">
        <f t="shared" si="2"/>
        <v>0</v>
      </c>
      <c r="K29" s="17">
        <f>IFERROR(IF(AND(H29&gt;0, I29&gt;0), (IF(I29&lt;H29, I29+1, I29)-H29-TIME(0,30,0))*24, 0),0)</f>
        <v>0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37.5</v>
      </c>
      <c r="I30" s="26">
        <f>SUM(I23:I29)</f>
        <v>0</v>
      </c>
      <c r="J30" s="26">
        <f>SUM(J23:J29)</f>
        <v>0</v>
      </c>
      <c r="K30" s="26">
        <f>SUM(K23:K29)</f>
        <v>0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4" r:id="rId4" name="Button 4">
              <controlPr defaultSize="0" print="0" autoFill="0" autoPict="0" macro="[0]!SubmitToPayroll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12</xdr:col>
                    <xdr:colOff>19050</xdr:colOff>
                    <xdr:row>33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4DB788-6BF6-4D07-BA46-C7F2308F22FD}">
          <x14:formula1>
            <xm:f>Definitions!$A$4:$A$19</xm:f>
          </x14:formula1>
          <xm:sqref>B1:B1048576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1456F-B92E-47D4-AF01-BE6337DD88FE}">
  <sheetPr codeName="Sheet14"/>
  <dimension ref="A1:L323"/>
  <sheetViews>
    <sheetView workbookViewId="0">
      <selection activeCell="F27" sqref="F27"/>
    </sheetView>
  </sheetViews>
  <sheetFormatPr defaultRowHeight="15"/>
  <cols>
    <col min="1" max="1" width="15.7109375" style="30" customWidth="1"/>
    <col min="2" max="2" width="28.85546875" customWidth="1"/>
    <col min="3" max="3" width="18.7109375" customWidth="1"/>
    <col min="5" max="5" width="45.5703125" customWidth="1"/>
    <col min="6" max="6" width="15.7109375" customWidth="1"/>
    <col min="7" max="7" width="16.28515625" customWidth="1"/>
    <col min="8" max="10" width="17" customWidth="1"/>
    <col min="11" max="11" width="17.7109375" customWidth="1"/>
    <col min="12" max="12" width="30.7109375" customWidth="1"/>
  </cols>
  <sheetData>
    <row r="1" spans="1:6">
      <c r="A1" s="41" t="s">
        <v>38</v>
      </c>
      <c r="B1" s="41"/>
      <c r="C1" s="41"/>
      <c r="E1" s="42" t="s">
        <v>39</v>
      </c>
      <c r="F1" s="43"/>
    </row>
    <row r="2" spans="1:6" ht="15.75">
      <c r="A2" s="29" t="s">
        <v>40</v>
      </c>
      <c r="B2" s="4" t="s">
        <v>41</v>
      </c>
      <c r="C2" s="4" t="s">
        <v>42</v>
      </c>
      <c r="E2" s="1" t="str">
        <f>Definitions!A4</f>
        <v>Admin outside class hours</v>
      </c>
      <c r="F2" s="3">
        <f>SUMIF($B$3:B608,"*"&amp;E2&amp;"*",$C$3:C608)</f>
        <v>0</v>
      </c>
    </row>
    <row r="3" spans="1:6" ht="15.75">
      <c r="A3" s="28">
        <v>45775</v>
      </c>
      <c r="B3" s="1" t="s">
        <v>20</v>
      </c>
      <c r="C3" s="1">
        <v>7</v>
      </c>
      <c r="E3" s="1" t="str">
        <f>Definitions!A5</f>
        <v>Prep</v>
      </c>
      <c r="F3" s="3">
        <f>SUMIF($B$3:B609,"*"&amp;E3&amp;"*",$C$3:C609)</f>
        <v>0</v>
      </c>
    </row>
    <row r="4" spans="1:6" ht="15.75">
      <c r="A4" s="28">
        <v>45776</v>
      </c>
      <c r="B4" s="1" t="s">
        <v>20</v>
      </c>
      <c r="C4" s="1">
        <v>7</v>
      </c>
      <c r="E4" s="1" t="str">
        <f>Definitions!A6</f>
        <v>Facilitation</v>
      </c>
      <c r="F4" s="3">
        <f>SUMIF($B$3:B610,"*"&amp;E4&amp;"*",$C$3:C610)</f>
        <v>0</v>
      </c>
    </row>
    <row r="5" spans="1:6" ht="15.75">
      <c r="A5" s="28">
        <v>45777</v>
      </c>
      <c r="B5" s="1" t="s">
        <v>20</v>
      </c>
      <c r="C5" s="1">
        <v>7</v>
      </c>
      <c r="E5" s="1" t="str">
        <f>Definitions!A7</f>
        <v>Moderating</v>
      </c>
      <c r="F5" s="3">
        <f>SUMIF($B$3:B611,"*"&amp;E5&amp;"*",$C$3:C611)</f>
        <v>0</v>
      </c>
    </row>
    <row r="6" spans="1:6" ht="15.75">
      <c r="A6" s="28"/>
      <c r="B6" s="1"/>
      <c r="C6" s="1"/>
      <c r="E6" s="1" t="str">
        <f>Definitions!A8</f>
        <v>Nesting</v>
      </c>
      <c r="F6" s="3">
        <f>SUMIF($B$3:B612,"*"&amp;E6&amp;"*",$C$3:C612)</f>
        <v>0</v>
      </c>
    </row>
    <row r="7" spans="1:6" ht="15.75">
      <c r="A7" s="28"/>
      <c r="B7" s="1"/>
      <c r="C7" s="1"/>
      <c r="E7" s="1" t="str">
        <f>Definitions!A9</f>
        <v>Coaching</v>
      </c>
      <c r="F7" s="3">
        <f>SUMIF($B$3:B613,"*"&amp;E7&amp;"*",$C$3:C613)</f>
        <v>0</v>
      </c>
    </row>
    <row r="8" spans="1:6" ht="15.75">
      <c r="A8" s="28"/>
      <c r="B8" s="1"/>
      <c r="C8" s="1"/>
      <c r="E8" s="1" t="str">
        <f>Definitions!A10</f>
        <v>Meetings</v>
      </c>
      <c r="F8" s="3">
        <f>SUMIF($B$3:B614,"*"&amp;E8&amp;"*",$C$3:C614)</f>
        <v>0</v>
      </c>
    </row>
    <row r="9" spans="1:6" ht="15.75">
      <c r="A9" s="28"/>
      <c r="B9" s="1"/>
      <c r="C9" s="1"/>
      <c r="E9" s="1" t="str">
        <f>Definitions!A11</f>
        <v>Material Review</v>
      </c>
      <c r="F9" s="3">
        <f>SUMIF($B$3:B615,"*"&amp;E9&amp;"*",$C$3:C615)</f>
        <v>21</v>
      </c>
    </row>
    <row r="10" spans="1:6" ht="15.75">
      <c r="A10" s="28"/>
      <c r="B10" s="1"/>
      <c r="C10" s="1"/>
      <c r="E10" s="1" t="str">
        <f>Definitions!A12</f>
        <v>Personal Development</v>
      </c>
      <c r="F10" s="3">
        <f>SUMIF($B$3:B616,"*"&amp;E10&amp;"*",$C$3:C616)</f>
        <v>0</v>
      </c>
    </row>
    <row r="11" spans="1:6" ht="15.75">
      <c r="A11" s="28"/>
      <c r="B11" s="1"/>
      <c r="C11" s="1"/>
      <c r="E11" s="1" t="str">
        <f>Definitions!A13</f>
        <v>Scheduled Time Off</v>
      </c>
      <c r="F11" s="3">
        <f>SUMIF($B$3:B617,"*"&amp;E11&amp;"*",$C$3:C617)</f>
        <v>0</v>
      </c>
    </row>
    <row r="12" spans="1:6" ht="15.75">
      <c r="A12" s="28"/>
      <c r="B12" s="1"/>
      <c r="C12" s="1"/>
      <c r="E12" s="1" t="str">
        <f>Definitions!A14</f>
        <v>Unplanned Time Off</v>
      </c>
      <c r="F12" s="3">
        <f>SUMIF($B$3:B618,"*"&amp;E12&amp;"*",$C$3:C618)</f>
        <v>0</v>
      </c>
    </row>
    <row r="13" spans="1:6" ht="15.75">
      <c r="A13" s="28"/>
      <c r="B13" s="1"/>
      <c r="C13" s="1"/>
      <c r="E13" s="1" t="str">
        <f>Definitions!A15</f>
        <v>Special Projects</v>
      </c>
      <c r="F13" s="3">
        <f>SUMIF($B$3:B619,"*"&amp;E13&amp;"*",$C$3:C619)</f>
        <v>0</v>
      </c>
    </row>
    <row r="14" spans="1:6" ht="15.75">
      <c r="A14" s="28"/>
      <c r="B14" s="1"/>
      <c r="C14" s="1"/>
      <c r="E14" s="1" t="str">
        <f>Definitions!A16</f>
        <v>QA Support</v>
      </c>
      <c r="F14" s="3">
        <f>SUMIF($B$3:B620,"*"&amp;E14&amp;"*",$C$3:C620)</f>
        <v>0</v>
      </c>
    </row>
    <row r="15" spans="1:6" ht="15.75">
      <c r="A15" s="28"/>
      <c r="B15" s="1"/>
      <c r="C15" s="1"/>
      <c r="E15" s="1" t="str">
        <f>Definitions!A17</f>
        <v>Production Hours</v>
      </c>
      <c r="F15" s="3">
        <f>SUMIF($B$3:B621,"*"&amp;E15&amp;"*",$C$3:C621)</f>
        <v>0</v>
      </c>
    </row>
    <row r="16" spans="1:6" ht="15.75">
      <c r="A16" s="28"/>
      <c r="B16" s="1"/>
      <c r="C16" s="1"/>
      <c r="E16" s="1" t="str">
        <f>Definitions!A18</f>
        <v>Loan to other department</v>
      </c>
      <c r="F16" s="3">
        <f>SUMIF($B$3:B622,"*"&amp;E16&amp;"*",$C$3:C622)</f>
        <v>0</v>
      </c>
    </row>
    <row r="17" spans="1:12" ht="15.75">
      <c r="A17" s="28"/>
      <c r="B17" s="1"/>
      <c r="C17" s="1"/>
      <c r="E17" s="1" t="str">
        <f>Definitions!A19</f>
        <v>TM Support</v>
      </c>
      <c r="F17" s="3">
        <f>SUMIF($B$3:B623,"*"&amp;E17&amp;"*",$C$3:C623)</f>
        <v>0</v>
      </c>
    </row>
    <row r="18" spans="1:12">
      <c r="A18" s="28"/>
      <c r="B18" s="1"/>
      <c r="C18" s="1"/>
      <c r="E18" s="2" t="s">
        <v>4</v>
      </c>
      <c r="F18" s="2">
        <f>SUM(F2:F17)</f>
        <v>21</v>
      </c>
    </row>
    <row r="19" spans="1:12">
      <c r="A19" s="28"/>
      <c r="B19" s="1"/>
      <c r="C19" s="1"/>
    </row>
    <row r="20" spans="1:12">
      <c r="A20" s="28"/>
      <c r="B20" s="1"/>
      <c r="C20" s="1"/>
    </row>
    <row r="21" spans="1:12" ht="15.75" thickBot="1">
      <c r="A21" s="28"/>
      <c r="B21" s="1"/>
      <c r="C21" s="1"/>
      <c r="E21" s="9" t="s">
        <v>62</v>
      </c>
    </row>
    <row r="22" spans="1:12" ht="14.45" customHeight="1" thickBot="1">
      <c r="A22" s="28"/>
      <c r="B22" s="1"/>
      <c r="C22" s="1"/>
      <c r="E22" s="10" t="s">
        <v>40</v>
      </c>
      <c r="F22" s="11" t="s">
        <v>44</v>
      </c>
      <c r="G22" s="12" t="s">
        <v>45</v>
      </c>
      <c r="H22" s="13" t="s">
        <v>46</v>
      </c>
      <c r="I22" s="11" t="s">
        <v>32</v>
      </c>
      <c r="J22" s="11" t="s">
        <v>47</v>
      </c>
      <c r="K22" s="11" t="s">
        <v>48</v>
      </c>
      <c r="L22" s="14" t="s">
        <v>49</v>
      </c>
    </row>
    <row r="23" spans="1:12" ht="15.75" thickBot="1">
      <c r="A23" s="28"/>
      <c r="B23" s="1"/>
      <c r="C23" s="1"/>
      <c r="E23" s="15">
        <v>45774</v>
      </c>
      <c r="F23" s="16">
        <v>0.375</v>
      </c>
      <c r="G23" s="16">
        <v>0.70833333333333337</v>
      </c>
      <c r="H23" s="17">
        <f>IFERROR(IF(AND(F23&gt;0, G23&gt;0), (IF(G23&lt;F23, G23+1, G23)-F23-TIME(0,30,0))*24, 0),0)</f>
        <v>7.5000000000000018</v>
      </c>
      <c r="I23" s="17">
        <f>IFERROR(IF(AND(G23&gt;0, H23&gt;0), (IF(H23&lt;G23, H23+1, H23)-G23-TIME(0,30,0))*24, 0),0)</f>
        <v>162.50000000000006</v>
      </c>
      <c r="J23" s="17">
        <f>IFERROR(IF(AND(H23&gt;0, I23&gt;0), (IF(I23&lt;H23, I23+1, I23)-H23-TIME(0,30,0))*24, 0),0)</f>
        <v>3719.5000000000009</v>
      </c>
      <c r="K23" s="18">
        <v>0</v>
      </c>
      <c r="L23" s="19" t="s">
        <v>50</v>
      </c>
    </row>
    <row r="24" spans="1:12" ht="15.75" thickBot="1">
      <c r="A24" s="28"/>
      <c r="B24" s="1"/>
      <c r="C24" s="1"/>
      <c r="E24" s="20">
        <f>E23+1</f>
        <v>45775</v>
      </c>
      <c r="F24" s="32">
        <v>0.375</v>
      </c>
      <c r="G24" s="32">
        <v>0.70833333333333337</v>
      </c>
      <c r="H24" s="22">
        <f>SUM(F24-G24+50)/-100</f>
        <v>-0.49666666666666665</v>
      </c>
      <c r="I24" s="22">
        <f>SUMIFS($C$3:$C$1004,$A$3:$A$1004,E24,$B$3:$B$1004,"*"&amp;E15&amp;"*")</f>
        <v>0</v>
      </c>
      <c r="J24" s="22">
        <f>SUMIFS($C$3:$C$1004,$A$3:$A$1004,E24,$B$3:$B$1004,"*"&amp;E14&amp;"*")</f>
        <v>0</v>
      </c>
      <c r="K24" s="22">
        <f>SUMIFS($C$3:$C$1004,$A$3:$A$1004,E24,$B$3:$B$1004,"&lt;&gt;*Production Hours*")-J24</f>
        <v>7</v>
      </c>
      <c r="L24" s="31"/>
    </row>
    <row r="25" spans="1:12" ht="15.75" thickBot="1">
      <c r="A25" s="28"/>
      <c r="B25" s="1"/>
      <c r="C25" s="1"/>
      <c r="E25" s="20">
        <f t="shared" ref="E25:E29" si="0">E24+1</f>
        <v>45776</v>
      </c>
      <c r="F25" s="32">
        <v>0.375</v>
      </c>
      <c r="G25" s="32">
        <v>0.70833333333333337</v>
      </c>
      <c r="H25" s="22">
        <f>SUM(F25-G25+50)/-100</f>
        <v>-0.49666666666666665</v>
      </c>
      <c r="I25" s="22">
        <f>SUMIFS($C$3:$C$1004,$A$3:$A$1004,E25,$B$3:$B$1004,"*"&amp;E15&amp;"*")</f>
        <v>0</v>
      </c>
      <c r="J25" s="22">
        <f>SUMIFS($C$3:$C$1004,$A$3:$A$1004,E25,$B$3:$B$1004,"*"&amp;E14&amp;"*")</f>
        <v>0</v>
      </c>
      <c r="K25" s="22">
        <f>SUMIFS($C$3:$C$1004,$A$3:$A$1004,E25,$B$3:$B$1004,"&lt;&gt;*Production Hours*")-J25</f>
        <v>7</v>
      </c>
      <c r="L25" s="31"/>
    </row>
    <row r="26" spans="1:12" ht="15.75" thickBot="1">
      <c r="A26" s="28"/>
      <c r="B26" s="1"/>
      <c r="C26" s="1"/>
      <c r="E26" s="20">
        <f t="shared" si="0"/>
        <v>45777</v>
      </c>
      <c r="F26" s="32">
        <v>0.375</v>
      </c>
      <c r="G26" s="32">
        <v>0.70833333333333337</v>
      </c>
      <c r="H26" s="22">
        <f>SUM(F26-G26+50)/-100</f>
        <v>-0.49666666666666665</v>
      </c>
      <c r="I26" s="22">
        <f>SUMIFS($C$3:$C$1004,$A$3:$A$1004,E26,$B$3:$B$1004,"*"&amp;E15&amp;"*")</f>
        <v>0</v>
      </c>
      <c r="J26" s="22">
        <f>SUMIFS($C$3:$C$1004,$A$3:$A$1004,E26,$B$3:$B$1004,"*"&amp;E14&amp;"*")</f>
        <v>0</v>
      </c>
      <c r="K26" s="22">
        <f t="shared" ref="K26:K28" si="1">SUMIFS($C$3:$C$1004,$A$3:$A$1004,E26,$B$3:$B$1004,"&lt;&gt;*Production Hours*")-J26</f>
        <v>7</v>
      </c>
      <c r="L26" s="31"/>
    </row>
    <row r="27" spans="1:12" ht="15.75" thickBot="1">
      <c r="A27" s="28"/>
      <c r="B27" s="1"/>
      <c r="C27" s="1"/>
      <c r="E27" s="20">
        <f t="shared" si="0"/>
        <v>45778</v>
      </c>
      <c r="F27" s="21" t="s">
        <v>50</v>
      </c>
      <c r="G27" s="21" t="s">
        <v>50</v>
      </c>
      <c r="H27" s="22">
        <v>0</v>
      </c>
      <c r="I27" s="22">
        <f>SUMIFS($C$3:$C$1004,$A$3:$A$1004,E27,$B$3:$B$1004,"*"&amp;E15&amp;"*")</f>
        <v>0</v>
      </c>
      <c r="J27" s="22">
        <f>SUMIFS($C$3:$C$1004,$A$3:$A$1004,E27,$B$3:$B$1004,"*"&amp;E14&amp;"*")</f>
        <v>0</v>
      </c>
      <c r="K27" s="22">
        <f t="shared" si="1"/>
        <v>0</v>
      </c>
      <c r="L27" s="31"/>
    </row>
    <row r="28" spans="1:12" ht="15.75" thickBot="1">
      <c r="A28" s="28"/>
      <c r="B28" s="1"/>
      <c r="C28" s="1"/>
      <c r="E28" s="20">
        <f t="shared" si="0"/>
        <v>45779</v>
      </c>
      <c r="F28" s="21" t="s">
        <v>50</v>
      </c>
      <c r="G28" s="21" t="s">
        <v>50</v>
      </c>
      <c r="H28" s="22">
        <v>0</v>
      </c>
      <c r="I28" s="22">
        <f>SUMIFS($C$3:$C$1004,$A$3:$A$1004,E28,$B$3:$B$1004,"*"&amp;E15&amp;"*")</f>
        <v>0</v>
      </c>
      <c r="J28" s="22">
        <f>SUMIFS($C$3:$C$1004,$A$3:$A$1004,E28,$B$3:$B$1004,"*"&amp;E14&amp;"*")</f>
        <v>0</v>
      </c>
      <c r="K28" s="22">
        <f t="shared" si="1"/>
        <v>0</v>
      </c>
      <c r="L28" s="31"/>
    </row>
    <row r="29" spans="1:12" ht="15.75" thickBot="1">
      <c r="A29" s="28"/>
      <c r="B29" s="1"/>
      <c r="C29" s="1"/>
      <c r="E29" s="20">
        <f t="shared" si="0"/>
        <v>45780</v>
      </c>
      <c r="F29" s="23">
        <v>0.375</v>
      </c>
      <c r="G29" s="24">
        <v>0.70833333333333337</v>
      </c>
      <c r="H29" s="17">
        <f>IFERROR(IF(AND(F29&gt;0, G29&gt;0), (IF(G29&lt;F29, G29+1, G29)-F29-TIME(0,30,0))*24, 0),0)</f>
        <v>7.5000000000000018</v>
      </c>
      <c r="I29" s="17">
        <f t="shared" ref="I29:J29" si="2">IFERROR(IF(AND(G29&gt;0, H29&gt;0), (IF(H29&lt;G29, H29+1, H29)-G29-TIME(0,30,0))*24, 0),0)</f>
        <v>162.50000000000006</v>
      </c>
      <c r="J29" s="17">
        <f t="shared" si="2"/>
        <v>3719.5000000000009</v>
      </c>
      <c r="K29" s="17">
        <f>IFERROR(IF(AND(H29&gt;0, I29&gt;0), (IF(I29&lt;H29, I29+1, I29)-H29-TIME(0,30,0))*24, 0),0)</f>
        <v>3719.5000000000009</v>
      </c>
      <c r="L29" s="25" t="s">
        <v>50</v>
      </c>
    </row>
    <row r="30" spans="1:12" ht="16.5" thickBot="1">
      <c r="A30" s="28"/>
      <c r="B30" s="1"/>
      <c r="C30" s="1"/>
      <c r="E30" s="44" t="s">
        <v>4</v>
      </c>
      <c r="F30" s="44"/>
      <c r="G30" s="44"/>
      <c r="H30" s="26">
        <f>SUM(H23:H29)</f>
        <v>13.510000000000002</v>
      </c>
      <c r="I30" s="26">
        <f>SUM(I23:I29)</f>
        <v>325.00000000000011</v>
      </c>
      <c r="J30" s="26">
        <f>SUM(J23:J29)</f>
        <v>7439.0000000000018</v>
      </c>
      <c r="K30" s="26">
        <f>SUM(K23:K29)</f>
        <v>3740.5000000000009</v>
      </c>
      <c r="L30" s="27"/>
    </row>
    <row r="31" spans="1:12">
      <c r="A31" s="28"/>
      <c r="B31" s="1"/>
      <c r="C31" s="1"/>
    </row>
    <row r="32" spans="1:12">
      <c r="A32" s="28"/>
      <c r="B32" s="1"/>
      <c r="C32" s="1"/>
      <c r="E32" s="9" t="s">
        <v>51</v>
      </c>
    </row>
    <row r="33" spans="1:5">
      <c r="A33" s="28"/>
      <c r="B33" s="1"/>
      <c r="C33" s="1"/>
      <c r="E33" t="s">
        <v>52</v>
      </c>
    </row>
    <row r="34" spans="1:5">
      <c r="A34" s="28"/>
      <c r="B34" s="1"/>
      <c r="C34" s="1"/>
      <c r="E34" t="s">
        <v>53</v>
      </c>
    </row>
    <row r="35" spans="1:5">
      <c r="A35" s="28"/>
      <c r="B35" s="1"/>
      <c r="C35" s="1"/>
      <c r="E35" t="s">
        <v>54</v>
      </c>
    </row>
    <row r="36" spans="1:5">
      <c r="A36" s="28"/>
      <c r="B36" s="1"/>
      <c r="C36" s="1"/>
    </row>
    <row r="37" spans="1:5">
      <c r="A37" s="28"/>
      <c r="B37" s="1"/>
      <c r="C37" s="1"/>
    </row>
    <row r="38" spans="1:5">
      <c r="A38" s="28"/>
      <c r="B38" s="1"/>
      <c r="C38" s="1"/>
    </row>
    <row r="39" spans="1:5">
      <c r="A39" s="28"/>
      <c r="B39" s="1"/>
      <c r="C39" s="1"/>
    </row>
    <row r="40" spans="1:5">
      <c r="A40" s="28"/>
      <c r="B40" s="1"/>
      <c r="C40" s="1"/>
    </row>
    <row r="41" spans="1:5">
      <c r="A41" s="28"/>
      <c r="B41" s="1"/>
      <c r="C41" s="1"/>
    </row>
    <row r="42" spans="1:5">
      <c r="A42" s="28"/>
      <c r="B42" s="1"/>
      <c r="C42" s="1"/>
    </row>
    <row r="43" spans="1:5">
      <c r="A43" s="28"/>
      <c r="B43" s="1"/>
      <c r="C43" s="1"/>
    </row>
    <row r="44" spans="1:5">
      <c r="A44" s="28"/>
      <c r="B44" s="1"/>
      <c r="C44" s="1"/>
    </row>
    <row r="45" spans="1:5">
      <c r="A45" s="28"/>
      <c r="B45" s="1"/>
      <c r="C45" s="1"/>
    </row>
    <row r="46" spans="1:5">
      <c r="A46" s="28"/>
      <c r="B46" s="1"/>
      <c r="C46" s="1"/>
    </row>
    <row r="47" spans="1:5">
      <c r="A47" s="28"/>
      <c r="B47" s="1"/>
      <c r="C47" s="1"/>
    </row>
    <row r="48" spans="1:5">
      <c r="A48" s="28"/>
      <c r="B48" s="1"/>
      <c r="C48" s="1"/>
    </row>
    <row r="49" spans="1:3">
      <c r="A49" s="28"/>
      <c r="B49" s="1"/>
      <c r="C49" s="1"/>
    </row>
    <row r="50" spans="1:3">
      <c r="A50" s="28"/>
      <c r="B50" s="1"/>
      <c r="C50" s="1"/>
    </row>
    <row r="51" spans="1:3">
      <c r="A51" s="28"/>
      <c r="B51" s="1"/>
      <c r="C51" s="1"/>
    </row>
    <row r="52" spans="1:3">
      <c r="A52" s="28"/>
      <c r="B52" s="1"/>
      <c r="C52" s="1"/>
    </row>
    <row r="53" spans="1:3">
      <c r="A53" s="28"/>
      <c r="B53" s="1"/>
      <c r="C53" s="1"/>
    </row>
    <row r="54" spans="1:3">
      <c r="A54" s="28"/>
      <c r="B54" s="1"/>
      <c r="C54" s="1"/>
    </row>
    <row r="55" spans="1:3">
      <c r="A55" s="28"/>
      <c r="B55" s="1"/>
      <c r="C55" s="1"/>
    </row>
    <row r="56" spans="1:3">
      <c r="A56" s="28"/>
      <c r="B56" s="1"/>
      <c r="C56" s="1"/>
    </row>
    <row r="57" spans="1:3">
      <c r="A57" s="28"/>
      <c r="B57" s="1"/>
      <c r="C57" s="1"/>
    </row>
    <row r="58" spans="1:3">
      <c r="A58" s="28"/>
      <c r="B58" s="1"/>
      <c r="C58" s="1"/>
    </row>
    <row r="59" spans="1:3">
      <c r="A59" s="28"/>
      <c r="B59" s="1"/>
      <c r="C59" s="1"/>
    </row>
    <row r="60" spans="1:3">
      <c r="A60" s="28"/>
      <c r="B60" s="1"/>
      <c r="C60" s="1"/>
    </row>
    <row r="61" spans="1:3">
      <c r="A61" s="28"/>
      <c r="B61" s="1"/>
      <c r="C61" s="1"/>
    </row>
    <row r="62" spans="1:3">
      <c r="A62" s="28"/>
      <c r="B62" s="1"/>
      <c r="C62" s="1"/>
    </row>
    <row r="63" spans="1:3">
      <c r="A63" s="28"/>
      <c r="B63" s="1"/>
      <c r="C63" s="1"/>
    </row>
    <row r="64" spans="1:3">
      <c r="A64" s="28"/>
      <c r="B64" s="1"/>
      <c r="C64" s="1"/>
    </row>
    <row r="65" spans="1:3">
      <c r="A65" s="28"/>
      <c r="B65" s="1"/>
      <c r="C65" s="1"/>
    </row>
    <row r="66" spans="1:3">
      <c r="A66" s="28"/>
      <c r="B66" s="1"/>
      <c r="C66" s="1"/>
    </row>
    <row r="67" spans="1:3">
      <c r="A67" s="28"/>
      <c r="B67" s="1"/>
      <c r="C67" s="1"/>
    </row>
    <row r="68" spans="1:3">
      <c r="A68" s="28"/>
      <c r="B68" s="1"/>
      <c r="C68" s="1"/>
    </row>
    <row r="69" spans="1:3">
      <c r="A69" s="28"/>
      <c r="B69" s="1"/>
      <c r="C69" s="1"/>
    </row>
    <row r="70" spans="1:3">
      <c r="A70" s="28"/>
      <c r="B70" s="1"/>
      <c r="C70" s="1"/>
    </row>
    <row r="71" spans="1:3">
      <c r="A71" s="28"/>
      <c r="B71" s="1"/>
      <c r="C71" s="1"/>
    </row>
    <row r="72" spans="1:3">
      <c r="A72" s="28"/>
      <c r="B72" s="1"/>
      <c r="C72" s="1"/>
    </row>
    <row r="73" spans="1:3">
      <c r="A73" s="28"/>
      <c r="B73" s="1"/>
      <c r="C73" s="1"/>
    </row>
    <row r="74" spans="1:3">
      <c r="A74" s="28"/>
      <c r="B74" s="1"/>
      <c r="C74" s="1"/>
    </row>
    <row r="75" spans="1:3">
      <c r="A75" s="28"/>
      <c r="B75" s="1"/>
      <c r="C75" s="1"/>
    </row>
    <row r="76" spans="1:3">
      <c r="A76" s="28"/>
      <c r="B76" s="1"/>
      <c r="C76" s="1"/>
    </row>
    <row r="77" spans="1:3">
      <c r="A77" s="28"/>
      <c r="B77" s="1"/>
      <c r="C77" s="1"/>
    </row>
    <row r="78" spans="1:3">
      <c r="A78" s="28"/>
      <c r="B78" s="1"/>
      <c r="C78" s="1"/>
    </row>
    <row r="79" spans="1:3">
      <c r="A79" s="28"/>
      <c r="B79" s="1"/>
      <c r="C79" s="1"/>
    </row>
    <row r="80" spans="1:3">
      <c r="A80" s="28"/>
      <c r="B80" s="1"/>
      <c r="C80" s="1"/>
    </row>
    <row r="81" spans="1:3">
      <c r="A81" s="28"/>
      <c r="B81" s="1"/>
      <c r="C81" s="1"/>
    </row>
    <row r="82" spans="1:3">
      <c r="A82" s="28"/>
      <c r="B82" s="1"/>
      <c r="C82" s="1"/>
    </row>
    <row r="83" spans="1:3">
      <c r="A83" s="28"/>
      <c r="B83" s="1"/>
      <c r="C83" s="1"/>
    </row>
    <row r="84" spans="1:3">
      <c r="A84" s="28"/>
      <c r="B84" s="1"/>
      <c r="C84" s="1"/>
    </row>
    <row r="85" spans="1:3">
      <c r="A85" s="28"/>
      <c r="B85" s="1"/>
      <c r="C85" s="1"/>
    </row>
    <row r="86" spans="1:3">
      <c r="A86" s="28"/>
      <c r="B86" s="1"/>
      <c r="C86" s="1"/>
    </row>
    <row r="87" spans="1:3">
      <c r="A87" s="28"/>
      <c r="B87" s="1"/>
      <c r="C87" s="1"/>
    </row>
    <row r="88" spans="1:3">
      <c r="A88" s="28"/>
      <c r="B88" s="1"/>
      <c r="C88" s="1"/>
    </row>
    <row r="89" spans="1:3">
      <c r="A89" s="28"/>
      <c r="B89" s="1"/>
      <c r="C89" s="1"/>
    </row>
    <row r="90" spans="1:3">
      <c r="A90" s="28"/>
      <c r="B90" s="1"/>
      <c r="C90" s="1"/>
    </row>
    <row r="91" spans="1:3">
      <c r="A91" s="28"/>
      <c r="B91" s="1"/>
      <c r="C91" s="1"/>
    </row>
    <row r="92" spans="1:3">
      <c r="A92" s="28"/>
      <c r="B92" s="1"/>
      <c r="C92" s="1"/>
    </row>
    <row r="93" spans="1:3">
      <c r="A93" s="28"/>
      <c r="B93" s="1"/>
      <c r="C93" s="1"/>
    </row>
    <row r="94" spans="1:3">
      <c r="A94" s="28"/>
      <c r="B94" s="1"/>
      <c r="C94" s="1"/>
    </row>
    <row r="95" spans="1:3">
      <c r="A95" s="28"/>
      <c r="B95" s="1"/>
      <c r="C95" s="1"/>
    </row>
    <row r="96" spans="1:3">
      <c r="A96" s="28"/>
      <c r="B96" s="1"/>
      <c r="C96" s="1"/>
    </row>
    <row r="97" spans="1:3">
      <c r="A97" s="28"/>
      <c r="B97" s="1"/>
      <c r="C97" s="1"/>
    </row>
    <row r="98" spans="1:3">
      <c r="A98" s="28"/>
      <c r="B98" s="1"/>
      <c r="C98" s="1"/>
    </row>
    <row r="99" spans="1:3">
      <c r="A99" s="28"/>
      <c r="B99" s="1"/>
      <c r="C99" s="1"/>
    </row>
    <row r="100" spans="1:3">
      <c r="A100" s="28"/>
      <c r="B100" s="1"/>
      <c r="C100" s="1"/>
    </row>
    <row r="101" spans="1:3">
      <c r="A101" s="28"/>
      <c r="B101" s="1"/>
      <c r="C101" s="1"/>
    </row>
    <row r="102" spans="1:3">
      <c r="A102" s="28"/>
      <c r="B102" s="1"/>
      <c r="C102" s="1"/>
    </row>
    <row r="103" spans="1:3">
      <c r="A103" s="28"/>
      <c r="B103" s="1"/>
      <c r="C103" s="1"/>
    </row>
    <row r="104" spans="1:3">
      <c r="A104" s="28"/>
      <c r="B104" s="1"/>
      <c r="C104" s="1"/>
    </row>
    <row r="105" spans="1:3">
      <c r="A105" s="28"/>
      <c r="B105" s="1"/>
      <c r="C105" s="1"/>
    </row>
    <row r="106" spans="1:3">
      <c r="A106" s="28"/>
      <c r="B106" s="1"/>
      <c r="C106" s="1"/>
    </row>
    <row r="107" spans="1:3">
      <c r="A107" s="28"/>
      <c r="B107" s="1"/>
      <c r="C107" s="1"/>
    </row>
    <row r="108" spans="1:3">
      <c r="A108" s="28"/>
      <c r="B108" s="1"/>
      <c r="C108" s="1"/>
    </row>
    <row r="109" spans="1:3">
      <c r="A109" s="28"/>
      <c r="B109" s="1"/>
      <c r="C109" s="1"/>
    </row>
    <row r="110" spans="1:3">
      <c r="A110" s="28"/>
      <c r="B110" s="1"/>
      <c r="C110" s="1"/>
    </row>
    <row r="111" spans="1:3">
      <c r="A111" s="28"/>
      <c r="B111" s="1"/>
      <c r="C111" s="1"/>
    </row>
    <row r="112" spans="1:3">
      <c r="A112" s="28"/>
      <c r="B112" s="1"/>
      <c r="C112" s="1"/>
    </row>
    <row r="113" spans="1:3">
      <c r="A113" s="28"/>
      <c r="B113" s="1"/>
      <c r="C113" s="1"/>
    </row>
    <row r="114" spans="1:3">
      <c r="A114" s="28"/>
      <c r="B114" s="1"/>
      <c r="C114" s="1"/>
    </row>
    <row r="115" spans="1:3">
      <c r="A115" s="28"/>
      <c r="B115" s="1"/>
      <c r="C115" s="1"/>
    </row>
    <row r="116" spans="1:3">
      <c r="A116" s="28"/>
      <c r="B116" s="1"/>
      <c r="C116" s="1"/>
    </row>
    <row r="117" spans="1:3">
      <c r="A117" s="28"/>
      <c r="B117" s="1"/>
      <c r="C117" s="1"/>
    </row>
    <row r="118" spans="1:3">
      <c r="A118" s="28"/>
      <c r="B118" s="1"/>
      <c r="C118" s="1"/>
    </row>
    <row r="119" spans="1:3">
      <c r="A119" s="28"/>
      <c r="B119" s="1"/>
      <c r="C119" s="1"/>
    </row>
    <row r="120" spans="1:3">
      <c r="A120" s="28"/>
      <c r="B120" s="1"/>
      <c r="C120" s="1"/>
    </row>
    <row r="121" spans="1:3">
      <c r="A121" s="28"/>
      <c r="B121" s="1"/>
      <c r="C121" s="1"/>
    </row>
    <row r="122" spans="1:3">
      <c r="A122" s="28"/>
      <c r="B122" s="1"/>
      <c r="C122" s="1"/>
    </row>
    <row r="123" spans="1:3">
      <c r="A123" s="28"/>
      <c r="B123" s="1"/>
      <c r="C123" s="1"/>
    </row>
    <row r="124" spans="1:3">
      <c r="A124" s="28"/>
      <c r="B124" s="1"/>
      <c r="C124" s="1"/>
    </row>
    <row r="125" spans="1:3">
      <c r="A125" s="28"/>
      <c r="B125" s="1"/>
      <c r="C125" s="1"/>
    </row>
    <row r="126" spans="1:3">
      <c r="A126" s="28"/>
      <c r="B126" s="1"/>
      <c r="C126" s="1"/>
    </row>
    <row r="127" spans="1:3">
      <c r="A127" s="28"/>
      <c r="B127" s="1"/>
      <c r="C127" s="1"/>
    </row>
    <row r="128" spans="1:3">
      <c r="A128" s="28"/>
      <c r="B128" s="1"/>
      <c r="C128" s="1"/>
    </row>
    <row r="129" spans="1:3">
      <c r="A129" s="28"/>
      <c r="B129" s="1"/>
      <c r="C129" s="1"/>
    </row>
    <row r="130" spans="1:3">
      <c r="A130" s="28"/>
      <c r="B130" s="1"/>
      <c r="C130" s="1"/>
    </row>
    <row r="131" spans="1:3">
      <c r="A131" s="28"/>
      <c r="B131" s="1"/>
      <c r="C131" s="1"/>
    </row>
    <row r="132" spans="1:3">
      <c r="A132" s="28"/>
      <c r="B132" s="1"/>
      <c r="C132" s="1"/>
    </row>
    <row r="133" spans="1:3">
      <c r="A133" s="28"/>
      <c r="B133" s="1"/>
      <c r="C133" s="1"/>
    </row>
    <row r="134" spans="1:3">
      <c r="A134" s="28"/>
      <c r="B134" s="1"/>
      <c r="C134" s="1"/>
    </row>
    <row r="135" spans="1:3">
      <c r="A135" s="28"/>
      <c r="B135" s="1"/>
      <c r="C135" s="1"/>
    </row>
    <row r="136" spans="1:3">
      <c r="A136" s="28"/>
      <c r="B136" s="1"/>
      <c r="C136" s="1"/>
    </row>
    <row r="137" spans="1:3">
      <c r="A137" s="28"/>
      <c r="B137" s="1"/>
      <c r="C137" s="1"/>
    </row>
    <row r="138" spans="1:3">
      <c r="A138" s="28"/>
      <c r="B138" s="1"/>
      <c r="C138" s="1"/>
    </row>
    <row r="139" spans="1:3">
      <c r="A139" s="28"/>
      <c r="B139" s="1"/>
      <c r="C139" s="1"/>
    </row>
    <row r="140" spans="1:3">
      <c r="A140" s="28"/>
      <c r="B140" s="1"/>
      <c r="C140" s="1"/>
    </row>
    <row r="141" spans="1:3">
      <c r="A141" s="28"/>
      <c r="B141" s="1"/>
      <c r="C141" s="1"/>
    </row>
    <row r="142" spans="1:3">
      <c r="A142" s="28"/>
      <c r="B142" s="1"/>
      <c r="C142" s="1"/>
    </row>
    <row r="143" spans="1:3">
      <c r="A143" s="28"/>
      <c r="B143" s="1"/>
      <c r="C143" s="1"/>
    </row>
    <row r="144" spans="1:3">
      <c r="A144" s="28"/>
      <c r="B144" s="1"/>
      <c r="C144" s="1"/>
    </row>
    <row r="145" spans="1:3">
      <c r="A145" s="28"/>
      <c r="B145" s="1"/>
      <c r="C145" s="1"/>
    </row>
    <row r="146" spans="1:3">
      <c r="A146" s="28"/>
      <c r="B146" s="1"/>
      <c r="C146" s="1"/>
    </row>
    <row r="147" spans="1:3">
      <c r="A147" s="28"/>
      <c r="B147" s="1"/>
      <c r="C147" s="1"/>
    </row>
    <row r="148" spans="1:3">
      <c r="A148" s="28"/>
      <c r="B148" s="1"/>
      <c r="C148" s="1"/>
    </row>
    <row r="149" spans="1:3">
      <c r="A149" s="28"/>
      <c r="B149" s="1"/>
      <c r="C149" s="1"/>
    </row>
    <row r="150" spans="1:3">
      <c r="A150" s="28"/>
      <c r="B150" s="1"/>
      <c r="C150" s="1"/>
    </row>
    <row r="151" spans="1:3">
      <c r="A151" s="28"/>
      <c r="B151" s="1"/>
      <c r="C151" s="1"/>
    </row>
    <row r="152" spans="1:3">
      <c r="A152" s="28"/>
      <c r="B152" s="1"/>
      <c r="C152" s="1"/>
    </row>
    <row r="153" spans="1:3">
      <c r="A153" s="28"/>
      <c r="B153" s="1"/>
      <c r="C153" s="1"/>
    </row>
    <row r="154" spans="1:3">
      <c r="A154" s="28"/>
      <c r="B154" s="1"/>
      <c r="C154" s="1"/>
    </row>
    <row r="155" spans="1:3">
      <c r="A155" s="28"/>
      <c r="B155" s="1"/>
      <c r="C155" s="1"/>
    </row>
    <row r="156" spans="1:3">
      <c r="A156" s="28"/>
      <c r="B156" s="1"/>
      <c r="C156" s="1"/>
    </row>
    <row r="157" spans="1:3">
      <c r="A157" s="28"/>
      <c r="B157" s="1"/>
      <c r="C157" s="1"/>
    </row>
    <row r="158" spans="1:3">
      <c r="A158" s="28"/>
      <c r="B158" s="1"/>
      <c r="C158" s="1"/>
    </row>
    <row r="159" spans="1:3">
      <c r="A159" s="28"/>
      <c r="B159" s="1"/>
      <c r="C159" s="1"/>
    </row>
    <row r="160" spans="1:3">
      <c r="A160" s="28"/>
      <c r="B160" s="1"/>
      <c r="C160" s="1"/>
    </row>
    <row r="161" spans="1:3">
      <c r="A161" s="28"/>
      <c r="B161" s="1"/>
      <c r="C161" s="1"/>
    </row>
    <row r="162" spans="1:3">
      <c r="A162" s="28"/>
      <c r="B162" s="1"/>
      <c r="C162" s="1"/>
    </row>
    <row r="163" spans="1:3">
      <c r="A163" s="28"/>
      <c r="B163" s="1"/>
      <c r="C163" s="1"/>
    </row>
    <row r="164" spans="1:3">
      <c r="A164" s="28"/>
      <c r="B164" s="1"/>
      <c r="C164" s="1"/>
    </row>
    <row r="165" spans="1:3">
      <c r="A165" s="28"/>
      <c r="B165" s="1"/>
      <c r="C165" s="1"/>
    </row>
    <row r="166" spans="1:3">
      <c r="A166" s="28"/>
      <c r="B166" s="1"/>
      <c r="C166" s="1"/>
    </row>
    <row r="167" spans="1:3">
      <c r="A167" s="28"/>
      <c r="B167" s="1"/>
      <c r="C167" s="1"/>
    </row>
    <row r="168" spans="1:3">
      <c r="A168" s="28"/>
      <c r="B168" s="1"/>
      <c r="C168" s="1"/>
    </row>
    <row r="169" spans="1:3">
      <c r="A169" s="28"/>
      <c r="B169" s="1"/>
      <c r="C169" s="1"/>
    </row>
    <row r="170" spans="1:3">
      <c r="A170" s="28"/>
      <c r="B170" s="1"/>
      <c r="C170" s="1"/>
    </row>
    <row r="171" spans="1:3">
      <c r="A171" s="28"/>
      <c r="B171" s="1"/>
      <c r="C171" s="1"/>
    </row>
    <row r="172" spans="1:3">
      <c r="A172" s="28"/>
      <c r="B172" s="1"/>
      <c r="C172" s="1"/>
    </row>
    <row r="173" spans="1:3">
      <c r="A173" s="28"/>
      <c r="B173" s="1"/>
      <c r="C173" s="1"/>
    </row>
    <row r="174" spans="1:3">
      <c r="A174" s="28"/>
      <c r="B174" s="1"/>
      <c r="C174" s="1"/>
    </row>
    <row r="175" spans="1:3">
      <c r="A175" s="28"/>
      <c r="B175" s="1"/>
      <c r="C175" s="1"/>
    </row>
    <row r="176" spans="1:3">
      <c r="A176" s="28"/>
      <c r="B176" s="1"/>
      <c r="C176" s="1"/>
    </row>
    <row r="177" spans="1:3">
      <c r="A177" s="28"/>
      <c r="B177" s="1"/>
      <c r="C177" s="1"/>
    </row>
    <row r="178" spans="1:3">
      <c r="A178" s="28"/>
      <c r="B178" s="1"/>
      <c r="C178" s="1"/>
    </row>
    <row r="179" spans="1:3">
      <c r="A179" s="28"/>
      <c r="B179" s="1"/>
      <c r="C179" s="1"/>
    </row>
    <row r="180" spans="1:3">
      <c r="A180" s="28"/>
      <c r="B180" s="1"/>
      <c r="C180" s="1"/>
    </row>
    <row r="181" spans="1:3">
      <c r="A181" s="28"/>
      <c r="B181" s="1"/>
      <c r="C181" s="1"/>
    </row>
    <row r="182" spans="1:3">
      <c r="A182" s="28"/>
      <c r="B182" s="1"/>
      <c r="C182" s="1"/>
    </row>
    <row r="183" spans="1:3">
      <c r="A183" s="28"/>
      <c r="B183" s="1"/>
      <c r="C183" s="1"/>
    </row>
    <row r="184" spans="1:3">
      <c r="A184" s="28"/>
      <c r="B184" s="1"/>
      <c r="C184" s="1"/>
    </row>
    <row r="185" spans="1:3">
      <c r="A185" s="28"/>
      <c r="B185" s="1"/>
      <c r="C185" s="1"/>
    </row>
    <row r="186" spans="1:3">
      <c r="A186" s="28"/>
      <c r="B186" s="1"/>
      <c r="C186" s="1"/>
    </row>
    <row r="187" spans="1:3">
      <c r="A187" s="28"/>
      <c r="B187" s="1"/>
      <c r="C187" s="1"/>
    </row>
    <row r="188" spans="1:3">
      <c r="A188" s="28"/>
      <c r="B188" s="1"/>
      <c r="C188" s="1"/>
    </row>
    <row r="189" spans="1:3">
      <c r="A189" s="28"/>
      <c r="B189" s="1"/>
      <c r="C189" s="1"/>
    </row>
    <row r="190" spans="1:3">
      <c r="A190" s="28"/>
      <c r="B190" s="1"/>
      <c r="C190" s="1"/>
    </row>
    <row r="191" spans="1:3">
      <c r="A191" s="28"/>
      <c r="B191" s="1"/>
      <c r="C191" s="1"/>
    </row>
    <row r="192" spans="1:3">
      <c r="A192" s="28"/>
      <c r="B192" s="1"/>
      <c r="C192" s="1"/>
    </row>
    <row r="193" spans="1:3">
      <c r="A193" s="28"/>
      <c r="B193" s="1"/>
      <c r="C193" s="1"/>
    </row>
    <row r="194" spans="1:3">
      <c r="A194" s="28"/>
      <c r="B194" s="1"/>
      <c r="C194" s="1"/>
    </row>
    <row r="195" spans="1:3">
      <c r="A195" s="28"/>
      <c r="B195" s="1"/>
      <c r="C195" s="1"/>
    </row>
    <row r="196" spans="1:3">
      <c r="A196" s="28"/>
      <c r="B196" s="1"/>
      <c r="C196" s="1"/>
    </row>
    <row r="197" spans="1:3">
      <c r="A197" s="28"/>
      <c r="B197" s="1"/>
      <c r="C197" s="1"/>
    </row>
    <row r="198" spans="1:3">
      <c r="A198" s="28"/>
      <c r="B198" s="1"/>
      <c r="C198" s="1"/>
    </row>
    <row r="199" spans="1:3">
      <c r="A199" s="28"/>
      <c r="B199" s="1"/>
      <c r="C199" s="1"/>
    </row>
    <row r="200" spans="1:3">
      <c r="A200" s="28"/>
      <c r="B200" s="1"/>
      <c r="C200" s="1"/>
    </row>
    <row r="201" spans="1:3">
      <c r="A201" s="28"/>
      <c r="B201" s="1"/>
      <c r="C201" s="1"/>
    </row>
    <row r="202" spans="1:3">
      <c r="A202" s="28"/>
      <c r="B202" s="1"/>
      <c r="C202" s="1"/>
    </row>
    <row r="203" spans="1:3">
      <c r="A203" s="28"/>
      <c r="B203" s="1"/>
      <c r="C203" s="1"/>
    </row>
    <row r="204" spans="1:3">
      <c r="A204" s="28"/>
      <c r="B204" s="1"/>
      <c r="C204" s="1"/>
    </row>
    <row r="205" spans="1:3">
      <c r="A205" s="28"/>
      <c r="B205" s="1"/>
      <c r="C205" s="1"/>
    </row>
    <row r="206" spans="1:3">
      <c r="A206" s="28"/>
      <c r="B206" s="1"/>
      <c r="C206" s="1"/>
    </row>
    <row r="207" spans="1:3">
      <c r="A207" s="28"/>
      <c r="B207" s="1"/>
      <c r="C207" s="1"/>
    </row>
    <row r="208" spans="1:3">
      <c r="A208" s="28"/>
      <c r="B208" s="1"/>
      <c r="C208" s="1"/>
    </row>
    <row r="209" spans="1:3">
      <c r="A209" s="28"/>
      <c r="B209" s="1"/>
      <c r="C209" s="1"/>
    </row>
    <row r="210" spans="1:3">
      <c r="A210" s="28"/>
      <c r="B210" s="1"/>
      <c r="C210" s="1"/>
    </row>
    <row r="211" spans="1:3">
      <c r="A211" s="28"/>
      <c r="B211" s="1"/>
      <c r="C211" s="1"/>
    </row>
    <row r="212" spans="1:3">
      <c r="A212" s="28"/>
      <c r="B212" s="1"/>
      <c r="C212" s="1"/>
    </row>
    <row r="213" spans="1:3">
      <c r="A213" s="28"/>
      <c r="B213" s="1"/>
      <c r="C213" s="1"/>
    </row>
    <row r="214" spans="1:3">
      <c r="A214" s="28"/>
      <c r="B214" s="1"/>
      <c r="C214" s="1"/>
    </row>
    <row r="215" spans="1:3">
      <c r="A215" s="28"/>
      <c r="B215" s="1"/>
      <c r="C215" s="1"/>
    </row>
    <row r="216" spans="1:3">
      <c r="A216" s="28"/>
      <c r="B216" s="1"/>
      <c r="C216" s="1"/>
    </row>
    <row r="217" spans="1:3">
      <c r="A217" s="28"/>
      <c r="B217" s="1"/>
      <c r="C217" s="1"/>
    </row>
    <row r="218" spans="1:3">
      <c r="A218" s="28"/>
      <c r="B218" s="1"/>
      <c r="C218" s="1"/>
    </row>
    <row r="219" spans="1:3">
      <c r="A219" s="28"/>
      <c r="B219" s="1"/>
      <c r="C219" s="1"/>
    </row>
    <row r="220" spans="1:3">
      <c r="A220" s="28"/>
      <c r="B220" s="1"/>
      <c r="C220" s="1"/>
    </row>
    <row r="221" spans="1:3">
      <c r="A221" s="28"/>
      <c r="B221" s="1"/>
      <c r="C221" s="1"/>
    </row>
    <row r="222" spans="1:3">
      <c r="A222" s="28"/>
      <c r="B222" s="1"/>
      <c r="C222" s="1"/>
    </row>
    <row r="223" spans="1:3">
      <c r="A223" s="28"/>
      <c r="B223" s="1"/>
      <c r="C223" s="1"/>
    </row>
    <row r="224" spans="1:3">
      <c r="A224" s="28"/>
      <c r="B224" s="1"/>
      <c r="C224" s="1"/>
    </row>
    <row r="225" spans="1:3">
      <c r="A225" s="28"/>
      <c r="B225" s="1"/>
      <c r="C225" s="1"/>
    </row>
    <row r="226" spans="1:3">
      <c r="A226" s="28"/>
      <c r="B226" s="1"/>
      <c r="C226" s="1"/>
    </row>
    <row r="227" spans="1:3">
      <c r="A227" s="28"/>
      <c r="B227" s="1"/>
      <c r="C227" s="1"/>
    </row>
    <row r="228" spans="1:3">
      <c r="A228" s="28"/>
      <c r="B228" s="1"/>
      <c r="C228" s="1"/>
    </row>
    <row r="229" spans="1:3">
      <c r="A229" s="28"/>
      <c r="B229" s="1"/>
      <c r="C229" s="1"/>
    </row>
    <row r="230" spans="1:3">
      <c r="A230" s="28"/>
      <c r="B230" s="1"/>
      <c r="C230" s="1"/>
    </row>
    <row r="231" spans="1:3">
      <c r="A231" s="28"/>
      <c r="B231" s="1"/>
      <c r="C231" s="1"/>
    </row>
    <row r="232" spans="1:3">
      <c r="A232" s="28"/>
      <c r="B232" s="1"/>
      <c r="C232" s="1"/>
    </row>
    <row r="233" spans="1:3">
      <c r="A233" s="28"/>
      <c r="B233" s="1"/>
      <c r="C233" s="1"/>
    </row>
    <row r="234" spans="1:3">
      <c r="A234" s="28"/>
      <c r="B234" s="1"/>
      <c r="C234" s="1"/>
    </row>
    <row r="235" spans="1:3">
      <c r="A235" s="28"/>
      <c r="B235" s="1"/>
      <c r="C235" s="1"/>
    </row>
    <row r="236" spans="1:3">
      <c r="A236" s="28"/>
      <c r="B236" s="1"/>
      <c r="C236" s="1"/>
    </row>
    <row r="237" spans="1:3">
      <c r="A237" s="28"/>
      <c r="B237" s="1"/>
      <c r="C237" s="1"/>
    </row>
    <row r="238" spans="1:3">
      <c r="A238" s="28"/>
      <c r="B238" s="1"/>
      <c r="C238" s="1"/>
    </row>
    <row r="239" spans="1:3">
      <c r="A239" s="28"/>
      <c r="B239" s="1"/>
      <c r="C239" s="1"/>
    </row>
    <row r="240" spans="1:3">
      <c r="A240" s="28"/>
      <c r="B240" s="1"/>
      <c r="C240" s="1"/>
    </row>
    <row r="241" spans="1:3">
      <c r="A241" s="28"/>
      <c r="B241" s="1"/>
      <c r="C241" s="1"/>
    </row>
    <row r="242" spans="1:3">
      <c r="A242" s="28"/>
      <c r="B242" s="1"/>
      <c r="C242" s="1"/>
    </row>
    <row r="243" spans="1:3">
      <c r="A243" s="28"/>
      <c r="B243" s="1"/>
      <c r="C243" s="1"/>
    </row>
    <row r="244" spans="1:3">
      <c r="A244" s="28"/>
      <c r="B244" s="1"/>
      <c r="C244" s="1"/>
    </row>
    <row r="245" spans="1:3">
      <c r="A245" s="28"/>
      <c r="B245" s="1"/>
      <c r="C245" s="1"/>
    </row>
    <row r="246" spans="1:3">
      <c r="A246" s="28"/>
      <c r="B246" s="1"/>
      <c r="C246" s="1"/>
    </row>
    <row r="247" spans="1:3">
      <c r="A247" s="28"/>
      <c r="B247" s="1"/>
      <c r="C247" s="1"/>
    </row>
    <row r="248" spans="1:3">
      <c r="A248" s="28"/>
      <c r="B248" s="1"/>
      <c r="C248" s="1"/>
    </row>
    <row r="249" spans="1:3">
      <c r="A249" s="28"/>
      <c r="B249" s="1"/>
      <c r="C249" s="1"/>
    </row>
    <row r="250" spans="1:3">
      <c r="A250" s="28"/>
      <c r="B250" s="1"/>
      <c r="C250" s="1"/>
    </row>
    <row r="251" spans="1:3">
      <c r="A251" s="28"/>
      <c r="B251" s="1"/>
      <c r="C251" s="1"/>
    </row>
    <row r="252" spans="1:3">
      <c r="A252" s="28"/>
      <c r="B252" s="1"/>
      <c r="C252" s="1"/>
    </row>
    <row r="253" spans="1:3">
      <c r="A253" s="28"/>
      <c r="B253" s="1"/>
      <c r="C253" s="1"/>
    </row>
    <row r="254" spans="1:3">
      <c r="A254" s="28"/>
      <c r="B254" s="1"/>
      <c r="C254" s="1"/>
    </row>
    <row r="255" spans="1:3">
      <c r="A255" s="28"/>
      <c r="B255" s="1"/>
      <c r="C255" s="1"/>
    </row>
    <row r="256" spans="1:3">
      <c r="A256" s="28"/>
      <c r="B256" s="1"/>
      <c r="C256" s="1"/>
    </row>
    <row r="257" spans="1:3">
      <c r="A257" s="28"/>
      <c r="B257" s="1"/>
      <c r="C257" s="1"/>
    </row>
    <row r="258" spans="1:3">
      <c r="A258" s="28"/>
      <c r="B258" s="1"/>
      <c r="C258" s="1"/>
    </row>
    <row r="259" spans="1:3">
      <c r="A259" s="28"/>
      <c r="B259" s="1"/>
      <c r="C259" s="1"/>
    </row>
    <row r="260" spans="1:3">
      <c r="A260" s="28"/>
      <c r="B260" s="1"/>
      <c r="C260" s="1"/>
    </row>
    <row r="261" spans="1:3">
      <c r="A261" s="28"/>
      <c r="B261" s="1"/>
      <c r="C261" s="1"/>
    </row>
    <row r="262" spans="1:3">
      <c r="A262" s="28"/>
      <c r="B262" s="1"/>
      <c r="C262" s="1"/>
    </row>
    <row r="263" spans="1:3">
      <c r="A263" s="28"/>
      <c r="B263" s="1"/>
      <c r="C263" s="1"/>
    </row>
    <row r="264" spans="1:3">
      <c r="A264" s="28"/>
      <c r="B264" s="1"/>
      <c r="C264" s="1"/>
    </row>
    <row r="265" spans="1:3">
      <c r="A265" s="28"/>
      <c r="B265" s="1"/>
      <c r="C265" s="1"/>
    </row>
    <row r="266" spans="1:3">
      <c r="A266" s="28"/>
      <c r="B266" s="1"/>
      <c r="C266" s="1"/>
    </row>
    <row r="267" spans="1:3">
      <c r="A267" s="28"/>
      <c r="B267" s="1"/>
      <c r="C267" s="1"/>
    </row>
    <row r="268" spans="1:3">
      <c r="A268" s="28"/>
      <c r="B268" s="1"/>
      <c r="C268" s="1"/>
    </row>
    <row r="269" spans="1:3">
      <c r="A269" s="28"/>
      <c r="B269" s="1"/>
      <c r="C269" s="1"/>
    </row>
    <row r="270" spans="1:3">
      <c r="A270" s="28"/>
      <c r="B270" s="1"/>
      <c r="C270" s="1"/>
    </row>
    <row r="271" spans="1:3">
      <c r="A271" s="28"/>
      <c r="B271" s="1"/>
      <c r="C271" s="1"/>
    </row>
    <row r="272" spans="1:3">
      <c r="A272" s="28"/>
      <c r="B272" s="1"/>
      <c r="C272" s="1"/>
    </row>
    <row r="273" spans="1:3">
      <c r="A273" s="28"/>
      <c r="B273" s="1"/>
      <c r="C273" s="1"/>
    </row>
    <row r="274" spans="1:3">
      <c r="A274" s="28"/>
      <c r="B274" s="1"/>
      <c r="C274" s="1"/>
    </row>
    <row r="275" spans="1:3">
      <c r="A275" s="28"/>
      <c r="B275" s="1"/>
      <c r="C275" s="1"/>
    </row>
    <row r="276" spans="1:3">
      <c r="A276" s="28"/>
      <c r="B276" s="1"/>
      <c r="C276" s="1"/>
    </row>
    <row r="277" spans="1:3">
      <c r="A277" s="28"/>
      <c r="B277" s="1"/>
      <c r="C277" s="1"/>
    </row>
    <row r="278" spans="1:3">
      <c r="A278" s="28"/>
      <c r="B278" s="1"/>
      <c r="C278" s="1"/>
    </row>
    <row r="279" spans="1:3">
      <c r="A279" s="28"/>
      <c r="B279" s="1"/>
      <c r="C279" s="1"/>
    </row>
    <row r="280" spans="1:3">
      <c r="A280" s="28"/>
      <c r="B280" s="1"/>
      <c r="C280" s="1"/>
    </row>
    <row r="281" spans="1:3">
      <c r="A281" s="28"/>
      <c r="B281" s="1"/>
      <c r="C281" s="1"/>
    </row>
    <row r="282" spans="1:3">
      <c r="A282" s="28"/>
      <c r="B282" s="1"/>
      <c r="C282" s="1"/>
    </row>
    <row r="283" spans="1:3">
      <c r="A283" s="28"/>
      <c r="B283" s="1"/>
      <c r="C283" s="1"/>
    </row>
    <row r="284" spans="1:3">
      <c r="A284" s="28"/>
      <c r="B284" s="1"/>
      <c r="C284" s="1"/>
    </row>
    <row r="285" spans="1:3">
      <c r="A285" s="28"/>
      <c r="B285" s="1"/>
      <c r="C285" s="1"/>
    </row>
    <row r="286" spans="1:3">
      <c r="A286" s="28"/>
      <c r="B286" s="1"/>
      <c r="C286" s="1"/>
    </row>
    <row r="287" spans="1:3">
      <c r="A287" s="28"/>
      <c r="B287" s="1"/>
      <c r="C287" s="1"/>
    </row>
    <row r="288" spans="1:3">
      <c r="A288" s="28"/>
      <c r="B288" s="1"/>
      <c r="C288" s="1"/>
    </row>
    <row r="289" spans="1:3">
      <c r="A289" s="28"/>
      <c r="B289" s="1"/>
      <c r="C289" s="1"/>
    </row>
    <row r="290" spans="1:3">
      <c r="A290" s="28"/>
      <c r="B290" s="1"/>
      <c r="C290" s="1"/>
    </row>
    <row r="291" spans="1:3">
      <c r="A291" s="28"/>
      <c r="B291" s="1"/>
      <c r="C291" s="1"/>
    </row>
    <row r="292" spans="1:3">
      <c r="A292" s="28"/>
      <c r="B292" s="1"/>
      <c r="C292" s="1"/>
    </row>
    <row r="293" spans="1:3">
      <c r="A293" s="28"/>
      <c r="B293" s="1"/>
      <c r="C293" s="1"/>
    </row>
    <row r="294" spans="1:3">
      <c r="A294" s="28"/>
      <c r="B294" s="1"/>
      <c r="C294" s="1"/>
    </row>
    <row r="295" spans="1:3">
      <c r="A295" s="28"/>
      <c r="B295" s="1"/>
      <c r="C295" s="1"/>
    </row>
    <row r="296" spans="1:3">
      <c r="A296" s="28"/>
      <c r="B296" s="1"/>
      <c r="C296" s="1"/>
    </row>
    <row r="297" spans="1:3">
      <c r="A297" s="28"/>
      <c r="B297" s="1"/>
      <c r="C297" s="1"/>
    </row>
    <row r="298" spans="1:3">
      <c r="A298" s="28"/>
      <c r="B298" s="1"/>
      <c r="C298" s="1"/>
    </row>
    <row r="299" spans="1:3">
      <c r="A299" s="28"/>
      <c r="B299" s="1"/>
      <c r="C299" s="1"/>
    </row>
    <row r="300" spans="1:3">
      <c r="A300" s="28"/>
      <c r="B300" s="1"/>
      <c r="C300" s="1"/>
    </row>
    <row r="301" spans="1:3">
      <c r="A301" s="28"/>
      <c r="B301" s="1"/>
      <c r="C301" s="1"/>
    </row>
    <row r="302" spans="1:3">
      <c r="A302" s="28"/>
      <c r="B302" s="1"/>
      <c r="C302" s="1"/>
    </row>
    <row r="303" spans="1:3">
      <c r="A303" s="28"/>
      <c r="B303" s="1"/>
      <c r="C303" s="1"/>
    </row>
    <row r="304" spans="1:3">
      <c r="A304" s="28"/>
      <c r="B304" s="1"/>
      <c r="C304" s="1"/>
    </row>
    <row r="305" spans="1:3">
      <c r="A305" s="28"/>
      <c r="B305" s="1"/>
      <c r="C305" s="1"/>
    </row>
    <row r="306" spans="1:3">
      <c r="A306" s="28"/>
      <c r="B306" s="1"/>
      <c r="C306" s="1"/>
    </row>
    <row r="307" spans="1:3">
      <c r="A307" s="28"/>
      <c r="B307" s="1"/>
      <c r="C307" s="1"/>
    </row>
    <row r="308" spans="1:3">
      <c r="A308" s="28"/>
      <c r="B308" s="1"/>
      <c r="C308" s="1"/>
    </row>
    <row r="309" spans="1:3">
      <c r="A309" s="28"/>
      <c r="B309" s="1"/>
      <c r="C309" s="1"/>
    </row>
    <row r="310" spans="1:3">
      <c r="A310" s="28"/>
      <c r="B310" s="1"/>
      <c r="C310" s="1"/>
    </row>
    <row r="311" spans="1:3">
      <c r="A311" s="28"/>
      <c r="B311" s="1"/>
      <c r="C311" s="1"/>
    </row>
    <row r="312" spans="1:3">
      <c r="A312" s="28"/>
      <c r="B312" s="1"/>
      <c r="C312" s="1"/>
    </row>
    <row r="313" spans="1:3">
      <c r="A313" s="28"/>
      <c r="B313" s="1"/>
      <c r="C313" s="1"/>
    </row>
    <row r="314" spans="1:3">
      <c r="A314" s="28"/>
      <c r="B314" s="1"/>
      <c r="C314" s="1"/>
    </row>
    <row r="315" spans="1:3">
      <c r="A315" s="28"/>
      <c r="B315" s="1"/>
      <c r="C315" s="1"/>
    </row>
    <row r="316" spans="1:3">
      <c r="A316" s="28"/>
      <c r="B316" s="1"/>
      <c r="C316" s="1"/>
    </row>
    <row r="317" spans="1:3">
      <c r="A317" s="28"/>
      <c r="B317" s="1"/>
      <c r="C317" s="1"/>
    </row>
    <row r="318" spans="1:3">
      <c r="A318" s="28"/>
      <c r="B318" s="1"/>
      <c r="C318" s="1"/>
    </row>
    <row r="319" spans="1:3">
      <c r="A319" s="28"/>
      <c r="B319" s="1"/>
      <c r="C319" s="1"/>
    </row>
    <row r="320" spans="1:3">
      <c r="A320" s="28"/>
      <c r="B320" s="1"/>
      <c r="C320" s="1"/>
    </row>
    <row r="321" spans="1:3">
      <c r="A321" s="28"/>
      <c r="B321" s="1"/>
      <c r="C321" s="1"/>
    </row>
    <row r="322" spans="1:3">
      <c r="A322" s="28"/>
      <c r="B322" s="1"/>
      <c r="C322" s="1"/>
    </row>
    <row r="323" spans="1:3">
      <c r="A323" s="28"/>
      <c r="B323" s="1"/>
      <c r="C323" s="1"/>
    </row>
  </sheetData>
  <mergeCells count="3">
    <mergeCell ref="A1:C1"/>
    <mergeCell ref="E1:F1"/>
    <mergeCell ref="E30:G30"/>
  </mergeCells>
  <pageMargins left="0.7" right="0.7" top="0.75" bottom="0.75" header="0.3" footer="0.3"/>
  <pageSetup orientation="portrait" r:id="rId1"/>
  <headerFooter>
    <oddFooter>&amp;C_x000D_&amp;1#&amp;"Arial"&amp;8&amp;K2E404D Sensitivity Label: Confidential - All Employees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8" r:id="rId4" name="Button 4">
              <controlPr defaultSize="0" print="0" autoFill="0" autoPict="0" macro="[0]!SubmitToPayroll">
                <anchor moveWithCells="1" sizeWithCells="1">
                  <from>
                    <xdr:col>10</xdr:col>
                    <xdr:colOff>1200150</xdr:colOff>
                    <xdr:row>31</xdr:row>
                    <xdr:rowOff>19050</xdr:rowOff>
                  </from>
                  <to>
                    <xdr:col>11</xdr:col>
                    <xdr:colOff>2076450</xdr:colOff>
                    <xdr:row>33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221951-226B-4B48-AF1C-4E7D8BE20BBE}">
          <x14:formula1>
            <xm:f>Definitions!$A$4:$A$19</xm:f>
          </x14:formula1>
          <xm:sqref>B1:B1048576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9666F9F748F14EA2A3B2C3325797FC" ma:contentTypeVersion="19" ma:contentTypeDescription="Create a new document." ma:contentTypeScope="" ma:versionID="ef80af2a288b3ee53efde554a173d6aa">
  <xsd:schema xmlns:xsd="http://www.w3.org/2001/XMLSchema" xmlns:xs="http://www.w3.org/2001/XMLSchema" xmlns:p="http://schemas.microsoft.com/office/2006/metadata/properties" xmlns:ns2="991690dd-971c-4a57-86ae-f0d4992af2a1" xmlns:ns3="e81dcfd3-bb5b-4c01-b359-5c535f40575b" targetNamespace="http://schemas.microsoft.com/office/2006/metadata/properties" ma:root="true" ma:fieldsID="cd5d67d6d56a9a8941fad055150a0652" ns2:_="" ns3:_="">
    <xsd:import namespace="991690dd-971c-4a57-86ae-f0d4992af2a1"/>
    <xsd:import namespace="e81dcfd3-bb5b-4c01-b359-5c535f4057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SearchProperties" minOccurs="0"/>
                <xsd:element ref="ns2:_Flow_SignoffStatu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1690dd-971c-4a57-86ae-f0d4992af2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4a196de-7409-4f25-b736-a3534a948b9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24" nillable="true" ma:displayName="Sign-off status" ma:internalName="_x0024_Resources_x003a_core_x002c_Signoff_Status">
      <xsd:simpleType>
        <xsd:restriction base="dms:Text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1dcfd3-bb5b-4c01-b359-5c535f40575b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394b43df-a928-4c60-a488-76cbbdd31805}" ma:internalName="TaxCatchAll" ma:showField="CatchAllData" ma:web="e81dcfd3-bb5b-4c01-b359-5c535f40575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81dcfd3-bb5b-4c01-b359-5c535f40575b" xsi:nil="true"/>
    <lcf76f155ced4ddcb4097134ff3c332f xmlns="991690dd-971c-4a57-86ae-f0d4992af2a1">
      <Terms xmlns="http://schemas.microsoft.com/office/infopath/2007/PartnerControls"/>
    </lcf76f155ced4ddcb4097134ff3c332f>
    <_Flow_SignoffStatus xmlns="991690dd-971c-4a57-86ae-f0d4992af2a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2F85DE-D4A8-4642-A6E4-42B1162690A1}"/>
</file>

<file path=customXml/itemProps2.xml><?xml version="1.0" encoding="utf-8"?>
<ds:datastoreItem xmlns:ds="http://schemas.openxmlformats.org/officeDocument/2006/customXml" ds:itemID="{FB8DAF86-0809-4CA7-8331-531082B716D8}"/>
</file>

<file path=customXml/itemProps3.xml><?xml version="1.0" encoding="utf-8"?>
<ds:datastoreItem xmlns:ds="http://schemas.openxmlformats.org/officeDocument/2006/customXml" ds:itemID="{52C2D814-B6C7-4476-BBE3-A55C4362E3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M1S</dc:creator>
  <cp:keywords/>
  <dc:description/>
  <cp:lastModifiedBy>TT Davis</cp:lastModifiedBy>
  <cp:revision/>
  <dcterms:created xsi:type="dcterms:W3CDTF">2022-09-09T18:48:56Z</dcterms:created>
  <dcterms:modified xsi:type="dcterms:W3CDTF">2025-12-09T16:04:52Z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0x010100299666F9F748F14EA2A3B2C3325797FC</vt:lpwstr>
  </property>
  <property fmtid="{D5CDD505-2E9C-101B-9397-08002B2CF9AE}" pid="3" name="MediaServiceImageTags">
    <vt:lpwstr/>
  </property>
  <property fmtid="{D5CDD505-2E9C-101B-9397-08002B2CF9AE}" pid="4" name="MSIP_Label_b7b822c6-60f1-40ed-b70c-b5b27e9a6026_Enabled">
    <vt:lpwstr>true</vt:lpwstr>
  </property>
  <property fmtid="{D5CDD505-2E9C-101B-9397-08002B2CF9AE}" pid="5" name="MSIP_Label_b7b822c6-60f1-40ed-b70c-b5b27e9a6026_SetDate">
    <vt:lpwstr>2024-05-02T12:49:36Z</vt:lpwstr>
  </property>
  <property fmtid="{D5CDD505-2E9C-101B-9397-08002B2CF9AE}" pid="6" name="MSIP_Label_b7b822c6-60f1-40ed-b70c-b5b27e9a6026_Method">
    <vt:lpwstr>Privileged</vt:lpwstr>
  </property>
  <property fmtid="{D5CDD505-2E9C-101B-9397-08002B2CF9AE}" pid="7" name="MSIP_Label_b7b822c6-60f1-40ed-b70c-b5b27e9a6026_Name">
    <vt:lpwstr>Confidential - All Employees</vt:lpwstr>
  </property>
  <property fmtid="{D5CDD505-2E9C-101B-9397-08002B2CF9AE}" pid="8" name="MSIP_Label_b7b822c6-60f1-40ed-b70c-b5b27e9a6026_SiteId">
    <vt:lpwstr>e3cf3c98-a978-465f-8254-9d541eeea73c</vt:lpwstr>
  </property>
  <property fmtid="{D5CDD505-2E9C-101B-9397-08002B2CF9AE}" pid="9" name="MSIP_Label_b7b822c6-60f1-40ed-b70c-b5b27e9a6026_ActionId">
    <vt:lpwstr>7dfa52fe-3dec-4933-a767-aea79c9c5be8</vt:lpwstr>
  </property>
  <property fmtid="{D5CDD505-2E9C-101B-9397-08002B2CF9AE}" pid="10" name="MSIP_Label_b7b822c6-60f1-40ed-b70c-b5b27e9a6026_ContentBits">
    <vt:lpwstr>2</vt:lpwstr>
  </property>
</Properties>
</file>