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harts/chart1.xml" ContentType="application/vnd.openxmlformats-officedocument.drawingml.chart+xml"/>
  <Override PartName="/xl/drawings/drawing12.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3.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4.xml" ContentType="application/vnd.openxmlformats-officedocument.spreadsheetml.comments+xml"/>
  <Override PartName="/xl/drawings/drawing1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07"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bpontt.sharepoint.com/sites/Training/Shared Documents/Training Resources/Progress Reports/Templates and Reference Docs/"/>
    </mc:Choice>
  </mc:AlternateContent>
  <xr:revisionPtr revIDLastSave="5547" documentId="8_{9EB16661-96AC-4FC2-BB4A-E22988D15AF1}" xr6:coauthVersionLast="47" xr6:coauthVersionMax="47" xr10:uidLastSave="{7A54D201-4ED6-446C-A2E1-32F93EAE3074}"/>
  <bookViews>
    <workbookView xWindow="-120" yWindow="-18120" windowWidth="29040" windowHeight="17520" tabRatio="906" firstSheet="11" activeTab="11" xr2:uid="{00000000-000D-0000-FFFF-FFFF00000000}"/>
  </bookViews>
  <sheets>
    <sheet name="READ ME" sheetId="216" r:id="rId1"/>
    <sheet name="Daily Checklist" sheetId="204" state="hidden" r:id="rId2"/>
    <sheet name="Class Summary" sheetId="83" r:id="rId3"/>
    <sheet name="Student Data" sheetId="2" r:id="rId4"/>
    <sheet name="Preprocess SWOT" sheetId="203" state="hidden" r:id="rId5"/>
    <sheet name="Performance" sheetId="201" r:id="rId6"/>
    <sheet name="Attendance" sheetId="3" r:id="rId7"/>
    <sheet name="Perform Tier 2" sheetId="211" state="hidden" r:id="rId8"/>
    <sheet name="Performance RSA" sheetId="212" state="hidden" r:id="rId9"/>
    <sheet name="Preprocess Training Report" sheetId="202" state="hidden" r:id="rId10"/>
    <sheet name="Skill Assessment" sheetId="196" state="hidden" r:id="rId11"/>
    <sheet name="Daily Observation" sheetId="219" r:id="rId12"/>
    <sheet name="PCB Handoff Page - (Non-Sales)" sheetId="199" r:id="rId13"/>
    <sheet name="PCB Nesting QA" sheetId="197" r:id="rId14"/>
    <sheet name="Perf. Mgmnt" sheetId="189" r:id="rId15"/>
    <sheet name="KPI Dashboard" sheetId="215" r:id="rId16"/>
    <sheet name="Nesting Sales" sheetId="190" state="hidden" r:id="rId17"/>
    <sheet name="RSA Fraud Error Summary" sheetId="198" state="hidden" r:id="rId18"/>
    <sheet name="PCB Handoff Page (Sales)" sheetId="200" state="hidden" r:id="rId19"/>
    <sheet name="QBR" sheetId="187" state="hidden" r:id="rId20"/>
    <sheet name="Reporting" sheetId="208" r:id="rId21"/>
    <sheet name="Day 1 WFH Audit" sheetId="210" state="hidden" r:id="rId22"/>
  </sheets>
  <externalReferences>
    <externalReference r:id="rId23"/>
  </externalReferences>
  <definedNames>
    <definedName name="_xlnm._FilterDatabase" localSheetId="20" hidden="1">Reporting!$B$1:$P$2</definedName>
    <definedName name="absencetype">[1]Sheet2!$A$6:$A$8</definedName>
    <definedName name="Docnote">[1]Sheet2!$A$10:$A$12</definedName>
    <definedName name="Legislatedday">[1]Sheet2!$A$1:$A$4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4" i="197" l="1"/>
  <c r="CN7" i="215"/>
  <c r="CN8" i="215"/>
  <c r="CN9" i="215"/>
  <c r="CN10" i="215"/>
  <c r="CN11" i="215"/>
  <c r="CN12" i="215"/>
  <c r="CN13" i="215"/>
  <c r="CN14" i="215"/>
  <c r="CN15" i="215"/>
  <c r="CN16" i="215"/>
  <c r="CN17" i="215"/>
  <c r="CN18" i="215"/>
  <c r="CN19" i="215"/>
  <c r="CN20" i="215"/>
  <c r="CN21" i="215"/>
  <c r="CN22" i="215"/>
  <c r="CN23" i="215"/>
  <c r="P5" i="197"/>
  <c r="CN6" i="215"/>
  <c r="DU4" i="215"/>
  <c r="DW4" i="215"/>
  <c r="DY4" i="215"/>
  <c r="EA4" i="215"/>
  <c r="EC4" i="215"/>
  <c r="EE4" i="215"/>
  <c r="EG4" i="215"/>
  <c r="EI4" i="215"/>
  <c r="EK4" i="215"/>
  <c r="EM4" i="215"/>
  <c r="EO4" i="215"/>
  <c r="EQ4" i="215"/>
  <c r="ES4" i="215"/>
  <c r="EU4" i="215"/>
  <c r="EW4" i="215"/>
  <c r="EY4" i="215"/>
  <c r="FA4" i="215"/>
  <c r="FC4" i="215"/>
  <c r="FE4" i="215"/>
  <c r="FG4" i="215"/>
  <c r="FI4" i="215"/>
  <c r="FK4" i="215"/>
  <c r="FM4" i="215"/>
  <c r="FO4" i="215"/>
  <c r="FQ4" i="215"/>
  <c r="FS4" i="215"/>
  <c r="FU4" i="215"/>
  <c r="FW4" i="215"/>
  <c r="FY4" i="215"/>
  <c r="GA4" i="215"/>
  <c r="CO4" i="215"/>
  <c r="CQ4" i="215"/>
  <c r="CS4" i="215"/>
  <c r="CU4" i="215"/>
  <c r="CW4" i="215"/>
  <c r="CY4" i="215"/>
  <c r="DA4" i="215"/>
  <c r="DC4" i="215"/>
  <c r="DE4" i="215"/>
  <c r="DG4" i="215"/>
  <c r="DI4" i="215"/>
  <c r="DK4" i="215"/>
  <c r="DM4" i="215"/>
  <c r="DO4" i="215"/>
  <c r="DQ4" i="215"/>
  <c r="DS4" i="215"/>
  <c r="CM4" i="215"/>
  <c r="E45" i="219"/>
  <c r="E46" i="219"/>
  <c r="E47" i="219"/>
  <c r="E48" i="219"/>
  <c r="I45" i="219"/>
  <c r="I48" i="219"/>
  <c r="I47" i="219"/>
  <c r="I46" i="219"/>
  <c r="CK7" i="215"/>
  <c r="CK8" i="215"/>
  <c r="CK9" i="215"/>
  <c r="CK10" i="215"/>
  <c r="CK11" i="215"/>
  <c r="CK12" i="215"/>
  <c r="CK13" i="215"/>
  <c r="CK14" i="215"/>
  <c r="CK15" i="215"/>
  <c r="CK16" i="215"/>
  <c r="CK17" i="215"/>
  <c r="CK18" i="215"/>
  <c r="CK19" i="215"/>
  <c r="CK20" i="215"/>
  <c r="CK21" i="215"/>
  <c r="CK22" i="215"/>
  <c r="CK23" i="215"/>
  <c r="CK6" i="215"/>
  <c r="BZ7" i="215"/>
  <c r="BZ8" i="215"/>
  <c r="BZ9" i="215"/>
  <c r="BZ10" i="215"/>
  <c r="BZ11" i="215"/>
  <c r="BZ12" i="215"/>
  <c r="BZ13" i="215"/>
  <c r="BZ14" i="215"/>
  <c r="BZ15" i="215"/>
  <c r="BZ16" i="215"/>
  <c r="BZ17" i="215"/>
  <c r="BZ18" i="215"/>
  <c r="BZ19" i="215"/>
  <c r="BZ20" i="215"/>
  <c r="BZ21" i="215"/>
  <c r="BZ22" i="215"/>
  <c r="BZ23" i="215"/>
  <c r="BZ6" i="215"/>
  <c r="BS7" i="215"/>
  <c r="BS8" i="215"/>
  <c r="BS9" i="215"/>
  <c r="BS10" i="215"/>
  <c r="BS11" i="215"/>
  <c r="BS12" i="215"/>
  <c r="BS13" i="215"/>
  <c r="BS14" i="215"/>
  <c r="BS15" i="215"/>
  <c r="BS16" i="215"/>
  <c r="BS17" i="215"/>
  <c r="BS18" i="215"/>
  <c r="BS19" i="215"/>
  <c r="BS20" i="215"/>
  <c r="BS21" i="215"/>
  <c r="BS22" i="215"/>
  <c r="BS23" i="215"/>
  <c r="BS6" i="215"/>
  <c r="BL7" i="215"/>
  <c r="BL8" i="215"/>
  <c r="BL9" i="215"/>
  <c r="BL10" i="215"/>
  <c r="BL11" i="215"/>
  <c r="BL12" i="215"/>
  <c r="BL13" i="215"/>
  <c r="BL14" i="215"/>
  <c r="BL15" i="215"/>
  <c r="BL16" i="215"/>
  <c r="BL17" i="215"/>
  <c r="BL18" i="215"/>
  <c r="BL19" i="215"/>
  <c r="BL20" i="215"/>
  <c r="BL21" i="215"/>
  <c r="BL22" i="215"/>
  <c r="BL23" i="215"/>
  <c r="BL6" i="215"/>
  <c r="BA7" i="215"/>
  <c r="BA8" i="215"/>
  <c r="BA9" i="215"/>
  <c r="BA10" i="215"/>
  <c r="BA11" i="215"/>
  <c r="BA12" i="215"/>
  <c r="BA13" i="215"/>
  <c r="BA14" i="215"/>
  <c r="BA15" i="215"/>
  <c r="BA16" i="215"/>
  <c r="BA17" i="215"/>
  <c r="BA18" i="215"/>
  <c r="BA19" i="215"/>
  <c r="BA20" i="215"/>
  <c r="BA21" i="215"/>
  <c r="BA22" i="215"/>
  <c r="BA23" i="215"/>
  <c r="BA6" i="215"/>
  <c r="AT7" i="215"/>
  <c r="AT8" i="215"/>
  <c r="AT9" i="215"/>
  <c r="AT10" i="215"/>
  <c r="AT11" i="215"/>
  <c r="AT12" i="215"/>
  <c r="AT13" i="215"/>
  <c r="AT14" i="215"/>
  <c r="AT15" i="215"/>
  <c r="AT16" i="215"/>
  <c r="AT17" i="215"/>
  <c r="AT18" i="215"/>
  <c r="AT19" i="215"/>
  <c r="AT20" i="215"/>
  <c r="AT21" i="215"/>
  <c r="AT22" i="215"/>
  <c r="AT23" i="215"/>
  <c r="AT6" i="215"/>
  <c r="AM7" i="215"/>
  <c r="AM8" i="215"/>
  <c r="AM9" i="215"/>
  <c r="AM10" i="215"/>
  <c r="AM11" i="215"/>
  <c r="AM12" i="215"/>
  <c r="AM13" i="215"/>
  <c r="AM14" i="215"/>
  <c r="AM15" i="215"/>
  <c r="AM16" i="215"/>
  <c r="AM17" i="215"/>
  <c r="AM18" i="215"/>
  <c r="AM19" i="215"/>
  <c r="AM20" i="215"/>
  <c r="AM21" i="215"/>
  <c r="AM22" i="215"/>
  <c r="AM23" i="215"/>
  <c r="AM6" i="215"/>
  <c r="AB7" i="215"/>
  <c r="AB8" i="215"/>
  <c r="AB9" i="215"/>
  <c r="AB10" i="215"/>
  <c r="AB11" i="215"/>
  <c r="AB12" i="215"/>
  <c r="AB13" i="215"/>
  <c r="AB14" i="215"/>
  <c r="AB15" i="215"/>
  <c r="AB16" i="215"/>
  <c r="AB17" i="215"/>
  <c r="AB18" i="215"/>
  <c r="AB19" i="215"/>
  <c r="AB20" i="215"/>
  <c r="AB21" i="215"/>
  <c r="AB22" i="215"/>
  <c r="AB23" i="215"/>
  <c r="AB6" i="215"/>
  <c r="U7" i="215"/>
  <c r="U8" i="215"/>
  <c r="U9" i="215"/>
  <c r="U10" i="215"/>
  <c r="U11" i="215"/>
  <c r="U12" i="215"/>
  <c r="U13" i="215"/>
  <c r="U14" i="215"/>
  <c r="U15" i="215"/>
  <c r="U16" i="215"/>
  <c r="U17" i="215"/>
  <c r="U18" i="215"/>
  <c r="U19" i="215"/>
  <c r="U20" i="215"/>
  <c r="U21" i="215"/>
  <c r="U22" i="215"/>
  <c r="U23" i="215"/>
  <c r="U6" i="215"/>
  <c r="AN6" i="215"/>
  <c r="C48" i="219"/>
  <c r="C47" i="219"/>
  <c r="C46" i="219"/>
  <c r="C45" i="219"/>
  <c r="P6" i="197"/>
  <c r="P7" i="197"/>
  <c r="P8" i="197"/>
  <c r="P9" i="197"/>
  <c r="P10" i="197"/>
  <c r="P11" i="197"/>
  <c r="P12" i="197"/>
  <c r="P13" i="197"/>
  <c r="P14" i="197"/>
  <c r="P15" i="197"/>
  <c r="P16" i="197"/>
  <c r="P17" i="197"/>
  <c r="P18" i="197"/>
  <c r="P19" i="197"/>
  <c r="P20" i="197"/>
  <c r="P21" i="197"/>
  <c r="P22" i="197"/>
  <c r="P23" i="197"/>
  <c r="B5" i="83"/>
  <c r="B6" i="83" s="1"/>
  <c r="B7" i="83" s="1"/>
  <c r="E4" i="83" s="1"/>
  <c r="E5" i="83" s="1"/>
  <c r="E6" i="83" s="1"/>
  <c r="E7" i="83" s="1"/>
  <c r="E8" i="83" s="1"/>
  <c r="E9" i="83" s="1"/>
  <c r="Q5" i="208" a="1"/>
  <c r="Q5" i="208"/>
  <c r="Q6" i="208" a="1"/>
  <c r="Q6" i="208"/>
  <c r="Q7" i="208" a="1"/>
  <c r="Q7" i="208"/>
  <c r="Q8" i="208" a="1"/>
  <c r="Q8" i="208"/>
  <c r="Q9" i="208" a="1"/>
  <c r="Q9" i="208"/>
  <c r="Q10" i="208" a="1"/>
  <c r="Q10" i="208"/>
  <c r="Q11" i="208" a="1"/>
  <c r="Q11" i="208"/>
  <c r="Q12" i="208" a="1"/>
  <c r="Q12" i="208"/>
  <c r="Q13" i="208" a="1"/>
  <c r="Q13" i="208"/>
  <c r="Q14" i="208" a="1"/>
  <c r="Q14" i="208"/>
  <c r="Q15" i="208" a="1"/>
  <c r="Q15" i="208"/>
  <c r="Q16" i="208" a="1"/>
  <c r="Q16" i="208"/>
  <c r="Q17" i="208" a="1"/>
  <c r="Q17" i="208"/>
  <c r="Q18" i="208" a="1"/>
  <c r="Q18" i="208"/>
  <c r="Q19" i="208" a="1"/>
  <c r="Q19" i="208"/>
  <c r="Q20" i="208" a="1"/>
  <c r="Q20" i="208"/>
  <c r="Q21" i="208" a="1"/>
  <c r="Q21" i="208"/>
  <c r="Q22" i="208" a="1"/>
  <c r="Q22" i="208"/>
  <c r="Q23" i="208" a="1"/>
  <c r="Q23" i="208"/>
  <c r="Q24" i="208" a="1"/>
  <c r="Q24" i="208"/>
  <c r="Q25" i="208" a="1"/>
  <c r="Q25" i="208"/>
  <c r="Q26" i="208" a="1"/>
  <c r="Q26" i="208"/>
  <c r="Q27" i="208" a="1"/>
  <c r="Q27" i="208"/>
  <c r="Q28" i="208" a="1"/>
  <c r="Q28" i="208"/>
  <c r="Q29" i="208" a="1"/>
  <c r="Q29" i="208"/>
  <c r="Q30" i="208" a="1"/>
  <c r="Q30" i="208"/>
  <c r="Q4" i="208" a="1"/>
  <c r="Q4" i="208"/>
  <c r="B3" i="208"/>
  <c r="N4" i="208" a="1"/>
  <c r="N4" i="208"/>
  <c r="Q3" i="208"/>
  <c r="J10" i="215"/>
  <c r="K9" i="215"/>
  <c r="T26" i="3"/>
  <c r="T25" i="3"/>
  <c r="BQ22" i="3"/>
  <c r="BQ23" i="3"/>
  <c r="BQ24" i="3"/>
  <c r="BQ25" i="3"/>
  <c r="BQ26" i="3"/>
  <c r="BQ27" i="3"/>
  <c r="BQ28" i="3"/>
  <c r="BQ29" i="3"/>
  <c r="BQ30" i="3"/>
  <c r="BQ31" i="3"/>
  <c r="BQ32" i="3"/>
  <c r="BQ33" i="3"/>
  <c r="BQ34" i="3"/>
  <c r="BQ35" i="3"/>
  <c r="BQ36" i="3"/>
  <c r="BQ37" i="3"/>
  <c r="BQ38" i="3"/>
  <c r="BQ39" i="3"/>
  <c r="BQ40" i="3"/>
  <c r="BQ21" i="3"/>
  <c r="BP22" i="3"/>
  <c r="BP23" i="3"/>
  <c r="BP24" i="3"/>
  <c r="BP25" i="3"/>
  <c r="BP26" i="3"/>
  <c r="BP27" i="3"/>
  <c r="BP28" i="3"/>
  <c r="BP29" i="3"/>
  <c r="BP30" i="3"/>
  <c r="BP31" i="3"/>
  <c r="BP32" i="3"/>
  <c r="BP33" i="3"/>
  <c r="BP34" i="3"/>
  <c r="BP35" i="3"/>
  <c r="BP36" i="3"/>
  <c r="BP37" i="3"/>
  <c r="BP38" i="3"/>
  <c r="BP39" i="3"/>
  <c r="BP40" i="3"/>
  <c r="BP21" i="3"/>
  <c r="BO22" i="3"/>
  <c r="BO23" i="3"/>
  <c r="BO24" i="3"/>
  <c r="BO25" i="3"/>
  <c r="BO26" i="3"/>
  <c r="BO27" i="3"/>
  <c r="BO28" i="3"/>
  <c r="BO29" i="3"/>
  <c r="BO30" i="3"/>
  <c r="BO31" i="3"/>
  <c r="BO32" i="3"/>
  <c r="BO33" i="3"/>
  <c r="BO34" i="3"/>
  <c r="BO35" i="3"/>
  <c r="BO36" i="3"/>
  <c r="BO37" i="3"/>
  <c r="BO38" i="3"/>
  <c r="BO39" i="3"/>
  <c r="BO40" i="3"/>
  <c r="BO21" i="3"/>
  <c r="BB22" i="3"/>
  <c r="BB23" i="3"/>
  <c r="BB24" i="3"/>
  <c r="BB25" i="3"/>
  <c r="BB26" i="3"/>
  <c r="BB27" i="3"/>
  <c r="BB28" i="3"/>
  <c r="BB29" i="3"/>
  <c r="BB30" i="3"/>
  <c r="BB31" i="3"/>
  <c r="BB32" i="3"/>
  <c r="BB33" i="3"/>
  <c r="BB34" i="3"/>
  <c r="BB35" i="3"/>
  <c r="BB36" i="3"/>
  <c r="BB37" i="3"/>
  <c r="BB38" i="3"/>
  <c r="BB39" i="3"/>
  <c r="BB40" i="3"/>
  <c r="BB41" i="3"/>
  <c r="BB21" i="3"/>
  <c r="AU22" i="3"/>
  <c r="AU23" i="3"/>
  <c r="AU24" i="3"/>
  <c r="AU25" i="3"/>
  <c r="AU26" i="3"/>
  <c r="AU27" i="3"/>
  <c r="AU28" i="3"/>
  <c r="AU29" i="3"/>
  <c r="AU30" i="3"/>
  <c r="AU31" i="3"/>
  <c r="AU32" i="3"/>
  <c r="AU33" i="3"/>
  <c r="AU34" i="3"/>
  <c r="AU35" i="3"/>
  <c r="AU36" i="3"/>
  <c r="AU37" i="3"/>
  <c r="AU38" i="3"/>
  <c r="AU39" i="3"/>
  <c r="AU40" i="3"/>
  <c r="AU21" i="3"/>
  <c r="AO21" i="208"/>
  <c r="AO22" i="208"/>
  <c r="AK21" i="208"/>
  <c r="AK22" i="208"/>
  <c r="AG21" i="208"/>
  <c r="AG22" i="208"/>
  <c r="AN22" i="208"/>
  <c r="AM22" i="208"/>
  <c r="AL22" i="208"/>
  <c r="L20" i="3"/>
  <c r="AJ22" i="208"/>
  <c r="AI22" i="208"/>
  <c r="AH22" i="208"/>
  <c r="AF22" i="208"/>
  <c r="AE22" i="208"/>
  <c r="AD22" i="208"/>
  <c r="AC4" i="208"/>
  <c r="AN21" i="3"/>
  <c r="BN22" i="3"/>
  <c r="BN23" i="3"/>
  <c r="BN24" i="3"/>
  <c r="BN25" i="3"/>
  <c r="BN26" i="3"/>
  <c r="BN27" i="3"/>
  <c r="BN28" i="3"/>
  <c r="BN29" i="3"/>
  <c r="BN30" i="3"/>
  <c r="BN31" i="3"/>
  <c r="BN32" i="3"/>
  <c r="BN33" i="3"/>
  <c r="BN34" i="3"/>
  <c r="BN35" i="3"/>
  <c r="BN36" i="3"/>
  <c r="BN37" i="3"/>
  <c r="BN38" i="3"/>
  <c r="BN39" i="3"/>
  <c r="BN40" i="3"/>
  <c r="BN21" i="3"/>
  <c r="BD22" i="3"/>
  <c r="BD23" i="3"/>
  <c r="BD24" i="3"/>
  <c r="BD25" i="3"/>
  <c r="BD26" i="3"/>
  <c r="BD27" i="3"/>
  <c r="BD28" i="3"/>
  <c r="BD29" i="3"/>
  <c r="BD30" i="3"/>
  <c r="BD31" i="3"/>
  <c r="BD32" i="3"/>
  <c r="BD33" i="3"/>
  <c r="BD34" i="3"/>
  <c r="BD35" i="3"/>
  <c r="BD36" i="3"/>
  <c r="BD37" i="3"/>
  <c r="BD38" i="3"/>
  <c r="BD39" i="3"/>
  <c r="BD40" i="3"/>
  <c r="BD21" i="3"/>
  <c r="AN22" i="3"/>
  <c r="AN23" i="3"/>
  <c r="AN24" i="3"/>
  <c r="AN25" i="3"/>
  <c r="AN26" i="3"/>
  <c r="AN27" i="3"/>
  <c r="AN28" i="3"/>
  <c r="AN29" i="3"/>
  <c r="AN30" i="3"/>
  <c r="AN31" i="3"/>
  <c r="AN32" i="3"/>
  <c r="AN33" i="3"/>
  <c r="AN34" i="3"/>
  <c r="AN35" i="3"/>
  <c r="AN36" i="3"/>
  <c r="AN37" i="3"/>
  <c r="AN38" i="3"/>
  <c r="AN39" i="3"/>
  <c r="AN40" i="3"/>
  <c r="AH21" i="3"/>
  <c r="AH40" i="3"/>
  <c r="AH39" i="3"/>
  <c r="AH38" i="3"/>
  <c r="AH37" i="3"/>
  <c r="AH36" i="3"/>
  <c r="AH35" i="3"/>
  <c r="AH34" i="3"/>
  <c r="AH33" i="3"/>
  <c r="AH32" i="3"/>
  <c r="AH31" i="3"/>
  <c r="AH30" i="3"/>
  <c r="AH29" i="3"/>
  <c r="AH28" i="3"/>
  <c r="AH27" i="3"/>
  <c r="AH26" i="3"/>
  <c r="AH25" i="3"/>
  <c r="AH24" i="3"/>
  <c r="AH23" i="3"/>
  <c r="AH22" i="3"/>
  <c r="AA22" i="3"/>
  <c r="AA23" i="3"/>
  <c r="AA24" i="3"/>
  <c r="AA25" i="3"/>
  <c r="BR25" i="3" s="1"/>
  <c r="AA26" i="3"/>
  <c r="BR26" i="3" s="1"/>
  <c r="AA27" i="3"/>
  <c r="AA28" i="3"/>
  <c r="AA29" i="3"/>
  <c r="AA30" i="3"/>
  <c r="AA31" i="3"/>
  <c r="AA32" i="3"/>
  <c r="AA33" i="3"/>
  <c r="AA34" i="3"/>
  <c r="AA35" i="3"/>
  <c r="AA36" i="3"/>
  <c r="AA37" i="3"/>
  <c r="AA38" i="3"/>
  <c r="AA39" i="3"/>
  <c r="AA40" i="3"/>
  <c r="T22" i="3"/>
  <c r="BR22" i="3" s="1"/>
  <c r="T23" i="3"/>
  <c r="BR23" i="3" s="1"/>
  <c r="T24" i="3"/>
  <c r="BR24" i="3" s="1"/>
  <c r="T27" i="3"/>
  <c r="T28" i="3"/>
  <c r="BR28" i="3" s="1"/>
  <c r="T29" i="3"/>
  <c r="BR29" i="3" s="1"/>
  <c r="T30" i="3"/>
  <c r="BR30" i="3" s="1"/>
  <c r="T31" i="3"/>
  <c r="BR31" i="3" s="1"/>
  <c r="T32" i="3"/>
  <c r="BR32" i="3" s="1"/>
  <c r="T33" i="3"/>
  <c r="BR33" i="3" s="1"/>
  <c r="T34" i="3"/>
  <c r="BR34" i="3" s="1"/>
  <c r="T35" i="3"/>
  <c r="BR35" i="3" s="1"/>
  <c r="T36" i="3"/>
  <c r="BR36" i="3" s="1"/>
  <c r="T37" i="3"/>
  <c r="BR37" i="3" s="1"/>
  <c r="T38" i="3"/>
  <c r="BR38" i="3" s="1"/>
  <c r="T39" i="3"/>
  <c r="BR39" i="3" s="1"/>
  <c r="T40" i="3"/>
  <c r="BR40" i="3" s="1"/>
  <c r="AA21" i="3"/>
  <c r="T21" i="3"/>
  <c r="BR21" i="3" s="1"/>
  <c r="G11" i="3"/>
  <c r="C11" i="3"/>
  <c r="G22" i="3"/>
  <c r="G23" i="3"/>
  <c r="G24" i="3"/>
  <c r="G25" i="3"/>
  <c r="G26" i="3"/>
  <c r="G27" i="3"/>
  <c r="G28" i="3"/>
  <c r="G29" i="3"/>
  <c r="G30" i="3"/>
  <c r="G31" i="3"/>
  <c r="G32" i="3"/>
  <c r="G33" i="3"/>
  <c r="G34" i="3"/>
  <c r="G35" i="3"/>
  <c r="G36" i="3"/>
  <c r="G37" i="3"/>
  <c r="G38" i="3"/>
  <c r="G39" i="3"/>
  <c r="G40" i="3"/>
  <c r="F22" i="3"/>
  <c r="F23" i="3"/>
  <c r="F24" i="3"/>
  <c r="F25" i="3"/>
  <c r="F26" i="3"/>
  <c r="F27" i="3"/>
  <c r="F28" i="3"/>
  <c r="F29" i="3"/>
  <c r="F30" i="3"/>
  <c r="F31" i="3"/>
  <c r="F32" i="3"/>
  <c r="F33" i="3"/>
  <c r="F34" i="3"/>
  <c r="F35" i="3"/>
  <c r="F36" i="3"/>
  <c r="F37" i="3"/>
  <c r="F38" i="3"/>
  <c r="F39" i="3"/>
  <c r="F40" i="3"/>
  <c r="E22" i="3"/>
  <c r="E23" i="3"/>
  <c r="E24" i="3"/>
  <c r="E25" i="3"/>
  <c r="E26" i="3"/>
  <c r="E27" i="3"/>
  <c r="E28" i="3"/>
  <c r="E29" i="3"/>
  <c r="E30" i="3"/>
  <c r="E31" i="3"/>
  <c r="E32" i="3"/>
  <c r="E33" i="3"/>
  <c r="E34" i="3"/>
  <c r="E35" i="3"/>
  <c r="E36" i="3"/>
  <c r="E37" i="3"/>
  <c r="E38" i="3"/>
  <c r="E39" i="3"/>
  <c r="E40" i="3"/>
  <c r="D22" i="3"/>
  <c r="D23" i="3"/>
  <c r="D24" i="3"/>
  <c r="D25" i="3"/>
  <c r="D26" i="3"/>
  <c r="D27" i="3"/>
  <c r="D28" i="3"/>
  <c r="D29" i="3"/>
  <c r="D30" i="3"/>
  <c r="D31" i="3"/>
  <c r="D32" i="3"/>
  <c r="D33" i="3"/>
  <c r="D34" i="3"/>
  <c r="D35" i="3"/>
  <c r="D36" i="3"/>
  <c r="D37" i="3"/>
  <c r="D38" i="3"/>
  <c r="D39" i="3"/>
  <c r="D40" i="3"/>
  <c r="C22" i="3"/>
  <c r="C23" i="3"/>
  <c r="C24" i="3"/>
  <c r="C25" i="3"/>
  <c r="C26" i="3"/>
  <c r="C27" i="3"/>
  <c r="C28" i="3"/>
  <c r="C29" i="3"/>
  <c r="C30" i="3"/>
  <c r="C31" i="3"/>
  <c r="C32" i="3"/>
  <c r="C33" i="3"/>
  <c r="C34" i="3"/>
  <c r="C35" i="3"/>
  <c r="C36" i="3"/>
  <c r="C37" i="3"/>
  <c r="C38" i="3"/>
  <c r="C39" i="3"/>
  <c r="C40" i="3"/>
  <c r="B22" i="3"/>
  <c r="B23" i="3"/>
  <c r="B24" i="3"/>
  <c r="B25" i="3"/>
  <c r="B26" i="3"/>
  <c r="B27" i="3"/>
  <c r="B28" i="3"/>
  <c r="B29" i="3"/>
  <c r="B30" i="3"/>
  <c r="B31" i="3"/>
  <c r="B32" i="3"/>
  <c r="B33" i="3"/>
  <c r="B34" i="3"/>
  <c r="B35" i="3"/>
  <c r="B36" i="3"/>
  <c r="B37" i="3"/>
  <c r="B38" i="3"/>
  <c r="B39" i="3"/>
  <c r="B40" i="3"/>
  <c r="R6" i="197"/>
  <c r="H45" i="201"/>
  <c r="CI3" i="208"/>
  <c r="AN5" i="208"/>
  <c r="AN6" i="208"/>
  <c r="AN7" i="208"/>
  <c r="AN8" i="208"/>
  <c r="AN9" i="208"/>
  <c r="AN10" i="208"/>
  <c r="AN11" i="208"/>
  <c r="AN12" i="208"/>
  <c r="AN13" i="208"/>
  <c r="AN14" i="208"/>
  <c r="AN15" i="208"/>
  <c r="AN16" i="208"/>
  <c r="AN17" i="208"/>
  <c r="AN18" i="208"/>
  <c r="AN19" i="208"/>
  <c r="AN20" i="208"/>
  <c r="AN21" i="208"/>
  <c r="AN4" i="208"/>
  <c r="AN3" i="208" s="1"/>
  <c r="AM5" i="208"/>
  <c r="AM4" i="208"/>
  <c r="AM6" i="208"/>
  <c r="AM7" i="208"/>
  <c r="AM8" i="208"/>
  <c r="AM9" i="208"/>
  <c r="AM10" i="208"/>
  <c r="AM11" i="208"/>
  <c r="AM12" i="208"/>
  <c r="AM13" i="208"/>
  <c r="AM14" i="208"/>
  <c r="AM15" i="208"/>
  <c r="AM16" i="208"/>
  <c r="AM17" i="208"/>
  <c r="AM18" i="208"/>
  <c r="AM19" i="208"/>
  <c r="AM20" i="208"/>
  <c r="AM21" i="208"/>
  <c r="AF4" i="208"/>
  <c r="AE4" i="208"/>
  <c r="AJ4" i="208"/>
  <c r="AI4" i="208"/>
  <c r="AF6" i="208"/>
  <c r="AF7" i="208"/>
  <c r="AF8" i="208"/>
  <c r="AF9" i="208"/>
  <c r="AF10" i="208"/>
  <c r="AF11" i="208"/>
  <c r="AF12" i="208"/>
  <c r="AF13" i="208"/>
  <c r="AF14" i="208"/>
  <c r="AF15" i="208"/>
  <c r="AF16" i="208"/>
  <c r="AF17" i="208"/>
  <c r="AF18" i="208"/>
  <c r="AF19" i="208"/>
  <c r="AF20" i="208"/>
  <c r="AF21" i="208"/>
  <c r="AF5" i="208"/>
  <c r="AE6" i="208"/>
  <c r="AE7" i="208"/>
  <c r="AE8" i="208"/>
  <c r="AE9" i="208"/>
  <c r="AE10" i="208"/>
  <c r="AE11" i="208"/>
  <c r="AE12" i="208"/>
  <c r="AE13" i="208"/>
  <c r="AE14" i="208"/>
  <c r="AE15" i="208"/>
  <c r="AE16" i="208"/>
  <c r="AE17" i="208"/>
  <c r="AE18" i="208"/>
  <c r="AE19" i="208"/>
  <c r="AE20" i="208"/>
  <c r="AE21" i="208"/>
  <c r="AE5" i="208"/>
  <c r="AD5" i="208"/>
  <c r="AJ6" i="208"/>
  <c r="AJ7" i="208"/>
  <c r="AJ8" i="208"/>
  <c r="AJ9" i="208"/>
  <c r="AJ10" i="208"/>
  <c r="AJ11" i="208"/>
  <c r="AJ12" i="208"/>
  <c r="AJ13" i="208"/>
  <c r="AJ14" i="208"/>
  <c r="AJ15" i="208"/>
  <c r="AJ16" i="208"/>
  <c r="AJ17" i="208"/>
  <c r="AJ18" i="208"/>
  <c r="AJ19" i="208"/>
  <c r="AJ20" i="208"/>
  <c r="AJ21" i="208"/>
  <c r="AJ5" i="208"/>
  <c r="AI6" i="208"/>
  <c r="AI7" i="208"/>
  <c r="AI8" i="208"/>
  <c r="AI9" i="208"/>
  <c r="AI10" i="208"/>
  <c r="AI11" i="208"/>
  <c r="AI12" i="208"/>
  <c r="AI13" i="208"/>
  <c r="AI14" i="208"/>
  <c r="AI15" i="208"/>
  <c r="AI16" i="208"/>
  <c r="AI17" i="208"/>
  <c r="AI18" i="208"/>
  <c r="AI19" i="208"/>
  <c r="AI20" i="208"/>
  <c r="AI21" i="208"/>
  <c r="AI5" i="208"/>
  <c r="J5" i="208" a="1"/>
  <c r="J5" i="208" s="1"/>
  <c r="J6" i="208" a="1"/>
  <c r="J6" i="208" s="1"/>
  <c r="J7" i="208" a="1"/>
  <c r="J7" i="208" s="1"/>
  <c r="J8" i="208" a="1"/>
  <c r="J8" i="208" s="1"/>
  <c r="J9" i="208" a="1"/>
  <c r="J9" i="208" s="1"/>
  <c r="J10" i="208" a="1"/>
  <c r="J10" i="208" s="1"/>
  <c r="J11" i="208" a="1"/>
  <c r="J11" i="208" s="1"/>
  <c r="J12" i="208" a="1"/>
  <c r="J12" i="208" s="1"/>
  <c r="J13" i="208" a="1"/>
  <c r="J13" i="208" s="1"/>
  <c r="J14" i="208" a="1"/>
  <c r="J14" i="208" s="1"/>
  <c r="J15" i="208" a="1"/>
  <c r="J15" i="208" s="1"/>
  <c r="J16" i="208" a="1"/>
  <c r="J16" i="208" s="1"/>
  <c r="J17" i="208" a="1"/>
  <c r="J17" i="208" s="1"/>
  <c r="J18" i="208" a="1"/>
  <c r="J18" i="208" s="1"/>
  <c r="J19" i="208" a="1"/>
  <c r="J19" i="208" s="1"/>
  <c r="J20" i="208" a="1"/>
  <c r="J20" i="208" s="1"/>
  <c r="J21" i="208" a="1"/>
  <c r="J21" i="208"/>
  <c r="J22" i="208" a="1"/>
  <c r="J22" i="208"/>
  <c r="J4" i="208" a="1"/>
  <c r="J4" i="208" s="1"/>
  <c r="BY3" i="208"/>
  <c r="C45" i="2"/>
  <c r="BX3" i="208" s="1"/>
  <c r="BU3" i="208"/>
  <c r="BT3" i="208"/>
  <c r="BR3" i="208"/>
  <c r="D3" i="208"/>
  <c r="A8" i="3"/>
  <c r="A7" i="3"/>
  <c r="A6" i="3"/>
  <c r="C5" i="3"/>
  <c r="BV3" i="208" s="1"/>
  <c r="N6" i="199"/>
  <c r="N7" i="199"/>
  <c r="N8" i="199"/>
  <c r="N9" i="199"/>
  <c r="N10" i="199"/>
  <c r="N11" i="199"/>
  <c r="N12" i="199"/>
  <c r="N13" i="199"/>
  <c r="N14" i="199"/>
  <c r="N15" i="199"/>
  <c r="N16" i="199"/>
  <c r="N17" i="199"/>
  <c r="N18" i="199"/>
  <c r="N19" i="199"/>
  <c r="N20" i="199"/>
  <c r="N21" i="199"/>
  <c r="N22" i="199"/>
  <c r="N23" i="199"/>
  <c r="M6" i="199"/>
  <c r="M7" i="199"/>
  <c r="M8" i="199"/>
  <c r="M9" i="199"/>
  <c r="M10" i="199"/>
  <c r="M11" i="199"/>
  <c r="M12" i="199"/>
  <c r="M13" i="199"/>
  <c r="M14" i="199"/>
  <c r="M15" i="199"/>
  <c r="M16" i="199"/>
  <c r="M17" i="199"/>
  <c r="M18" i="199"/>
  <c r="M19" i="199"/>
  <c r="M20" i="199"/>
  <c r="M21" i="199"/>
  <c r="M22" i="199"/>
  <c r="M23" i="199"/>
  <c r="L6" i="199"/>
  <c r="L7" i="199"/>
  <c r="L8" i="199"/>
  <c r="L9" i="199"/>
  <c r="L10" i="199"/>
  <c r="L11" i="199"/>
  <c r="L12" i="199"/>
  <c r="L13" i="199"/>
  <c r="L14" i="199"/>
  <c r="L15" i="199"/>
  <c r="L16" i="199"/>
  <c r="L17" i="199"/>
  <c r="L18" i="199"/>
  <c r="L19" i="199"/>
  <c r="L20" i="199"/>
  <c r="L21" i="199"/>
  <c r="L22" i="199"/>
  <c r="L23" i="199"/>
  <c r="K6" i="199"/>
  <c r="K7" i="199"/>
  <c r="K8" i="199"/>
  <c r="K9" i="199"/>
  <c r="K10" i="199"/>
  <c r="K11" i="199"/>
  <c r="K12" i="199"/>
  <c r="K13" i="199"/>
  <c r="K14" i="199"/>
  <c r="K15" i="199"/>
  <c r="K16" i="199"/>
  <c r="K17" i="199"/>
  <c r="K18" i="199"/>
  <c r="K19" i="199"/>
  <c r="K20" i="199"/>
  <c r="K21" i="199"/>
  <c r="K22" i="199"/>
  <c r="K23" i="199"/>
  <c r="J6" i="199"/>
  <c r="J7" i="199"/>
  <c r="J8" i="199"/>
  <c r="J9" i="199"/>
  <c r="J10" i="199"/>
  <c r="J11" i="199"/>
  <c r="J12" i="199"/>
  <c r="J13" i="199"/>
  <c r="J14" i="199"/>
  <c r="J15" i="199"/>
  <c r="J16" i="199"/>
  <c r="J17" i="199"/>
  <c r="J18" i="199"/>
  <c r="J19" i="199"/>
  <c r="J20" i="199"/>
  <c r="J21" i="199"/>
  <c r="J22" i="199"/>
  <c r="J23" i="199"/>
  <c r="I6" i="199"/>
  <c r="I7" i="199"/>
  <c r="I8" i="199"/>
  <c r="I9" i="199"/>
  <c r="I10" i="199"/>
  <c r="I11" i="199"/>
  <c r="I12" i="199"/>
  <c r="I13" i="199"/>
  <c r="I14" i="199"/>
  <c r="I15" i="199"/>
  <c r="I16" i="199"/>
  <c r="I17" i="199"/>
  <c r="I18" i="199"/>
  <c r="I19" i="199"/>
  <c r="I20" i="199"/>
  <c r="I21" i="199"/>
  <c r="I22" i="199"/>
  <c r="I23" i="199"/>
  <c r="H6" i="199"/>
  <c r="H7" i="199"/>
  <c r="H8" i="199"/>
  <c r="H9" i="199"/>
  <c r="H10" i="199"/>
  <c r="H11" i="199"/>
  <c r="H12" i="199"/>
  <c r="H13" i="199"/>
  <c r="H14" i="199"/>
  <c r="H15" i="199"/>
  <c r="H16" i="199"/>
  <c r="H17" i="199"/>
  <c r="H18" i="199"/>
  <c r="H19" i="199"/>
  <c r="H20" i="199"/>
  <c r="H21" i="199"/>
  <c r="H22" i="199"/>
  <c r="H23" i="199"/>
  <c r="G6" i="199"/>
  <c r="G7" i="199"/>
  <c r="G8" i="199"/>
  <c r="G9" i="199"/>
  <c r="G10" i="199"/>
  <c r="G11" i="199"/>
  <c r="G12" i="199"/>
  <c r="G13" i="199"/>
  <c r="G14" i="199"/>
  <c r="G15" i="199"/>
  <c r="G16" i="199"/>
  <c r="G17" i="199"/>
  <c r="G18" i="199"/>
  <c r="G19" i="199"/>
  <c r="G20" i="199"/>
  <c r="G21" i="199"/>
  <c r="G22" i="199"/>
  <c r="G23" i="199"/>
  <c r="F6" i="199"/>
  <c r="F7" i="199"/>
  <c r="F8" i="199"/>
  <c r="F9" i="199"/>
  <c r="F10" i="199"/>
  <c r="F11" i="199"/>
  <c r="F12" i="199"/>
  <c r="F13" i="199"/>
  <c r="F14" i="199"/>
  <c r="F15" i="199"/>
  <c r="F16" i="199"/>
  <c r="F17" i="199"/>
  <c r="F18" i="199"/>
  <c r="F19" i="199"/>
  <c r="F20" i="199"/>
  <c r="F21" i="199"/>
  <c r="F22" i="199"/>
  <c r="F23" i="199"/>
  <c r="E6" i="199"/>
  <c r="E7" i="199"/>
  <c r="E8" i="199"/>
  <c r="E9" i="199"/>
  <c r="E10" i="199"/>
  <c r="E11" i="199"/>
  <c r="E12" i="199"/>
  <c r="E13" i="199"/>
  <c r="E14" i="199"/>
  <c r="E15" i="199"/>
  <c r="E16" i="199"/>
  <c r="E17" i="199"/>
  <c r="E18" i="199"/>
  <c r="E19" i="199"/>
  <c r="E20" i="199"/>
  <c r="E21" i="199"/>
  <c r="E22" i="199"/>
  <c r="E23" i="199"/>
  <c r="D6" i="199"/>
  <c r="D7" i="199"/>
  <c r="D8" i="199"/>
  <c r="D9" i="199"/>
  <c r="D10" i="199"/>
  <c r="D11" i="199"/>
  <c r="D12" i="199"/>
  <c r="D13" i="199"/>
  <c r="D14" i="199"/>
  <c r="D15" i="199"/>
  <c r="D16" i="199"/>
  <c r="D17" i="199"/>
  <c r="D18" i="199"/>
  <c r="D19" i="199"/>
  <c r="D20" i="199"/>
  <c r="D21" i="199"/>
  <c r="D22" i="199"/>
  <c r="D23" i="199"/>
  <c r="C6" i="199"/>
  <c r="C7" i="199"/>
  <c r="C8" i="199"/>
  <c r="C9" i="199"/>
  <c r="C10" i="199"/>
  <c r="C11" i="199"/>
  <c r="C12" i="199"/>
  <c r="C13" i="199"/>
  <c r="C14" i="199"/>
  <c r="C15" i="199"/>
  <c r="C16" i="199"/>
  <c r="C17" i="199"/>
  <c r="C18" i="199"/>
  <c r="C19" i="199"/>
  <c r="C20" i="199"/>
  <c r="C21" i="199"/>
  <c r="C22" i="199"/>
  <c r="C23" i="199"/>
  <c r="D5" i="199"/>
  <c r="E5" i="199"/>
  <c r="F5" i="199"/>
  <c r="G5" i="199"/>
  <c r="H5" i="199"/>
  <c r="I5" i="199"/>
  <c r="J5" i="199"/>
  <c r="K5" i="199"/>
  <c r="L5" i="199"/>
  <c r="M5" i="199"/>
  <c r="N5" i="199"/>
  <c r="AC5" i="208"/>
  <c r="AC6" i="208"/>
  <c r="AC7" i="208"/>
  <c r="AC8" i="208"/>
  <c r="AC9" i="208"/>
  <c r="AC10" i="208"/>
  <c r="AC11" i="208"/>
  <c r="AC12" i="208"/>
  <c r="AC13" i="208"/>
  <c r="AC14" i="208"/>
  <c r="AC15" i="208"/>
  <c r="AC16" i="208"/>
  <c r="AC17" i="208"/>
  <c r="AC18" i="208"/>
  <c r="AC19" i="208"/>
  <c r="AC20" i="208"/>
  <c r="AC21" i="208"/>
  <c r="AC22" i="208"/>
  <c r="AB5" i="208"/>
  <c r="AB6" i="208"/>
  <c r="AB7" i="208"/>
  <c r="AB8" i="208"/>
  <c r="AB9" i="208"/>
  <c r="AB10" i="208"/>
  <c r="AB11" i="208"/>
  <c r="AB12" i="208"/>
  <c r="AB13" i="208"/>
  <c r="AB14" i="208"/>
  <c r="AB15" i="208"/>
  <c r="AB16" i="208"/>
  <c r="AB17" i="208"/>
  <c r="AB18" i="208"/>
  <c r="AB19" i="208"/>
  <c r="AB20" i="208"/>
  <c r="AB21" i="208"/>
  <c r="AB22" i="208"/>
  <c r="AB4" i="208"/>
  <c r="AA5" i="208"/>
  <c r="AA6" i="208"/>
  <c r="AA7" i="208"/>
  <c r="AA8" i="208"/>
  <c r="AA9" i="208"/>
  <c r="AA10" i="208"/>
  <c r="AA11" i="208"/>
  <c r="AA12" i="208"/>
  <c r="AA13" i="208"/>
  <c r="AA14" i="208"/>
  <c r="AA15" i="208"/>
  <c r="AA16" i="208"/>
  <c r="AA17" i="208"/>
  <c r="AA18" i="208"/>
  <c r="AA19" i="208"/>
  <c r="AA20" i="208"/>
  <c r="AA21" i="208"/>
  <c r="AA22" i="208"/>
  <c r="AA4" i="208"/>
  <c r="Z5" i="208"/>
  <c r="Z6" i="208"/>
  <c r="Z7" i="208"/>
  <c r="Z8" i="208"/>
  <c r="Z9" i="208"/>
  <c r="Z10" i="208"/>
  <c r="Z11" i="208"/>
  <c r="Z12" i="208"/>
  <c r="Z13" i="208"/>
  <c r="Z14" i="208"/>
  <c r="Z15" i="208"/>
  <c r="Z16" i="208"/>
  <c r="Z17" i="208"/>
  <c r="Z18" i="208"/>
  <c r="Z19" i="208"/>
  <c r="Z20" i="208"/>
  <c r="Z21" i="208"/>
  <c r="Z22" i="208"/>
  <c r="Z4" i="208"/>
  <c r="Y5" i="208"/>
  <c r="Y6" i="208"/>
  <c r="Y7" i="208"/>
  <c r="Y8" i="208"/>
  <c r="Y9" i="208"/>
  <c r="Y10" i="208"/>
  <c r="Y11" i="208"/>
  <c r="Y12" i="208"/>
  <c r="Y13" i="208"/>
  <c r="Y14" i="208"/>
  <c r="Y15" i="208"/>
  <c r="Y16" i="208"/>
  <c r="Y17" i="208"/>
  <c r="Y18" i="208"/>
  <c r="Y19" i="208"/>
  <c r="Y20" i="208"/>
  <c r="Y21" i="208"/>
  <c r="Y22" i="208"/>
  <c r="Y4" i="208"/>
  <c r="X5" i="208"/>
  <c r="X6" i="208"/>
  <c r="X7" i="208"/>
  <c r="X8" i="208"/>
  <c r="X9" i="208"/>
  <c r="X10" i="208"/>
  <c r="X11" i="208"/>
  <c r="X12" i="208"/>
  <c r="X13" i="208"/>
  <c r="X14" i="208"/>
  <c r="X15" i="208"/>
  <c r="X16" i="208"/>
  <c r="X17" i="208"/>
  <c r="X18" i="208"/>
  <c r="X19" i="208"/>
  <c r="X20" i="208"/>
  <c r="X21" i="208"/>
  <c r="X22" i="208"/>
  <c r="X4" i="208"/>
  <c r="W5" i="208"/>
  <c r="W6" i="208"/>
  <c r="W7" i="208"/>
  <c r="W8" i="208"/>
  <c r="W9" i="208"/>
  <c r="W10" i="208"/>
  <c r="W11" i="208"/>
  <c r="W12" i="208"/>
  <c r="W13" i="208"/>
  <c r="W14" i="208"/>
  <c r="W15" i="208"/>
  <c r="W16" i="208"/>
  <c r="W17" i="208"/>
  <c r="W18" i="208"/>
  <c r="W19" i="208"/>
  <c r="W20" i="208"/>
  <c r="W21" i="208"/>
  <c r="W22" i="208"/>
  <c r="W4" i="208"/>
  <c r="V5" i="208"/>
  <c r="V6" i="208"/>
  <c r="V7" i="208"/>
  <c r="V8" i="208"/>
  <c r="V9" i="208"/>
  <c r="V10" i="208"/>
  <c r="V11" i="208"/>
  <c r="V12" i="208"/>
  <c r="V13" i="208"/>
  <c r="V14" i="208"/>
  <c r="V15" i="208"/>
  <c r="V16" i="208"/>
  <c r="V17" i="208"/>
  <c r="V18" i="208"/>
  <c r="V19" i="208"/>
  <c r="V20" i="208"/>
  <c r="V21" i="208"/>
  <c r="V22" i="208"/>
  <c r="V4" i="208"/>
  <c r="U5" i="208"/>
  <c r="U6" i="208"/>
  <c r="U7" i="208"/>
  <c r="U8" i="208"/>
  <c r="U9" i="208"/>
  <c r="U10" i="208"/>
  <c r="U11" i="208"/>
  <c r="U12" i="208"/>
  <c r="U13" i="208"/>
  <c r="U14" i="208"/>
  <c r="U15" i="208"/>
  <c r="U16" i="208"/>
  <c r="U17" i="208"/>
  <c r="U18" i="208"/>
  <c r="U19" i="208"/>
  <c r="U20" i="208"/>
  <c r="U21" i="208"/>
  <c r="U22" i="208"/>
  <c r="U4" i="208"/>
  <c r="T5" i="208"/>
  <c r="T6" i="208"/>
  <c r="T7" i="208"/>
  <c r="T8" i="208"/>
  <c r="T9" i="208"/>
  <c r="T10" i="208"/>
  <c r="T11" i="208"/>
  <c r="T12" i="208"/>
  <c r="T13" i="208"/>
  <c r="T14" i="208"/>
  <c r="T15" i="208"/>
  <c r="T16" i="208"/>
  <c r="T17" i="208"/>
  <c r="T18" i="208"/>
  <c r="T19" i="208"/>
  <c r="T20" i="208"/>
  <c r="T21" i="208"/>
  <c r="T22" i="208"/>
  <c r="T4" i="208"/>
  <c r="S5" i="208"/>
  <c r="S6" i="208"/>
  <c r="S7" i="208"/>
  <c r="S8" i="208"/>
  <c r="S9" i="208"/>
  <c r="S10" i="208"/>
  <c r="S11" i="208"/>
  <c r="S12" i="208"/>
  <c r="S13" i="208"/>
  <c r="S14" i="208"/>
  <c r="S15" i="208"/>
  <c r="S16" i="208"/>
  <c r="S17" i="208"/>
  <c r="S18" i="208"/>
  <c r="S19" i="208"/>
  <c r="S20" i="208"/>
  <c r="S21" i="208"/>
  <c r="S22" i="208"/>
  <c r="S4" i="208"/>
  <c r="R5" i="208"/>
  <c r="R6" i="208"/>
  <c r="R7" i="208"/>
  <c r="R8" i="208"/>
  <c r="R9" i="208"/>
  <c r="R10" i="208"/>
  <c r="R11" i="208"/>
  <c r="R12" i="208"/>
  <c r="R13" i="208"/>
  <c r="R14" i="208"/>
  <c r="R15" i="208"/>
  <c r="R16" i="208"/>
  <c r="R17" i="208"/>
  <c r="R18" i="208"/>
  <c r="R19" i="208"/>
  <c r="R20" i="208"/>
  <c r="R21" i="208"/>
  <c r="R22" i="208"/>
  <c r="R19" i="83"/>
  <c r="Q19" i="83"/>
  <c r="N19" i="83" a="1"/>
  <c r="N19" i="83" s="1"/>
  <c r="M19" i="83"/>
  <c r="U6" i="197"/>
  <c r="P6" i="199" s="1"/>
  <c r="U7" i="197"/>
  <c r="P7" i="199" s="1"/>
  <c r="U8" i="197"/>
  <c r="P8" i="199" s="1"/>
  <c r="U9" i="197"/>
  <c r="P9" i="199" s="1"/>
  <c r="U10" i="197"/>
  <c r="P10" i="199" s="1"/>
  <c r="U11" i="197"/>
  <c r="P11" i="199" s="1"/>
  <c r="U12" i="197"/>
  <c r="P12" i="199" s="1"/>
  <c r="U13" i="197"/>
  <c r="P13" i="199" s="1"/>
  <c r="U14" i="197"/>
  <c r="P14" i="199" s="1"/>
  <c r="U15" i="197"/>
  <c r="P15" i="199" s="1"/>
  <c r="U16" i="197"/>
  <c r="P16" i="199" s="1"/>
  <c r="U17" i="197"/>
  <c r="P17" i="199" s="1"/>
  <c r="U18" i="197"/>
  <c r="P18" i="199" s="1"/>
  <c r="U19" i="197"/>
  <c r="P19" i="199" s="1"/>
  <c r="U20" i="197"/>
  <c r="P20" i="199" s="1"/>
  <c r="U21" i="197"/>
  <c r="P21" i="199" s="1"/>
  <c r="U22" i="197"/>
  <c r="P22" i="199" s="1"/>
  <c r="U23" i="197"/>
  <c r="P23" i="199" s="1"/>
  <c r="U5" i="197"/>
  <c r="T6" i="197"/>
  <c r="T7" i="197"/>
  <c r="T8" i="197"/>
  <c r="T9" i="197"/>
  <c r="T10" i="197"/>
  <c r="T11" i="197"/>
  <c r="T12" i="197"/>
  <c r="T13" i="197"/>
  <c r="T14" i="197"/>
  <c r="T15" i="197"/>
  <c r="T16" i="197"/>
  <c r="T17" i="197"/>
  <c r="T18" i="197"/>
  <c r="T19" i="197"/>
  <c r="T20" i="197"/>
  <c r="T21" i="197"/>
  <c r="T22" i="197"/>
  <c r="T23" i="197"/>
  <c r="T5" i="197"/>
  <c r="T24" i="197" s="1"/>
  <c r="Q31" i="83" s="1"/>
  <c r="S5" i="197"/>
  <c r="S6" i="197"/>
  <c r="V6" i="197" s="1"/>
  <c r="S7" i="197"/>
  <c r="S8" i="197"/>
  <c r="S9" i="197"/>
  <c r="S10" i="197"/>
  <c r="S11" i="197"/>
  <c r="S12" i="197"/>
  <c r="S13" i="197"/>
  <c r="S14" i="197"/>
  <c r="S15" i="197"/>
  <c r="S16" i="197"/>
  <c r="S17" i="197"/>
  <c r="S18" i="197"/>
  <c r="S19" i="197"/>
  <c r="S20" i="197"/>
  <c r="S21" i="197"/>
  <c r="S22" i="197"/>
  <c r="S23" i="197"/>
  <c r="R5" i="197"/>
  <c r="W23" i="199"/>
  <c r="W22" i="199"/>
  <c r="W21" i="199"/>
  <c r="W20" i="199"/>
  <c r="W19" i="199"/>
  <c r="W18" i="199"/>
  <c r="W17" i="199"/>
  <c r="W16" i="199"/>
  <c r="W15" i="199"/>
  <c r="W14" i="199"/>
  <c r="W13" i="199"/>
  <c r="W12" i="199"/>
  <c r="W11" i="199"/>
  <c r="W10" i="199"/>
  <c r="W9" i="199"/>
  <c r="W8" i="199"/>
  <c r="W5" i="199"/>
  <c r="N7" i="215"/>
  <c r="N8" i="215"/>
  <c r="N9" i="215"/>
  <c r="N10" i="215"/>
  <c r="N11" i="215"/>
  <c r="N12" i="215"/>
  <c r="N13" i="215"/>
  <c r="N14" i="215"/>
  <c r="N15" i="215"/>
  <c r="N16" i="215"/>
  <c r="N17" i="215"/>
  <c r="N18" i="215"/>
  <c r="N19" i="215"/>
  <c r="N20" i="215"/>
  <c r="N21" i="215"/>
  <c r="N22" i="215"/>
  <c r="N23" i="215"/>
  <c r="M7" i="215"/>
  <c r="M8" i="215"/>
  <c r="M9" i="215"/>
  <c r="M10" i="215"/>
  <c r="M11" i="215"/>
  <c r="M12" i="215"/>
  <c r="M13" i="215"/>
  <c r="M14" i="215"/>
  <c r="M15" i="215"/>
  <c r="M16" i="215"/>
  <c r="M17" i="215"/>
  <c r="M18" i="215"/>
  <c r="M19" i="215"/>
  <c r="M20" i="215"/>
  <c r="M21" i="215"/>
  <c r="M22" i="215"/>
  <c r="M23" i="215"/>
  <c r="L7" i="215"/>
  <c r="L8" i="215"/>
  <c r="L9" i="215"/>
  <c r="L10" i="215"/>
  <c r="L11" i="215"/>
  <c r="L12" i="215"/>
  <c r="L13" i="215"/>
  <c r="L14" i="215"/>
  <c r="L15" i="215"/>
  <c r="L16" i="215"/>
  <c r="L17" i="215"/>
  <c r="L18" i="215"/>
  <c r="L19" i="215"/>
  <c r="L20" i="215"/>
  <c r="L21" i="215"/>
  <c r="L22" i="215"/>
  <c r="L23" i="215"/>
  <c r="K7" i="215"/>
  <c r="K8" i="215"/>
  <c r="K10" i="215"/>
  <c r="K11" i="215"/>
  <c r="K12" i="215"/>
  <c r="K13" i="215"/>
  <c r="K14" i="215"/>
  <c r="K15" i="215"/>
  <c r="K16" i="215"/>
  <c r="K17" i="215"/>
  <c r="K18" i="215"/>
  <c r="K19" i="215"/>
  <c r="K20" i="215"/>
  <c r="K21" i="215"/>
  <c r="K22" i="215"/>
  <c r="K23" i="215"/>
  <c r="J7" i="215"/>
  <c r="J8" i="215"/>
  <c r="J9" i="215"/>
  <c r="J11" i="215"/>
  <c r="J12" i="215"/>
  <c r="J13" i="215"/>
  <c r="J14" i="215"/>
  <c r="J15" i="215"/>
  <c r="J16" i="215"/>
  <c r="J17" i="215"/>
  <c r="J18" i="215"/>
  <c r="J19" i="215"/>
  <c r="J20" i="215"/>
  <c r="J21" i="215"/>
  <c r="J22" i="215"/>
  <c r="J23" i="215"/>
  <c r="I7" i="215"/>
  <c r="I8" i="215"/>
  <c r="I9" i="215"/>
  <c r="I10" i="215"/>
  <c r="I11" i="215"/>
  <c r="I12" i="215"/>
  <c r="I13" i="215"/>
  <c r="I14" i="215"/>
  <c r="I15" i="215"/>
  <c r="I16" i="215"/>
  <c r="I17" i="215"/>
  <c r="I18" i="215"/>
  <c r="I19" i="215"/>
  <c r="I20" i="215"/>
  <c r="I21" i="215"/>
  <c r="I22" i="215"/>
  <c r="I23" i="215"/>
  <c r="H7" i="215"/>
  <c r="H8" i="215"/>
  <c r="H9" i="215"/>
  <c r="H10" i="215"/>
  <c r="H11" i="215"/>
  <c r="H12" i="215"/>
  <c r="H13" i="215"/>
  <c r="H14" i="215"/>
  <c r="H15" i="215"/>
  <c r="H16" i="215"/>
  <c r="H17" i="215"/>
  <c r="H18" i="215"/>
  <c r="H19" i="215"/>
  <c r="H20" i="215"/>
  <c r="H21" i="215"/>
  <c r="H22" i="215"/>
  <c r="H23" i="215"/>
  <c r="G7" i="215"/>
  <c r="G8" i="215"/>
  <c r="G9" i="215"/>
  <c r="G10" i="215"/>
  <c r="G11" i="215"/>
  <c r="G12" i="215"/>
  <c r="G13" i="215"/>
  <c r="G14" i="215"/>
  <c r="G15" i="215"/>
  <c r="G16" i="215"/>
  <c r="G17" i="215"/>
  <c r="G18" i="215"/>
  <c r="G19" i="215"/>
  <c r="G20" i="215"/>
  <c r="G21" i="215"/>
  <c r="G22" i="215"/>
  <c r="G23" i="215"/>
  <c r="F7" i="215"/>
  <c r="F8" i="215"/>
  <c r="F9" i="215"/>
  <c r="F10" i="215"/>
  <c r="F11" i="215"/>
  <c r="F12" i="215"/>
  <c r="F13" i="215"/>
  <c r="F14" i="215"/>
  <c r="F15" i="215"/>
  <c r="F16" i="215"/>
  <c r="F17" i="215"/>
  <c r="F18" i="215"/>
  <c r="F19" i="215"/>
  <c r="F20" i="215"/>
  <c r="F21" i="215"/>
  <c r="F22" i="215"/>
  <c r="F23" i="215"/>
  <c r="E7" i="215"/>
  <c r="E8" i="215"/>
  <c r="E9" i="215"/>
  <c r="E10" i="215"/>
  <c r="E11" i="215"/>
  <c r="E12" i="215"/>
  <c r="E13" i="215"/>
  <c r="E14" i="215"/>
  <c r="E15" i="215"/>
  <c r="E16" i="215"/>
  <c r="E17" i="215"/>
  <c r="E18" i="215"/>
  <c r="E19" i="215"/>
  <c r="E20" i="215"/>
  <c r="E21" i="215"/>
  <c r="E22" i="215"/>
  <c r="E23" i="215"/>
  <c r="D7" i="215"/>
  <c r="D8" i="215"/>
  <c r="D9" i="215"/>
  <c r="D10" i="215"/>
  <c r="D11" i="215"/>
  <c r="D12" i="215"/>
  <c r="D13" i="215"/>
  <c r="D14" i="215"/>
  <c r="D15" i="215"/>
  <c r="D16" i="215"/>
  <c r="D17" i="215"/>
  <c r="D18" i="215"/>
  <c r="D19" i="215"/>
  <c r="D20" i="215"/>
  <c r="D21" i="215"/>
  <c r="D22" i="215"/>
  <c r="D23" i="215"/>
  <c r="C7" i="215"/>
  <c r="C8" i="215"/>
  <c r="C9" i="215"/>
  <c r="C10" i="215"/>
  <c r="C11" i="215"/>
  <c r="C12" i="215"/>
  <c r="C13" i="215"/>
  <c r="C14" i="215"/>
  <c r="C15" i="215"/>
  <c r="C16" i="215"/>
  <c r="C17" i="215"/>
  <c r="C18" i="215"/>
  <c r="C19" i="215"/>
  <c r="C20" i="215"/>
  <c r="C21" i="215"/>
  <c r="C22" i="215"/>
  <c r="C23" i="215"/>
  <c r="E6" i="215"/>
  <c r="F6" i="215"/>
  <c r="G6" i="215"/>
  <c r="H6" i="215"/>
  <c r="I6" i="215"/>
  <c r="J6" i="215"/>
  <c r="K6" i="215"/>
  <c r="L6" i="215"/>
  <c r="M6" i="215"/>
  <c r="N6" i="215"/>
  <c r="D6" i="215"/>
  <c r="C6" i="215"/>
  <c r="H5" i="208"/>
  <c r="H6" i="208"/>
  <c r="H7" i="208"/>
  <c r="H8" i="208"/>
  <c r="H9" i="208"/>
  <c r="H10" i="208"/>
  <c r="H11" i="208"/>
  <c r="H12" i="208"/>
  <c r="H13" i="208"/>
  <c r="H14" i="208"/>
  <c r="H15" i="208"/>
  <c r="H16" i="208"/>
  <c r="H17" i="208"/>
  <c r="H18" i="208"/>
  <c r="H19" i="208"/>
  <c r="H20" i="208"/>
  <c r="H21" i="208"/>
  <c r="H22" i="208"/>
  <c r="H23" i="208"/>
  <c r="H24" i="208"/>
  <c r="H25" i="208"/>
  <c r="H26" i="208"/>
  <c r="H27" i="208"/>
  <c r="H28" i="208"/>
  <c r="H29" i="208"/>
  <c r="H30" i="208"/>
  <c r="H4" i="208"/>
  <c r="H3" i="208" s="1"/>
  <c r="W7" i="199"/>
  <c r="W6" i="199"/>
  <c r="X5" i="199"/>
  <c r="L27" i="83"/>
  <c r="M27" i="83"/>
  <c r="B5" i="197"/>
  <c r="D20" i="83"/>
  <c r="D21" i="3"/>
  <c r="C21" i="3"/>
  <c r="E21" i="3"/>
  <c r="D159" i="189"/>
  <c r="D153" i="189"/>
  <c r="D147" i="189"/>
  <c r="D141" i="189"/>
  <c r="D135" i="189"/>
  <c r="D129" i="189"/>
  <c r="M20" i="3" l="1"/>
  <c r="CM5" i="215"/>
  <c r="AN7" i="215"/>
  <c r="AG4" i="208" s="1"/>
  <c r="AH5" i="208"/>
  <c r="AN23" i="215"/>
  <c r="AG20" i="208" s="1"/>
  <c r="AH21" i="208"/>
  <c r="AN22" i="215"/>
  <c r="AG19" i="208" s="1"/>
  <c r="AH20" i="208"/>
  <c r="AN21" i="215"/>
  <c r="AG18" i="208" s="1"/>
  <c r="AH19" i="208"/>
  <c r="AN20" i="215"/>
  <c r="AG17" i="208" s="1"/>
  <c r="AH18" i="208"/>
  <c r="AN19" i="215"/>
  <c r="AG16" i="208" s="1"/>
  <c r="AH17" i="208"/>
  <c r="AN18" i="215"/>
  <c r="AG15" i="208" s="1"/>
  <c r="AH16" i="208"/>
  <c r="AN17" i="215"/>
  <c r="AG14" i="208" s="1"/>
  <c r="AH15" i="208"/>
  <c r="AN16" i="215"/>
  <c r="AG13" i="208" s="1"/>
  <c r="AH14" i="208"/>
  <c r="AN15" i="215"/>
  <c r="AG12" i="208" s="1"/>
  <c r="AH13" i="208"/>
  <c r="AN14" i="215"/>
  <c r="AG11" i="208" s="1"/>
  <c r="AH12" i="208"/>
  <c r="AN13" i="215"/>
  <c r="AG10" i="208" s="1"/>
  <c r="AH11" i="208"/>
  <c r="AN12" i="215"/>
  <c r="AG9" i="208" s="1"/>
  <c r="AH10" i="208"/>
  <c r="AN11" i="215"/>
  <c r="AG8" i="208" s="1"/>
  <c r="AH9" i="208"/>
  <c r="AN10" i="215"/>
  <c r="AG7" i="208" s="1"/>
  <c r="AH8" i="208"/>
  <c r="AN9" i="215"/>
  <c r="AG6" i="208" s="1"/>
  <c r="AH7" i="208"/>
  <c r="AN8" i="215"/>
  <c r="AG5" i="208" s="1"/>
  <c r="AH6" i="208"/>
  <c r="BM23" i="215"/>
  <c r="AK20" i="208" s="1"/>
  <c r="AD21" i="208"/>
  <c r="BM22" i="215"/>
  <c r="AK19" i="208" s="1"/>
  <c r="AD20" i="208"/>
  <c r="BM21" i="215"/>
  <c r="AK18" i="208" s="1"/>
  <c r="AD19" i="208"/>
  <c r="BM20" i="215"/>
  <c r="AK17" i="208" s="1"/>
  <c r="AD18" i="208"/>
  <c r="BM19" i="215"/>
  <c r="AK16" i="208" s="1"/>
  <c r="AD17" i="208"/>
  <c r="BM18" i="215"/>
  <c r="AK15" i="208" s="1"/>
  <c r="AD16" i="208"/>
  <c r="BM17" i="215"/>
  <c r="AK14" i="208" s="1"/>
  <c r="AD15" i="208"/>
  <c r="BM16" i="215"/>
  <c r="AK13" i="208" s="1"/>
  <c r="AD14" i="208"/>
  <c r="BM15" i="215"/>
  <c r="AK12" i="208" s="1"/>
  <c r="AD13" i="208"/>
  <c r="BM14" i="215"/>
  <c r="AK11" i="208" s="1"/>
  <c r="AD12" i="208"/>
  <c r="BM13" i="215"/>
  <c r="AK10" i="208" s="1"/>
  <c r="AD11" i="208"/>
  <c r="BM12" i="215"/>
  <c r="AK9" i="208" s="1"/>
  <c r="AD10" i="208"/>
  <c r="BM11" i="215"/>
  <c r="AK8" i="208" s="1"/>
  <c r="AD9" i="208"/>
  <c r="BM10" i="215"/>
  <c r="AK7" i="208" s="1"/>
  <c r="AD8" i="208"/>
  <c r="BM9" i="215"/>
  <c r="AK6" i="208" s="1"/>
  <c r="AD7" i="208"/>
  <c r="BM8" i="215"/>
  <c r="AK5" i="208" s="1"/>
  <c r="AD6" i="208"/>
  <c r="AG3" i="208"/>
  <c r="AH4" i="208"/>
  <c r="AH3" i="208" s="1"/>
  <c r="AI3" i="208"/>
  <c r="AJ3" i="208"/>
  <c r="BM6" i="215"/>
  <c r="AK3" i="208" s="1"/>
  <c r="AD4" i="208"/>
  <c r="AE3" i="208"/>
  <c r="AF3" i="208"/>
  <c r="CL6" i="215"/>
  <c r="AL4" i="208"/>
  <c r="CL23" i="215"/>
  <c r="AO20" i="208" s="1"/>
  <c r="AL21" i="208"/>
  <c r="CL22" i="215"/>
  <c r="AO19" i="208" s="1"/>
  <c r="AL20" i="208"/>
  <c r="CL21" i="215"/>
  <c r="AO18" i="208" s="1"/>
  <c r="AL19" i="208"/>
  <c r="CL20" i="215"/>
  <c r="AO17" i="208" s="1"/>
  <c r="AL18" i="208"/>
  <c r="CL19" i="215"/>
  <c r="AO16" i="208" s="1"/>
  <c r="AL17" i="208"/>
  <c r="CL18" i="215"/>
  <c r="AO15" i="208" s="1"/>
  <c r="AL16" i="208"/>
  <c r="CL17" i="215"/>
  <c r="AO14" i="208" s="1"/>
  <c r="AL15" i="208"/>
  <c r="CL16" i="215"/>
  <c r="AO13" i="208" s="1"/>
  <c r="AL14" i="208"/>
  <c r="CL15" i="215"/>
  <c r="AO12" i="208" s="1"/>
  <c r="AL13" i="208"/>
  <c r="CL14" i="215"/>
  <c r="AO11" i="208" s="1"/>
  <c r="AL12" i="208"/>
  <c r="CL13" i="215"/>
  <c r="AO10" i="208" s="1"/>
  <c r="AL11" i="208"/>
  <c r="CL12" i="215"/>
  <c r="AO9" i="208" s="1"/>
  <c r="AL10" i="208"/>
  <c r="CL11" i="215"/>
  <c r="AO8" i="208" s="1"/>
  <c r="AL9" i="208"/>
  <c r="CL10" i="215"/>
  <c r="AO7" i="208" s="1"/>
  <c r="AL8" i="208"/>
  <c r="CL9" i="215"/>
  <c r="AO6" i="208" s="1"/>
  <c r="AL7" i="208"/>
  <c r="CL8" i="215"/>
  <c r="AO5" i="208" s="1"/>
  <c r="AL6" i="208"/>
  <c r="CL7" i="215"/>
  <c r="AO4" i="208" s="1"/>
  <c r="AL5" i="208"/>
  <c r="AM3" i="208"/>
  <c r="L19" i="83"/>
  <c r="BR27" i="3"/>
  <c r="AC3" i="208"/>
  <c r="AD3" i="208"/>
  <c r="G4" i="3"/>
  <c r="K5" i="3" s="1"/>
  <c r="N27" i="83"/>
  <c r="C6" i="3"/>
  <c r="CC3" i="208"/>
  <c r="BM7" i="215"/>
  <c r="AN3" i="215"/>
  <c r="CL3" i="208" s="1"/>
  <c r="S24" i="197"/>
  <c r="P31" i="83" s="1"/>
  <c r="V5" i="197"/>
  <c r="U24" i="197"/>
  <c r="R31" i="83" s="1"/>
  <c r="P5" i="199"/>
  <c r="S3" i="208"/>
  <c r="T3" i="208"/>
  <c r="U3" i="208"/>
  <c r="V3" i="208"/>
  <c r="W3" i="208"/>
  <c r="X3" i="208"/>
  <c r="Y3" i="208"/>
  <c r="Z3" i="208"/>
  <c r="AA3" i="208"/>
  <c r="AB3" i="208"/>
  <c r="D123" i="189"/>
  <c r="D117" i="189"/>
  <c r="D111" i="189"/>
  <c r="D105" i="189"/>
  <c r="D99" i="189"/>
  <c r="D93" i="189"/>
  <c r="D87" i="189"/>
  <c r="D81" i="189"/>
  <c r="N20" i="3" l="1"/>
  <c r="CO5" i="215"/>
  <c r="BM3" i="215"/>
  <c r="CM3" i="208" s="1"/>
  <c r="AK4" i="208"/>
  <c r="AL3" i="208"/>
  <c r="CL3" i="215"/>
  <c r="CN3" i="208" s="1"/>
  <c r="AO3" i="208"/>
  <c r="BR41" i="3"/>
  <c r="CP3" i="208"/>
  <c r="BZ3" i="208"/>
  <c r="E3" i="208"/>
  <c r="O19" i="83"/>
  <c r="P19" i="83"/>
  <c r="S19" i="83" s="1"/>
  <c r="R7" i="197"/>
  <c r="V7" i="197" s="1"/>
  <c r="R8" i="197"/>
  <c r="V8" i="197" s="1"/>
  <c r="R9" i="197"/>
  <c r="V9" i="197" s="1"/>
  <c r="R10" i="197"/>
  <c r="V10" i="197" s="1"/>
  <c r="R11" i="197"/>
  <c r="V11" i="197" s="1"/>
  <c r="R12" i="197"/>
  <c r="V12" i="197" s="1"/>
  <c r="R13" i="197"/>
  <c r="V13" i="197" s="1"/>
  <c r="R14" i="197"/>
  <c r="V14" i="197" s="1"/>
  <c r="R15" i="197"/>
  <c r="V15" i="197" s="1"/>
  <c r="R16" i="197"/>
  <c r="V16" i="197" s="1"/>
  <c r="R17" i="197"/>
  <c r="V17" i="197" s="1"/>
  <c r="R18" i="197"/>
  <c r="V18" i="197" s="1"/>
  <c r="R19" i="197"/>
  <c r="V19" i="197" s="1"/>
  <c r="R20" i="197"/>
  <c r="V20" i="197" s="1"/>
  <c r="R21" i="197"/>
  <c r="V21" i="197" s="1"/>
  <c r="R22" i="197"/>
  <c r="V22" i="197" s="1"/>
  <c r="R23" i="197"/>
  <c r="V23" i="197" s="1"/>
  <c r="F14" i="3"/>
  <c r="E14" i="3"/>
  <c r="O20" i="3" l="1"/>
  <c r="CQ5" i="215"/>
  <c r="R27" i="83"/>
  <c r="C7" i="3"/>
  <c r="C8" i="3"/>
  <c r="V24" i="197"/>
  <c r="B6" i="215"/>
  <c r="P20" i="3" l="1"/>
  <c r="CS5" i="215"/>
  <c r="C10" i="3"/>
  <c r="BW3" i="208" s="1"/>
  <c r="C9" i="3"/>
  <c r="K5" i="208" a="1"/>
  <c r="K5" i="208" s="1"/>
  <c r="K6" i="208" a="1"/>
  <c r="K6" i="208" s="1"/>
  <c r="K7" i="208" a="1"/>
  <c r="K7" i="208" s="1"/>
  <c r="K8" i="208" a="1"/>
  <c r="K8" i="208" s="1"/>
  <c r="K9" i="208" a="1"/>
  <c r="K9" i="208" s="1"/>
  <c r="K10" i="208" a="1"/>
  <c r="K10" i="208" s="1"/>
  <c r="K11" i="208" a="1"/>
  <c r="K11" i="208" s="1"/>
  <c r="K12" i="208" a="1"/>
  <c r="K12" i="208" s="1"/>
  <c r="K13" i="208" a="1"/>
  <c r="K13" i="208" s="1"/>
  <c r="K14" i="208" a="1"/>
  <c r="K14" i="208" s="1"/>
  <c r="K15" i="208" a="1"/>
  <c r="K15" i="208" s="1"/>
  <c r="K16" i="208" a="1"/>
  <c r="K16" i="208" s="1"/>
  <c r="K17" i="208" a="1"/>
  <c r="K17" i="208" s="1"/>
  <c r="K18" i="208" a="1"/>
  <c r="K18" i="208" s="1"/>
  <c r="K19" i="208" a="1"/>
  <c r="K19" i="208" s="1"/>
  <c r="K20" i="208" a="1"/>
  <c r="K20" i="208" s="1"/>
  <c r="K21" i="208" a="1"/>
  <c r="K21" i="208" s="1"/>
  <c r="K22" i="208" a="1"/>
  <c r="K22" i="208" s="1"/>
  <c r="J23" i="208" a="1"/>
  <c r="J23" i="208" s="1"/>
  <c r="K23" i="208" a="1"/>
  <c r="K23" i="208" s="1"/>
  <c r="J24" i="208" a="1"/>
  <c r="J24" i="208" s="1"/>
  <c r="K24" i="208" a="1"/>
  <c r="K24" i="208" s="1"/>
  <c r="J25" i="208" a="1"/>
  <c r="J25" i="208" s="1"/>
  <c r="K25" i="208" a="1"/>
  <c r="K25" i="208" s="1"/>
  <c r="J26" i="208" a="1"/>
  <c r="J26" i="208"/>
  <c r="K26" i="208" a="1"/>
  <c r="K26" i="208" s="1"/>
  <c r="J27" i="208" a="1"/>
  <c r="J27" i="208" s="1"/>
  <c r="K27" i="208" a="1"/>
  <c r="K27" i="208" s="1"/>
  <c r="J28" i="208" a="1"/>
  <c r="J28" i="208"/>
  <c r="K28" i="208" a="1"/>
  <c r="K28" i="208" s="1"/>
  <c r="J29" i="208" a="1"/>
  <c r="J29" i="208" s="1"/>
  <c r="K29" i="208" a="1"/>
  <c r="K29" i="208" s="1"/>
  <c r="J30" i="208" a="1"/>
  <c r="J30" i="208" s="1"/>
  <c r="K30" i="208" a="1"/>
  <c r="K30" i="208" s="1"/>
  <c r="K4" i="208" a="1"/>
  <c r="K4" i="208" s="1"/>
  <c r="M5" i="208" a="1"/>
  <c r="M5" i="208" s="1"/>
  <c r="N5" i="208" a="1"/>
  <c r="N5" i="208" s="1"/>
  <c r="M6" i="208" a="1"/>
  <c r="M6" i="208" s="1"/>
  <c r="N6" i="208" a="1"/>
  <c r="N6" i="208" s="1"/>
  <c r="M7" i="208" a="1"/>
  <c r="M7" i="208" s="1"/>
  <c r="N7" i="208" a="1"/>
  <c r="N7" i="208" s="1"/>
  <c r="M8" i="208" a="1"/>
  <c r="M8" i="208" s="1"/>
  <c r="N8" i="208" a="1"/>
  <c r="N8" i="208" s="1"/>
  <c r="M9" i="208" a="1"/>
  <c r="M9" i="208" s="1"/>
  <c r="N9" i="208" a="1"/>
  <c r="N9" i="208" s="1"/>
  <c r="M10" i="208" a="1"/>
  <c r="M10" i="208" s="1"/>
  <c r="N10" i="208" a="1"/>
  <c r="N10" i="208" s="1"/>
  <c r="M11" i="208" a="1"/>
  <c r="M11" i="208" s="1"/>
  <c r="N11" i="208" a="1"/>
  <c r="N11" i="208" s="1"/>
  <c r="M12" i="208" a="1"/>
  <c r="M12" i="208" s="1"/>
  <c r="N12" i="208" a="1"/>
  <c r="N12" i="208" s="1"/>
  <c r="M13" i="208" a="1"/>
  <c r="M13" i="208" s="1"/>
  <c r="N13" i="208" a="1"/>
  <c r="N13" i="208" s="1"/>
  <c r="M14" i="208" a="1"/>
  <c r="M14" i="208" s="1"/>
  <c r="N14" i="208" a="1"/>
  <c r="N14" i="208"/>
  <c r="M15" i="208" a="1"/>
  <c r="M15" i="208" s="1"/>
  <c r="N15" i="208" a="1"/>
  <c r="N15" i="208" s="1"/>
  <c r="M16" i="208" a="1"/>
  <c r="M16" i="208" s="1"/>
  <c r="N16" i="208" a="1"/>
  <c r="N16" i="208" s="1"/>
  <c r="M17" i="208" a="1"/>
  <c r="M17" i="208" s="1"/>
  <c r="N17" i="208" a="1"/>
  <c r="N17" i="208" s="1"/>
  <c r="M18" i="208" a="1"/>
  <c r="M18" i="208" s="1"/>
  <c r="N18" i="208" a="1"/>
  <c r="N18" i="208" s="1"/>
  <c r="M19" i="208" a="1"/>
  <c r="M19" i="208" s="1"/>
  <c r="N19" i="208" a="1"/>
  <c r="N19" i="208" s="1"/>
  <c r="M20" i="208" a="1"/>
  <c r="M20" i="208" s="1"/>
  <c r="N20" i="208" a="1"/>
  <c r="N20" i="208" s="1"/>
  <c r="M21" i="208" a="1"/>
  <c r="M21" i="208" s="1"/>
  <c r="N21" i="208" a="1"/>
  <c r="N21" i="208" s="1"/>
  <c r="M22" i="208" a="1"/>
  <c r="M22" i="208" s="1"/>
  <c r="N22" i="208" a="1"/>
  <c r="N22" i="208"/>
  <c r="M23" i="208" a="1"/>
  <c r="M23" i="208" s="1"/>
  <c r="N23" i="208" a="1"/>
  <c r="N23" i="208" s="1"/>
  <c r="M24" i="208" a="1"/>
  <c r="M24" i="208" s="1"/>
  <c r="N24" i="208" a="1"/>
  <c r="N24" i="208" s="1"/>
  <c r="M25" i="208" a="1"/>
  <c r="M25" i="208" s="1"/>
  <c r="N25" i="208" a="1"/>
  <c r="N25" i="208" s="1"/>
  <c r="M26" i="208" a="1"/>
  <c r="M26" i="208" s="1"/>
  <c r="N26" i="208" a="1"/>
  <c r="N26" i="208"/>
  <c r="M27" i="208" a="1"/>
  <c r="M27" i="208" s="1"/>
  <c r="N27" i="208" a="1"/>
  <c r="N27" i="208" s="1"/>
  <c r="M28" i="208" a="1"/>
  <c r="M28" i="208" s="1"/>
  <c r="N28" i="208" a="1"/>
  <c r="N28" i="208" s="1"/>
  <c r="M29" i="208" a="1"/>
  <c r="M29" i="208" s="1"/>
  <c r="N29" i="208" a="1"/>
  <c r="N29" i="208" s="1"/>
  <c r="M30" i="208" a="1"/>
  <c r="M30" i="208" s="1"/>
  <c r="N30" i="208" a="1"/>
  <c r="N30" i="208" s="1"/>
  <c r="M4" i="208" a="1"/>
  <c r="M4" i="208" s="1"/>
  <c r="B169" i="2"/>
  <c r="B168" i="2"/>
  <c r="I1" i="199"/>
  <c r="Q20" i="3" l="1"/>
  <c r="CU5" i="215"/>
  <c r="J3" i="208"/>
  <c r="K3" i="208"/>
  <c r="B20" i="215"/>
  <c r="B21" i="215"/>
  <c r="B22" i="215"/>
  <c r="B23" i="215"/>
  <c r="R20" i="3" l="1"/>
  <c r="CW5" i="215"/>
  <c r="CB3" i="208"/>
  <c r="CD3" i="208" s="1"/>
  <c r="L23" i="83"/>
  <c r="A5" i="199"/>
  <c r="B133" i="215"/>
  <c r="B129" i="215"/>
  <c r="B125" i="215"/>
  <c r="B121" i="215"/>
  <c r="B117" i="215"/>
  <c r="B113" i="215"/>
  <c r="B109" i="215"/>
  <c r="B105" i="215"/>
  <c r="B101" i="215"/>
  <c r="B97" i="215"/>
  <c r="B93" i="215"/>
  <c r="B89" i="215"/>
  <c r="B85" i="215"/>
  <c r="B81" i="215"/>
  <c r="B77" i="215"/>
  <c r="B73" i="215"/>
  <c r="B69" i="215"/>
  <c r="B65" i="215"/>
  <c r="B61" i="215"/>
  <c r="B57" i="215"/>
  <c r="B53" i="215"/>
  <c r="B19" i="215"/>
  <c r="B18" i="215"/>
  <c r="B17" i="215"/>
  <c r="B16" i="215"/>
  <c r="B15" i="215"/>
  <c r="B14" i="215"/>
  <c r="B13" i="215"/>
  <c r="B12" i="215"/>
  <c r="B11" i="215"/>
  <c r="B10" i="215"/>
  <c r="B9" i="215"/>
  <c r="B8" i="215"/>
  <c r="B7" i="215"/>
  <c r="J24" i="197"/>
  <c r="K24" i="197"/>
  <c r="L24" i="197"/>
  <c r="M24" i="197"/>
  <c r="N24" i="197"/>
  <c r="CY5" i="215" l="1"/>
  <c r="S20" i="3"/>
  <c r="DA5" i="215" s="1"/>
  <c r="J8" i="83"/>
  <c r="J12" i="83" s="1"/>
  <c r="J7" i="83"/>
  <c r="J11" i="83" s="1"/>
  <c r="J9" i="83" l="1"/>
  <c r="J10" i="83"/>
  <c r="R6" i="199"/>
  <c r="R7" i="199"/>
  <c r="R9" i="199"/>
  <c r="R10" i="199"/>
  <c r="R11" i="199"/>
  <c r="R12" i="199"/>
  <c r="R13" i="199"/>
  <c r="R14" i="199"/>
  <c r="B5" i="196"/>
  <c r="R6" i="211"/>
  <c r="R7" i="211"/>
  <c r="R8" i="211"/>
  <c r="R9" i="211"/>
  <c r="R10" i="211"/>
  <c r="R11" i="211"/>
  <c r="R12" i="211"/>
  <c r="R13" i="211"/>
  <c r="R14" i="211"/>
  <c r="R15" i="211"/>
  <c r="R16" i="211"/>
  <c r="R17" i="211"/>
  <c r="R18" i="211"/>
  <c r="R19" i="211"/>
  <c r="R20" i="211"/>
  <c r="R21" i="211"/>
  <c r="R22" i="211"/>
  <c r="R23" i="211"/>
  <c r="R24" i="211"/>
  <c r="R25" i="211"/>
  <c r="R26" i="211"/>
  <c r="R27" i="211"/>
  <c r="R28" i="211"/>
  <c r="R29" i="211"/>
  <c r="R30" i="211"/>
  <c r="R31" i="211"/>
  <c r="R32" i="211"/>
  <c r="R33" i="211"/>
  <c r="R34" i="211"/>
  <c r="R5" i="211"/>
  <c r="B6" i="196"/>
  <c r="B7" i="196"/>
  <c r="I5" i="196"/>
  <c r="I6" i="196"/>
  <c r="I7" i="196"/>
  <c r="I8" i="196"/>
  <c r="I9" i="196"/>
  <c r="I10" i="196"/>
  <c r="I11" i="196"/>
  <c r="I12" i="196"/>
  <c r="I13" i="196"/>
  <c r="I14" i="196"/>
  <c r="I15" i="196"/>
  <c r="I16" i="196"/>
  <c r="I17" i="196"/>
  <c r="I18" i="196"/>
  <c r="I19" i="196"/>
  <c r="I20" i="196"/>
  <c r="I21" i="196"/>
  <c r="I22" i="196"/>
  <c r="I23" i="196"/>
  <c r="I24" i="196"/>
  <c r="I25" i="196"/>
  <c r="I26" i="196"/>
  <c r="I27" i="196"/>
  <c r="I28" i="196"/>
  <c r="I29" i="196"/>
  <c r="I30" i="196"/>
  <c r="I31" i="196"/>
  <c r="I32" i="196"/>
  <c r="I33" i="196"/>
  <c r="I34" i="196"/>
  <c r="I35" i="196"/>
  <c r="I36" i="196"/>
  <c r="I37" i="196"/>
  <c r="I38" i="196"/>
  <c r="I39" i="196"/>
  <c r="I40" i="196"/>
  <c r="I41" i="196"/>
  <c r="I42" i="196"/>
  <c r="I43" i="196"/>
  <c r="I44" i="196"/>
  <c r="D45" i="196"/>
  <c r="E45" i="196"/>
  <c r="F45" i="196"/>
  <c r="G45" i="196"/>
  <c r="H45" i="196"/>
  <c r="S6" i="199"/>
  <c r="T6" i="199"/>
  <c r="U6" i="199"/>
  <c r="V6" i="199"/>
  <c r="X6" i="199"/>
  <c r="Y6" i="199"/>
  <c r="Z6" i="199"/>
  <c r="AA6" i="199"/>
  <c r="Q23" i="199"/>
  <c r="Q22" i="199"/>
  <c r="Q21" i="199"/>
  <c r="Q20" i="199"/>
  <c r="Q19" i="199"/>
  <c r="Q18" i="199"/>
  <c r="Q17" i="199"/>
  <c r="Q16" i="199"/>
  <c r="R23" i="199"/>
  <c r="R22" i="199"/>
  <c r="R21" i="199"/>
  <c r="R20" i="199"/>
  <c r="R19" i="199"/>
  <c r="R18" i="199"/>
  <c r="R17" i="199"/>
  <c r="R16" i="199"/>
  <c r="R15" i="199"/>
  <c r="R8" i="199"/>
  <c r="F4" i="208"/>
  <c r="A5" i="219" s="1" a="1"/>
  <c r="A5" i="219" s="1"/>
  <c r="D2" i="210"/>
  <c r="F34" i="201"/>
  <c r="F35" i="201"/>
  <c r="F36" i="201"/>
  <c r="F37" i="201"/>
  <c r="F38" i="201"/>
  <c r="F39" i="201"/>
  <c r="F40" i="201"/>
  <c r="F41" i="201"/>
  <c r="F42" i="201"/>
  <c r="F43" i="201"/>
  <c r="F44" i="201"/>
  <c r="Y17" i="199"/>
  <c r="X19" i="199"/>
  <c r="AA23" i="199"/>
  <c r="Z23" i="199"/>
  <c r="Y23" i="199"/>
  <c r="X23" i="199"/>
  <c r="V23" i="199"/>
  <c r="AA22" i="199"/>
  <c r="Z22" i="199"/>
  <c r="Y22" i="199"/>
  <c r="X22" i="199"/>
  <c r="V22" i="199"/>
  <c r="AA21" i="199"/>
  <c r="Z21" i="199"/>
  <c r="Y21" i="199"/>
  <c r="X21" i="199"/>
  <c r="AA20" i="199"/>
  <c r="Z20" i="199"/>
  <c r="Y20" i="199"/>
  <c r="X20" i="199"/>
  <c r="V20" i="199"/>
  <c r="AA19" i="199"/>
  <c r="Z19" i="199"/>
  <c r="Y19" i="199"/>
  <c r="V19" i="199"/>
  <c r="AA18" i="199"/>
  <c r="Z18" i="199"/>
  <c r="Y18" i="199"/>
  <c r="X18" i="199"/>
  <c r="V18" i="199"/>
  <c r="AA17" i="199"/>
  <c r="Z17" i="199"/>
  <c r="X17" i="199"/>
  <c r="AA16" i="199"/>
  <c r="Z16" i="199"/>
  <c r="Y16" i="199"/>
  <c r="X16" i="199"/>
  <c r="V16" i="199"/>
  <c r="AA14" i="199"/>
  <c r="Z14" i="199"/>
  <c r="Y14" i="199"/>
  <c r="X14" i="199"/>
  <c r="V14" i="199"/>
  <c r="AA13" i="199"/>
  <c r="Z13" i="199"/>
  <c r="Y13" i="199"/>
  <c r="X13" i="199"/>
  <c r="V13" i="199"/>
  <c r="AA12" i="199"/>
  <c r="Z12" i="199"/>
  <c r="Y12" i="199"/>
  <c r="X12" i="199"/>
  <c r="V12" i="199"/>
  <c r="AA11" i="199"/>
  <c r="Z11" i="199"/>
  <c r="Y11" i="199"/>
  <c r="X11" i="199"/>
  <c r="V11" i="199"/>
  <c r="AA10" i="199"/>
  <c r="Z10" i="199"/>
  <c r="Y10" i="199"/>
  <c r="X10" i="199"/>
  <c r="V10" i="199"/>
  <c r="AA9" i="199"/>
  <c r="Z9" i="199"/>
  <c r="Y9" i="199"/>
  <c r="X9" i="199"/>
  <c r="V9" i="199"/>
  <c r="AA8" i="199"/>
  <c r="Z8" i="199"/>
  <c r="Y8" i="199"/>
  <c r="X8" i="199"/>
  <c r="P3" i="189"/>
  <c r="P4" i="189"/>
  <c r="P5" i="189"/>
  <c r="P6" i="189"/>
  <c r="P2" i="189"/>
  <c r="N6" i="189"/>
  <c r="N3" i="189"/>
  <c r="N4" i="189"/>
  <c r="N5" i="189"/>
  <c r="N2" i="189"/>
  <c r="K3" i="189"/>
  <c r="K4" i="189"/>
  <c r="K5" i="189"/>
  <c r="K6" i="189"/>
  <c r="K2" i="189"/>
  <c r="D75" i="189"/>
  <c r="D69" i="189"/>
  <c r="D63" i="189"/>
  <c r="D57" i="189"/>
  <c r="D51" i="189"/>
  <c r="V21" i="199"/>
  <c r="V17" i="199"/>
  <c r="V15" i="199"/>
  <c r="V8" i="199"/>
  <c r="AA7" i="199"/>
  <c r="Z7" i="199"/>
  <c r="Y7" i="199"/>
  <c r="X7" i="199"/>
  <c r="V7" i="199"/>
  <c r="AA15" i="199"/>
  <c r="Z15" i="199"/>
  <c r="Y15" i="199"/>
  <c r="X15" i="199"/>
  <c r="C6" i="196"/>
  <c r="C7" i="196"/>
  <c r="C8" i="196"/>
  <c r="C9" i="196"/>
  <c r="C10" i="196"/>
  <c r="C11" i="196"/>
  <c r="C12" i="196"/>
  <c r="C13" i="196"/>
  <c r="C14" i="196"/>
  <c r="C15" i="196"/>
  <c r="C16" i="196"/>
  <c r="C17" i="196"/>
  <c r="C18" i="196"/>
  <c r="C19" i="196"/>
  <c r="C20" i="196"/>
  <c r="C21" i="196"/>
  <c r="C22" i="196"/>
  <c r="C23" i="196"/>
  <c r="C24" i="196"/>
  <c r="C25" i="196"/>
  <c r="C26" i="196"/>
  <c r="C27" i="196"/>
  <c r="C28" i="196"/>
  <c r="C29" i="196"/>
  <c r="C30" i="196"/>
  <c r="C31" i="196"/>
  <c r="C32" i="196"/>
  <c r="C33" i="196"/>
  <c r="C34" i="196"/>
  <c r="C35" i="196"/>
  <c r="C36" i="196"/>
  <c r="C37" i="196"/>
  <c r="C38" i="196"/>
  <c r="C39" i="196"/>
  <c r="C40" i="196"/>
  <c r="C41" i="196"/>
  <c r="C42" i="196"/>
  <c r="C43" i="196"/>
  <c r="C44" i="196"/>
  <c r="B8" i="196"/>
  <c r="B9" i="196"/>
  <c r="B10" i="196"/>
  <c r="B11" i="196"/>
  <c r="B12" i="196"/>
  <c r="B13" i="196"/>
  <c r="B14" i="196"/>
  <c r="B15" i="196"/>
  <c r="B16" i="196"/>
  <c r="B17" i="196"/>
  <c r="B18" i="196"/>
  <c r="B19" i="196"/>
  <c r="B20" i="196"/>
  <c r="B21" i="196"/>
  <c r="B22" i="196"/>
  <c r="B23" i="196"/>
  <c r="B24" i="196"/>
  <c r="B25" i="196"/>
  <c r="B26" i="196"/>
  <c r="B27" i="196"/>
  <c r="B28" i="196"/>
  <c r="B29" i="196"/>
  <c r="B30" i="196"/>
  <c r="B31" i="196"/>
  <c r="B32" i="196"/>
  <c r="B33" i="196"/>
  <c r="B34" i="196"/>
  <c r="B35" i="196"/>
  <c r="B36" i="196"/>
  <c r="B37" i="196"/>
  <c r="B38" i="196"/>
  <c r="B39" i="196"/>
  <c r="B40" i="196"/>
  <c r="B41" i="196"/>
  <c r="B42" i="196"/>
  <c r="B43" i="196"/>
  <c r="B44" i="196"/>
  <c r="E36" i="210"/>
  <c r="E37" i="210"/>
  <c r="E38" i="210"/>
  <c r="E39" i="210"/>
  <c r="E40" i="210"/>
  <c r="E41" i="210"/>
  <c r="E42" i="210"/>
  <c r="E43" i="210"/>
  <c r="E44" i="210"/>
  <c r="E45" i="210"/>
  <c r="D36" i="210"/>
  <c r="D37" i="210"/>
  <c r="D38" i="210"/>
  <c r="D39" i="210"/>
  <c r="D40" i="210"/>
  <c r="D41" i="210"/>
  <c r="D42" i="210"/>
  <c r="D43" i="210"/>
  <c r="D44" i="210"/>
  <c r="D45" i="210"/>
  <c r="C36" i="210"/>
  <c r="U36" i="210" s="1"/>
  <c r="C37" i="210"/>
  <c r="U37" i="210" s="1"/>
  <c r="C38" i="210"/>
  <c r="O38" i="210" s="1"/>
  <c r="C39" i="210"/>
  <c r="I39" i="210" s="1"/>
  <c r="C40" i="210"/>
  <c r="U40" i="210" s="1"/>
  <c r="C41" i="210"/>
  <c r="I41" i="210" s="1"/>
  <c r="C42" i="210"/>
  <c r="O42" i="210" s="1"/>
  <c r="C43" i="210"/>
  <c r="I43" i="210" s="1"/>
  <c r="C44" i="210"/>
  <c r="O44" i="210" s="1"/>
  <c r="C45" i="210"/>
  <c r="U45" i="210" s="1"/>
  <c r="B36" i="210"/>
  <c r="B37" i="210"/>
  <c r="B38" i="210"/>
  <c r="B39" i="210"/>
  <c r="B40" i="210"/>
  <c r="B41" i="210"/>
  <c r="B42" i="210"/>
  <c r="B43" i="210"/>
  <c r="B44" i="210"/>
  <c r="B45" i="210"/>
  <c r="C70" i="197"/>
  <c r="C71" i="197"/>
  <c r="C72" i="197"/>
  <c r="C73" i="197"/>
  <c r="C74" i="197"/>
  <c r="C75" i="197"/>
  <c r="C76" i="197"/>
  <c r="C77" i="197"/>
  <c r="C78" i="197"/>
  <c r="C79" i="197"/>
  <c r="C80" i="197"/>
  <c r="C81" i="197"/>
  <c r="C82" i="197"/>
  <c r="C83" i="197"/>
  <c r="C84" i="197"/>
  <c r="C85" i="197"/>
  <c r="C86" i="197"/>
  <c r="C87" i="197"/>
  <c r="C88" i="197"/>
  <c r="C89" i="197"/>
  <c r="C90" i="197"/>
  <c r="C91" i="197"/>
  <c r="C92" i="197"/>
  <c r="C93" i="197"/>
  <c r="C94" i="197"/>
  <c r="C95" i="197"/>
  <c r="C96" i="197"/>
  <c r="C97" i="197"/>
  <c r="C98" i="197"/>
  <c r="C69" i="197"/>
  <c r="B70" i="197"/>
  <c r="B71" i="197"/>
  <c r="B72" i="197"/>
  <c r="B73" i="197"/>
  <c r="B74" i="197"/>
  <c r="B75" i="197"/>
  <c r="B76" i="197"/>
  <c r="B77" i="197"/>
  <c r="B78" i="197"/>
  <c r="B79" i="197"/>
  <c r="B80" i="197"/>
  <c r="B81" i="197"/>
  <c r="B82" i="197"/>
  <c r="B83" i="197"/>
  <c r="B84" i="197"/>
  <c r="B85" i="197"/>
  <c r="B86" i="197"/>
  <c r="B87" i="197"/>
  <c r="B88" i="197"/>
  <c r="B89" i="197"/>
  <c r="B90" i="197"/>
  <c r="B91" i="197"/>
  <c r="B92" i="197"/>
  <c r="B93" i="197"/>
  <c r="B94" i="197"/>
  <c r="B95" i="197"/>
  <c r="B96" i="197"/>
  <c r="B97" i="197"/>
  <c r="B98" i="197"/>
  <c r="B69" i="197"/>
  <c r="B35" i="197"/>
  <c r="C60" i="197"/>
  <c r="C61" i="197"/>
  <c r="C62" i="197"/>
  <c r="C63" i="197"/>
  <c r="C64" i="197"/>
  <c r="B60" i="197"/>
  <c r="B61" i="197"/>
  <c r="B62" i="197"/>
  <c r="B63" i="197"/>
  <c r="B64" i="197"/>
  <c r="C36" i="197"/>
  <c r="C37" i="197"/>
  <c r="C38" i="197"/>
  <c r="C39" i="197"/>
  <c r="C40" i="197"/>
  <c r="C41" i="197"/>
  <c r="C42" i="197"/>
  <c r="C43" i="197"/>
  <c r="C44" i="197"/>
  <c r="C45" i="197"/>
  <c r="C46" i="197"/>
  <c r="C47" i="197"/>
  <c r="C48" i="197"/>
  <c r="C49" i="197"/>
  <c r="C50" i="197"/>
  <c r="C51" i="197"/>
  <c r="C52" i="197"/>
  <c r="C53" i="197"/>
  <c r="C54" i="197"/>
  <c r="C55" i="197"/>
  <c r="C56" i="197"/>
  <c r="C57" i="197"/>
  <c r="C58" i="197"/>
  <c r="C59" i="197"/>
  <c r="B36" i="197"/>
  <c r="B37" i="197"/>
  <c r="B38" i="197"/>
  <c r="B39" i="197"/>
  <c r="B40" i="197"/>
  <c r="B41" i="197"/>
  <c r="B42" i="197"/>
  <c r="B43" i="197"/>
  <c r="B44" i="197"/>
  <c r="B45" i="197"/>
  <c r="B46" i="197"/>
  <c r="B47" i="197"/>
  <c r="B48" i="197"/>
  <c r="B49" i="197"/>
  <c r="B50" i="197"/>
  <c r="B51" i="197"/>
  <c r="B52" i="197"/>
  <c r="B53" i="197"/>
  <c r="B54" i="197"/>
  <c r="B55" i="197"/>
  <c r="B56" i="197"/>
  <c r="B57" i="197"/>
  <c r="B58" i="197"/>
  <c r="B59" i="197"/>
  <c r="G24" i="197"/>
  <c r="H24" i="197"/>
  <c r="I24" i="197"/>
  <c r="O24" i="197"/>
  <c r="O20" i="199"/>
  <c r="O21" i="199"/>
  <c r="O22" i="199"/>
  <c r="O23" i="199"/>
  <c r="E24" i="197"/>
  <c r="F24" i="197"/>
  <c r="N24" i="196"/>
  <c r="N25" i="196"/>
  <c r="N26" i="196"/>
  <c r="N27" i="196"/>
  <c r="N28" i="196"/>
  <c r="N29" i="196"/>
  <c r="N30" i="196"/>
  <c r="N31" i="196"/>
  <c r="N32" i="196"/>
  <c r="N33" i="196"/>
  <c r="N34" i="196"/>
  <c r="B51" i="83"/>
  <c r="C51" i="83"/>
  <c r="D51" i="83"/>
  <c r="B52" i="83"/>
  <c r="C52" i="83"/>
  <c r="D52" i="83"/>
  <c r="B53" i="83"/>
  <c r="C53" i="83"/>
  <c r="D53" i="83"/>
  <c r="B54" i="83"/>
  <c r="C54" i="83"/>
  <c r="D54" i="83"/>
  <c r="B55" i="83"/>
  <c r="C55" i="83"/>
  <c r="D55" i="83"/>
  <c r="B56" i="83"/>
  <c r="C56" i="83"/>
  <c r="D56" i="83"/>
  <c r="B57" i="83"/>
  <c r="C57" i="83"/>
  <c r="D57" i="83"/>
  <c r="B58" i="83"/>
  <c r="C58" i="83"/>
  <c r="D58" i="83"/>
  <c r="B59" i="83"/>
  <c r="C59" i="83"/>
  <c r="D59" i="83"/>
  <c r="P24" i="197" l="1"/>
  <c r="R5" i="199"/>
  <c r="Q15" i="199"/>
  <c r="Q13" i="199"/>
  <c r="Q11" i="199"/>
  <c r="Q9" i="199"/>
  <c r="Q7" i="199"/>
  <c r="Q14" i="199"/>
  <c r="Q12" i="199"/>
  <c r="Q10" i="199"/>
  <c r="Q8" i="199"/>
  <c r="Q6" i="199"/>
  <c r="Q5" i="199"/>
  <c r="I45" i="196"/>
  <c r="H39" i="210"/>
  <c r="F39" i="210" s="1"/>
  <c r="AC38" i="201" s="1"/>
  <c r="O41" i="210"/>
  <c r="U39" i="210"/>
  <c r="O40" i="210"/>
  <c r="O39" i="210"/>
  <c r="U44" i="210"/>
  <c r="I44" i="210"/>
  <c r="U43" i="210"/>
  <c r="O43" i="210"/>
  <c r="H43" i="210"/>
  <c r="F43" i="210" s="1"/>
  <c r="AC42" i="201" s="1"/>
  <c r="I42" i="210"/>
  <c r="H42" i="210" s="1"/>
  <c r="F42" i="210" s="1"/>
  <c r="AC41" i="201" s="1"/>
  <c r="U42" i="210"/>
  <c r="U41" i="210"/>
  <c r="I40" i="210"/>
  <c r="H40" i="210" s="1"/>
  <c r="F40" i="210" s="1"/>
  <c r="AC39" i="201" s="1"/>
  <c r="I38" i="210"/>
  <c r="U38" i="210"/>
  <c r="O37" i="210"/>
  <c r="I37" i="210"/>
  <c r="H37" i="210" s="1"/>
  <c r="F37" i="210" s="1"/>
  <c r="AC36" i="201" s="1"/>
  <c r="I36" i="210"/>
  <c r="O36" i="210"/>
  <c r="I45" i="210"/>
  <c r="O45" i="210"/>
  <c r="B35" i="201"/>
  <c r="C35" i="201"/>
  <c r="D35" i="201"/>
  <c r="B36" i="201"/>
  <c r="C36" i="201"/>
  <c r="D36" i="201"/>
  <c r="B37" i="201"/>
  <c r="C37" i="201"/>
  <c r="D37" i="201"/>
  <c r="B38" i="201"/>
  <c r="C38" i="201"/>
  <c r="D38" i="201"/>
  <c r="B39" i="201"/>
  <c r="C39" i="201"/>
  <c r="D39" i="201"/>
  <c r="B40" i="201"/>
  <c r="C40" i="201"/>
  <c r="D40" i="201"/>
  <c r="B41" i="201"/>
  <c r="C41" i="201"/>
  <c r="D41" i="201"/>
  <c r="B42" i="201"/>
  <c r="C42" i="201"/>
  <c r="D42" i="201"/>
  <c r="B43" i="201"/>
  <c r="C43" i="201"/>
  <c r="D43" i="201"/>
  <c r="B44" i="201"/>
  <c r="C44" i="201"/>
  <c r="D44" i="201"/>
  <c r="C34" i="201"/>
  <c r="D34" i="201"/>
  <c r="M31" i="83" l="1"/>
  <c r="CK3" i="208"/>
  <c r="E34" i="201"/>
  <c r="E44" i="201"/>
  <c r="E43" i="201"/>
  <c r="E42" i="201"/>
  <c r="E41" i="201"/>
  <c r="E40" i="201"/>
  <c r="E39" i="201"/>
  <c r="E38" i="201"/>
  <c r="E37" i="201"/>
  <c r="E36" i="201"/>
  <c r="E35" i="201"/>
  <c r="H41" i="210"/>
  <c r="F41" i="210" s="1"/>
  <c r="AC40" i="201" s="1"/>
  <c r="H44" i="210"/>
  <c r="F44" i="210" s="1"/>
  <c r="AC43" i="201" s="1"/>
  <c r="H36" i="210"/>
  <c r="F36" i="210" s="1"/>
  <c r="AC35" i="201" s="1"/>
  <c r="H38" i="210"/>
  <c r="F38" i="210" s="1"/>
  <c r="AC37" i="201" s="1"/>
  <c r="AI35" i="201"/>
  <c r="AI42" i="201"/>
  <c r="AI39" i="201"/>
  <c r="AI43" i="201"/>
  <c r="AI40" i="201"/>
  <c r="AI44" i="201"/>
  <c r="AI37" i="201"/>
  <c r="AI34" i="201"/>
  <c r="AI36" i="201"/>
  <c r="AI41" i="201"/>
  <c r="AI38" i="201"/>
  <c r="AJ38" i="201"/>
  <c r="G40" i="201"/>
  <c r="G41" i="201"/>
  <c r="G42" i="201"/>
  <c r="G43" i="201"/>
  <c r="G35" i="201"/>
  <c r="G44" i="201"/>
  <c r="G36" i="201"/>
  <c r="G37" i="201"/>
  <c r="G34" i="201"/>
  <c r="G38" i="201"/>
  <c r="G39" i="201"/>
  <c r="AJ43" i="201"/>
  <c r="AJ42" i="201"/>
  <c r="AJ41" i="201"/>
  <c r="AJ40" i="201"/>
  <c r="AJ39" i="201"/>
  <c r="AJ37" i="201"/>
  <c r="AJ36" i="201"/>
  <c r="AJ35" i="201"/>
  <c r="H45" i="210"/>
  <c r="F45" i="210" s="1"/>
  <c r="AC44" i="201" s="1"/>
  <c r="AJ44" i="201"/>
  <c r="AJ34" i="201"/>
  <c r="AH45" i="201"/>
  <c r="AF45" i="201"/>
  <c r="AE45" i="201"/>
  <c r="CH3" i="208" s="1"/>
  <c r="AG45" i="201"/>
  <c r="D45" i="83"/>
  <c r="D46" i="83"/>
  <c r="D47" i="83"/>
  <c r="D48" i="83"/>
  <c r="D49" i="83"/>
  <c r="D50" i="83"/>
  <c r="B45" i="83"/>
  <c r="B46" i="83"/>
  <c r="B47" i="83"/>
  <c r="B48" i="83"/>
  <c r="B49" i="83"/>
  <c r="B50" i="83"/>
  <c r="C46" i="83"/>
  <c r="C47" i="83"/>
  <c r="C48" i="83"/>
  <c r="C49" i="83"/>
  <c r="C50" i="83"/>
  <c r="C45" i="83"/>
  <c r="F34" i="212" l="1"/>
  <c r="D34" i="212"/>
  <c r="C34" i="212"/>
  <c r="E34" i="212" s="1"/>
  <c r="B34" i="212"/>
  <c r="F33" i="212"/>
  <c r="D33" i="212"/>
  <c r="C33" i="212"/>
  <c r="E33" i="212" s="1"/>
  <c r="B33" i="212"/>
  <c r="F32" i="212"/>
  <c r="D32" i="212"/>
  <c r="C32" i="212"/>
  <c r="E32" i="212" s="1"/>
  <c r="B32" i="212"/>
  <c r="F31" i="212"/>
  <c r="D31" i="212"/>
  <c r="C31" i="212"/>
  <c r="E31" i="212" s="1"/>
  <c r="B31" i="212"/>
  <c r="F30" i="212"/>
  <c r="D30" i="212"/>
  <c r="C30" i="212"/>
  <c r="E30" i="212" s="1"/>
  <c r="B30" i="212"/>
  <c r="F29" i="212"/>
  <c r="D29" i="212"/>
  <c r="C29" i="212"/>
  <c r="E29" i="212" s="1"/>
  <c r="B29" i="212"/>
  <c r="F28" i="212"/>
  <c r="D28" i="212"/>
  <c r="C28" i="212"/>
  <c r="E28" i="212" s="1"/>
  <c r="B28" i="212"/>
  <c r="F27" i="212"/>
  <c r="D27" i="212"/>
  <c r="C27" i="212"/>
  <c r="E27" i="212" s="1"/>
  <c r="B27" i="212"/>
  <c r="F26" i="212"/>
  <c r="D26" i="212"/>
  <c r="C26" i="212"/>
  <c r="E26" i="212" s="1"/>
  <c r="B26" i="212"/>
  <c r="F25" i="212"/>
  <c r="D25" i="212"/>
  <c r="C25" i="212"/>
  <c r="E25" i="212" s="1"/>
  <c r="B25" i="212"/>
  <c r="F24" i="212"/>
  <c r="D24" i="212"/>
  <c r="C24" i="212"/>
  <c r="E24" i="212" s="1"/>
  <c r="B24" i="212"/>
  <c r="F23" i="212"/>
  <c r="D23" i="212"/>
  <c r="C23" i="212"/>
  <c r="E23" i="212" s="1"/>
  <c r="B23" i="212"/>
  <c r="F22" i="212"/>
  <c r="D22" i="212"/>
  <c r="C22" i="212"/>
  <c r="E22" i="212" s="1"/>
  <c r="B22" i="212"/>
  <c r="F21" i="212"/>
  <c r="D21" i="212"/>
  <c r="C21" i="212"/>
  <c r="E21" i="212" s="1"/>
  <c r="B21" i="212"/>
  <c r="F20" i="212"/>
  <c r="D20" i="212"/>
  <c r="C20" i="212"/>
  <c r="E20" i="212" s="1"/>
  <c r="B20" i="212"/>
  <c r="F19" i="212"/>
  <c r="D19" i="212"/>
  <c r="C19" i="212"/>
  <c r="E19" i="212" s="1"/>
  <c r="B19" i="212"/>
  <c r="F18" i="212"/>
  <c r="D18" i="212"/>
  <c r="C18" i="212"/>
  <c r="E18" i="212" s="1"/>
  <c r="B18" i="212"/>
  <c r="F17" i="212"/>
  <c r="D17" i="212"/>
  <c r="C17" i="212"/>
  <c r="E17" i="212" s="1"/>
  <c r="B17" i="212"/>
  <c r="F16" i="212"/>
  <c r="D16" i="212"/>
  <c r="C16" i="212"/>
  <c r="E16" i="212" s="1"/>
  <c r="B16" i="212"/>
  <c r="F15" i="212"/>
  <c r="D15" i="212"/>
  <c r="C15" i="212"/>
  <c r="E15" i="212" s="1"/>
  <c r="B15" i="212"/>
  <c r="F14" i="212"/>
  <c r="D14" i="212"/>
  <c r="C14" i="212"/>
  <c r="E14" i="212" s="1"/>
  <c r="B14" i="212"/>
  <c r="F13" i="212"/>
  <c r="D13" i="212"/>
  <c r="C13" i="212"/>
  <c r="E13" i="212" s="1"/>
  <c r="B13" i="212"/>
  <c r="F12" i="212"/>
  <c r="D12" i="212"/>
  <c r="C12" i="212"/>
  <c r="E12" i="212" s="1"/>
  <c r="B12" i="212"/>
  <c r="F11" i="212"/>
  <c r="D11" i="212"/>
  <c r="C11" i="212"/>
  <c r="E11" i="212" s="1"/>
  <c r="B11" i="212"/>
  <c r="F10" i="212"/>
  <c r="D10" i="212"/>
  <c r="C10" i="212"/>
  <c r="E10" i="212" s="1"/>
  <c r="B10" i="212"/>
  <c r="F9" i="212"/>
  <c r="D9" i="212"/>
  <c r="C9" i="212"/>
  <c r="E9" i="212" s="1"/>
  <c r="B9" i="212"/>
  <c r="F8" i="212"/>
  <c r="D8" i="212"/>
  <c r="C8" i="212"/>
  <c r="E8" i="212" s="1"/>
  <c r="B8" i="212"/>
  <c r="F7" i="212"/>
  <c r="D7" i="212"/>
  <c r="C7" i="212"/>
  <c r="E7" i="212" s="1"/>
  <c r="B7" i="212"/>
  <c r="F6" i="212"/>
  <c r="D6" i="212"/>
  <c r="C6" i="212"/>
  <c r="E5" i="212" s="1"/>
  <c r="B6" i="212"/>
  <c r="A6" i="212"/>
  <c r="A7" i="212" s="1"/>
  <c r="A8" i="212" s="1"/>
  <c r="A9" i="212" s="1"/>
  <c r="A10" i="212" s="1"/>
  <c r="A11" i="212" s="1"/>
  <c r="A12" i="212" s="1"/>
  <c r="A13" i="212" s="1"/>
  <c r="A14" i="212" s="1"/>
  <c r="A15" i="212" s="1"/>
  <c r="A16" i="212" s="1"/>
  <c r="A17" i="212" s="1"/>
  <c r="A18" i="212" s="1"/>
  <c r="A19" i="212" s="1"/>
  <c r="A20" i="212" s="1"/>
  <c r="A21" i="212" s="1"/>
  <c r="A22" i="212" s="1"/>
  <c r="A23" i="212" s="1"/>
  <c r="A24" i="212" s="1"/>
  <c r="A25" i="212" s="1"/>
  <c r="A26" i="212" s="1"/>
  <c r="A27" i="212" s="1"/>
  <c r="A28" i="212" s="1"/>
  <c r="A29" i="212" s="1"/>
  <c r="A30" i="212" s="1"/>
  <c r="A31" i="212" s="1"/>
  <c r="A32" i="212" s="1"/>
  <c r="A33" i="212" s="1"/>
  <c r="A34" i="212" s="1"/>
  <c r="F5" i="212"/>
  <c r="D5" i="212"/>
  <c r="C5" i="212"/>
  <c r="B5" i="212"/>
  <c r="D1" i="212"/>
  <c r="T35" i="211"/>
  <c r="D34" i="211"/>
  <c r="C34" i="211"/>
  <c r="S34" i="211" s="1"/>
  <c r="B34" i="211"/>
  <c r="D33" i="211"/>
  <c r="C33" i="211"/>
  <c r="S33" i="211" s="1"/>
  <c r="B33" i="211"/>
  <c r="D32" i="211"/>
  <c r="C32" i="211"/>
  <c r="S32" i="211" s="1"/>
  <c r="B32" i="211"/>
  <c r="D31" i="211"/>
  <c r="C31" i="211"/>
  <c r="S31" i="211" s="1"/>
  <c r="B31" i="211"/>
  <c r="D30" i="211"/>
  <c r="C30" i="211"/>
  <c r="S30" i="211" s="1"/>
  <c r="B30" i="211"/>
  <c r="D29" i="211"/>
  <c r="C29" i="211"/>
  <c r="S29" i="211" s="1"/>
  <c r="B29" i="211"/>
  <c r="D28" i="211"/>
  <c r="C28" i="211"/>
  <c r="S28" i="211" s="1"/>
  <c r="B28" i="211"/>
  <c r="D27" i="211"/>
  <c r="C27" i="211"/>
  <c r="S27" i="211" s="1"/>
  <c r="B27" i="211"/>
  <c r="D26" i="211"/>
  <c r="C26" i="211"/>
  <c r="S26" i="211" s="1"/>
  <c r="B26" i="211"/>
  <c r="D25" i="211"/>
  <c r="C25" i="211"/>
  <c r="S25" i="211" s="1"/>
  <c r="B25" i="211"/>
  <c r="D24" i="211"/>
  <c r="C24" i="211"/>
  <c r="S24" i="211" s="1"/>
  <c r="B24" i="211"/>
  <c r="D23" i="211"/>
  <c r="C23" i="211"/>
  <c r="S23" i="211" s="1"/>
  <c r="B23" i="211"/>
  <c r="D22" i="211"/>
  <c r="C22" i="211"/>
  <c r="S22" i="211" s="1"/>
  <c r="B22" i="211"/>
  <c r="D21" i="211"/>
  <c r="C21" i="211"/>
  <c r="S21" i="211" s="1"/>
  <c r="B21" i="211"/>
  <c r="D20" i="211"/>
  <c r="C20" i="211"/>
  <c r="S20" i="211" s="1"/>
  <c r="B20" i="211"/>
  <c r="D19" i="211"/>
  <c r="C19" i="211"/>
  <c r="S19" i="211" s="1"/>
  <c r="B19" i="211"/>
  <c r="D18" i="211"/>
  <c r="C18" i="211"/>
  <c r="S18" i="211" s="1"/>
  <c r="B18" i="211"/>
  <c r="D17" i="211"/>
  <c r="C17" i="211"/>
  <c r="S17" i="211" s="1"/>
  <c r="B17" i="211"/>
  <c r="D16" i="211"/>
  <c r="C16" i="211"/>
  <c r="S16" i="211" s="1"/>
  <c r="B16" i="211"/>
  <c r="D15" i="211"/>
  <c r="C15" i="211"/>
  <c r="S15" i="211" s="1"/>
  <c r="B15" i="211"/>
  <c r="D14" i="211"/>
  <c r="C14" i="211"/>
  <c r="S14" i="211" s="1"/>
  <c r="B14" i="211"/>
  <c r="D13" i="211"/>
  <c r="C13" i="211"/>
  <c r="S13" i="211" s="1"/>
  <c r="B13" i="211"/>
  <c r="D12" i="211"/>
  <c r="C12" i="211"/>
  <c r="S12" i="211" s="1"/>
  <c r="B12" i="211"/>
  <c r="D11" i="211"/>
  <c r="C11" i="211"/>
  <c r="S11" i="211" s="1"/>
  <c r="B11" i="211"/>
  <c r="D10" i="211"/>
  <c r="C10" i="211"/>
  <c r="S10" i="211" s="1"/>
  <c r="B10" i="211"/>
  <c r="D9" i="211"/>
  <c r="C9" i="211"/>
  <c r="S9" i="211" s="1"/>
  <c r="B9" i="211"/>
  <c r="D8" i="211"/>
  <c r="C8" i="211"/>
  <c r="S8" i="211" s="1"/>
  <c r="B8" i="211"/>
  <c r="D7" i="211"/>
  <c r="C7" i="211"/>
  <c r="S7" i="211" s="1"/>
  <c r="B7" i="211"/>
  <c r="D6" i="211"/>
  <c r="C6" i="211"/>
  <c r="S6" i="211" s="1"/>
  <c r="B6" i="211"/>
  <c r="A6" i="211"/>
  <c r="A7" i="211" s="1"/>
  <c r="A8" i="211" s="1"/>
  <c r="A9" i="211" s="1"/>
  <c r="A10" i="211" s="1"/>
  <c r="A11" i="211" s="1"/>
  <c r="A12" i="211" s="1"/>
  <c r="A13" i="211" s="1"/>
  <c r="A14" i="211" s="1"/>
  <c r="A15" i="211" s="1"/>
  <c r="A16" i="211" s="1"/>
  <c r="A17" i="211" s="1"/>
  <c r="A18" i="211" s="1"/>
  <c r="A19" i="211" s="1"/>
  <c r="A20" i="211" s="1"/>
  <c r="A21" i="211" s="1"/>
  <c r="A22" i="211" s="1"/>
  <c r="A23" i="211" s="1"/>
  <c r="A24" i="211" s="1"/>
  <c r="A25" i="211" s="1"/>
  <c r="A26" i="211" s="1"/>
  <c r="A27" i="211" s="1"/>
  <c r="A28" i="211" s="1"/>
  <c r="A29" i="211" s="1"/>
  <c r="A30" i="211" s="1"/>
  <c r="A31" i="211" s="1"/>
  <c r="A32" i="211" s="1"/>
  <c r="A33" i="211" s="1"/>
  <c r="A34" i="211" s="1"/>
  <c r="D5" i="211"/>
  <c r="C5" i="211"/>
  <c r="S5" i="211" s="1"/>
  <c r="B5" i="211"/>
  <c r="D1" i="211"/>
  <c r="E6" i="212" l="1"/>
  <c r="R4" i="208" l="1"/>
  <c r="R3" i="208" s="1"/>
  <c r="D7" i="210"/>
  <c r="D21" i="83" l="1"/>
  <c r="D22" i="83"/>
  <c r="D23" i="83"/>
  <c r="D24" i="83"/>
  <c r="D25" i="83"/>
  <c r="D26" i="83"/>
  <c r="D27" i="83"/>
  <c r="D28" i="83"/>
  <c r="D29" i="83"/>
  <c r="D30" i="83"/>
  <c r="D31" i="83"/>
  <c r="D32" i="83"/>
  <c r="D33" i="83"/>
  <c r="D34" i="83"/>
  <c r="D35" i="83"/>
  <c r="D36" i="83"/>
  <c r="D37" i="83"/>
  <c r="D38" i="83"/>
  <c r="D39" i="83"/>
  <c r="D40" i="83"/>
  <c r="D41" i="83"/>
  <c r="D42" i="83"/>
  <c r="D43" i="83"/>
  <c r="D44" i="83"/>
  <c r="C44" i="83"/>
  <c r="C43" i="83"/>
  <c r="C42" i="83"/>
  <c r="C41" i="83"/>
  <c r="C40" i="83"/>
  <c r="C39" i="83"/>
  <c r="C38" i="83"/>
  <c r="C37" i="83"/>
  <c r="C36" i="83"/>
  <c r="C35" i="83"/>
  <c r="C34" i="83"/>
  <c r="C33" i="83"/>
  <c r="C32" i="83"/>
  <c r="C31" i="83"/>
  <c r="C30" i="83"/>
  <c r="C29" i="83"/>
  <c r="C28" i="83"/>
  <c r="C27" i="83"/>
  <c r="C26" i="83"/>
  <c r="C25" i="83"/>
  <c r="C24" i="83"/>
  <c r="C23" i="83"/>
  <c r="C22" i="83"/>
  <c r="C21" i="83"/>
  <c r="C20" i="83"/>
  <c r="B21" i="83"/>
  <c r="B22" i="83"/>
  <c r="B23" i="83"/>
  <c r="B24" i="83"/>
  <c r="B25" i="83"/>
  <c r="B26" i="83"/>
  <c r="B27" i="83"/>
  <c r="B28" i="83"/>
  <c r="B29" i="83"/>
  <c r="B30" i="83"/>
  <c r="B31" i="83"/>
  <c r="B32" i="83"/>
  <c r="B33" i="83"/>
  <c r="B34" i="83"/>
  <c r="B35" i="83"/>
  <c r="B36" i="83"/>
  <c r="B37" i="83"/>
  <c r="B38" i="83"/>
  <c r="B39" i="83"/>
  <c r="B40" i="83"/>
  <c r="B41" i="83"/>
  <c r="B42" i="83"/>
  <c r="B43" i="83"/>
  <c r="B44" i="83"/>
  <c r="B20" i="83"/>
  <c r="T5" i="200"/>
  <c r="T6" i="200"/>
  <c r="T7" i="200"/>
  <c r="T8" i="200"/>
  <c r="T9" i="200"/>
  <c r="T10" i="200"/>
  <c r="T11" i="200"/>
  <c r="T12" i="200"/>
  <c r="T13" i="200"/>
  <c r="T14" i="200"/>
  <c r="T15" i="200"/>
  <c r="T16" i="200"/>
  <c r="T17" i="200"/>
  <c r="T18" i="200"/>
  <c r="T19" i="200"/>
  <c r="T20" i="200"/>
  <c r="T21" i="200"/>
  <c r="T22" i="200"/>
  <c r="T23" i="200"/>
  <c r="T24" i="200"/>
  <c r="T25" i="200"/>
  <c r="T26" i="200"/>
  <c r="T27" i="200"/>
  <c r="T28" i="200"/>
  <c r="T4" i="200"/>
  <c r="S5" i="200"/>
  <c r="S6" i="200"/>
  <c r="S7" i="200"/>
  <c r="S8" i="200"/>
  <c r="S9" i="200"/>
  <c r="S10" i="200"/>
  <c r="S11" i="200"/>
  <c r="S12" i="200"/>
  <c r="S13" i="200"/>
  <c r="S14" i="200"/>
  <c r="S15" i="200"/>
  <c r="S16" i="200"/>
  <c r="S17" i="200"/>
  <c r="S18" i="200"/>
  <c r="S19" i="200"/>
  <c r="S20" i="200"/>
  <c r="S21" i="200"/>
  <c r="S22" i="200"/>
  <c r="S23" i="200"/>
  <c r="S24" i="200"/>
  <c r="S25" i="200"/>
  <c r="S26" i="200"/>
  <c r="S27" i="200"/>
  <c r="S28" i="200"/>
  <c r="S4" i="200"/>
  <c r="R5" i="200"/>
  <c r="R6" i="200"/>
  <c r="R7" i="200"/>
  <c r="R8" i="200"/>
  <c r="R9" i="200"/>
  <c r="R10" i="200"/>
  <c r="R11" i="200"/>
  <c r="R12" i="200"/>
  <c r="R13" i="200"/>
  <c r="R14" i="200"/>
  <c r="R15" i="200"/>
  <c r="R16" i="200"/>
  <c r="R17" i="200"/>
  <c r="R18" i="200"/>
  <c r="R19" i="200"/>
  <c r="R20" i="200"/>
  <c r="R21" i="200"/>
  <c r="R22" i="200"/>
  <c r="R23" i="200"/>
  <c r="R24" i="200"/>
  <c r="R25" i="200"/>
  <c r="R26" i="200"/>
  <c r="R27" i="200"/>
  <c r="R28" i="200"/>
  <c r="R4" i="200"/>
  <c r="Q5" i="200"/>
  <c r="Q6" i="200"/>
  <c r="Q7" i="200"/>
  <c r="Q8" i="200"/>
  <c r="Q9" i="200"/>
  <c r="Q10" i="200"/>
  <c r="Q11" i="200"/>
  <c r="Q12" i="200"/>
  <c r="Q13" i="200"/>
  <c r="Q14" i="200"/>
  <c r="Q15" i="200"/>
  <c r="Q16" i="200"/>
  <c r="Q17" i="200"/>
  <c r="Q18" i="200"/>
  <c r="Q19" i="200"/>
  <c r="Q20" i="200"/>
  <c r="Q21" i="200"/>
  <c r="Q22" i="200"/>
  <c r="Q23" i="200"/>
  <c r="Q24" i="200"/>
  <c r="Q25" i="200"/>
  <c r="Q26" i="200"/>
  <c r="Q27" i="200"/>
  <c r="Q28" i="200"/>
  <c r="Q4" i="200"/>
  <c r="J28" i="200"/>
  <c r="I28" i="200"/>
  <c r="H28" i="200"/>
  <c r="J27" i="200"/>
  <c r="I27" i="200"/>
  <c r="H27" i="200"/>
  <c r="J26" i="200"/>
  <c r="I26" i="200"/>
  <c r="H26" i="200"/>
  <c r="J25" i="200"/>
  <c r="I25" i="200"/>
  <c r="H25" i="200"/>
  <c r="J24" i="200"/>
  <c r="I24" i="200"/>
  <c r="H24" i="200"/>
  <c r="J23" i="200"/>
  <c r="I23" i="200"/>
  <c r="H23" i="200"/>
  <c r="J22" i="200"/>
  <c r="I22" i="200"/>
  <c r="H22" i="200"/>
  <c r="J21" i="200"/>
  <c r="I21" i="200"/>
  <c r="H21" i="200"/>
  <c r="J20" i="200"/>
  <c r="I20" i="200"/>
  <c r="H20" i="200"/>
  <c r="J19" i="200"/>
  <c r="I19" i="200"/>
  <c r="H19" i="200"/>
  <c r="J18" i="200"/>
  <c r="I18" i="200"/>
  <c r="H18" i="200"/>
  <c r="J17" i="200"/>
  <c r="I17" i="200"/>
  <c r="H17" i="200"/>
  <c r="J16" i="200"/>
  <c r="I16" i="200"/>
  <c r="H16" i="200"/>
  <c r="J15" i="200"/>
  <c r="I15" i="200"/>
  <c r="H15" i="200"/>
  <c r="J14" i="200"/>
  <c r="I14" i="200"/>
  <c r="H14" i="200"/>
  <c r="J13" i="200"/>
  <c r="I13" i="200"/>
  <c r="H13" i="200"/>
  <c r="J12" i="200"/>
  <c r="I12" i="200"/>
  <c r="H12" i="200"/>
  <c r="J11" i="200"/>
  <c r="I11" i="200"/>
  <c r="H11" i="200"/>
  <c r="J10" i="200"/>
  <c r="I10" i="200"/>
  <c r="H10" i="200"/>
  <c r="J9" i="200"/>
  <c r="I9" i="200"/>
  <c r="H9" i="200"/>
  <c r="J8" i="200"/>
  <c r="I8" i="200"/>
  <c r="H8" i="200"/>
  <c r="J7" i="200"/>
  <c r="I7" i="200"/>
  <c r="H7" i="200"/>
  <c r="G28" i="200"/>
  <c r="F28" i="200"/>
  <c r="E28" i="200"/>
  <c r="D28" i="200"/>
  <c r="C28" i="200"/>
  <c r="G27" i="200"/>
  <c r="F27" i="200"/>
  <c r="E27" i="200"/>
  <c r="D27" i="200"/>
  <c r="C27" i="200"/>
  <c r="G26" i="200"/>
  <c r="F26" i="200"/>
  <c r="E26" i="200"/>
  <c r="D26" i="200"/>
  <c r="C26" i="200"/>
  <c r="G25" i="200"/>
  <c r="F25" i="200"/>
  <c r="E25" i="200"/>
  <c r="D25" i="200"/>
  <c r="C25" i="200"/>
  <c r="G24" i="200"/>
  <c r="F24" i="200"/>
  <c r="E24" i="200"/>
  <c r="D24" i="200"/>
  <c r="C24" i="200"/>
  <c r="G23" i="200"/>
  <c r="F23" i="200"/>
  <c r="E23" i="200"/>
  <c r="D23" i="200"/>
  <c r="C23" i="200"/>
  <c r="G22" i="200"/>
  <c r="F22" i="200"/>
  <c r="E22" i="200"/>
  <c r="D22" i="200"/>
  <c r="C22" i="200"/>
  <c r="G21" i="200"/>
  <c r="F21" i="200"/>
  <c r="E21" i="200"/>
  <c r="D21" i="200"/>
  <c r="C21" i="200"/>
  <c r="G20" i="200"/>
  <c r="F20" i="200"/>
  <c r="E20" i="200"/>
  <c r="D20" i="200"/>
  <c r="C20" i="200"/>
  <c r="G19" i="200"/>
  <c r="F19" i="200"/>
  <c r="E19" i="200"/>
  <c r="D19" i="200"/>
  <c r="C19" i="200"/>
  <c r="G18" i="200"/>
  <c r="F18" i="200"/>
  <c r="E18" i="200"/>
  <c r="D18" i="200"/>
  <c r="C18" i="200"/>
  <c r="G17" i="200"/>
  <c r="F17" i="200"/>
  <c r="E17" i="200"/>
  <c r="D17" i="200"/>
  <c r="C17" i="200"/>
  <c r="G16" i="200"/>
  <c r="F16" i="200"/>
  <c r="E16" i="200"/>
  <c r="D16" i="200"/>
  <c r="C16" i="200"/>
  <c r="G15" i="200"/>
  <c r="F15" i="200"/>
  <c r="E15" i="200"/>
  <c r="D15" i="200"/>
  <c r="C15" i="200"/>
  <c r="G14" i="200"/>
  <c r="F14" i="200"/>
  <c r="E14" i="200"/>
  <c r="D14" i="200"/>
  <c r="C14" i="200"/>
  <c r="G13" i="200"/>
  <c r="F13" i="200"/>
  <c r="E13" i="200"/>
  <c r="D13" i="200"/>
  <c r="C13" i="200"/>
  <c r="G12" i="200"/>
  <c r="F12" i="200"/>
  <c r="E12" i="200"/>
  <c r="D12" i="200"/>
  <c r="C12" i="200"/>
  <c r="G11" i="200"/>
  <c r="F11" i="200"/>
  <c r="E11" i="200"/>
  <c r="D11" i="200"/>
  <c r="C11" i="200"/>
  <c r="G10" i="200"/>
  <c r="F10" i="200"/>
  <c r="E10" i="200"/>
  <c r="D10" i="200"/>
  <c r="C10" i="200"/>
  <c r="G9" i="200"/>
  <c r="F9" i="200"/>
  <c r="E9" i="200"/>
  <c r="D9" i="200"/>
  <c r="C9" i="200"/>
  <c r="G8" i="200"/>
  <c r="F8" i="200"/>
  <c r="E8" i="200"/>
  <c r="D8" i="200"/>
  <c r="C8" i="200"/>
  <c r="G7" i="200"/>
  <c r="F7" i="200"/>
  <c r="E7" i="200"/>
  <c r="D7" i="200"/>
  <c r="C7" i="200"/>
  <c r="G6" i="200"/>
  <c r="F6" i="200"/>
  <c r="E6" i="200"/>
  <c r="D6" i="200"/>
  <c r="C6" i="200"/>
  <c r="G5" i="200"/>
  <c r="F5" i="200"/>
  <c r="E5" i="200"/>
  <c r="D5" i="200"/>
  <c r="C5" i="200"/>
  <c r="G4" i="200"/>
  <c r="F4" i="200"/>
  <c r="E4" i="200"/>
  <c r="D4" i="200"/>
  <c r="C4" i="200"/>
  <c r="U8" i="199"/>
  <c r="U9" i="199"/>
  <c r="U10" i="199"/>
  <c r="U11" i="199"/>
  <c r="U12" i="199"/>
  <c r="U13" i="199"/>
  <c r="U14" i="199"/>
  <c r="U15" i="199"/>
  <c r="U16" i="199"/>
  <c r="U17" i="199"/>
  <c r="U18" i="199"/>
  <c r="U19" i="199"/>
  <c r="U20" i="199"/>
  <c r="U21" i="199"/>
  <c r="U22" i="199"/>
  <c r="U23" i="199"/>
  <c r="T8" i="199"/>
  <c r="T9" i="199"/>
  <c r="T10" i="199"/>
  <c r="T11" i="199"/>
  <c r="T12" i="199"/>
  <c r="T13" i="199"/>
  <c r="T14" i="199"/>
  <c r="T15" i="199"/>
  <c r="T16" i="199"/>
  <c r="T17" i="199"/>
  <c r="T18" i="199"/>
  <c r="T19" i="199"/>
  <c r="T20" i="199"/>
  <c r="T21" i="199"/>
  <c r="T22" i="199"/>
  <c r="T23" i="199"/>
  <c r="S8" i="199"/>
  <c r="S9" i="199"/>
  <c r="S10" i="199"/>
  <c r="S11" i="199"/>
  <c r="S12" i="199"/>
  <c r="S13" i="199"/>
  <c r="S14" i="199"/>
  <c r="S15" i="199"/>
  <c r="S16" i="199"/>
  <c r="S17" i="199"/>
  <c r="S18" i="199"/>
  <c r="S19" i="199"/>
  <c r="S20" i="199"/>
  <c r="S21" i="199"/>
  <c r="S22" i="199"/>
  <c r="S23" i="199"/>
  <c r="C5" i="199"/>
  <c r="F5" i="201"/>
  <c r="F6" i="201"/>
  <c r="F7" i="201"/>
  <c r="F8" i="201"/>
  <c r="F9" i="201"/>
  <c r="F10" i="201"/>
  <c r="F11" i="201"/>
  <c r="F12" i="201"/>
  <c r="F13" i="201"/>
  <c r="F14" i="201"/>
  <c r="F15" i="201"/>
  <c r="F16" i="201"/>
  <c r="F17" i="201"/>
  <c r="F18" i="201"/>
  <c r="F19" i="201"/>
  <c r="F20" i="201"/>
  <c r="F21" i="201"/>
  <c r="F22" i="201"/>
  <c r="F23" i="201"/>
  <c r="F24" i="201"/>
  <c r="F25" i="201"/>
  <c r="F26" i="201"/>
  <c r="F27" i="201"/>
  <c r="F28" i="201"/>
  <c r="F29" i="201"/>
  <c r="F30" i="201"/>
  <c r="F31" i="201"/>
  <c r="F32" i="201"/>
  <c r="F33" i="201"/>
  <c r="D6" i="201" l="1"/>
  <c r="D7" i="201"/>
  <c r="D8" i="201"/>
  <c r="D9" i="201"/>
  <c r="D10" i="201"/>
  <c r="D11" i="201"/>
  <c r="D12" i="201"/>
  <c r="D13" i="201"/>
  <c r="D14" i="201"/>
  <c r="D15" i="201"/>
  <c r="D16" i="201"/>
  <c r="D17" i="201"/>
  <c r="D18" i="201"/>
  <c r="D19" i="201"/>
  <c r="D20" i="201"/>
  <c r="D21" i="201"/>
  <c r="D22" i="201"/>
  <c r="D23" i="201"/>
  <c r="D24" i="201"/>
  <c r="D25" i="201"/>
  <c r="D26" i="201"/>
  <c r="D27" i="201"/>
  <c r="D28" i="201"/>
  <c r="D29" i="201"/>
  <c r="D30" i="201"/>
  <c r="D31" i="201"/>
  <c r="D32" i="201"/>
  <c r="D33" i="201"/>
  <c r="D5" i="201"/>
  <c r="B34" i="201"/>
  <c r="B33" i="201"/>
  <c r="B32" i="201"/>
  <c r="B31" i="201"/>
  <c r="B30" i="201"/>
  <c r="B29" i="201"/>
  <c r="B28" i="201"/>
  <c r="B27" i="201"/>
  <c r="B26" i="201"/>
  <c r="B25" i="201"/>
  <c r="B24" i="201"/>
  <c r="B23" i="201"/>
  <c r="B22" i="201"/>
  <c r="B21" i="201"/>
  <c r="B20" i="201"/>
  <c r="B19" i="201"/>
  <c r="B18" i="201"/>
  <c r="B17" i="201"/>
  <c r="B16" i="201"/>
  <c r="B15" i="201"/>
  <c r="B14" i="201"/>
  <c r="B13" i="201"/>
  <c r="B12" i="201"/>
  <c r="B11" i="201"/>
  <c r="B10" i="201"/>
  <c r="B9" i="201"/>
  <c r="B8" i="201"/>
  <c r="B7" i="201"/>
  <c r="B6" i="201"/>
  <c r="B5" i="201"/>
  <c r="C33" i="201"/>
  <c r="C32" i="201"/>
  <c r="C31" i="201"/>
  <c r="C30" i="201"/>
  <c r="C29" i="201"/>
  <c r="C28" i="201"/>
  <c r="C27" i="201"/>
  <c r="C26" i="201"/>
  <c r="C25" i="201"/>
  <c r="C24" i="201"/>
  <c r="C23" i="201"/>
  <c r="C22" i="201"/>
  <c r="C21" i="201"/>
  <c r="C20" i="201"/>
  <c r="C19" i="201"/>
  <c r="C18" i="201"/>
  <c r="C17" i="201"/>
  <c r="C16" i="201"/>
  <c r="C15" i="201"/>
  <c r="C14" i="201"/>
  <c r="C13" i="201"/>
  <c r="C12" i="201"/>
  <c r="C11" i="201"/>
  <c r="C10" i="201"/>
  <c r="C9" i="201"/>
  <c r="C8" i="201"/>
  <c r="C7" i="201"/>
  <c r="C6" i="201"/>
  <c r="C5" i="201"/>
  <c r="C35" i="210"/>
  <c r="O35" i="210" s="1"/>
  <c r="B35" i="210"/>
  <c r="C34" i="210"/>
  <c r="B34" i="210"/>
  <c r="C33" i="210"/>
  <c r="O33" i="210" s="1"/>
  <c r="B33" i="210"/>
  <c r="C32" i="210"/>
  <c r="U32" i="210" s="1"/>
  <c r="B32" i="210"/>
  <c r="C31" i="210"/>
  <c r="U31" i="210" s="1"/>
  <c r="B31" i="210"/>
  <c r="C30" i="210"/>
  <c r="I30" i="210" s="1"/>
  <c r="B30" i="210"/>
  <c r="C29" i="210"/>
  <c r="U29" i="210" s="1"/>
  <c r="B29" i="210"/>
  <c r="C28" i="210"/>
  <c r="O28" i="210" s="1"/>
  <c r="B28" i="210"/>
  <c r="C27" i="210"/>
  <c r="O27" i="210" s="1"/>
  <c r="B27" i="210"/>
  <c r="C26" i="210"/>
  <c r="B26" i="210"/>
  <c r="C25" i="210"/>
  <c r="O25" i="210" s="1"/>
  <c r="B25" i="210"/>
  <c r="C24" i="210"/>
  <c r="U24" i="210" s="1"/>
  <c r="B24" i="210"/>
  <c r="C23" i="210"/>
  <c r="U23" i="210" s="1"/>
  <c r="B23" i="210"/>
  <c r="C22" i="210"/>
  <c r="I22" i="210" s="1"/>
  <c r="B22" i="210"/>
  <c r="C21" i="210"/>
  <c r="U21" i="210" s="1"/>
  <c r="B21" i="210"/>
  <c r="C20" i="210"/>
  <c r="O20" i="210" s="1"/>
  <c r="B20" i="210"/>
  <c r="C19" i="210"/>
  <c r="O19" i="210" s="1"/>
  <c r="B19" i="210"/>
  <c r="C18" i="210"/>
  <c r="B18" i="210"/>
  <c r="C17" i="210"/>
  <c r="O17" i="210" s="1"/>
  <c r="B17" i="210"/>
  <c r="C16" i="210"/>
  <c r="U16" i="210" s="1"/>
  <c r="B16" i="210"/>
  <c r="C15" i="210"/>
  <c r="U15" i="210" s="1"/>
  <c r="B15" i="210"/>
  <c r="C14" i="210"/>
  <c r="I14" i="210" s="1"/>
  <c r="B14" i="210"/>
  <c r="C13" i="210"/>
  <c r="U13" i="210" s="1"/>
  <c r="B13" i="210"/>
  <c r="C12" i="210"/>
  <c r="O12" i="210" s="1"/>
  <c r="B12" i="210"/>
  <c r="C11" i="210"/>
  <c r="U11" i="210" s="1"/>
  <c r="B11" i="210"/>
  <c r="C10" i="210"/>
  <c r="B10" i="210"/>
  <c r="C9" i="210"/>
  <c r="O9" i="210" s="1"/>
  <c r="B9" i="210"/>
  <c r="C8" i="210"/>
  <c r="U8" i="210" s="1"/>
  <c r="B8" i="210"/>
  <c r="C7" i="210"/>
  <c r="B7" i="210"/>
  <c r="C6" i="210"/>
  <c r="U6" i="210" s="1"/>
  <c r="B6" i="210"/>
  <c r="G21" i="3"/>
  <c r="B21" i="3"/>
  <c r="F21" i="3"/>
  <c r="C5" i="196"/>
  <c r="D4" i="208"/>
  <c r="BS3" i="208" s="1"/>
  <c r="E4" i="208"/>
  <c r="AI5" i="201" l="1"/>
  <c r="G6" i="3" a="1"/>
  <c r="G6" i="3" s="1"/>
  <c r="AI6" i="201"/>
  <c r="G7" i="3" a="1"/>
  <c r="G7" i="3" s="1"/>
  <c r="G5" i="3" s="1"/>
  <c r="E23" i="201"/>
  <c r="E24" i="201"/>
  <c r="E25" i="201"/>
  <c r="E26" i="201"/>
  <c r="E27" i="201"/>
  <c r="E28" i="201"/>
  <c r="E29" i="201"/>
  <c r="E30" i="201"/>
  <c r="E31" i="201"/>
  <c r="E32" i="201"/>
  <c r="E33" i="201"/>
  <c r="AI21" i="201"/>
  <c r="AI30" i="201"/>
  <c r="AI15" i="201"/>
  <c r="AI31" i="201"/>
  <c r="AI8" i="201"/>
  <c r="AI16" i="201"/>
  <c r="AI24" i="201"/>
  <c r="AI32" i="201"/>
  <c r="AI13" i="201"/>
  <c r="AI7" i="201"/>
  <c r="AI9" i="201"/>
  <c r="AI17" i="201"/>
  <c r="AI25" i="201"/>
  <c r="AI33" i="201"/>
  <c r="AI10" i="201"/>
  <c r="AI18" i="201"/>
  <c r="AI26" i="201"/>
  <c r="AI22" i="201"/>
  <c r="AI11" i="201"/>
  <c r="AI19" i="201"/>
  <c r="AI27" i="201"/>
  <c r="AI29" i="201"/>
  <c r="AI14" i="201"/>
  <c r="AI23" i="201"/>
  <c r="AI12" i="201"/>
  <c r="AI20" i="201"/>
  <c r="AJ28" i="201"/>
  <c r="AI28" i="201"/>
  <c r="AJ33" i="201"/>
  <c r="AJ32" i="201"/>
  <c r="AJ31" i="201"/>
  <c r="AJ30" i="201"/>
  <c r="AJ29" i="201"/>
  <c r="AJ27" i="201"/>
  <c r="AJ26" i="201"/>
  <c r="AJ25" i="201"/>
  <c r="AJ24" i="201"/>
  <c r="G5" i="201"/>
  <c r="G23" i="201"/>
  <c r="G8" i="201"/>
  <c r="G16" i="201"/>
  <c r="G24" i="201"/>
  <c r="G32" i="201"/>
  <c r="G9" i="201"/>
  <c r="G17" i="201"/>
  <c r="G25" i="201"/>
  <c r="G33" i="201"/>
  <c r="G15" i="201"/>
  <c r="G10" i="201"/>
  <c r="G18" i="201"/>
  <c r="G11" i="201"/>
  <c r="G19" i="201"/>
  <c r="G27" i="201"/>
  <c r="G12" i="201"/>
  <c r="G20" i="201"/>
  <c r="G28" i="201"/>
  <c r="G7" i="201"/>
  <c r="G31" i="201"/>
  <c r="G26" i="201"/>
  <c r="G13" i="201"/>
  <c r="G21" i="201"/>
  <c r="G29" i="201"/>
  <c r="G6" i="201"/>
  <c r="G14" i="201"/>
  <c r="G22" i="201"/>
  <c r="G30" i="201"/>
  <c r="O29" i="210"/>
  <c r="O21" i="210"/>
  <c r="I25" i="210"/>
  <c r="I26" i="210"/>
  <c r="I21" i="210"/>
  <c r="H21" i="210" s="1"/>
  <c r="F21" i="210" s="1"/>
  <c r="AC20" i="201" s="1"/>
  <c r="U28" i="210"/>
  <c r="U25" i="210"/>
  <c r="O24" i="210"/>
  <c r="O16" i="210"/>
  <c r="I18" i="210"/>
  <c r="U17" i="210"/>
  <c r="O13" i="210"/>
  <c r="I17" i="210"/>
  <c r="U12" i="210"/>
  <c r="U20" i="210"/>
  <c r="I34" i="210"/>
  <c r="I13" i="210"/>
  <c r="I33" i="210"/>
  <c r="H33" i="210" s="1"/>
  <c r="F33" i="210" s="1"/>
  <c r="AC32" i="201" s="1"/>
  <c r="I10" i="210"/>
  <c r="O32" i="210"/>
  <c r="I29" i="210"/>
  <c r="U33" i="210"/>
  <c r="O23" i="210"/>
  <c r="U35" i="210"/>
  <c r="O11" i="210"/>
  <c r="O34" i="210"/>
  <c r="O26" i="210"/>
  <c r="H26" i="210" s="1"/>
  <c r="F26" i="210" s="1"/>
  <c r="AC25" i="201" s="1"/>
  <c r="O18" i="210"/>
  <c r="O10" i="210"/>
  <c r="I28" i="210"/>
  <c r="H28" i="210" s="1"/>
  <c r="F28" i="210" s="1"/>
  <c r="AC27" i="201" s="1"/>
  <c r="I20" i="210"/>
  <c r="H20" i="210" s="1"/>
  <c r="F20" i="210" s="1"/>
  <c r="AC19" i="201" s="1"/>
  <c r="I12" i="210"/>
  <c r="H12" i="210" s="1"/>
  <c r="F12" i="210" s="1"/>
  <c r="AC11" i="201" s="1"/>
  <c r="E11" i="201" s="1"/>
  <c r="U30" i="210"/>
  <c r="U22" i="210"/>
  <c r="U14" i="210"/>
  <c r="O31" i="210"/>
  <c r="O15" i="210"/>
  <c r="U19" i="210"/>
  <c r="I35" i="210"/>
  <c r="I27" i="210"/>
  <c r="I19" i="210"/>
  <c r="H19" i="210" s="1"/>
  <c r="F19" i="210" s="1"/>
  <c r="AC18" i="201" s="1"/>
  <c r="I11" i="210"/>
  <c r="O8" i="210"/>
  <c r="O30" i="210"/>
  <c r="O22" i="210"/>
  <c r="H22" i="210" s="1"/>
  <c r="F22" i="210" s="1"/>
  <c r="AC21" i="201" s="1"/>
  <c r="O14" i="210"/>
  <c r="H14" i="210" s="1"/>
  <c r="F14" i="210" s="1"/>
  <c r="AC13" i="201" s="1"/>
  <c r="E13" i="201" s="1"/>
  <c r="I32" i="210"/>
  <c r="H32" i="210" s="1"/>
  <c r="F32" i="210" s="1"/>
  <c r="AC31" i="201" s="1"/>
  <c r="I24" i="210"/>
  <c r="H24" i="210" s="1"/>
  <c r="F24" i="210" s="1"/>
  <c r="AC23" i="201" s="1"/>
  <c r="I16" i="210"/>
  <c r="U34" i="210"/>
  <c r="U26" i="210"/>
  <c r="U18" i="210"/>
  <c r="U10" i="210"/>
  <c r="I31" i="210"/>
  <c r="I23" i="210"/>
  <c r="H23" i="210" s="1"/>
  <c r="F23" i="210" s="1"/>
  <c r="AC22" i="201" s="1"/>
  <c r="I15" i="210"/>
  <c r="H15" i="210" s="1"/>
  <c r="F15" i="210" s="1"/>
  <c r="AC14" i="201" s="1"/>
  <c r="E14" i="201" s="1"/>
  <c r="U27" i="210"/>
  <c r="AJ18" i="201"/>
  <c r="B18" i="199" s="1"/>
  <c r="AJ19" i="201"/>
  <c r="B19" i="199" s="1"/>
  <c r="AJ20" i="201"/>
  <c r="AJ13" i="201"/>
  <c r="AJ21" i="201"/>
  <c r="AJ14" i="201"/>
  <c r="B14" i="199" s="1"/>
  <c r="AJ22" i="201"/>
  <c r="O7" i="210"/>
  <c r="I6" i="210"/>
  <c r="U9" i="210"/>
  <c r="O6" i="210"/>
  <c r="I9" i="210"/>
  <c r="H9" i="210" s="1"/>
  <c r="F9" i="210" s="1"/>
  <c r="AC8" i="201" s="1"/>
  <c r="U7" i="210"/>
  <c r="I8" i="210"/>
  <c r="H8" i="210" s="1"/>
  <c r="I7" i="210"/>
  <c r="E5" i="208"/>
  <c r="E6" i="208"/>
  <c r="E7" i="208"/>
  <c r="E8" i="208"/>
  <c r="E9" i="208"/>
  <c r="E10" i="208"/>
  <c r="E11" i="208"/>
  <c r="E12" i="208"/>
  <c r="E13" i="208"/>
  <c r="E14" i="208"/>
  <c r="E15" i="208"/>
  <c r="E16" i="208"/>
  <c r="E17" i="208"/>
  <c r="E18" i="208"/>
  <c r="E19" i="208"/>
  <c r="E20" i="208"/>
  <c r="E21" i="208"/>
  <c r="E22" i="208"/>
  <c r="E23" i="208"/>
  <c r="E24" i="208"/>
  <c r="E25" i="208"/>
  <c r="E26" i="208"/>
  <c r="E27" i="208"/>
  <c r="E28" i="208"/>
  <c r="E29" i="208"/>
  <c r="E30" i="208"/>
  <c r="E8" i="201" l="1"/>
  <c r="AJ8" i="201"/>
  <c r="E22" i="201"/>
  <c r="E21" i="201"/>
  <c r="E18" i="201"/>
  <c r="E19" i="201"/>
  <c r="H18" i="210"/>
  <c r="F18" i="210" s="1"/>
  <c r="AC17" i="201" s="1"/>
  <c r="AJ17" i="201" s="1"/>
  <c r="B17" i="199" s="1"/>
  <c r="H11" i="210"/>
  <c r="F11" i="210" s="1"/>
  <c r="AC10" i="201" s="1"/>
  <c r="E10" i="201" s="1"/>
  <c r="H10" i="210"/>
  <c r="F10" i="210" s="1"/>
  <c r="E20" i="201"/>
  <c r="B8" i="199"/>
  <c r="H30" i="210"/>
  <c r="F30" i="210" s="1"/>
  <c r="AC29" i="201" s="1"/>
  <c r="H29" i="210"/>
  <c r="F29" i="210" s="1"/>
  <c r="AC28" i="201" s="1"/>
  <c r="H17" i="210"/>
  <c r="F17" i="210" s="1"/>
  <c r="AC16" i="201" s="1"/>
  <c r="H31" i="210"/>
  <c r="F31" i="210" s="1"/>
  <c r="AC30" i="201" s="1"/>
  <c r="H13" i="210"/>
  <c r="F13" i="210" s="1"/>
  <c r="AC12" i="201" s="1"/>
  <c r="AJ10" i="201"/>
  <c r="B10" i="199" s="1"/>
  <c r="B22" i="199"/>
  <c r="H25" i="210"/>
  <c r="F25" i="210" s="1"/>
  <c r="AC24" i="201" s="1"/>
  <c r="H27" i="210"/>
  <c r="F27" i="210" s="1"/>
  <c r="AC26" i="201" s="1"/>
  <c r="H16" i="210"/>
  <c r="F16" i="210" s="1"/>
  <c r="AC15" i="201" s="1"/>
  <c r="AJ23" i="201"/>
  <c r="B23" i="199" s="1"/>
  <c r="H34" i="210"/>
  <c r="F34" i="210" s="1"/>
  <c r="AC33" i="201" s="1"/>
  <c r="AJ11" i="201"/>
  <c r="B11" i="199" s="1"/>
  <c r="B13" i="199"/>
  <c r="B21" i="199"/>
  <c r="B20" i="199"/>
  <c r="H35" i="210"/>
  <c r="F35" i="210" s="1"/>
  <c r="AC34" i="201" s="1"/>
  <c r="F8" i="210"/>
  <c r="H7" i="210"/>
  <c r="F7" i="210" s="1"/>
  <c r="H6" i="210"/>
  <c r="F6" i="210" s="1"/>
  <c r="E7" i="210"/>
  <c r="E6" i="210"/>
  <c r="E8" i="210"/>
  <c r="E9" i="210"/>
  <c r="E10" i="210"/>
  <c r="E11" i="210"/>
  <c r="E12" i="210"/>
  <c r="E13" i="210"/>
  <c r="E14" i="210"/>
  <c r="E15" i="210"/>
  <c r="E16" i="210"/>
  <c r="E17" i="210"/>
  <c r="E18" i="210"/>
  <c r="E19" i="210"/>
  <c r="E20" i="210"/>
  <c r="E21" i="210"/>
  <c r="E22" i="210"/>
  <c r="E23" i="210"/>
  <c r="E24" i="210"/>
  <c r="E25" i="210"/>
  <c r="E26" i="210"/>
  <c r="E27" i="210"/>
  <c r="E28" i="210"/>
  <c r="E29" i="210"/>
  <c r="E30" i="210"/>
  <c r="E31" i="210"/>
  <c r="E32" i="210"/>
  <c r="E33" i="210"/>
  <c r="E34" i="210"/>
  <c r="E35" i="210"/>
  <c r="G35" i="210"/>
  <c r="D35" i="210"/>
  <c r="G34" i="210"/>
  <c r="D34" i="210"/>
  <c r="G33" i="210"/>
  <c r="D33" i="210"/>
  <c r="G32" i="210"/>
  <c r="D32" i="210"/>
  <c r="G31" i="210"/>
  <c r="D31" i="210"/>
  <c r="G30" i="210"/>
  <c r="D30" i="210"/>
  <c r="G29" i="210"/>
  <c r="D29" i="210"/>
  <c r="G28" i="210"/>
  <c r="D28" i="210"/>
  <c r="G27" i="210"/>
  <c r="D27" i="210"/>
  <c r="G26" i="210"/>
  <c r="D26" i="210"/>
  <c r="G25" i="210"/>
  <c r="D25" i="210"/>
  <c r="G24" i="210"/>
  <c r="D24" i="210"/>
  <c r="G23" i="210"/>
  <c r="D23" i="210"/>
  <c r="G22" i="210"/>
  <c r="D22" i="210"/>
  <c r="G21" i="210"/>
  <c r="D21" i="210"/>
  <c r="G20" i="210"/>
  <c r="D20" i="210"/>
  <c r="G19" i="210"/>
  <c r="D19" i="210"/>
  <c r="G18" i="210"/>
  <c r="D18" i="210"/>
  <c r="G17" i="210"/>
  <c r="D17" i="210"/>
  <c r="G16" i="210"/>
  <c r="D16" i="210"/>
  <c r="G15" i="210"/>
  <c r="D15" i="210"/>
  <c r="G14" i="210"/>
  <c r="D14" i="210"/>
  <c r="G13" i="210"/>
  <c r="D13" i="210"/>
  <c r="G12" i="210"/>
  <c r="D12" i="210"/>
  <c r="G11" i="210"/>
  <c r="D11" i="210"/>
  <c r="G10" i="210"/>
  <c r="D10" i="210"/>
  <c r="G9" i="210"/>
  <c r="D9" i="210"/>
  <c r="G8" i="210"/>
  <c r="D8" i="210"/>
  <c r="G7" i="210"/>
  <c r="A7" i="210"/>
  <c r="A8" i="210" s="1"/>
  <c r="A9" i="210" s="1"/>
  <c r="A10" i="210" s="1"/>
  <c r="A11" i="210" s="1"/>
  <c r="A12" i="210" s="1"/>
  <c r="A13" i="210" s="1"/>
  <c r="A14" i="210" s="1"/>
  <c r="A15" i="210" s="1"/>
  <c r="A16" i="210" s="1"/>
  <c r="A17" i="210" s="1"/>
  <c r="A18" i="210" s="1"/>
  <c r="A19" i="210" s="1"/>
  <c r="A20" i="210" s="1"/>
  <c r="A21" i="210" s="1"/>
  <c r="A22" i="210" s="1"/>
  <c r="A23" i="210" s="1"/>
  <c r="A24" i="210" s="1"/>
  <c r="A25" i="210" s="1"/>
  <c r="A26" i="210" s="1"/>
  <c r="A27" i="210" s="1"/>
  <c r="A28" i="210" s="1"/>
  <c r="A29" i="210" s="1"/>
  <c r="A30" i="210" s="1"/>
  <c r="A31" i="210" s="1"/>
  <c r="A32" i="210" s="1"/>
  <c r="A33" i="210" s="1"/>
  <c r="A34" i="210" s="1"/>
  <c r="A35" i="210" s="1"/>
  <c r="A36" i="210" s="1"/>
  <c r="A37" i="210" s="1"/>
  <c r="A38" i="210" s="1"/>
  <c r="A39" i="210" s="1"/>
  <c r="A40" i="210" s="1"/>
  <c r="A41" i="210" s="1"/>
  <c r="A42" i="210" s="1"/>
  <c r="A43" i="210" s="1"/>
  <c r="A44" i="210" s="1"/>
  <c r="A45" i="210" s="1"/>
  <c r="G6" i="210"/>
  <c r="D6" i="210"/>
  <c r="E15" i="201" l="1"/>
  <c r="AJ15" i="201"/>
  <c r="B15" i="199" s="1"/>
  <c r="E12" i="201"/>
  <c r="AJ12" i="201"/>
  <c r="B12" i="199" s="1"/>
  <c r="AC9" i="201"/>
  <c r="E16" i="201"/>
  <c r="AJ16" i="201"/>
  <c r="B16" i="199" s="1"/>
  <c r="E7" i="201"/>
  <c r="AJ7" i="201"/>
  <c r="B7" i="199" s="1"/>
  <c r="E6" i="201"/>
  <c r="AJ6" i="201"/>
  <c r="B6" i="199" s="1"/>
  <c r="E17" i="201"/>
  <c r="S35" i="211"/>
  <c r="AJ5" i="201"/>
  <c r="E9" i="201" l="1"/>
  <c r="AJ9" i="201"/>
  <c r="B9" i="199" s="1"/>
  <c r="B5" i="199"/>
  <c r="E5" i="201"/>
  <c r="I5" i="208"/>
  <c r="I6" i="208"/>
  <c r="I7" i="208"/>
  <c r="I8" i="208"/>
  <c r="I9" i="208"/>
  <c r="I10" i="208"/>
  <c r="I11" i="208"/>
  <c r="I12" i="208"/>
  <c r="I13" i="208"/>
  <c r="I14" i="208"/>
  <c r="I15" i="208"/>
  <c r="I16" i="208"/>
  <c r="I17" i="208"/>
  <c r="I18" i="208"/>
  <c r="I19" i="208"/>
  <c r="I20" i="208"/>
  <c r="I21" i="208"/>
  <c r="I22" i="208"/>
  <c r="I23" i="208"/>
  <c r="I24" i="208"/>
  <c r="I25" i="208"/>
  <c r="I26" i="208"/>
  <c r="I27" i="208"/>
  <c r="I28" i="208"/>
  <c r="I29" i="208"/>
  <c r="I30" i="208"/>
  <c r="I4" i="208"/>
  <c r="O30" i="208" l="1"/>
  <c r="O29" i="208"/>
  <c r="O28" i="208"/>
  <c r="O27" i="208"/>
  <c r="O26" i="208"/>
  <c r="O25" i="208"/>
  <c r="O24" i="208"/>
  <c r="O23" i="208"/>
  <c r="O22" i="208"/>
  <c r="O21" i="208"/>
  <c r="O20" i="208"/>
  <c r="O19" i="208"/>
  <c r="O18" i="208"/>
  <c r="O17" i="208"/>
  <c r="O16" i="208"/>
  <c r="O15" i="208"/>
  <c r="O14" i="208"/>
  <c r="O13" i="208"/>
  <c r="O12" i="208"/>
  <c r="O11" i="208"/>
  <c r="O10" i="208"/>
  <c r="O9" i="208"/>
  <c r="O8" i="208"/>
  <c r="O7" i="208"/>
  <c r="O6" i="208"/>
  <c r="O5" i="208"/>
  <c r="O4" i="208"/>
  <c r="P30" i="208"/>
  <c r="P29" i="208"/>
  <c r="P28" i="208"/>
  <c r="P27" i="208"/>
  <c r="P26" i="208"/>
  <c r="P25" i="208"/>
  <c r="P24" i="208"/>
  <c r="P23" i="208"/>
  <c r="P22" i="208"/>
  <c r="P21" i="208"/>
  <c r="P20" i="208"/>
  <c r="P19" i="208"/>
  <c r="P18" i="208"/>
  <c r="P17" i="208"/>
  <c r="P16" i="208"/>
  <c r="P15" i="208"/>
  <c r="P14" i="208"/>
  <c r="P13" i="208"/>
  <c r="P12" i="208"/>
  <c r="P11" i="208"/>
  <c r="P10" i="208"/>
  <c r="P9" i="208"/>
  <c r="P8" i="208"/>
  <c r="P7" i="208"/>
  <c r="P6" i="208"/>
  <c r="P5" i="208"/>
  <c r="P4" i="208"/>
  <c r="D30" i="208"/>
  <c r="D29" i="208"/>
  <c r="D28" i="208"/>
  <c r="D27" i="208"/>
  <c r="D26" i="208"/>
  <c r="D25" i="208"/>
  <c r="D24" i="208"/>
  <c r="D23" i="208"/>
  <c r="D22" i="208"/>
  <c r="D21" i="208"/>
  <c r="D20" i="208"/>
  <c r="D19" i="208"/>
  <c r="D18" i="208"/>
  <c r="D17" i="208"/>
  <c r="D16" i="208"/>
  <c r="D15" i="208"/>
  <c r="D14" i="208"/>
  <c r="D13" i="208"/>
  <c r="D12" i="208"/>
  <c r="D11" i="208"/>
  <c r="D10" i="208"/>
  <c r="D9" i="208"/>
  <c r="D8" i="208"/>
  <c r="D7" i="208"/>
  <c r="D6" i="208"/>
  <c r="D5" i="208"/>
  <c r="C30" i="208" l="1"/>
  <c r="C29" i="208"/>
  <c r="C28" i="208"/>
  <c r="C27" i="208"/>
  <c r="C26" i="208"/>
  <c r="C25" i="208"/>
  <c r="C24" i="208"/>
  <c r="C23" i="208"/>
  <c r="C22" i="208"/>
  <c r="C21" i="208"/>
  <c r="C20" i="208"/>
  <c r="C19" i="208"/>
  <c r="C18" i="208"/>
  <c r="C17" i="208"/>
  <c r="C16" i="208"/>
  <c r="C15" i="208"/>
  <c r="C14" i="208"/>
  <c r="C13" i="208"/>
  <c r="C12" i="208"/>
  <c r="C11" i="208"/>
  <c r="C10" i="208"/>
  <c r="C9" i="208"/>
  <c r="C8" i="208"/>
  <c r="C7" i="208"/>
  <c r="C6" i="208"/>
  <c r="C5" i="208"/>
  <c r="C4" i="208"/>
  <c r="G30" i="208"/>
  <c r="G29" i="208"/>
  <c r="G28" i="208"/>
  <c r="G27" i="208"/>
  <c r="G26" i="208"/>
  <c r="G25" i="208"/>
  <c r="G24" i="208"/>
  <c r="G23" i="208"/>
  <c r="G22" i="208"/>
  <c r="G21" i="208"/>
  <c r="G20" i="208"/>
  <c r="G19" i="208"/>
  <c r="G18" i="208"/>
  <c r="G17" i="208"/>
  <c r="G16" i="208"/>
  <c r="G15" i="208"/>
  <c r="G14" i="208"/>
  <c r="G13" i="208"/>
  <c r="G12" i="208"/>
  <c r="G11" i="208"/>
  <c r="G10" i="208"/>
  <c r="G9" i="208"/>
  <c r="G8" i="208"/>
  <c r="G7" i="208"/>
  <c r="G6" i="208"/>
  <c r="G5" i="208"/>
  <c r="G4" i="208"/>
  <c r="F30" i="208"/>
  <c r="F29" i="208"/>
  <c r="F28" i="208"/>
  <c r="F27" i="208"/>
  <c r="F26" i="208"/>
  <c r="F25" i="208"/>
  <c r="F24" i="208"/>
  <c r="F23" i="208"/>
  <c r="F22" i="208"/>
  <c r="F21" i="208"/>
  <c r="F20" i="208"/>
  <c r="F19" i="208"/>
  <c r="F18" i="208"/>
  <c r="F17" i="208"/>
  <c r="F16" i="208"/>
  <c r="F15" i="208"/>
  <c r="F14" i="208"/>
  <c r="F13" i="208"/>
  <c r="F12" i="208"/>
  <c r="F11" i="208"/>
  <c r="F10" i="208"/>
  <c r="F9" i="208"/>
  <c r="F8" i="208"/>
  <c r="F7" i="208"/>
  <c r="F6" i="208"/>
  <c r="F5" i="208"/>
  <c r="G3" i="208" l="1"/>
  <c r="N3" i="208"/>
  <c r="P3" i="208"/>
  <c r="M3" i="208"/>
  <c r="O3" i="208"/>
  <c r="M23" i="83" l="1"/>
  <c r="L3" i="208"/>
  <c r="CQ3" i="208"/>
  <c r="CR3" i="208" s="1"/>
  <c r="CA3" i="208"/>
  <c r="CE3" i="208" s="1"/>
  <c r="O27" i="83"/>
  <c r="P27" i="83"/>
  <c r="Q27" i="83"/>
  <c r="P23" i="83"/>
  <c r="N23" i="83"/>
  <c r="A6" i="197"/>
  <c r="A7" i="197" s="1"/>
  <c r="A8" i="197" s="1"/>
  <c r="A9" i="197" s="1"/>
  <c r="A10" i="197" s="1"/>
  <c r="A11" i="197" s="1"/>
  <c r="A12" i="197" s="1"/>
  <c r="A13" i="197" s="1"/>
  <c r="A14" i="197" s="1"/>
  <c r="A15" i="197" s="1"/>
  <c r="A16" i="197" s="1"/>
  <c r="A17" i="197" s="1"/>
  <c r="A18" i="197" s="1"/>
  <c r="A19" i="197" s="1"/>
  <c r="A20" i="197" s="1"/>
  <c r="A21" i="197" s="1"/>
  <c r="A22" i="197" s="1"/>
  <c r="A23" i="197" s="1"/>
  <c r="M45" i="196"/>
  <c r="L45" i="196"/>
  <c r="K45" i="196"/>
  <c r="N44" i="196"/>
  <c r="N43" i="196"/>
  <c r="N42" i="196"/>
  <c r="N41" i="196"/>
  <c r="A6" i="196"/>
  <c r="A7" i="196" s="1"/>
  <c r="A8" i="196" s="1"/>
  <c r="A9" i="196" s="1"/>
  <c r="A10" i="196" s="1"/>
  <c r="A11" i="196" s="1"/>
  <c r="A12" i="196" s="1"/>
  <c r="A13" i="196" s="1"/>
  <c r="A14" i="196" s="1"/>
  <c r="A15" i="196" s="1"/>
  <c r="A16" i="196" s="1"/>
  <c r="A17" i="196" s="1"/>
  <c r="A18" i="196" s="1"/>
  <c r="A19" i="196" s="1"/>
  <c r="A20" i="196" s="1"/>
  <c r="A21" i="196" s="1"/>
  <c r="A22" i="196" s="1"/>
  <c r="A23" i="196" s="1"/>
  <c r="A24" i="196" s="1"/>
  <c r="A25" i="196" s="1"/>
  <c r="A26" i="196" s="1"/>
  <c r="A27" i="196" s="1"/>
  <c r="A28" i="196" s="1"/>
  <c r="A29" i="196" s="1"/>
  <c r="A30" i="196" s="1"/>
  <c r="A31" i="196" s="1"/>
  <c r="A32" i="196" s="1"/>
  <c r="A33" i="196" s="1"/>
  <c r="A34" i="196" s="1"/>
  <c r="A35" i="196" s="1"/>
  <c r="A36" i="196" s="1"/>
  <c r="A37" i="196" s="1"/>
  <c r="A38" i="196" s="1"/>
  <c r="A39" i="196" s="1"/>
  <c r="A40" i="196" s="1"/>
  <c r="A41" i="196" s="1"/>
  <c r="A42" i="196" s="1"/>
  <c r="A43" i="196" s="1"/>
  <c r="A44" i="196" s="1"/>
  <c r="A6" i="201"/>
  <c r="A7" i="201" s="1"/>
  <c r="A8" i="201" s="1"/>
  <c r="A9" i="201" s="1"/>
  <c r="A10" i="201" s="1"/>
  <c r="A11" i="201" s="1"/>
  <c r="A12" i="201" s="1"/>
  <c r="A13" i="201" s="1"/>
  <c r="A14" i="201" s="1"/>
  <c r="A15" i="201" s="1"/>
  <c r="A16" i="201" s="1"/>
  <c r="A17" i="201" s="1"/>
  <c r="A18" i="201" s="1"/>
  <c r="A19" i="201" s="1"/>
  <c r="A20" i="201" s="1"/>
  <c r="A21" i="201" s="1"/>
  <c r="A22" i="201" s="1"/>
  <c r="A23" i="201" s="1"/>
  <c r="A24" i="201" s="1"/>
  <c r="A25" i="201" s="1"/>
  <c r="A26" i="201" s="1"/>
  <c r="A27" i="201" s="1"/>
  <c r="A28" i="201" s="1"/>
  <c r="A29" i="201" s="1"/>
  <c r="A30" i="201" s="1"/>
  <c r="A31" i="201" s="1"/>
  <c r="A32" i="201" s="1"/>
  <c r="A33" i="201" s="1"/>
  <c r="A34" i="201" s="1"/>
  <c r="A35" i="201" s="1"/>
  <c r="A36" i="201" s="1"/>
  <c r="A37" i="201" s="1"/>
  <c r="A38" i="201" s="1"/>
  <c r="A39" i="201" s="1"/>
  <c r="A40" i="201" s="1"/>
  <c r="A41" i="201" s="1"/>
  <c r="A42" i="201" s="1"/>
  <c r="A43" i="201" s="1"/>
  <c r="A44" i="201" s="1"/>
  <c r="H21" i="3" a="1"/>
  <c r="H21" i="3" s="1"/>
  <c r="A22" i="2"/>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R23" i="83" l="1"/>
  <c r="O31" i="83"/>
  <c r="J6" i="200"/>
  <c r="U7" i="199"/>
  <c r="T7" i="199"/>
  <c r="I6" i="200"/>
  <c r="I5" i="200"/>
  <c r="J5" i="200"/>
  <c r="I4" i="200"/>
  <c r="T5" i="199"/>
  <c r="U5" i="199"/>
  <c r="J4" i="200"/>
  <c r="I21" i="3" a="1"/>
  <c r="I21" i="3" s="1"/>
  <c r="L5" i="3" l="1"/>
  <c r="M5" i="3" s="1"/>
  <c r="H6" i="200"/>
  <c r="S7" i="199"/>
  <c r="H5" i="200"/>
  <c r="H4" i="200"/>
  <c r="S5" i="199"/>
  <c r="S27" i="83" l="1"/>
  <c r="CF3" i="208"/>
  <c r="C35" i="197"/>
  <c r="C23" i="197" l="1"/>
  <c r="B23" i="197"/>
  <c r="C22" i="197"/>
  <c r="B22" i="197"/>
  <c r="C21" i="197"/>
  <c r="B21" i="197"/>
  <c r="C20" i="197"/>
  <c r="B20" i="197"/>
  <c r="C19" i="197"/>
  <c r="B19" i="197"/>
  <c r="C18" i="197"/>
  <c r="B18" i="197"/>
  <c r="C17" i="197"/>
  <c r="B17" i="197"/>
  <c r="C16" i="197"/>
  <c r="B16" i="197"/>
  <c r="C15" i="197"/>
  <c r="B15" i="197"/>
  <c r="C14" i="197"/>
  <c r="B14" i="197"/>
  <c r="C13" i="197"/>
  <c r="B13" i="197"/>
  <c r="C12" i="197"/>
  <c r="B12" i="197"/>
  <c r="C11" i="197"/>
  <c r="B11" i="197"/>
  <c r="C10" i="197"/>
  <c r="B10" i="197"/>
  <c r="C9" i="197"/>
  <c r="B9" i="197"/>
  <c r="C8" i="197"/>
  <c r="B8" i="197"/>
  <c r="C7" i="197"/>
  <c r="B7" i="197"/>
  <c r="C6" i="197"/>
  <c r="B6" i="197"/>
  <c r="C5" i="197"/>
  <c r="B206" i="198"/>
  <c r="B198" i="198"/>
  <c r="B190" i="198"/>
  <c r="B182" i="198"/>
  <c r="B174" i="198"/>
  <c r="B166" i="198"/>
  <c r="B158" i="198"/>
  <c r="B150" i="198"/>
  <c r="B142" i="198"/>
  <c r="B134" i="198"/>
  <c r="B126" i="198"/>
  <c r="B118" i="198"/>
  <c r="B110" i="198"/>
  <c r="B102" i="198"/>
  <c r="B94" i="198"/>
  <c r="B86" i="198"/>
  <c r="B78" i="198"/>
  <c r="B70" i="198"/>
  <c r="B62" i="198"/>
  <c r="B54" i="198"/>
  <c r="B46" i="198"/>
  <c r="B38" i="198"/>
  <c r="B30" i="198"/>
  <c r="B22" i="198"/>
  <c r="B14" i="198"/>
  <c r="I9" i="198"/>
  <c r="I8" i="198"/>
  <c r="I7" i="198"/>
  <c r="I6" i="198"/>
  <c r="I5" i="198"/>
  <c r="G9" i="198"/>
  <c r="G8" i="198"/>
  <c r="G7" i="198"/>
  <c r="G6" i="198"/>
  <c r="G5" i="198"/>
  <c r="E9" i="198"/>
  <c r="E8" i="198"/>
  <c r="E7" i="198"/>
  <c r="E6" i="198"/>
  <c r="E5" i="198"/>
  <c r="C9" i="198"/>
  <c r="C8" i="198"/>
  <c r="C7" i="198"/>
  <c r="C6" i="198"/>
  <c r="C5" i="198"/>
  <c r="A9" i="198"/>
  <c r="A8" i="198"/>
  <c r="A7" i="198"/>
  <c r="A6" i="198"/>
  <c r="A5" i="198"/>
  <c r="A23" i="199"/>
  <c r="A22" i="199"/>
  <c r="A21" i="199"/>
  <c r="A20" i="199"/>
  <c r="A19" i="199"/>
  <c r="A18" i="199"/>
  <c r="A17" i="199"/>
  <c r="A16" i="199"/>
  <c r="A15" i="199"/>
  <c r="A14" i="199"/>
  <c r="A13" i="199"/>
  <c r="A12" i="199"/>
  <c r="A11" i="199"/>
  <c r="A10" i="199"/>
  <c r="A9" i="199"/>
  <c r="A8" i="199"/>
  <c r="A7" i="199"/>
  <c r="A6" i="199"/>
  <c r="A28" i="200"/>
  <c r="A27" i="200"/>
  <c r="A26" i="200"/>
  <c r="A25" i="200"/>
  <c r="A24" i="200"/>
  <c r="A23" i="200"/>
  <c r="A22" i="200"/>
  <c r="A21" i="200"/>
  <c r="A20" i="200"/>
  <c r="A19" i="200"/>
  <c r="A18" i="200"/>
  <c r="A17" i="200"/>
  <c r="A16" i="200"/>
  <c r="A15" i="200"/>
  <c r="A14" i="200"/>
  <c r="A13" i="200"/>
  <c r="A12" i="200"/>
  <c r="A11" i="200"/>
  <c r="A10" i="200"/>
  <c r="A9" i="200"/>
  <c r="A8" i="200"/>
  <c r="A7" i="200"/>
  <c r="A6" i="200"/>
  <c r="A5" i="200"/>
  <c r="A4" i="200"/>
  <c r="P28" i="200"/>
  <c r="O28" i="200"/>
  <c r="N28" i="200"/>
  <c r="M28" i="200"/>
  <c r="L28" i="200"/>
  <c r="K28" i="200"/>
  <c r="P27" i="200"/>
  <c r="O27" i="200"/>
  <c r="N27" i="200"/>
  <c r="M27" i="200"/>
  <c r="L27" i="200"/>
  <c r="K27" i="200"/>
  <c r="P26" i="200"/>
  <c r="O26" i="200"/>
  <c r="N26" i="200"/>
  <c r="M26" i="200"/>
  <c r="L26" i="200"/>
  <c r="K26" i="200"/>
  <c r="P25" i="200"/>
  <c r="O25" i="200"/>
  <c r="N25" i="200"/>
  <c r="M25" i="200"/>
  <c r="L25" i="200"/>
  <c r="K25" i="200"/>
  <c r="P24" i="200"/>
  <c r="O24" i="200"/>
  <c r="N24" i="200"/>
  <c r="M24" i="200"/>
  <c r="L24" i="200"/>
  <c r="K24" i="200"/>
  <c r="P23" i="200"/>
  <c r="O23" i="200"/>
  <c r="N23" i="200"/>
  <c r="M23" i="200"/>
  <c r="L23" i="200"/>
  <c r="K23" i="200"/>
  <c r="P22" i="200"/>
  <c r="O22" i="200"/>
  <c r="N22" i="200"/>
  <c r="M22" i="200"/>
  <c r="L22" i="200"/>
  <c r="K22" i="200"/>
  <c r="P21" i="200"/>
  <c r="O21" i="200"/>
  <c r="N21" i="200"/>
  <c r="M21" i="200"/>
  <c r="L21" i="200"/>
  <c r="K21" i="200"/>
  <c r="P20" i="200"/>
  <c r="O20" i="200"/>
  <c r="N20" i="200"/>
  <c r="M20" i="200"/>
  <c r="L20" i="200"/>
  <c r="K20" i="200"/>
  <c r="P19" i="200"/>
  <c r="O19" i="200"/>
  <c r="N19" i="200"/>
  <c r="M19" i="200"/>
  <c r="L19" i="200"/>
  <c r="K19" i="200"/>
  <c r="P18" i="200"/>
  <c r="O18" i="200"/>
  <c r="N18" i="200"/>
  <c r="M18" i="200"/>
  <c r="L18" i="200"/>
  <c r="K18" i="200"/>
  <c r="P17" i="200"/>
  <c r="O17" i="200"/>
  <c r="N17" i="200"/>
  <c r="M17" i="200"/>
  <c r="L17" i="200"/>
  <c r="K17" i="200"/>
  <c r="P16" i="200"/>
  <c r="O16" i="200"/>
  <c r="N16" i="200"/>
  <c r="M16" i="200"/>
  <c r="L16" i="200"/>
  <c r="K16" i="200"/>
  <c r="P15" i="200"/>
  <c r="O15" i="200"/>
  <c r="N15" i="200"/>
  <c r="M15" i="200"/>
  <c r="L15" i="200"/>
  <c r="K15" i="200"/>
  <c r="P14" i="200"/>
  <c r="O14" i="200"/>
  <c r="N14" i="200"/>
  <c r="M14" i="200"/>
  <c r="L14" i="200"/>
  <c r="K14" i="200"/>
  <c r="P13" i="200"/>
  <c r="O13" i="200"/>
  <c r="N13" i="200"/>
  <c r="M13" i="200"/>
  <c r="L13" i="200"/>
  <c r="K13" i="200"/>
  <c r="P12" i="200"/>
  <c r="O12" i="200"/>
  <c r="N12" i="200"/>
  <c r="M12" i="200"/>
  <c r="L12" i="200"/>
  <c r="K12" i="200"/>
  <c r="P11" i="200"/>
  <c r="O11" i="200"/>
  <c r="N11" i="200"/>
  <c r="M11" i="200"/>
  <c r="L11" i="200"/>
  <c r="K11" i="200"/>
  <c r="P10" i="200"/>
  <c r="O10" i="200"/>
  <c r="N10" i="200"/>
  <c r="M10" i="200"/>
  <c r="L10" i="200"/>
  <c r="K10" i="200"/>
  <c r="P9" i="200"/>
  <c r="O9" i="200"/>
  <c r="N9" i="200"/>
  <c r="M9" i="200"/>
  <c r="L9" i="200"/>
  <c r="K9" i="200"/>
  <c r="P8" i="200"/>
  <c r="O8" i="200"/>
  <c r="N8" i="200"/>
  <c r="M8" i="200"/>
  <c r="L8" i="200"/>
  <c r="K8" i="200"/>
  <c r="P7" i="200"/>
  <c r="O7" i="200"/>
  <c r="N7" i="200"/>
  <c r="M7" i="200"/>
  <c r="L7" i="200"/>
  <c r="K7" i="200"/>
  <c r="P6" i="200"/>
  <c r="O6" i="200"/>
  <c r="N6" i="200"/>
  <c r="M6" i="200"/>
  <c r="L6" i="200"/>
  <c r="K6" i="200"/>
  <c r="P5" i="200"/>
  <c r="O5" i="200"/>
  <c r="N5" i="200"/>
  <c r="M5" i="200"/>
  <c r="L5" i="200"/>
  <c r="K5" i="200"/>
  <c r="P4" i="200"/>
  <c r="O4" i="200"/>
  <c r="N4" i="200"/>
  <c r="M4" i="200"/>
  <c r="L4" i="200"/>
  <c r="K4" i="200"/>
  <c r="AA5" i="199"/>
  <c r="Z5" i="199"/>
  <c r="Y5" i="199"/>
  <c r="V5" i="199"/>
  <c r="D1" i="201" l="1"/>
  <c r="B9" i="200" l="1"/>
  <c r="B21" i="200"/>
  <c r="B16" i="200"/>
  <c r="B28" i="200"/>
  <c r="B15" i="200"/>
  <c r="B23" i="200"/>
  <c r="B27" i="200"/>
  <c r="B5" i="200"/>
  <c r="B17" i="200"/>
  <c r="B25" i="200"/>
  <c r="B8" i="200"/>
  <c r="B20" i="200"/>
  <c r="B24" i="200"/>
  <c r="B7" i="200"/>
  <c r="B19" i="200"/>
  <c r="B6" i="200"/>
  <c r="B10" i="200"/>
  <c r="B14" i="200"/>
  <c r="B18" i="200"/>
  <c r="B22" i="200"/>
  <c r="B26" i="200"/>
  <c r="B13" i="200"/>
  <c r="B12" i="200"/>
  <c r="B11" i="200"/>
  <c r="O6" i="199" l="1"/>
  <c r="O8" i="199"/>
  <c r="O10" i="199"/>
  <c r="O12" i="199"/>
  <c r="O14" i="199"/>
  <c r="O16" i="199"/>
  <c r="O18" i="199"/>
  <c r="O5" i="199"/>
  <c r="O7" i="199"/>
  <c r="O9" i="199"/>
  <c r="O11" i="199"/>
  <c r="O13" i="199"/>
  <c r="O15" i="199"/>
  <c r="O17" i="199"/>
  <c r="O19" i="199"/>
  <c r="N40" i="196"/>
  <c r="N39" i="196"/>
  <c r="N38" i="196"/>
  <c r="N37" i="196"/>
  <c r="N36" i="196"/>
  <c r="N35" i="196"/>
  <c r="N23" i="196"/>
  <c r="N22" i="196"/>
  <c r="N21" i="196"/>
  <c r="N20" i="196"/>
  <c r="N19" i="196"/>
  <c r="N18" i="196"/>
  <c r="N17" i="196"/>
  <c r="N16" i="196"/>
  <c r="N15" i="196"/>
  <c r="N14" i="196"/>
  <c r="N13" i="196"/>
  <c r="N12" i="196"/>
  <c r="N11" i="196"/>
  <c r="N10" i="196"/>
  <c r="N9" i="196"/>
  <c r="N8" i="196"/>
  <c r="N7" i="196"/>
  <c r="N6" i="196"/>
  <c r="N5" i="196"/>
  <c r="N45" i="196" l="1"/>
  <c r="B16" i="187"/>
  <c r="B18" i="187"/>
  <c r="C28" i="190" l="1"/>
  <c r="B28" i="190"/>
  <c r="C27" i="190"/>
  <c r="B27" i="190"/>
  <c r="C26" i="190"/>
  <c r="B26" i="190"/>
  <c r="C25" i="190"/>
  <c r="B25" i="190"/>
  <c r="C24" i="190"/>
  <c r="B24" i="190"/>
  <c r="C23" i="190"/>
  <c r="B23" i="190"/>
  <c r="C22" i="190"/>
  <c r="B22" i="190"/>
  <c r="C21" i="190"/>
  <c r="B21" i="190"/>
  <c r="C20" i="190"/>
  <c r="B20" i="190"/>
  <c r="C19" i="190"/>
  <c r="B19" i="190"/>
  <c r="C18" i="190"/>
  <c r="B18" i="190"/>
  <c r="C17" i="190"/>
  <c r="B17" i="190"/>
  <c r="C16" i="190"/>
  <c r="B16" i="190"/>
  <c r="C15" i="190"/>
  <c r="B15" i="190"/>
  <c r="C14" i="190"/>
  <c r="B14" i="190"/>
  <c r="C13" i="190"/>
  <c r="B13" i="190"/>
  <c r="C12" i="190"/>
  <c r="B12" i="190"/>
  <c r="C11" i="190"/>
  <c r="B11" i="190"/>
  <c r="C10" i="190"/>
  <c r="B10" i="190"/>
  <c r="C9" i="190"/>
  <c r="B9" i="190"/>
  <c r="C8" i="190"/>
  <c r="B8" i="190"/>
  <c r="C7" i="190"/>
  <c r="B7" i="190"/>
  <c r="C6" i="190"/>
  <c r="B6" i="190"/>
  <c r="C5" i="190"/>
  <c r="B5" i="190"/>
  <c r="B4" i="190"/>
  <c r="C4" i="190"/>
  <c r="E2" i="190" l="1"/>
  <c r="A21" i="83"/>
  <c r="A22" i="83" s="1"/>
  <c r="A23" i="83" s="1"/>
  <c r="A24" i="83" s="1"/>
  <c r="A25" i="83" s="1"/>
  <c r="A26" i="83" s="1"/>
  <c r="A27" i="83" s="1"/>
  <c r="A28" i="83" s="1"/>
  <c r="A29" i="83" s="1"/>
  <c r="A30" i="83" s="1"/>
  <c r="A31" i="83" s="1"/>
  <c r="A32" i="83" s="1"/>
  <c r="A33" i="83" s="1"/>
  <c r="A34" i="83" s="1"/>
  <c r="A35" i="83" s="1"/>
  <c r="A36" i="83" s="1"/>
  <c r="A37" i="83" s="1"/>
  <c r="A38" i="83" s="1"/>
  <c r="A39" i="83" s="1"/>
  <c r="A40" i="83" s="1"/>
  <c r="A41" i="83" s="1"/>
  <c r="A42" i="83" s="1"/>
  <c r="A43" i="83" s="1"/>
  <c r="A44" i="83" s="1"/>
  <c r="A45" i="83" s="1"/>
  <c r="A46" i="83" s="1"/>
  <c r="A47" i="83" s="1"/>
  <c r="A48" i="83" s="1"/>
  <c r="A49" i="83" s="1"/>
  <c r="A50" i="83" s="1"/>
  <c r="A51" i="83" s="1"/>
  <c r="A52" i="83" s="1"/>
  <c r="A53" i="83" s="1"/>
  <c r="A54" i="83" s="1"/>
  <c r="A55" i="83" s="1"/>
  <c r="A56" i="83" s="1"/>
  <c r="A57" i="83" s="1"/>
  <c r="A58" i="83" s="1"/>
  <c r="A59" i="83" s="1"/>
  <c r="AM28" i="190" l="1"/>
  <c r="AM27" i="190"/>
  <c r="AM26" i="190"/>
  <c r="AM25" i="190"/>
  <c r="AM24" i="190"/>
  <c r="AM23" i="190"/>
  <c r="AM22" i="190"/>
  <c r="AM21" i="190"/>
  <c r="AM20" i="190"/>
  <c r="AM19" i="190"/>
  <c r="AM18" i="190"/>
  <c r="AM17" i="190"/>
  <c r="AM16" i="190"/>
  <c r="AM15" i="190"/>
  <c r="AM14" i="190"/>
  <c r="AM13" i="190"/>
  <c r="AM12" i="190"/>
  <c r="AM11" i="190"/>
  <c r="AM10" i="190"/>
  <c r="AM9" i="190"/>
  <c r="AM8" i="190"/>
  <c r="AM7" i="190"/>
  <c r="AM6" i="190"/>
  <c r="AM5" i="190"/>
  <c r="AM4" i="190"/>
  <c r="F2" i="190"/>
  <c r="G2" i="190" s="1"/>
  <c r="H2" i="190" s="1"/>
  <c r="K2" i="190" s="1"/>
  <c r="L2" i="190" s="1"/>
  <c r="M2" i="190" s="1"/>
  <c r="N2" i="190" s="1"/>
  <c r="O2" i="190" s="1"/>
  <c r="R2" i="190" s="1"/>
  <c r="S2" i="190" s="1"/>
  <c r="T2" i="190" s="1"/>
  <c r="U2" i="190" s="1"/>
  <c r="V2" i="190" s="1"/>
  <c r="Y2" i="190" s="1"/>
  <c r="Z2" i="190" s="1"/>
  <c r="AA2" i="190" s="1"/>
  <c r="AB2" i="190" s="1"/>
  <c r="AC2" i="190" s="1"/>
  <c r="AF2" i="190" s="1"/>
  <c r="AG2" i="190" s="1"/>
  <c r="AH2" i="190" s="1"/>
  <c r="AI2" i="190" s="1"/>
  <c r="AJ2" i="190" s="1"/>
  <c r="AK2" i="190" s="1"/>
  <c r="AL2" i="190" s="1"/>
  <c r="D15" i="189" l="1"/>
  <c r="D21" i="189"/>
  <c r="I6" i="189" l="1"/>
  <c r="I5" i="189"/>
  <c r="I4" i="189"/>
  <c r="I3" i="189"/>
  <c r="I2" i="189"/>
  <c r="E2" i="189"/>
  <c r="C6" i="189"/>
  <c r="C5" i="189"/>
  <c r="C4" i="189"/>
  <c r="C3" i="189"/>
  <c r="C2" i="189"/>
  <c r="D45" i="189" l="1"/>
  <c r="D39" i="189"/>
  <c r="D33" i="189"/>
  <c r="D27" i="189"/>
  <c r="D9" i="189"/>
  <c r="E3" i="189"/>
  <c r="G6" i="189"/>
  <c r="G5" i="189"/>
  <c r="G4" i="189"/>
  <c r="G3" i="189"/>
  <c r="A6" i="189"/>
  <c r="G2" i="189"/>
  <c r="A5" i="189"/>
  <c r="E6" i="189"/>
  <c r="A4" i="189"/>
  <c r="E5" i="189"/>
  <c r="A3" i="189"/>
  <c r="E4" i="189"/>
  <c r="A2" i="189"/>
  <c r="B17" i="187" l="1"/>
  <c r="B7" i="187" l="1"/>
  <c r="B6" i="187"/>
  <c r="B13" i="187" l="1"/>
  <c r="B5" i="187"/>
  <c r="B4" i="187"/>
  <c r="B3" i="187"/>
  <c r="B2" i="187"/>
  <c r="B8" i="187" l="1"/>
  <c r="B12" i="187" l="1"/>
  <c r="AJ45" i="201" l="1"/>
  <c r="N31" i="83" s="1"/>
  <c r="B4" i="200" l="1"/>
  <c r="AD45" i="201" l="1"/>
  <c r="CG3" i="208" s="1"/>
  <c r="AI45" i="201"/>
  <c r="L31" i="8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Jonathan Godin</author>
  </authors>
  <commentList>
    <comment ref="B4" authorId="0" shapeId="0" xr:uid="{E294CAB9-1E1D-4EF1-BB8A-E968491AECC2}">
      <text>
        <r>
          <rPr>
            <b/>
            <sz val="9"/>
            <color indexed="81"/>
            <rFont val="Tahoma"/>
            <family val="2"/>
          </rPr>
          <t>Jonathan Godin:</t>
        </r>
        <r>
          <rPr>
            <sz val="9"/>
            <color indexed="81"/>
            <rFont val="Tahoma"/>
            <family val="2"/>
          </rPr>
          <t xml:space="preserve">
Enter the date MM/DD/YYYY
</t>
        </r>
      </text>
    </comment>
    <comment ref="H4" authorId="0" shapeId="0" xr:uid="{A2185015-81E5-46B2-AFD4-3F30DB01698A}">
      <text>
        <r>
          <rPr>
            <b/>
            <sz val="9"/>
            <color indexed="81"/>
            <rFont val="Tahoma"/>
            <family val="2"/>
          </rPr>
          <t>Jonathan Godin:</t>
        </r>
        <r>
          <rPr>
            <sz val="9"/>
            <color indexed="81"/>
            <rFont val="Tahoma"/>
            <family val="2"/>
          </rPr>
          <t xml:space="preserve">
input manually</t>
        </r>
      </text>
    </comment>
    <comment ref="B5" authorId="0" shapeId="0" xr:uid="{82A64F10-2694-4DFC-899C-191CA5850742}">
      <text>
        <r>
          <rPr>
            <b/>
            <sz val="9"/>
            <color indexed="81"/>
            <rFont val="Tahoma"/>
            <family val="2"/>
          </rPr>
          <t>Jonathan Godin:</t>
        </r>
        <r>
          <rPr>
            <sz val="9"/>
            <color indexed="81"/>
            <rFont val="Tahoma"/>
            <family val="2"/>
          </rPr>
          <t xml:space="preserve">
Enter the date MM/DD/YYYY
</t>
        </r>
      </text>
    </comment>
    <comment ref="H5" authorId="0" shapeId="0" xr:uid="{7B11C550-81E4-490B-91BE-3CAC6D319447}">
      <text>
        <r>
          <rPr>
            <b/>
            <sz val="9"/>
            <color indexed="81"/>
            <rFont val="Tahoma"/>
            <family val="2"/>
          </rPr>
          <t>Jonathan Godin:</t>
        </r>
        <r>
          <rPr>
            <sz val="9"/>
            <color indexed="81"/>
            <rFont val="Tahoma"/>
            <family val="2"/>
          </rPr>
          <t xml:space="preserve">
input manually</t>
        </r>
      </text>
    </comment>
    <comment ref="H6" authorId="0" shapeId="0" xr:uid="{E3A0EF5F-EDB9-4325-8188-BF8146669EFF}">
      <text>
        <r>
          <rPr>
            <b/>
            <sz val="9"/>
            <color indexed="81"/>
            <rFont val="Tahoma"/>
            <family val="2"/>
          </rPr>
          <t>Jonathan Godin:</t>
        </r>
        <r>
          <rPr>
            <sz val="9"/>
            <color indexed="81"/>
            <rFont val="Tahoma"/>
            <family val="2"/>
          </rPr>
          <t xml:space="preserve">
Enter Manually</t>
        </r>
      </text>
    </comment>
    <comment ref="F19" authorId="0" shapeId="0" xr:uid="{00000000-0006-0000-0300-00000E000000}">
      <text>
        <r>
          <rPr>
            <b/>
            <sz val="9"/>
            <color indexed="81"/>
            <rFont val="Tahoma"/>
            <family val="2"/>
          </rPr>
          <t>Jonathan Godin:</t>
        </r>
        <r>
          <rPr>
            <sz val="9"/>
            <color indexed="81"/>
            <rFont val="Tahoma"/>
            <family val="2"/>
          </rPr>
          <t xml:space="preserve">
Enter Manually</t>
        </r>
      </text>
    </comment>
    <comment ref="G19" authorId="0" shapeId="0" xr:uid="{00000000-0006-0000-0300-00000F000000}">
      <text>
        <r>
          <rPr>
            <b/>
            <sz val="9"/>
            <color indexed="81"/>
            <rFont val="Tahoma"/>
            <family val="2"/>
          </rPr>
          <t>Jonathan Godin:</t>
        </r>
        <r>
          <rPr>
            <sz val="9"/>
            <color indexed="81"/>
            <rFont val="Tahoma"/>
            <family val="2"/>
          </rPr>
          <t xml:space="preserve">
Enter Manually</t>
        </r>
      </text>
    </comment>
    <comment ref="L39" authorId="0" shapeId="0" xr:uid="{AEEDCC0C-1F38-4B38-AAD1-48BCABC806F6}">
      <text>
        <r>
          <rPr>
            <b/>
            <sz val="9"/>
            <color indexed="81"/>
            <rFont val="Tahoma"/>
            <family val="2"/>
          </rPr>
          <t>Jonathan Godin:</t>
        </r>
        <r>
          <rPr>
            <sz val="9"/>
            <color indexed="81"/>
            <rFont val="Tahoma"/>
            <family val="2"/>
          </rPr>
          <t xml:space="preserve">
Enter Manually
</t>
        </r>
      </text>
    </comment>
    <comment ref="L42" authorId="0" shapeId="0" xr:uid="{E5CB017C-8A63-45D0-A5EB-FE25B07D3FA2}">
      <text>
        <r>
          <rPr>
            <b/>
            <sz val="9"/>
            <color indexed="81"/>
            <rFont val="Tahoma"/>
            <family val="2"/>
          </rPr>
          <t>Jonathan Godin:</t>
        </r>
        <r>
          <rPr>
            <sz val="9"/>
            <color indexed="81"/>
            <rFont val="Tahoma"/>
            <family val="2"/>
          </rPr>
          <t xml:space="preserve">
Manually Enter</t>
        </r>
      </text>
    </comment>
    <comment ref="L43" authorId="0" shapeId="0" xr:uid="{F2D7DCB2-7F5C-4191-86A7-32910E98A9B4}">
      <text>
        <r>
          <rPr>
            <b/>
            <sz val="9"/>
            <color indexed="81"/>
            <rFont val="Tahoma"/>
            <family val="2"/>
          </rPr>
          <t>Jonathan Godin:</t>
        </r>
        <r>
          <rPr>
            <sz val="9"/>
            <color indexed="81"/>
            <rFont val="Tahoma"/>
            <family val="2"/>
          </rPr>
          <t xml:space="preserve">
Manually Enter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Jonathan Godin</author>
  </authors>
  <commentList>
    <comment ref="A13" authorId="0" shapeId="0" xr:uid="{00000000-0006-0000-0800-000001000000}">
      <text>
        <r>
          <rPr>
            <b/>
            <sz val="9"/>
            <color indexed="81"/>
            <rFont val="Tahoma"/>
            <family val="2"/>
          </rPr>
          <t>Jonathan Godin:</t>
        </r>
        <r>
          <rPr>
            <sz val="9"/>
            <color indexed="81"/>
            <rFont val="Tahoma"/>
            <family val="2"/>
          </rPr>
          <t xml:space="preserve">
If calculating agents who worked MORE than 7.5 hours, place a negative (-) sumbol in front of the extra minutes you enter, and then remove the symbol from the result in your hours entry.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Jonathan Godin</author>
  </authors>
  <commentList>
    <comment ref="AE3" authorId="0" shapeId="0" xr:uid="{00000000-0006-0000-1000-000001000000}">
      <text>
        <r>
          <rPr>
            <b/>
            <sz val="9"/>
            <color indexed="81"/>
            <rFont val="Tahoma"/>
            <family val="2"/>
          </rPr>
          <t>Jonathan Godin:</t>
        </r>
        <r>
          <rPr>
            <sz val="9"/>
            <color indexed="81"/>
            <rFont val="Tahoma"/>
            <family val="2"/>
          </rPr>
          <t xml:space="preserve">
enter date final decision was approved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Jonathan Godin</author>
  </authors>
  <commentList>
    <comment ref="X2" authorId="0" shapeId="0" xr:uid="{00000000-0006-0000-1100-000001000000}">
      <text>
        <r>
          <rPr>
            <b/>
            <sz val="9"/>
            <color indexed="81"/>
            <rFont val="Tahoma"/>
            <family val="2"/>
          </rPr>
          <t>Jonathan Godin:</t>
        </r>
        <r>
          <rPr>
            <sz val="9"/>
            <color indexed="81"/>
            <rFont val="Tahoma"/>
            <family val="2"/>
          </rPr>
          <t xml:space="preserve">
enter date final decision was approved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<sst xmlns="http://schemas.openxmlformats.org/spreadsheetml/2006/main" count="3793" uniqueCount="825">
  <si>
    <t>Pre Process and Classroom Observation Rubrics</t>
  </si>
  <si>
    <t>Nesting Observation Rubrics</t>
  </si>
  <si>
    <t>Behaviors</t>
  </si>
  <si>
    <t>Red Flag</t>
  </si>
  <si>
    <t>Needs Improvement</t>
  </si>
  <si>
    <t>Meets Expectations</t>
  </si>
  <si>
    <t>Exceeds Expectations</t>
  </si>
  <si>
    <t>Soft Skills</t>
  </si>
  <si>
    <t>Rarely communicates or engages with peers or trainers. Shows resistance to feedback and lacks teamwork.</t>
  </si>
  <si>
    <t>Communicates inconsistently. Struggles with collaboration or adapting to group dynamics. Accepts feedback but rarely applies it.</t>
  </si>
  <si>
    <t>Communicates clearly and respectfully. Works well with others and applies feedback constructively.</t>
  </si>
  <si>
    <t>Proactively communicates and collaborates. Builds positive relationships and consistently applies feedback to improve.</t>
  </si>
  <si>
    <t>Poor communication, disengaged, resistant to feedback, and negatively affects team dynamics.</t>
  </si>
  <si>
    <t>Inconsistent communication or collaboration. Accepts feedback but applies it irregularly.</t>
  </si>
  <si>
    <t>Communicates clearly, collaborates well, and applies feedback constructively.</t>
  </si>
  <si>
    <t>Proactively communicates, uplifts team morale, and consistently applies feedback to improve.</t>
  </si>
  <si>
    <t>Technical Skills</t>
  </si>
  <si>
    <t>Unable to grasp basic concepts. Frequently makes errors and requires constant assistance.</t>
  </si>
  <si>
    <t>Understands basic concepts but struggles with application. Needs frequent guidance.</t>
  </si>
  <si>
    <t>Demonstrates understanding of key concepts. Applies skills with minimal supervision.</t>
  </si>
  <si>
    <t>Shows strong grasp of technical concepts. Applies skills independently and helps peers when needed.</t>
  </si>
  <si>
    <t>Frequent unexcused absences or tardiness. Affects team and training flow.</t>
  </si>
  <si>
    <t>Occasional attendance issues. Shows effort to improve.</t>
  </si>
  <si>
    <t>Consistently present and punctual. Follows attendance policies.</t>
  </si>
  <si>
    <t>Perfect or near-perfect attendance. Reliable and committed.</t>
  </si>
  <si>
    <t>Attendance</t>
  </si>
  <si>
    <t>Frequently absent or late without valid reason. Disrupts training flow.</t>
  </si>
  <si>
    <t>Occasionally late or absent. Shows some effort to improve attendance.</t>
  </si>
  <si>
    <t>Regularly present and punctual. Follows attendance guidelines.</t>
  </si>
  <si>
    <t>Perfect or near-perfect attendance. Always punctual and dependable.</t>
  </si>
  <si>
    <t>Disrespectful, disruptive, or non-compliant with company policies.</t>
  </si>
  <si>
    <t>Occasionally unprofessional or disengaged. Needs reminders.</t>
  </si>
  <si>
    <t>Professional, respectful, and follows conduct guidelines.</t>
  </si>
  <si>
    <t>Role model behavior. Positively influences peers and upholds values.</t>
  </si>
  <si>
    <t>Behavior</t>
  </si>
  <si>
    <t>Displays disrespectful or disruptive behavior. Ignores rules and expectations.</t>
  </si>
  <si>
    <t>Occasionally unprofessional or disengaged. Needs reminders to follow conduct guidelines.</t>
  </si>
  <si>
    <t>Maintains respectful and professional behavior. Follows rules and contributes positively.</t>
  </si>
  <si>
    <t>Exemplifies ideal trainee behavior. Encourages others and upholds training values consistently.</t>
  </si>
  <si>
    <t>Unable to navigate basic system functions. Frequently confused or lost.</t>
  </si>
  <si>
    <t>Understands some features but struggles with efficiency or accuracy.</t>
  </si>
  <si>
    <t>Navigates systems confidently with minimal errors.</t>
  </si>
  <si>
    <t>Efficient and independent system use. Supports peers and uses advanced features.</t>
  </si>
  <si>
    <t>System Navigation</t>
  </si>
  <si>
    <t>Unable to navigate basic system functions. Frequently gets lost or confused during tasks.</t>
  </si>
  <si>
    <t>Understands some system features but struggles with efficiency or accuracy. Needs frequent support.</t>
  </si>
  <si>
    <t>Navigates systems confidently and completes tasks with minimal errors. Requires little supervision.</t>
  </si>
  <si>
    <t>Expertly navigates systems. Uses shortcuts, helps others, and completes tasks efficiently.</t>
  </si>
  <si>
    <t>Lacks understanding of product features and benefits.</t>
  </si>
  <si>
    <t>Basic product knowledge. Struggles to explain or apply it.</t>
  </si>
  <si>
    <t>Solid product understanding. Can explain and apply features effectively.</t>
  </si>
  <si>
    <t>Deep product knowledge. Anticipates needs and supports others confidently.</t>
  </si>
  <si>
    <t>Product Mastery</t>
  </si>
  <si>
    <t>Shows little understanding of the product. Unable to explain features or answer basic questions.</t>
  </si>
  <si>
    <t>Has partial understanding of the product. Can answer some questions but lacks depth.</t>
  </si>
  <si>
    <t>Demonstrates solid product knowledge. Can explain features and answer most questions accurately.</t>
  </si>
  <si>
    <t>Deep understanding of the product. Anticipates questions, explains clearly, and supports peers confidently.</t>
  </si>
  <si>
    <t>QEF</t>
  </si>
  <si>
    <t>Fails to meet quality standards. Frequent critical errors.</t>
  </si>
  <si>
    <t>Meets some quality standards but inconsistently.</t>
  </si>
  <si>
    <t>Consistently meets quality benchmarks with minimal errors.</t>
  </si>
  <si>
    <t>Exceeds quality standards. Delivers high accuracy and attention to detail.</t>
  </si>
  <si>
    <r>
      <rPr>
        <b/>
        <sz val="20"/>
        <color rgb="FF000000"/>
        <rFont val="Aptos Display"/>
      </rPr>
      <t xml:space="preserve">What is a Progress Report? </t>
    </r>
    <r>
      <rPr>
        <sz val="20"/>
        <color rgb="FF000000"/>
        <rFont val="Aptos Display"/>
      </rPr>
      <t xml:space="preserve">A batch report is a means to provide feedback on a training group and on individual trainees. </t>
    </r>
  </si>
  <si>
    <t>AHT</t>
  </si>
  <si>
    <t>Significantly above target AHT. Inefficient handling of tasks.</t>
  </si>
  <si>
    <t>Slightly above target AHT. Needs to improve speed and flow.</t>
  </si>
  <si>
    <t>Within target AHT range. Handles tasks efficiently.</t>
  </si>
  <si>
    <t>Below target AHT without compromising quality. Highly efficient.</t>
  </si>
  <si>
    <r>
      <rPr>
        <b/>
        <sz val="20"/>
        <color rgb="FF000000"/>
        <rFont val="Aptos Display"/>
      </rPr>
      <t>Purpose:</t>
    </r>
    <r>
      <rPr>
        <sz val="20"/>
        <color rgb="FF000000"/>
        <rFont val="Aptos Display"/>
      </rPr>
      <t xml:space="preserve"> This is to help provide extra support to those who need it most, and allow the transition leads, team leads and QA to best work with their new agents</t>
    </r>
  </si>
  <si>
    <t>HOLD</t>
  </si>
  <si>
    <t>Excessive hold time. Poor communication or system navigation.</t>
  </si>
  <si>
    <t>Hold time slightly above acceptable range. Needs improvement in multitasking.</t>
  </si>
  <si>
    <t>Maintains acceptable hold time. Communicates hold reasons clearly.</t>
  </si>
  <si>
    <t>Minimal hold time. Manages tasks and communication seamlessly.</t>
  </si>
  <si>
    <t>ADHERENCE</t>
  </si>
  <si>
    <t>Frequently out of schedule adherence. Disrupts workflow.</t>
  </si>
  <si>
    <t>Occasional adherence issues. Needs reminders.</t>
  </si>
  <si>
    <t>Follows schedule consistently. Adheres to breaks and log-in times.</t>
  </si>
  <si>
    <t>Perfect adherence. Demonstrates strong time management and discipline.</t>
  </si>
  <si>
    <t>Pre Training Guide</t>
  </si>
  <si>
    <t>Class Summary - Provides a consolidated overview of key metrics such as attendance, attrition, and Nesting Quality Score for quick reference</t>
  </si>
  <si>
    <t>Attendance - Tracks daily trainee presence, absences, tardiness, and leave records for compliance monitoring</t>
  </si>
  <si>
    <t>Performance - Captures assessment results, nesting evaluations, and overall trainee progress against performance standards</t>
  </si>
  <si>
    <t>WFH Audit - Monitors compliance with work-from-home requirements, including system checks and workstation standards</t>
  </si>
  <si>
    <t>Student Data - Records the trainer information, including their status before and after training</t>
  </si>
  <si>
    <t>Daily Observation - Records trainer notes on participation, engagement, and behavior to support coaching and development.</t>
  </si>
  <si>
    <t>PCB Nesting QA - Presents key indicators and trends through charts and summaries for data-driven decision-making</t>
  </si>
  <si>
    <t>KPI Dasboard - Presents key indicators and trends through charts and summaries for data-driven decision-making.</t>
  </si>
  <si>
    <t>Perf. Mgmnt - A collection of the infraction earned by the learner during training</t>
  </si>
  <si>
    <t>Handoff Page - Summarizes trainee performance, strengths, and areas for improvement for smooth transition to operations</t>
  </si>
  <si>
    <t>Home</t>
  </si>
  <si>
    <t>Daily Training Check List</t>
  </si>
  <si>
    <t>Week 1</t>
  </si>
  <si>
    <t>Week 2</t>
  </si>
  <si>
    <t>Week 3</t>
  </si>
  <si>
    <t>Week 4</t>
  </si>
  <si>
    <t>In Class</t>
  </si>
  <si>
    <t>Mon</t>
  </si>
  <si>
    <t>Tues</t>
  </si>
  <si>
    <t>Wed</t>
  </si>
  <si>
    <t>Thurs</t>
  </si>
  <si>
    <t>Fri</t>
  </si>
  <si>
    <t>Update “Daily Observations” in Progress Report to track agent participation, strengths and opportunities for improvement, as well as performance related conversations (good or bad)</t>
  </si>
  <si>
    <t>Daily call-outs for absences</t>
  </si>
  <si>
    <t>Daily call when class is behind schedule</t>
  </si>
  <si>
    <t>Send hours daily to payroll</t>
  </si>
  <si>
    <t>Complete reviews of previous day each morning</t>
  </si>
  <si>
    <t>In Nesting</t>
  </si>
  <si>
    <t>Conduct meetings at the beginning and end of each day todiscuss updates, tips and tricks, concerns, questions, etc</t>
  </si>
  <si>
    <t>Update Progress Report daily, specifically the "Nesting QA", Daily Observations and Attendance Tab</t>
  </si>
  <si>
    <t>Ensure trainees are tapping the swipe clock if applicable</t>
  </si>
  <si>
    <t>Ensure they are logging into SoftPhone or IceBar at the very start of the day.</t>
  </si>
  <si>
    <t>Side-by-side with struggling trainees</t>
  </si>
  <si>
    <t>Answer questions in a floor support capacity</t>
  </si>
  <si>
    <t>Work with Ops to ensure floor support is readily available to assist with nesting</t>
  </si>
  <si>
    <t>Coach back QAs (or vendor response if applicable) as they arrive</t>
  </si>
  <si>
    <t>N/A</t>
  </si>
  <si>
    <t>Yes</t>
  </si>
  <si>
    <t>DO NOT DELETE</t>
  </si>
  <si>
    <t>No</t>
  </si>
  <si>
    <t>Training Dates</t>
  </si>
  <si>
    <t>Hire Date (PP)</t>
  </si>
  <si>
    <t>Training Start Date  T1B</t>
  </si>
  <si>
    <t>Lead Time</t>
  </si>
  <si>
    <t>Remote Training Links:</t>
  </si>
  <si>
    <t>Host Key</t>
  </si>
  <si>
    <t>Training Start Date T1A</t>
  </si>
  <si>
    <t>Nesting Start Date T1B</t>
  </si>
  <si>
    <t>English Mandate</t>
  </si>
  <si>
    <t>Teams</t>
  </si>
  <si>
    <t>Nesting Start Date T1A</t>
  </si>
  <si>
    <t>Nesting End Date T1B</t>
  </si>
  <si>
    <t>French Mandate</t>
  </si>
  <si>
    <t>Nesting End Date T1A</t>
  </si>
  <si>
    <t>Training Start Date Tier 1C</t>
  </si>
  <si>
    <t>Hired Headcount English</t>
  </si>
  <si>
    <t>Site</t>
  </si>
  <si>
    <t>Training End Date Tier 1C</t>
  </si>
  <si>
    <t>Hired Headcount French</t>
  </si>
  <si>
    <t>Line of Business</t>
  </si>
  <si>
    <t>PCB</t>
  </si>
  <si>
    <t>Transition to Production</t>
  </si>
  <si>
    <t>Fill Rate % English</t>
  </si>
  <si>
    <t>T1</t>
  </si>
  <si>
    <t>Fill Rate % French</t>
  </si>
  <si>
    <t>T2</t>
  </si>
  <si>
    <t>First Day Show Rate % En</t>
  </si>
  <si>
    <t>First Day Show Rate % Fr</t>
  </si>
  <si>
    <t>Overall Class Performance Dashboard</t>
  </si>
  <si>
    <t>Class List</t>
  </si>
  <si>
    <t>Number of Students Day 1</t>
  </si>
  <si>
    <t>ONLY REQUIRED FOR NEW HIRE CLASSES</t>
  </si>
  <si>
    <t>Nesting</t>
  </si>
  <si>
    <t>Overall</t>
  </si>
  <si>
    <t>Quality of Conversation Meeting with Operations</t>
  </si>
  <si>
    <t>Started</t>
  </si>
  <si>
    <t>Voluntary</t>
  </si>
  <si>
    <t>Involuntary</t>
  </si>
  <si>
    <t>Attrition %</t>
  </si>
  <si>
    <t>LAST NAME</t>
  </si>
  <si>
    <t>FIRST NAME</t>
  </si>
  <si>
    <t>Status</t>
  </si>
  <si>
    <t xml:space="preserve">Date:
</t>
  </si>
  <si>
    <t>Met with:</t>
  </si>
  <si>
    <t>Concerns</t>
  </si>
  <si>
    <t xml:space="preserve">Graduates </t>
  </si>
  <si>
    <t>Graduate HC</t>
  </si>
  <si>
    <t>Graduate %</t>
  </si>
  <si>
    <t>Pass Rate</t>
  </si>
  <si>
    <t>Status Count</t>
  </si>
  <si>
    <t>Absences</t>
  </si>
  <si>
    <t>Late/LE</t>
  </si>
  <si>
    <t>NCNS</t>
  </si>
  <si>
    <t>Resigned</t>
  </si>
  <si>
    <t>Retained</t>
  </si>
  <si>
    <t>Trasnfer Out</t>
  </si>
  <si>
    <t>Training Hrs</t>
  </si>
  <si>
    <t>Complete Hrs</t>
  </si>
  <si>
    <t>Performance</t>
  </si>
  <si>
    <t>Assessment Scores</t>
  </si>
  <si>
    <t>Mandatory Course</t>
  </si>
  <si>
    <t>Ave. QA Score</t>
  </si>
  <si>
    <t>Assesment Score</t>
  </si>
  <si>
    <t># Days met Adh</t>
  </si>
  <si>
    <t># Day met AHT</t>
  </si>
  <si>
    <t>Days met Hold</t>
  </si>
  <si>
    <t>Date Completed:</t>
  </si>
  <si>
    <t>Compliance Coaching Module:</t>
  </si>
  <si>
    <t>Operational Support Provided</t>
  </si>
  <si>
    <t>Date of Handoff</t>
  </si>
  <si>
    <t>In Class Survey Date:</t>
  </si>
  <si>
    <t>Nesting Survey Date:</t>
  </si>
  <si>
    <t>Due Date:</t>
  </si>
  <si>
    <t>OJT Survey:</t>
  </si>
  <si>
    <t>Separation Analysis</t>
  </si>
  <si>
    <t>Source</t>
  </si>
  <si>
    <t xml:space="preserve">Last Name </t>
  </si>
  <si>
    <t xml:space="preserve">First Name </t>
  </si>
  <si>
    <t>Location</t>
  </si>
  <si>
    <t>WFH</t>
  </si>
  <si>
    <t xml:space="preserve">Status </t>
  </si>
  <si>
    <t>Level 1</t>
  </si>
  <si>
    <t xml:space="preserve">Level 2 </t>
  </si>
  <si>
    <t>Level 3</t>
  </si>
  <si>
    <t>Role Assignment</t>
  </si>
  <si>
    <t>Billing</t>
  </si>
  <si>
    <t>TL</t>
  </si>
  <si>
    <t>Language</t>
  </si>
  <si>
    <t>Emp ID</t>
  </si>
  <si>
    <t>Windows</t>
  </si>
  <si>
    <t>NTT BPO Email</t>
  </si>
  <si>
    <t xml:space="preserve">PCB REQ # </t>
  </si>
  <si>
    <t>Home Phone</t>
  </si>
  <si>
    <t>Home Email Address</t>
  </si>
  <si>
    <t>TSYS</t>
  </si>
  <si>
    <t>MAC GUI</t>
  </si>
  <si>
    <t>ICE</t>
  </si>
  <si>
    <t>Genesys</t>
  </si>
  <si>
    <t>Notes</t>
  </si>
  <si>
    <t>Class Summary</t>
  </si>
  <si>
    <t>Nesting QA</t>
  </si>
  <si>
    <t>Rnne</t>
  </si>
  <si>
    <t>Donna</t>
  </si>
  <si>
    <t>Resigned Pre-Process</t>
  </si>
  <si>
    <t>Failed Nesting</t>
  </si>
  <si>
    <t>Nesting Performance</t>
  </si>
  <si>
    <t>Rudeness</t>
  </si>
  <si>
    <t>Student Data</t>
  </si>
  <si>
    <t>Report Cards</t>
  </si>
  <si>
    <t xml:space="preserve">Aquino </t>
  </si>
  <si>
    <t>Summer</t>
  </si>
  <si>
    <t>Tier 1A</t>
  </si>
  <si>
    <t xml:space="preserve">Reyes </t>
  </si>
  <si>
    <t>Joana</t>
  </si>
  <si>
    <t>Manuel</t>
  </si>
  <si>
    <t>Quezon</t>
  </si>
  <si>
    <t>1st Level Analysis</t>
  </si>
  <si>
    <t>Failed PP</t>
  </si>
  <si>
    <t>Failed PST</t>
  </si>
  <si>
    <t>Better Opportuniy</t>
  </si>
  <si>
    <t>Health</t>
  </si>
  <si>
    <t>Requirements</t>
  </si>
  <si>
    <t>Family</t>
  </si>
  <si>
    <t>Education</t>
  </si>
  <si>
    <t>Relocation</t>
  </si>
  <si>
    <t>Others</t>
  </si>
  <si>
    <t>2nd level Analysis</t>
  </si>
  <si>
    <t>Assessment</t>
  </si>
  <si>
    <t>Behaviour</t>
  </si>
  <si>
    <t>ZTP</t>
  </si>
  <si>
    <t>Higher Pay</t>
  </si>
  <si>
    <t>Proximity</t>
  </si>
  <si>
    <t>Failed BC</t>
  </si>
  <si>
    <t>Kin Care</t>
  </si>
  <si>
    <t>Going back to School</t>
  </si>
  <si>
    <t>Prolonged sickness</t>
  </si>
  <si>
    <t xml:space="preserve">HR Did not Inform </t>
  </si>
  <si>
    <t>Personal</t>
  </si>
  <si>
    <t>3rd level Analysis</t>
  </si>
  <si>
    <t>Sickness</t>
  </si>
  <si>
    <t>Pregnancy</t>
  </si>
  <si>
    <t>Comprehension</t>
  </si>
  <si>
    <t>Communication Skills</t>
  </si>
  <si>
    <t>Unfit to work</t>
  </si>
  <si>
    <t>Internet Connectivity</t>
  </si>
  <si>
    <t xml:space="preserve">Conflict w/ Schedule </t>
  </si>
  <si>
    <t xml:space="preserve">Commuting Issues </t>
  </si>
  <si>
    <t xml:space="preserve">Job Abandonment </t>
  </si>
  <si>
    <t xml:space="preserve">Dissatisfied w/ the Role </t>
  </si>
  <si>
    <t xml:space="preserve">Dissatisfied w/ Support </t>
  </si>
  <si>
    <t xml:space="preserve">No longer responsive </t>
  </si>
  <si>
    <t xml:space="preserve">Workload </t>
  </si>
  <si>
    <t xml:space="preserve">Commitment Issues </t>
  </si>
  <si>
    <t xml:space="preserve">Cultural Misfit </t>
  </si>
  <si>
    <t xml:space="preserve">Bullying </t>
  </si>
  <si>
    <t xml:space="preserve">Burnout </t>
  </si>
  <si>
    <t xml:space="preserve">Not Meeting OPS KPIs </t>
  </si>
  <si>
    <t xml:space="preserve">Switch Careers </t>
  </si>
  <si>
    <t>_Status_</t>
  </si>
  <si>
    <t>Did not Start</t>
  </si>
  <si>
    <t>Tier 1A Nesting</t>
  </si>
  <si>
    <t>Tier 1B</t>
  </si>
  <si>
    <t>Tier 1B Nesting</t>
  </si>
  <si>
    <t>Nesting 3</t>
  </si>
  <si>
    <t>Resigned Tier 1A</t>
  </si>
  <si>
    <t>Terminated Pre-process</t>
  </si>
  <si>
    <t>Terminated Tier 1B</t>
  </si>
  <si>
    <t>Terminated Tier 1A</t>
  </si>
  <si>
    <t>Resigned-Nesting 1A</t>
  </si>
  <si>
    <t>Resigned Tier 1B</t>
  </si>
  <si>
    <t>Resigned-Nesting 3</t>
  </si>
  <si>
    <t>Resigned-Nesting 1B</t>
  </si>
  <si>
    <t>Resigned-Nesting</t>
  </si>
  <si>
    <t>Terminated-Nesting 1B</t>
  </si>
  <si>
    <t>Terminated-Nesting 3</t>
  </si>
  <si>
    <t>Terminated-Nesting 1A</t>
  </si>
  <si>
    <t>Transition to Production with SMART plan</t>
  </si>
  <si>
    <t>Moved/Joining Alternate Class</t>
  </si>
  <si>
    <t>Missed too much time - pending HR</t>
  </si>
  <si>
    <t>Remained at Previous Level</t>
  </si>
  <si>
    <t>LOA</t>
  </si>
  <si>
    <t>Transferred Out of Program</t>
  </si>
  <si>
    <t>Pre-Process</t>
  </si>
  <si>
    <t>_Source_</t>
  </si>
  <si>
    <t>Transfer</t>
  </si>
  <si>
    <t>Return from LOA</t>
  </si>
  <si>
    <t>New Hire</t>
  </si>
  <si>
    <t>Other class</t>
  </si>
  <si>
    <t>Agency</t>
  </si>
  <si>
    <t>Upskill</t>
  </si>
  <si>
    <t>English</t>
  </si>
  <si>
    <t>Bilingual</t>
  </si>
  <si>
    <t>q</t>
  </si>
  <si>
    <t>Tier 1</t>
  </si>
  <si>
    <t>Tier 2</t>
  </si>
  <si>
    <t>Tier 2 - SLP</t>
  </si>
  <si>
    <t>Tier 3</t>
  </si>
  <si>
    <t>FSA</t>
  </si>
  <si>
    <t>DSA</t>
  </si>
  <si>
    <t>Credit</t>
  </si>
  <si>
    <t>Offline</t>
  </si>
  <si>
    <t>QA</t>
  </si>
  <si>
    <t>Full-Time</t>
  </si>
  <si>
    <t>Part-Time</t>
  </si>
  <si>
    <t>Preprocess SWOT</t>
  </si>
  <si>
    <t>Last Name</t>
  </si>
  <si>
    <t>First Name</t>
  </si>
  <si>
    <t>Alias</t>
  </si>
  <si>
    <t>Strengths</t>
  </si>
  <si>
    <t>Weaknesses</t>
  </si>
  <si>
    <t>Opportunities</t>
  </si>
  <si>
    <t>Threats</t>
  </si>
  <si>
    <t>Recommendations</t>
  </si>
  <si>
    <t>Class Start Date</t>
  </si>
  <si>
    <t>Passing Mark - Compliance:</t>
  </si>
  <si>
    <t>Legend:</t>
  </si>
  <si>
    <t>Compliance Quizzes</t>
  </si>
  <si>
    <t>Program Specific Quizzes</t>
  </si>
  <si>
    <t>Passing Mark - Program Specific:</t>
  </si>
  <si>
    <t>Pre Process</t>
  </si>
  <si>
    <t>NTT Compliance Courses</t>
  </si>
  <si>
    <t>All NTT BPO Employee Training Requirements</t>
  </si>
  <si>
    <t>Mandatory Compliance Training by Client</t>
  </si>
  <si>
    <t>Program Specific Tests</t>
  </si>
  <si>
    <t>Test Averages</t>
  </si>
  <si>
    <t>Compliance Completion</t>
  </si>
  <si>
    <t>AML Completed?</t>
  </si>
  <si>
    <t>Culture Quiz</t>
  </si>
  <si>
    <t>Code of Business Conduct and Information Security</t>
  </si>
  <si>
    <t>Occupational Safety and Health Training</t>
  </si>
  <si>
    <t>Global Workplace Harassment Prevention Training 2025</t>
  </si>
  <si>
    <t>Inclusion Intelligence Certification Program</t>
  </si>
  <si>
    <t>2025 Emergency Evacuation Plan Training</t>
  </si>
  <si>
    <t>AI</t>
  </si>
  <si>
    <t>Corporate Policy and Procedure Employee Sign off</t>
  </si>
  <si>
    <t>NTT BPO CASL</t>
  </si>
  <si>
    <t>NTT BPO AODA</t>
  </si>
  <si>
    <t>NTT BPO Health and Safety - Onshore or Offshore version</t>
  </si>
  <si>
    <t>NTT BPO WHMIS</t>
  </si>
  <si>
    <t>NTT BPO Violence and Harassment in the Workplace Quiz</t>
  </si>
  <si>
    <t xml:space="preserve">NTT BPO Insider Fraud Awareness
</t>
  </si>
  <si>
    <t>NTT BPO Privacy + Security</t>
  </si>
  <si>
    <t>NTT BPO Human Rights Code</t>
  </si>
  <si>
    <t>Whistleblowing</t>
  </si>
  <si>
    <t>PCB Compliance Coaching Model</t>
  </si>
  <si>
    <t>Complaint Management Theory</t>
  </si>
  <si>
    <t>NTT BPO PCB AML - General</t>
  </si>
  <si>
    <t>Senior's Fraud</t>
  </si>
  <si>
    <t>WFM Environment Check</t>
  </si>
  <si>
    <t>T1A Test 1</t>
  </si>
  <si>
    <t>T1A Test 2</t>
  </si>
  <si>
    <t>Retake</t>
  </si>
  <si>
    <t>Scored Compliance Test Average</t>
  </si>
  <si>
    <t>Program Test Average</t>
  </si>
  <si>
    <t>Pass Training?</t>
  </si>
  <si>
    <t>If "No", what decision is being made?</t>
  </si>
  <si>
    <t>If trainee did not pass, and is still moving to Nesting, please offer reasoning</t>
  </si>
  <si>
    <t>date</t>
  </si>
  <si>
    <t>Vol Adjust + In Reporting</t>
  </si>
  <si>
    <t>Brand Quiz</t>
  </si>
  <si>
    <t xml:space="preserve">Product Training Test </t>
  </si>
  <si>
    <t>General Inquiries Test</t>
  </si>
  <si>
    <t>Misc. Inquiries Test</t>
  </si>
  <si>
    <t>Disputes Test</t>
  </si>
  <si>
    <t xml:space="preserve">Collections Test </t>
  </si>
  <si>
    <t xml:space="preserve">Credit Quiz </t>
  </si>
  <si>
    <t xml:space="preserve">CSR Dispute Inquiries </t>
  </si>
  <si>
    <t xml:space="preserve">CSR Collection Inquiries </t>
  </si>
  <si>
    <t xml:space="preserve">CSR Fraud Inquiries </t>
  </si>
  <si>
    <t xml:space="preserve">CSR General Credit Quiz </t>
  </si>
  <si>
    <t>Total Hrs</t>
  </si>
  <si>
    <t>Hrs Cmpltd</t>
  </si>
  <si>
    <t>Abs Rate</t>
  </si>
  <si>
    <t>LOB:</t>
  </si>
  <si>
    <t>PCB Tier 1</t>
  </si>
  <si>
    <t>Start Head Count</t>
  </si>
  <si>
    <t>Start Date:</t>
  </si>
  <si>
    <t>Current Head Count</t>
  </si>
  <si>
    <t>French</t>
  </si>
  <si>
    <t>Nesting Start:</t>
  </si>
  <si>
    <t>Nesting End:</t>
  </si>
  <si>
    <t xml:space="preserve">T1 </t>
  </si>
  <si>
    <t>Hour Calculator</t>
  </si>
  <si>
    <t>Enter minutes late</t>
  </si>
  <si>
    <t>Total Hours worked</t>
  </si>
  <si>
    <t>Onshore</t>
  </si>
  <si>
    <t>Offshore</t>
  </si>
  <si>
    <t>Canadian Culture</t>
  </si>
  <si>
    <t>LVA</t>
  </si>
  <si>
    <t>NTT</t>
  </si>
  <si>
    <t>Daily Observations</t>
  </si>
  <si>
    <t xml:space="preserve">Colour the cell yellow to indicate the day they transitioned into nesting. This is important for tracking purposes. </t>
  </si>
  <si>
    <t>Tier 1 A Nesting</t>
  </si>
  <si>
    <t>Collections</t>
  </si>
  <si>
    <t>Tier 1C Nesting</t>
  </si>
  <si>
    <t>Summary</t>
  </si>
  <si>
    <t>Total Hours</t>
  </si>
  <si>
    <t>Total HRs</t>
  </si>
  <si>
    <t>SOURCE</t>
  </si>
  <si>
    <t>EMP ID</t>
  </si>
  <si>
    <t>LANGUAGE</t>
  </si>
  <si>
    <t>Day 1</t>
  </si>
  <si>
    <t>Day 2</t>
  </si>
  <si>
    <t>Day 3</t>
  </si>
  <si>
    <t>Day 4</t>
  </si>
  <si>
    <t>Day 5</t>
  </si>
  <si>
    <t>Day 6</t>
  </si>
  <si>
    <t>Day 7</t>
  </si>
  <si>
    <t>Day 8</t>
  </si>
  <si>
    <t>Day 9</t>
  </si>
  <si>
    <t>Day 10</t>
  </si>
  <si>
    <t>Day 11</t>
  </si>
  <si>
    <t>Day 12</t>
  </si>
  <si>
    <t xml:space="preserve">Day 13 </t>
  </si>
  <si>
    <t>Day 14</t>
  </si>
  <si>
    <t>Day 15</t>
  </si>
  <si>
    <t>Day 16</t>
  </si>
  <si>
    <t>Day 17</t>
  </si>
  <si>
    <t>Day 18</t>
  </si>
  <si>
    <t>Day 19</t>
  </si>
  <si>
    <t>Day 20</t>
  </si>
  <si>
    <t>Day 21</t>
  </si>
  <si>
    <t>Day 22</t>
  </si>
  <si>
    <t>Day 23</t>
  </si>
  <si>
    <t>Day 24</t>
  </si>
  <si>
    <t>Day 25</t>
  </si>
  <si>
    <t>Day 26</t>
  </si>
  <si>
    <t>Day 27</t>
  </si>
  <si>
    <t>Day 28</t>
  </si>
  <si>
    <t>Day 29</t>
  </si>
  <si>
    <t>Day 30</t>
  </si>
  <si>
    <t>Day 31</t>
  </si>
  <si>
    <t>Day 32</t>
  </si>
  <si>
    <t>Day 33</t>
  </si>
  <si>
    <t>Day 34</t>
  </si>
  <si>
    <t>Day 35</t>
  </si>
  <si>
    <t>Day 36</t>
  </si>
  <si>
    <t>Day 37</t>
  </si>
  <si>
    <t>Day 38</t>
  </si>
  <si>
    <t>Day 39</t>
  </si>
  <si>
    <t>Day 40</t>
  </si>
  <si>
    <t>Day 41</t>
  </si>
  <si>
    <t>Day 42</t>
  </si>
  <si>
    <t>Day 43</t>
  </si>
  <si>
    <t>Day 44</t>
  </si>
  <si>
    <t>Day 45</t>
  </si>
  <si>
    <t>Day 46</t>
  </si>
  <si>
    <t>Day 47</t>
  </si>
  <si>
    <t>Classroom Last Day</t>
  </si>
  <si>
    <t>Nesting Last Day</t>
  </si>
  <si>
    <t>Tech Day</t>
  </si>
  <si>
    <t>Total Absences</t>
  </si>
  <si>
    <t># of Leave early/ lates</t>
  </si>
  <si>
    <t># of NCNS</t>
  </si>
  <si>
    <t>Hours Completed</t>
  </si>
  <si>
    <t>Delinquent Account Handling</t>
  </si>
  <si>
    <t>Financial Adjustments</t>
  </si>
  <si>
    <t>Lost Stolen</t>
  </si>
  <si>
    <t>Extemded Onilne Troubleshooting</t>
  </si>
  <si>
    <t>Declined Authorizations</t>
  </si>
  <si>
    <t>Cycle Date</t>
  </si>
  <si>
    <t>Securecode</t>
  </si>
  <si>
    <t>Cash Withdrawal</t>
  </si>
  <si>
    <t>Bill Payments</t>
  </si>
  <si>
    <t>Transfer Trace</t>
  </si>
  <si>
    <t>Interac E Transfer</t>
  </si>
  <si>
    <t>Overdraft</t>
  </si>
  <si>
    <t>Deposit for PCMA</t>
  </si>
  <si>
    <t>Move Money</t>
  </si>
  <si>
    <t>Graduate to Nesting</t>
  </si>
  <si>
    <t>Terminate</t>
  </si>
  <si>
    <t>Test 1</t>
  </si>
  <si>
    <t>Test 2</t>
  </si>
  <si>
    <t>Test 3</t>
  </si>
  <si>
    <t>Daily Training Report 1</t>
  </si>
  <si>
    <t>Daily Training Report 2</t>
  </si>
  <si>
    <t>Daily Training Report 3</t>
  </si>
  <si>
    <t>Daily Training Report 4</t>
  </si>
  <si>
    <t>Daily Training Report 5</t>
  </si>
  <si>
    <t>Wave</t>
  </si>
  <si>
    <t>Program</t>
  </si>
  <si>
    <t>M1S</t>
  </si>
  <si>
    <t>Venue</t>
  </si>
  <si>
    <t>TR, Brixton site</t>
  </si>
  <si>
    <t>Schedule</t>
  </si>
  <si>
    <t>9:00PM - 6:00AM</t>
  </si>
  <si>
    <t>Facilitator(s)</t>
  </si>
  <si>
    <t>Date</t>
  </si>
  <si>
    <t>Expected Headcount</t>
  </si>
  <si>
    <t>Actual Headcount</t>
  </si>
  <si>
    <t>No Show/s</t>
  </si>
  <si>
    <t>Tardy</t>
  </si>
  <si>
    <t>Abseentee/s</t>
  </si>
  <si>
    <t>Absentee/s</t>
  </si>
  <si>
    <t>Observer/s:</t>
  </si>
  <si>
    <t>Topics Discussed</t>
  </si>
  <si>
    <t xml:space="preserve">
Highlights
 </t>
  </si>
  <si>
    <t>Methodology</t>
  </si>
  <si>
    <t>Learning Challenges</t>
  </si>
  <si>
    <t>Action Plans</t>
  </si>
  <si>
    <t>Sales</t>
  </si>
  <si>
    <t xml:space="preserve">Skill Assessment </t>
  </si>
  <si>
    <t>***minimum 2 assessments per agent</t>
  </si>
  <si>
    <t>Call 1</t>
  </si>
  <si>
    <t>Call 2</t>
  </si>
  <si>
    <t>Call 3</t>
  </si>
  <si>
    <t>Call 4</t>
  </si>
  <si>
    <t>Call 5</t>
  </si>
  <si>
    <t>Average</t>
  </si>
  <si>
    <t>Comments</t>
  </si>
  <si>
    <t>CLASS AVERAGE</t>
  </si>
  <si>
    <t>TARGET</t>
  </si>
  <si>
    <t>Rubric :  Click Here</t>
  </si>
  <si>
    <t xml:space="preserve">PCB Tier 1B New Hire Course Day 1 Intro - ILT
Nesting 1 Debrief 
QA Call Flow
Advanced Search in Salesforce 
Maintain Status Codes
Introduction to TS2
Card Activations </t>
  </si>
  <si>
    <t>Tier 1A - Nesting</t>
  </si>
  <si>
    <t>Tier 1B - Nesting</t>
  </si>
  <si>
    <t>Tier 1C - Nesting</t>
  </si>
  <si>
    <t xml:space="preserve">Date </t>
  </si>
  <si>
    <t>Modules</t>
  </si>
  <si>
    <t>Student Name</t>
  </si>
  <si>
    <t>Learner Health</t>
  </si>
  <si>
    <t>Observation</t>
  </si>
  <si>
    <t xml:space="preserve">Sytem Navigation </t>
  </si>
  <si>
    <t xml:space="preserve">Product Mastery </t>
  </si>
  <si>
    <t>Hold</t>
  </si>
  <si>
    <t>Sched Adhrnc</t>
  </si>
  <si>
    <t>ME</t>
  </si>
  <si>
    <t>NI</t>
  </si>
  <si>
    <t>EE</t>
  </si>
  <si>
    <t>Green</t>
  </si>
  <si>
    <t xml:space="preserve">JC shared to the class regarding his good experience when he had unauthorized charges and that he went to the courier and he was assisted right there, he was oberved to have some trouble expressing his thoughts.
Agent was observed to be very participative during the day but still observed to have troubles with expressing his thoughts. 
JC shared the answer representing the class pertaining to the question What challenges or goals does your persona had 
Agent volunteered to answer What makes the customer loyal, If the customer experience good customer service. </t>
  </si>
  <si>
    <t>Red</t>
  </si>
  <si>
    <t>RF</t>
  </si>
  <si>
    <t>Amber</t>
  </si>
  <si>
    <t>PLEASE DO NOT DELETE THIS TABLE</t>
  </si>
  <si>
    <t>Attitude</t>
  </si>
  <si>
    <t>Start Date</t>
  </si>
  <si>
    <t>Agent Name</t>
  </si>
  <si>
    <t>In-Class</t>
  </si>
  <si>
    <t>Quality</t>
  </si>
  <si>
    <t>Nesting Results</t>
  </si>
  <si>
    <t>Warnings</t>
  </si>
  <si>
    <t>OPS Recommendation</t>
  </si>
  <si>
    <t>Final Decision</t>
  </si>
  <si>
    <t>OPS Acknowledgement (Director Level)</t>
  </si>
  <si>
    <t>Notes/Observations</t>
  </si>
  <si>
    <t>Test AVG</t>
  </si>
  <si>
    <t>QA 1</t>
  </si>
  <si>
    <t>QA2</t>
  </si>
  <si>
    <t>QA3</t>
  </si>
  <si>
    <t>QA4</t>
  </si>
  <si>
    <t>QA5</t>
  </si>
  <si>
    <t>QA6</t>
  </si>
  <si>
    <t>QA7</t>
  </si>
  <si>
    <t>QA8</t>
  </si>
  <si>
    <t>QA9</t>
  </si>
  <si>
    <t>QA10</t>
  </si>
  <si>
    <t>QA11</t>
  </si>
  <si>
    <t>QA12</t>
  </si>
  <si>
    <t>QA AVG</t>
  </si>
  <si>
    <t>Avg Calls/hr</t>
  </si>
  <si>
    <t>Days met AHT</t>
  </si>
  <si>
    <t>Days met Code</t>
  </si>
  <si>
    <t>Abs (NC)</t>
  </si>
  <si>
    <t>Abs (C)</t>
  </si>
  <si>
    <t>LE</t>
  </si>
  <si>
    <t>Cell</t>
  </si>
  <si>
    <t>Other</t>
  </si>
  <si>
    <t>Transition</t>
  </si>
  <si>
    <t>Pending</t>
  </si>
  <si>
    <t>Terminated</t>
  </si>
  <si>
    <t>Rewaved</t>
  </si>
  <si>
    <t>Extended</t>
  </si>
  <si>
    <t>Warning Legend:</t>
  </si>
  <si>
    <t>S1</t>
  </si>
  <si>
    <t>Stage 1</t>
  </si>
  <si>
    <t>Attendance - Non-Culpable - Stage 1</t>
  </si>
  <si>
    <t>Attendance - Non-Culpable - Stage 2</t>
  </si>
  <si>
    <t>Attendance - Non-Culpable - Stage 3</t>
  </si>
  <si>
    <t>Attendance - Non-Culpable - Stage 4</t>
  </si>
  <si>
    <t>Attendance - Culpable - Verbal</t>
  </si>
  <si>
    <t>Attendance - Culpable - 1st Written</t>
  </si>
  <si>
    <t>Attendance - Culpable - 2nd Written</t>
  </si>
  <si>
    <t>Attendance - Culpable - Final Written</t>
  </si>
  <si>
    <t>Late/Leave Early - Verbal</t>
  </si>
  <si>
    <t>Late/Leave Early - 1st Written</t>
  </si>
  <si>
    <t>Late/Leave Early - 2nd Written</t>
  </si>
  <si>
    <t>Late/Leave Early - Final Written</t>
  </si>
  <si>
    <t>NCNS - Final</t>
  </si>
  <si>
    <t>Cell Phone - Final</t>
  </si>
  <si>
    <t>S1 - NC</t>
  </si>
  <si>
    <t>S2 - NC</t>
  </si>
  <si>
    <t>S3 - NC</t>
  </si>
  <si>
    <t>S4 - NC</t>
  </si>
  <si>
    <t>VW</t>
  </si>
  <si>
    <t>1W</t>
  </si>
  <si>
    <t>2W</t>
  </si>
  <si>
    <t>FW</t>
  </si>
  <si>
    <t>S2</t>
  </si>
  <si>
    <t>Stage 2</t>
  </si>
  <si>
    <t>S3</t>
  </si>
  <si>
    <t>Stage 3</t>
  </si>
  <si>
    <t>S4</t>
  </si>
  <si>
    <t>Stage 4</t>
  </si>
  <si>
    <t>Verbal Warning</t>
  </si>
  <si>
    <t>First Written</t>
  </si>
  <si>
    <t>Second Written</t>
  </si>
  <si>
    <t>Final Warning</t>
  </si>
  <si>
    <t xml:space="preserve">Tier 1 A                                                        
2 QEFs by QA and 1 QEFs by Facilitator </t>
  </si>
  <si>
    <t xml:space="preserve">Tier 1 B                                                                          
 2 QEFs by QA and 2 QEFs by Facilitator </t>
  </si>
  <si>
    <t xml:space="preserve">Tier 1C 
4 QEFs by QA and 1 QEFs by Facilitator </t>
  </si>
  <si>
    <t>Nesting Incentives Summary Goals</t>
  </si>
  <si>
    <t>Call 1
TS
DATE</t>
  </si>
  <si>
    <t>Call 2
QA
DATE</t>
  </si>
  <si>
    <t>Call 3
QA
DATE</t>
  </si>
  <si>
    <t>Call 4
TS
DATE</t>
  </si>
  <si>
    <t>Call 5
TS
DATE</t>
  </si>
  <si>
    <t>Call 6
QA
DATE</t>
  </si>
  <si>
    <t>Call 7
QA
DATE</t>
  </si>
  <si>
    <t>Call 8
TS
DATE</t>
  </si>
  <si>
    <t>Call 9
QA
DATE</t>
  </si>
  <si>
    <t>Call 10
QA
DATE</t>
  </si>
  <si>
    <t>Call 11
QA
DATE</t>
  </si>
  <si>
    <t>Call 12
QA
DATE</t>
  </si>
  <si>
    <t>Passing QEF</t>
  </si>
  <si>
    <t>Avg Calls/Hr</t>
  </si>
  <si>
    <t>Side-by-Side Observations</t>
  </si>
  <si>
    <t>Agent Links</t>
  </si>
  <si>
    <t xml:space="preserve">Name: </t>
  </si>
  <si>
    <t>Late/Leave Early</t>
  </si>
  <si>
    <t>Cell Phone</t>
  </si>
  <si>
    <t>Dress Code</t>
  </si>
  <si>
    <t>Code Abuse/Call Avoicance/Insubodination/Refusal to follow direction</t>
  </si>
  <si>
    <t xml:space="preserve">Attendance (Culpable) </t>
  </si>
  <si>
    <t>Coaching</t>
  </si>
  <si>
    <t>Caoching</t>
  </si>
  <si>
    <t>Final Written</t>
  </si>
  <si>
    <t>Date:</t>
  </si>
  <si>
    <t>Verbal</t>
  </si>
  <si>
    <t>1st Written</t>
  </si>
  <si>
    <t>2nd Written</t>
  </si>
  <si>
    <t>Hold Time</t>
  </si>
  <si>
    <t>Adherence</t>
  </si>
  <si>
    <t>Tier 1C</t>
  </si>
  <si>
    <t>EWI</t>
  </si>
  <si>
    <t>EWS</t>
  </si>
  <si>
    <t>Call 1 - TS</t>
  </si>
  <si>
    <t>Call 2 - QA</t>
  </si>
  <si>
    <t>Call 3- QA</t>
  </si>
  <si>
    <t>Call 4 - TS</t>
  </si>
  <si>
    <t>Call 5 - TS</t>
  </si>
  <si>
    <t>Call 6 - QA</t>
  </si>
  <si>
    <t>Call 7 - QA</t>
  </si>
  <si>
    <t>Call 8 - TS</t>
  </si>
  <si>
    <t>Call 9 - QA</t>
  </si>
  <si>
    <t>Call 10 - QA</t>
  </si>
  <si>
    <t>Call 11 - QA</t>
  </si>
  <si>
    <t>Call 12 - QA</t>
  </si>
  <si>
    <t>Nesting Metrics/Goals</t>
  </si>
  <si>
    <t>Tier 1 A</t>
  </si>
  <si>
    <t>Tier 1 B</t>
  </si>
  <si>
    <t>Tier 1 C</t>
  </si>
  <si>
    <t>Below</t>
  </si>
  <si>
    <t>Meets</t>
  </si>
  <si>
    <t>Exceeds</t>
  </si>
  <si>
    <t>Quality Score</t>
  </si>
  <si>
    <t>&gt;70%</t>
  </si>
  <si>
    <t>&lt;80%</t>
  </si>
  <si>
    <t>&gt;155 seconds</t>
  </si>
  <si>
    <t>116-154 seconds</t>
  </si>
  <si>
    <t>&lt;115 seconds</t>
  </si>
  <si>
    <t>&gt;160 seconds</t>
  </si>
  <si>
    <t>97-128 seconds</t>
  </si>
  <si>
    <t>&lt;96 seconds</t>
  </si>
  <si>
    <t>&gt;138</t>
  </si>
  <si>
    <t>80-120 seconds</t>
  </si>
  <si>
    <t>&lt;79 seconds</t>
  </si>
  <si>
    <t>Average Handle Time (AHT)</t>
  </si>
  <si>
    <t>&gt;865 seconds</t>
  </si>
  <si>
    <t>641-864 seconds</t>
  </si>
  <si>
    <t>&lt;640 seconds</t>
  </si>
  <si>
    <t>&gt;742 seconds</t>
  </si>
  <si>
    <t>549-741 seconds</t>
  </si>
  <si>
    <t>&lt;548</t>
  </si>
  <si>
    <t>&gt;618</t>
  </si>
  <si>
    <t>458-617 seconds</t>
  </si>
  <si>
    <t>&lt;457 seconds</t>
  </si>
  <si>
    <t>&gt;79%</t>
  </si>
  <si>
    <t>80% - 90%</t>
  </si>
  <si>
    <t>&gt;91%</t>
  </si>
  <si>
    <t>Attendance (culpable lates or absences)</t>
  </si>
  <si>
    <t>&gt;3</t>
  </si>
  <si>
    <t>Manually Added</t>
  </si>
  <si>
    <t>M</t>
  </si>
  <si>
    <t>T</t>
  </si>
  <si>
    <t>W</t>
  </si>
  <si>
    <t>Th</t>
  </si>
  <si>
    <t>F</t>
  </si>
  <si>
    <t>Sat</t>
  </si>
  <si>
    <t>Sun</t>
  </si>
  <si>
    <t>Totals</t>
  </si>
  <si>
    <t>Conversion Rate</t>
  </si>
  <si>
    <t>Held</t>
  </si>
  <si>
    <t>Cancelled</t>
  </si>
  <si>
    <t xml:space="preserve">Level Three Fraud Error Summary </t>
  </si>
  <si>
    <t>Note:</t>
  </si>
  <si>
    <t>L3 checklist form can be found with the L3 training curriculum.</t>
  </si>
  <si>
    <t>RSA</t>
  </si>
  <si>
    <t xml:space="preserve">Add a comment to the error cell (Doc; L/S; FFR) with the specific error </t>
  </si>
  <si>
    <t>Day 13</t>
  </si>
  <si>
    <t xml:space="preserve">Calls Handled w/ Fraud </t>
  </si>
  <si>
    <t>Errors Found</t>
  </si>
  <si>
    <t>Documentation</t>
  </si>
  <si>
    <t>L/S Report</t>
  </si>
  <si>
    <t>FFR</t>
  </si>
  <si>
    <t>Misc</t>
  </si>
  <si>
    <t>Total</t>
  </si>
  <si>
    <t>Con</t>
  </si>
  <si>
    <t>Cancel</t>
  </si>
  <si>
    <t>Graduate</t>
  </si>
  <si>
    <t>Extend Nesting</t>
  </si>
  <si>
    <t>English Hires</t>
  </si>
  <si>
    <t>Bilingual Hires</t>
  </si>
  <si>
    <t>Transfers - English</t>
  </si>
  <si>
    <t>Transfers - French</t>
  </si>
  <si>
    <t>Total Class</t>
  </si>
  <si>
    <t>Fill Rate %</t>
  </si>
  <si>
    <t>First Day Show Rate</t>
  </si>
  <si>
    <t>Training Graduation</t>
  </si>
  <si>
    <t>Nesting Graduation</t>
  </si>
  <si>
    <t>30 Day Post Training Attrition %</t>
  </si>
  <si>
    <t>60 Day Post Training Attrition %</t>
  </si>
  <si>
    <t>Test Pass Rate %:</t>
  </si>
  <si>
    <t>Class Test Average:</t>
  </si>
  <si>
    <t>Nesting QA Average:</t>
  </si>
  <si>
    <t>Level</t>
  </si>
  <si>
    <t>Name</t>
  </si>
  <si>
    <t>Participants Started</t>
  </si>
  <si>
    <t>Final Exam</t>
  </si>
  <si>
    <t>Attempts</t>
  </si>
  <si>
    <t>Graduated Class</t>
  </si>
  <si>
    <t>Transitioned to Production</t>
  </si>
  <si>
    <t>Pass  Rate</t>
  </si>
  <si>
    <t>Transferred out of Program</t>
  </si>
  <si>
    <t>Moved to New Class</t>
  </si>
  <si>
    <t>Quality Evaluation</t>
  </si>
  <si>
    <t xml:space="preserve">AHT </t>
  </si>
  <si>
    <t>Ave AHT</t>
  </si>
  <si>
    <t>Ave Hold</t>
  </si>
  <si>
    <t>Ave Adhr</t>
  </si>
  <si>
    <t>Training Details</t>
  </si>
  <si>
    <t>General Summary</t>
  </si>
  <si>
    <t>Attrition Summary</t>
  </si>
  <si>
    <t>Tier1 A</t>
  </si>
  <si>
    <t>Tier1 B</t>
  </si>
  <si>
    <t>Tier1 C</t>
  </si>
  <si>
    <t>Nesting Tier1 A</t>
  </si>
  <si>
    <t>Nesting Tier1 B</t>
  </si>
  <si>
    <t>Nesting Tier1 C</t>
  </si>
  <si>
    <t>Call 6</t>
  </si>
  <si>
    <t>Call 7</t>
  </si>
  <si>
    <t>Call 8</t>
  </si>
  <si>
    <t>Call 9</t>
  </si>
  <si>
    <t>Call 10</t>
  </si>
  <si>
    <t>Call 11</t>
  </si>
  <si>
    <t>Call 12</t>
  </si>
  <si>
    <t>Tier1C</t>
  </si>
  <si>
    <t>Session ID</t>
  </si>
  <si>
    <t>LOB</t>
  </si>
  <si>
    <t>Tier</t>
  </si>
  <si>
    <t>Training Type</t>
  </si>
  <si>
    <t xml:space="preserve">Trainer Name </t>
  </si>
  <si>
    <t>End Date</t>
  </si>
  <si>
    <t>Started HC</t>
  </si>
  <si>
    <t>Day 1 HC</t>
  </si>
  <si>
    <t>Total HC</t>
  </si>
  <si>
    <t>Attrition HC</t>
  </si>
  <si>
    <t>Graduated HC</t>
  </si>
  <si>
    <t>Day 1 HC %</t>
  </si>
  <si>
    <t>Abs %</t>
  </si>
  <si>
    <t>KC 1 Ave</t>
  </si>
  <si>
    <t>KC 2 Ave</t>
  </si>
  <si>
    <t>CQ Ave</t>
  </si>
  <si>
    <t>KC Pass Rate</t>
  </si>
  <si>
    <t>QEF Ave</t>
  </si>
  <si>
    <t>AHT Ave</t>
  </si>
  <si>
    <t>SA Ave</t>
  </si>
  <si>
    <t xml:space="preserve">Remained </t>
  </si>
  <si>
    <t>Transfer out</t>
  </si>
  <si>
    <t>TOTALS</t>
  </si>
  <si>
    <t>Individuals</t>
  </si>
  <si>
    <t>Quick Links</t>
  </si>
  <si>
    <t>To be completed on Day 1 of training - if agent fails one or more in this check then re-check is to be completed on Day 3. There is zero tolerance for working in a public space.</t>
  </si>
  <si>
    <t>Second review to be completed no later than Day 3 of training. If agent fails the second attempt then a written warning is to be provided documented in the the Performance Management tab.</t>
  </si>
  <si>
    <t>WFH Check Completion</t>
  </si>
  <si>
    <t>WFH Environment Check</t>
  </si>
  <si>
    <t>On-site Not Applicable</t>
  </si>
  <si>
    <t>Date of Check</t>
  </si>
  <si>
    <t>Are there people in the room?</t>
  </si>
  <si>
    <t>Is there a window behind the employee that a passer-by could see the computer?</t>
  </si>
  <si>
    <t>Is the employee in a public space?</t>
  </si>
  <si>
    <t>Comment - Reason for fail, when applicable</t>
  </si>
  <si>
    <t>WFH Environment Re-check</t>
  </si>
  <si>
    <t>Select Yes/No</t>
  </si>
  <si>
    <t>10.23.2024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</si>
</sst>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d\-mmm\-yy;@"/>
    <numFmt numFmtId="165" formatCode="[$-409]d\-mmm\-yyyy;@"/>
    <numFmt numFmtId="166" formatCode="[$-409]d/mmm;@"/>
    <numFmt numFmtId="167" formatCode="m/d;@"/>
  </numFmts>
  <fonts count="127">
    <font>
      <sz val="11"/>
      <color theme="1"/>
      <name val="Calibri"/>
      <family val="2"/>
      <scheme val="minor"/>
    </font>
    <font>
      <b/>
      <sz val="11"/>
      <color theme="1"/>
      <name val="Calibri"/>
      <family val="2"/>
      <scheme val="minor"/>
    </font>
    <font>
      <sz val="11"/>
      <color theme="0"/>
      <name val="Calibri"/>
      <family val="2"/>
      <scheme val="minor"/>
    </font>
    <font>
      <b/>
      <sz val="8"/>
      <name val="Arial"/>
      <family val="2"/>
    </font>
    <font>
      <u/>
      <sz val="11"/>
      <color theme="10"/>
      <name val="Calibri"/>
      <family val="2"/>
    </font>
    <font>
      <sz val="11"/>
      <color rgb="FF000000"/>
      <name val="Calibri"/>
      <family val="2"/>
      <scheme val="minor"/>
    </font>
    <font>
      <b/>
      <sz val="14"/>
      <color theme="0"/>
      <name val="Calibri"/>
      <family val="2"/>
      <scheme val="minor"/>
    </font>
    <font>
      <b/>
      <sz val="12"/>
      <color theme="0"/>
      <name val="Arial"/>
      <family val="2"/>
    </font>
    <font>
      <b/>
      <sz val="11"/>
      <color theme="0"/>
      <name val="Calibri"/>
      <family val="2"/>
      <scheme val="minor"/>
    </font>
    <font>
      <sz val="11"/>
      <name val="Calibri"/>
      <family val="2"/>
      <scheme val="minor"/>
    </font>
    <font>
      <sz val="14"/>
      <color theme="0"/>
      <name val="Calibri"/>
      <family val="2"/>
      <scheme val="minor"/>
    </font>
    <font>
      <b/>
      <sz val="12"/>
      <color theme="1"/>
      <name val="Calibri"/>
      <family val="2"/>
      <scheme val="minor"/>
    </font>
    <font>
      <b/>
      <u/>
      <sz val="14"/>
      <color theme="10"/>
      <name val="Calibri"/>
      <family val="2"/>
    </font>
    <font>
      <sz val="11"/>
      <color rgb="FFFF0000"/>
      <name val="Calibri"/>
      <family val="2"/>
      <scheme val="minor"/>
    </font>
    <font>
      <sz val="11"/>
      <name val="Arial"/>
      <family val="2"/>
    </font>
    <font>
      <b/>
      <i/>
      <sz val="14"/>
      <color theme="0"/>
      <name val="Calibri"/>
      <family val="2"/>
      <scheme val="minor"/>
    </font>
    <font>
      <sz val="11"/>
      <color theme="1" tint="0.499984740745262"/>
      <name val="Calibri"/>
      <family val="2"/>
      <scheme val="minor"/>
    </font>
    <font>
      <b/>
      <sz val="15"/>
      <color theme="0"/>
      <name val="Calibri"/>
      <family val="2"/>
      <scheme val="minor"/>
    </font>
    <font>
      <sz val="11"/>
      <name val="Calibri"/>
      <family val="2"/>
    </font>
    <font>
      <b/>
      <sz val="9"/>
      <color indexed="81"/>
      <name val="Tahoma"/>
      <family val="2"/>
    </font>
    <font>
      <sz val="9"/>
      <color indexed="81"/>
      <name val="Tahoma"/>
      <family val="2"/>
    </font>
    <font>
      <sz val="11"/>
      <color theme="0" tint="-0.499984740745262"/>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8"/>
      <color theme="3"/>
      <name val="Cambria"/>
      <family val="2"/>
      <scheme val="major"/>
    </font>
    <font>
      <u/>
      <sz val="11"/>
      <color theme="10"/>
      <name val="Calibri"/>
      <family val="2"/>
      <scheme val="minor"/>
    </font>
    <font>
      <sz val="11"/>
      <color rgb="FF1F497D"/>
      <name val="Calibri"/>
      <family val="2"/>
      <scheme val="minor"/>
    </font>
    <font>
      <sz val="11"/>
      <color theme="1"/>
      <name val="Arial"/>
      <family val="2"/>
    </font>
    <font>
      <sz val="8"/>
      <color theme="1"/>
      <name val="Calibri"/>
      <family val="2"/>
      <scheme val="minor"/>
    </font>
    <font>
      <b/>
      <sz val="8"/>
      <color theme="1"/>
      <name val="Calibri"/>
      <family val="2"/>
      <scheme val="minor"/>
    </font>
    <font>
      <b/>
      <sz val="8"/>
      <color theme="0"/>
      <name val="Calibri"/>
      <family val="2"/>
      <scheme val="minor"/>
    </font>
    <font>
      <b/>
      <sz val="12"/>
      <name val="Calibri"/>
      <family val="2"/>
      <scheme val="minor"/>
    </font>
    <font>
      <sz val="12"/>
      <color theme="1"/>
      <name val="Calibri"/>
      <family val="2"/>
      <scheme val="minor"/>
    </font>
    <font>
      <b/>
      <sz val="14"/>
      <color theme="1"/>
      <name val="Calibri"/>
      <family val="2"/>
      <scheme val="minor"/>
    </font>
    <font>
      <b/>
      <sz val="20"/>
      <color theme="1"/>
      <name val="Calibri"/>
      <family val="2"/>
      <scheme val="minor"/>
    </font>
    <font>
      <b/>
      <sz val="11"/>
      <color rgb="FFFF0000"/>
      <name val="Calibri"/>
      <family val="2"/>
      <scheme val="minor"/>
    </font>
    <font>
      <b/>
      <sz val="11"/>
      <name val="Calibri"/>
      <family val="2"/>
      <scheme val="minor"/>
    </font>
    <font>
      <sz val="9"/>
      <color theme="1"/>
      <name val="Calibri"/>
      <family val="2"/>
      <scheme val="minor"/>
    </font>
    <font>
      <b/>
      <sz val="12"/>
      <color theme="0"/>
      <name val="Calibri"/>
      <family val="2"/>
      <scheme val="minor"/>
    </font>
    <font>
      <sz val="10"/>
      <color rgb="FF000000"/>
      <name val="Arial"/>
      <family val="2"/>
    </font>
    <font>
      <b/>
      <sz val="11"/>
      <color theme="0"/>
      <name val="Arial"/>
      <family val="2"/>
    </font>
    <font>
      <sz val="11"/>
      <color rgb="FF34495E"/>
      <name val="Arial"/>
      <family val="2"/>
    </font>
    <font>
      <sz val="10"/>
      <name val="Calibri"/>
      <family val="2"/>
      <scheme val="minor"/>
    </font>
    <font>
      <sz val="10"/>
      <color theme="1"/>
      <name val="Calibri"/>
      <family val="2"/>
      <scheme val="minor"/>
    </font>
    <font>
      <b/>
      <sz val="16"/>
      <color rgb="FF0072BC"/>
      <name val="Arial"/>
      <family val="2"/>
    </font>
    <font>
      <sz val="36"/>
      <color theme="1"/>
      <name val="Calibri"/>
      <family val="2"/>
      <scheme val="minor"/>
    </font>
    <font>
      <b/>
      <i/>
      <sz val="8"/>
      <color theme="0"/>
      <name val="Calibri"/>
      <family val="2"/>
      <scheme val="minor"/>
    </font>
    <font>
      <sz val="14"/>
      <color theme="1"/>
      <name val="Calibri"/>
      <family val="2"/>
      <scheme val="minor"/>
    </font>
    <font>
      <sz val="11"/>
      <color theme="0" tint="-4.9989318521683403E-2"/>
      <name val="Calibri"/>
      <family val="2"/>
      <scheme val="minor"/>
    </font>
    <font>
      <sz val="8"/>
      <name val="Calibri"/>
      <family val="2"/>
      <scheme val="minor"/>
    </font>
    <font>
      <b/>
      <sz val="8"/>
      <name val="Calibri"/>
      <family val="2"/>
      <scheme val="minor"/>
    </font>
    <font>
      <sz val="16"/>
      <color theme="1"/>
      <name val="Calibri"/>
      <family val="2"/>
      <scheme val="minor"/>
    </font>
    <font>
      <sz val="10"/>
      <color theme="1"/>
      <name val="Calibri"/>
      <family val="2"/>
      <charset val="1"/>
    </font>
    <font>
      <sz val="11"/>
      <color rgb="FF000000"/>
      <name val="Calibri"/>
      <family val="2"/>
      <charset val="1"/>
    </font>
    <font>
      <b/>
      <sz val="11"/>
      <color rgb="FF000000"/>
      <name val="Calibri"/>
      <family val="2"/>
    </font>
    <font>
      <sz val="11"/>
      <color rgb="FF000000"/>
      <name val="Arial"/>
      <family val="2"/>
    </font>
    <font>
      <sz val="11"/>
      <color theme="1"/>
      <name val="Calibri"/>
      <family val="2"/>
    </font>
    <font>
      <sz val="11"/>
      <color rgb="FF000000"/>
      <name val="Calibri"/>
      <family val="2"/>
    </font>
    <font>
      <b/>
      <sz val="12"/>
      <name val="Arial"/>
      <family val="2"/>
    </font>
    <font>
      <b/>
      <sz val="11"/>
      <color theme="1"/>
      <name val="Calibri"/>
      <family val="2"/>
    </font>
    <font>
      <b/>
      <sz val="11"/>
      <color theme="0"/>
      <name val="Calibri"/>
      <family val="2"/>
    </font>
    <font>
      <b/>
      <sz val="11"/>
      <color rgb="FF000000"/>
      <name val="Calibri"/>
    </font>
    <font>
      <sz val="9"/>
      <color theme="0"/>
      <name val="Arial"/>
      <family val="2"/>
    </font>
    <font>
      <b/>
      <sz val="18"/>
      <color rgb="FFFFFFFF"/>
      <name val="Calibri"/>
    </font>
    <font>
      <b/>
      <sz val="48"/>
      <color theme="1"/>
      <name val="Aptos Display"/>
    </font>
    <font>
      <u/>
      <sz val="11"/>
      <color theme="10"/>
      <name val="Aptos Display"/>
    </font>
    <font>
      <sz val="11"/>
      <color theme="1"/>
      <name val="Aptos Display"/>
    </font>
    <font>
      <sz val="11"/>
      <color theme="0"/>
      <name val="Aptos Display"/>
    </font>
    <font>
      <b/>
      <sz val="11"/>
      <color theme="1"/>
      <name val="Aptos Display"/>
    </font>
    <font>
      <b/>
      <sz val="14"/>
      <color theme="0"/>
      <name val="Aptos Display"/>
    </font>
    <font>
      <sz val="10"/>
      <color theme="0"/>
      <name val="Aptos Display"/>
    </font>
    <font>
      <b/>
      <sz val="10"/>
      <color rgb="FFFF0000"/>
      <name val="Aptos Display"/>
    </font>
    <font>
      <b/>
      <sz val="10"/>
      <color theme="0"/>
      <name val="Aptos Display"/>
    </font>
    <font>
      <sz val="9"/>
      <color theme="0"/>
      <name val="Aptos Display"/>
    </font>
    <font>
      <sz val="11"/>
      <name val="Aptos Display"/>
    </font>
    <font>
      <sz val="11"/>
      <color theme="0" tint="-0.499984740745262"/>
      <name val="Aptos Display"/>
    </font>
    <font>
      <sz val="10"/>
      <color theme="1"/>
      <name val="Aptos Display"/>
    </font>
    <font>
      <u/>
      <sz val="10"/>
      <color theme="10"/>
      <name val="Aptos Display"/>
    </font>
    <font>
      <b/>
      <sz val="10"/>
      <color theme="1"/>
      <name val="Aptos Display"/>
    </font>
    <font>
      <b/>
      <sz val="16"/>
      <color theme="1"/>
      <name val="Aptos Display"/>
    </font>
    <font>
      <b/>
      <sz val="16"/>
      <color theme="1"/>
      <name val="Calibri"/>
      <family val="2"/>
      <scheme val="minor"/>
    </font>
    <font>
      <b/>
      <i/>
      <sz val="14"/>
      <color rgb="FFFFFFFF"/>
      <name val="Calibri"/>
      <scheme val="minor"/>
    </font>
    <font>
      <b/>
      <sz val="18"/>
      <color rgb="FF000000"/>
      <name val="Aptos Display"/>
    </font>
    <font>
      <sz val="20"/>
      <color theme="1"/>
      <name val="Aptos Display"/>
    </font>
    <font>
      <sz val="20"/>
      <color rgb="FF000000"/>
      <name val="Aptos Display"/>
    </font>
    <font>
      <b/>
      <sz val="20"/>
      <color rgb="FF000000"/>
      <name val="Aptos Display"/>
    </font>
    <font>
      <b/>
      <u/>
      <sz val="36"/>
      <color theme="1"/>
      <name val="Aptos Display"/>
    </font>
    <font>
      <b/>
      <sz val="28"/>
      <color theme="1"/>
      <name val="Aptos Display"/>
    </font>
    <font>
      <b/>
      <sz val="12"/>
      <color theme="0"/>
      <name val="Aptos Display"/>
    </font>
    <font>
      <b/>
      <sz val="12"/>
      <color theme="1"/>
      <name val="Aptos Display"/>
    </font>
    <font>
      <b/>
      <sz val="11"/>
      <color rgb="FFFFFFFF"/>
      <name val="Aptos Display"/>
    </font>
    <font>
      <b/>
      <sz val="24"/>
      <color theme="0"/>
      <name val="Aptos Display"/>
    </font>
    <font>
      <b/>
      <sz val="18"/>
      <color theme="0"/>
      <name val="Aptos Display"/>
    </font>
    <font>
      <sz val="8"/>
      <color theme="0"/>
      <name val="Aptos Display"/>
    </font>
    <font>
      <b/>
      <sz val="9"/>
      <color theme="1"/>
      <name val="Cambria"/>
      <scheme val="major"/>
    </font>
    <font>
      <b/>
      <sz val="9"/>
      <color theme="0"/>
      <name val="Cambria"/>
      <scheme val="major"/>
    </font>
    <font>
      <sz val="9"/>
      <color theme="1"/>
      <name val="Cambria"/>
      <scheme val="major"/>
    </font>
    <font>
      <b/>
      <sz val="10"/>
      <color theme="1"/>
      <name val="Calibri"/>
      <family val="2"/>
      <scheme val="minor"/>
    </font>
    <font>
      <b/>
      <sz val="11"/>
      <color rgb="FF000000"/>
      <name val="Calibri"/>
      <scheme val="minor"/>
    </font>
    <font>
      <b/>
      <sz val="10"/>
      <color theme="0"/>
      <name val="Calibri"/>
      <family val="2"/>
      <scheme val="minor"/>
    </font>
    <font>
      <b/>
      <sz val="9"/>
      <color theme="0"/>
      <name val="Calibri"/>
      <family val="2"/>
      <scheme val="minor"/>
    </font>
    <font>
      <sz val="11"/>
      <color theme="1"/>
      <name val="Arial"/>
    </font>
    <font>
      <sz val="8"/>
      <color theme="0" tint="-0.14999847407452621"/>
      <name val="Calibri"/>
      <family val="2"/>
      <scheme val="minor"/>
    </font>
    <font>
      <sz val="16"/>
      <color theme="0"/>
      <name val="Aptos Display"/>
    </font>
    <font>
      <b/>
      <sz val="11"/>
      <color rgb="FF000000"/>
      <name val="Calibri"/>
      <charset val="1"/>
    </font>
    <font>
      <b/>
      <sz val="18"/>
      <color theme="0"/>
      <name val="Calibri"/>
      <family val="2"/>
      <scheme val="minor"/>
    </font>
    <font>
      <sz val="8"/>
      <color rgb="FF000000"/>
      <name val="Aptos Display"/>
      <family val="2"/>
    </font>
    <font>
      <b/>
      <sz val="8"/>
      <color rgb="FFFFFFFF"/>
      <name val="Aptos Display"/>
      <family val="2"/>
    </font>
    <font>
      <b/>
      <sz val="8"/>
      <color rgb="FF000000"/>
      <name val="Aptos Display"/>
      <family val="2"/>
    </font>
    <font>
      <b/>
      <sz val="8"/>
      <name val="Aptos Display"/>
    </font>
    <font>
      <sz val="8"/>
      <name val="Aptos Display"/>
    </font>
    <font>
      <sz val="8"/>
      <color rgb="FF000000"/>
      <name val="Aptos Display"/>
    </font>
    <font>
      <b/>
      <sz val="8"/>
      <color rgb="FF000000"/>
      <name val="Aptos Display"/>
    </font>
    <font>
      <sz val="8"/>
      <color theme="0"/>
      <name val="Aptos Display"/>
      <family val="2"/>
    </font>
    <font>
      <b/>
      <sz val="8"/>
      <color theme="1"/>
      <name val="Aptos Display"/>
      <family val="2"/>
    </font>
    <font>
      <sz val="8"/>
      <color theme="1"/>
      <name val="Aptos Display"/>
      <family val="2"/>
    </font>
    <font>
      <b/>
      <u/>
      <sz val="18"/>
      <color theme="0"/>
      <name val="Aptos Display"/>
    </font>
  </fonts>
  <fills count="85">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rgb="FFD8D8D8"/>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249977111117893"/>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6" tint="0.79998168889431442"/>
        <bgColor indexed="64"/>
      </patternFill>
    </fill>
    <fill>
      <patternFill patternType="solid">
        <fgColor theme="0" tint="-0.499984740745262"/>
        <bgColor indexed="64"/>
      </patternFill>
    </fill>
    <fill>
      <patternFill patternType="solid">
        <fgColor rgb="FF00B0F0"/>
        <bgColor indexed="64"/>
      </patternFill>
    </fill>
    <fill>
      <patternFill patternType="solid">
        <fgColor rgb="FF244062"/>
        <bgColor indexed="64"/>
      </patternFill>
    </fill>
    <fill>
      <patternFill patternType="solid">
        <fgColor rgb="FFB2E9A5"/>
        <bgColor indexed="64"/>
      </patternFill>
    </fill>
    <fill>
      <patternFill patternType="solid">
        <fgColor theme="6" tint="0.59999389629810485"/>
        <bgColor indexed="64"/>
      </patternFill>
    </fill>
    <fill>
      <patternFill patternType="solid">
        <fgColor rgb="FFFFFFFF"/>
        <bgColor rgb="FF000000"/>
      </patternFill>
    </fill>
    <fill>
      <patternFill patternType="solid">
        <fgColor rgb="FF92D050"/>
        <bgColor indexed="64"/>
      </patternFill>
    </fill>
    <fill>
      <patternFill patternType="solid">
        <fgColor rgb="FF7030A0"/>
        <bgColor indexed="64"/>
      </patternFill>
    </fill>
    <fill>
      <patternFill patternType="solid">
        <fgColor theme="3" tint="0.79998168889431442"/>
        <bgColor indexed="64"/>
      </patternFill>
    </fill>
    <fill>
      <patternFill patternType="solid">
        <fgColor rgb="FF8DB4E2"/>
        <bgColor indexed="64"/>
      </patternFill>
    </fill>
    <fill>
      <patternFill patternType="solid">
        <fgColor rgb="FFF2F2F2"/>
        <bgColor rgb="FF000000"/>
      </patternFill>
    </fill>
    <fill>
      <patternFill patternType="solid">
        <fgColor rgb="FF0072BC"/>
        <bgColor indexed="64"/>
      </patternFill>
    </fill>
    <fill>
      <patternFill patternType="solid">
        <fgColor theme="4"/>
        <bgColor indexed="64"/>
      </patternFill>
    </fill>
    <fill>
      <patternFill patternType="solid">
        <fgColor theme="3" tint="0.39997558519241921"/>
        <bgColor indexed="64"/>
      </patternFill>
    </fill>
    <fill>
      <patternFill patternType="solid">
        <fgColor theme="3"/>
        <bgColor indexed="64"/>
      </patternFill>
    </fill>
    <fill>
      <patternFill patternType="solid">
        <fgColor theme="3" tint="-0.499984740745262"/>
        <bgColor indexed="64"/>
      </patternFill>
    </fill>
    <fill>
      <patternFill patternType="solid">
        <fgColor rgb="FF9BBBFC"/>
        <bgColor indexed="64"/>
      </patternFill>
    </fill>
    <fill>
      <patternFill patternType="solid">
        <fgColor rgb="FF013237"/>
        <bgColor indexed="64"/>
      </patternFill>
    </fill>
    <fill>
      <patternFill patternType="solid">
        <fgColor rgb="FFF6E8DF"/>
        <bgColor indexed="64"/>
      </patternFill>
    </fill>
    <fill>
      <patternFill patternType="solid">
        <fgColor rgb="FFFCDC73"/>
        <bgColor indexed="64"/>
      </patternFill>
    </fill>
    <fill>
      <patternFill patternType="solid">
        <fgColor rgb="FF1A1A1A"/>
        <bgColor indexed="64"/>
      </patternFill>
    </fill>
    <fill>
      <patternFill patternType="solid">
        <fgColor theme="3" tint="0.89999084444715716"/>
        <bgColor indexed="64"/>
      </patternFill>
    </fill>
    <fill>
      <patternFill patternType="solid">
        <fgColor rgb="FFF9CE69"/>
        <bgColor indexed="64"/>
      </patternFill>
    </fill>
    <fill>
      <patternFill patternType="solid">
        <fgColor rgb="FFFEAE96"/>
        <bgColor indexed="64"/>
      </patternFill>
    </fill>
    <fill>
      <patternFill patternType="solid">
        <fgColor rgb="FFDDDDDD"/>
        <bgColor indexed="64"/>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0" tint="-4.9989318521683403E-2"/>
        <bgColor indexed="64"/>
      </patternFill>
    </fill>
    <fill>
      <patternFill patternType="solid">
        <fgColor theme="2"/>
        <bgColor indexed="64"/>
      </patternFill>
    </fill>
    <fill>
      <patternFill patternType="solid">
        <fgColor rgb="FF00B050"/>
        <bgColor rgb="FF000000"/>
      </patternFill>
    </fill>
    <fill>
      <patternFill patternType="solid">
        <fgColor rgb="FFE8E8E8"/>
        <bgColor rgb="FF000000"/>
      </patternFill>
    </fill>
    <fill>
      <patternFill patternType="solid">
        <fgColor rgb="FFDAF2D0"/>
        <bgColor rgb="FF000000"/>
      </patternFill>
    </fill>
    <fill>
      <patternFill patternType="solid">
        <fgColor rgb="FF002060"/>
        <bgColor indexed="64"/>
      </patternFill>
    </fill>
    <fill>
      <patternFill patternType="solid">
        <fgColor rgb="FFFF0000"/>
        <bgColor indexed="64"/>
      </patternFill>
    </fill>
  </fills>
  <borders count="1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bottom style="thin">
        <color indexed="64"/>
      </bottom>
      <diagonal/>
    </border>
    <border>
      <left style="thin">
        <color indexed="64"/>
      </left>
      <right/>
      <top/>
      <bottom/>
      <diagonal/>
    </border>
    <border>
      <left style="thin">
        <color indexed="64"/>
      </left>
      <right/>
      <top style="thin">
        <color indexed="64"/>
      </top>
      <bottom/>
      <diagonal/>
    </border>
    <border>
      <left/>
      <right/>
      <top/>
      <bottom style="thin">
        <color indexed="64"/>
      </bottom>
      <diagonal/>
    </border>
    <border>
      <left/>
      <right style="thin">
        <color indexed="64"/>
      </right>
      <top/>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right/>
      <top style="thick">
        <color theme="4" tint="-0.499984740745262"/>
      </top>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style="thin">
        <color indexed="64"/>
      </left>
      <right/>
      <top style="medium">
        <color indexed="64"/>
      </top>
      <bottom style="thin">
        <color indexed="64"/>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diagonal/>
    </border>
    <border>
      <left/>
      <right style="thin">
        <color rgb="FF000000"/>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style="medium">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indexed="64"/>
      </right>
      <top style="thin">
        <color indexed="64"/>
      </top>
      <bottom style="thin">
        <color indexed="64"/>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indexed="64"/>
      </left>
      <right style="medium">
        <color rgb="FF000000"/>
      </right>
      <top style="thin">
        <color indexed="64"/>
      </top>
      <bottom style="thin">
        <color indexed="64"/>
      </bottom>
      <diagonal/>
    </border>
    <border>
      <left style="thin">
        <color indexed="64"/>
      </left>
      <right style="medium">
        <color rgb="FF000000"/>
      </right>
      <top style="thin">
        <color indexed="64"/>
      </top>
      <bottom/>
      <diagonal/>
    </border>
    <border>
      <left/>
      <right style="medium">
        <color rgb="FF000000"/>
      </right>
      <top style="thin">
        <color indexed="64"/>
      </top>
      <bottom style="thin">
        <color indexed="64"/>
      </bottom>
      <diagonal/>
    </border>
    <border>
      <left/>
      <right style="medium">
        <color indexed="64"/>
      </right>
      <top style="thin">
        <color rgb="FF000000"/>
      </top>
      <bottom style="thin">
        <color rgb="FF000000"/>
      </bottom>
      <diagonal/>
    </border>
    <border>
      <left style="medium">
        <color rgb="FF000000"/>
      </left>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medium">
        <color indexed="64"/>
      </right>
      <top style="thin">
        <color rgb="FF000000"/>
      </top>
      <bottom style="medium">
        <color rgb="FF000000"/>
      </bottom>
      <diagonal/>
    </border>
    <border>
      <left/>
      <right style="thin">
        <color rgb="FF000000"/>
      </right>
      <top style="thin">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thin">
        <color rgb="FF000000"/>
      </right>
      <top style="thin">
        <color indexed="64"/>
      </top>
      <bottom style="thin">
        <color indexed="64"/>
      </bottom>
      <diagonal/>
    </border>
    <border>
      <left style="thin">
        <color rgb="FFCCCCCC"/>
      </left>
      <right/>
      <top style="thin">
        <color rgb="FFCCCCCC"/>
      </top>
      <bottom style="thin">
        <color rgb="FFCCCCCC"/>
      </bottom>
      <diagonal/>
    </border>
    <border>
      <left/>
      <right/>
      <top style="thin">
        <color rgb="FFCCCCCC"/>
      </top>
      <bottom style="thin">
        <color rgb="FFCCCCCC"/>
      </bottom>
      <diagonal/>
    </border>
    <border>
      <left style="thin">
        <color rgb="FFCCCCCC"/>
      </left>
      <right style="thin">
        <color rgb="FFCCCCCC"/>
      </right>
      <top style="thin">
        <color rgb="FFCCCCCC"/>
      </top>
      <bottom style="thin">
        <color rgb="FFCCCCCC"/>
      </bottom>
      <diagonal/>
    </border>
    <border>
      <left style="thin">
        <color rgb="FF000000"/>
      </left>
      <right/>
      <top style="thin">
        <color indexed="64"/>
      </top>
      <bottom/>
      <diagonal/>
    </border>
    <border>
      <left/>
      <right style="thin">
        <color rgb="FF000000"/>
      </right>
      <top style="thin">
        <color indexed="64"/>
      </top>
      <bottom/>
      <diagonal/>
    </border>
    <border>
      <left style="thin">
        <color rgb="FF000000"/>
      </left>
      <right/>
      <top/>
      <bottom style="thin">
        <color indexed="64"/>
      </bottom>
      <diagonal/>
    </border>
    <border>
      <left/>
      <right style="thin">
        <color rgb="FF000000"/>
      </right>
      <top/>
      <bottom style="thin">
        <color indexed="64"/>
      </bottom>
      <diagonal/>
    </border>
  </borders>
  <cellStyleXfs count="47">
    <xf numFmtId="0" fontId="0" fillId="0" borderId="0"/>
    <xf numFmtId="0" fontId="4" fillId="0" borderId="0" applyNumberFormat="0" applyFill="0" applyBorder="0" applyAlignment="0" applyProtection="0">
      <alignment vertical="top"/>
      <protection locked="0"/>
    </xf>
    <xf numFmtId="9" fontId="22" fillId="0" borderId="0" applyFont="0" applyFill="0" applyBorder="0" applyAlignment="0" applyProtection="0"/>
    <xf numFmtId="0" fontId="23" fillId="0" borderId="17" applyNumberFormat="0" applyFill="0" applyAlignment="0" applyProtection="0"/>
    <xf numFmtId="0" fontId="24" fillId="0" borderId="18" applyNumberFormat="0" applyFill="0" applyAlignment="0" applyProtection="0"/>
    <xf numFmtId="0" fontId="25" fillId="0" borderId="19" applyNumberFormat="0" applyFill="0" applyAlignment="0" applyProtection="0"/>
    <xf numFmtId="0" fontId="25" fillId="0" borderId="0" applyNumberFormat="0" applyFill="0" applyBorder="0" applyAlignment="0" applyProtection="0"/>
    <xf numFmtId="0" fontId="26" fillId="8" borderId="0" applyNumberFormat="0" applyBorder="0" applyAlignment="0" applyProtection="0"/>
    <xf numFmtId="0" fontId="27" fillId="9" borderId="0" applyNumberFormat="0" applyBorder="0" applyAlignment="0" applyProtection="0"/>
    <xf numFmtId="0" fontId="28" fillId="10" borderId="0" applyNumberFormat="0" applyBorder="0" applyAlignment="0" applyProtection="0"/>
    <xf numFmtId="0" fontId="29" fillId="11" borderId="20" applyNumberFormat="0" applyAlignment="0" applyProtection="0"/>
    <xf numFmtId="0" fontId="30" fillId="12" borderId="21" applyNumberFormat="0" applyAlignment="0" applyProtection="0"/>
    <xf numFmtId="0" fontId="31" fillId="12" borderId="20" applyNumberFormat="0" applyAlignment="0" applyProtection="0"/>
    <xf numFmtId="0" fontId="32" fillId="0" borderId="22" applyNumberFormat="0" applyFill="0" applyAlignment="0" applyProtection="0"/>
    <xf numFmtId="0" fontId="8" fillId="13" borderId="23" applyNumberFormat="0" applyAlignment="0" applyProtection="0"/>
    <xf numFmtId="0" fontId="13" fillId="0" borderId="0" applyNumberFormat="0" applyFill="0" applyBorder="0" applyAlignment="0" applyProtection="0"/>
    <xf numFmtId="0" fontId="22" fillId="14" borderId="24" applyNumberFormat="0" applyFont="0" applyAlignment="0" applyProtection="0"/>
    <xf numFmtId="0" fontId="33" fillId="0" borderId="0" applyNumberFormat="0" applyFill="0" applyBorder="0" applyAlignment="0" applyProtection="0"/>
    <xf numFmtId="0" fontId="1" fillId="0" borderId="25" applyNumberFormat="0" applyFill="0" applyAlignment="0" applyProtection="0"/>
    <xf numFmtId="0" fontId="2" fillId="15" borderId="0" applyNumberFormat="0" applyBorder="0" applyAlignment="0" applyProtection="0"/>
    <xf numFmtId="0" fontId="22" fillId="16" borderId="0" applyNumberFormat="0" applyBorder="0" applyAlignment="0" applyProtection="0"/>
    <xf numFmtId="0" fontId="22"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2" fillId="20" borderId="0" applyNumberFormat="0" applyBorder="0" applyAlignment="0" applyProtection="0"/>
    <xf numFmtId="0" fontId="2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2" fillId="24" borderId="0" applyNumberFormat="0" applyBorder="0" applyAlignment="0" applyProtection="0"/>
    <xf numFmtId="0" fontId="2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2" fillId="28" borderId="0" applyNumberFormat="0" applyBorder="0" applyAlignment="0" applyProtection="0"/>
    <xf numFmtId="0" fontId="2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2" fillId="32" borderId="0" applyNumberFormat="0" applyBorder="0" applyAlignment="0" applyProtection="0"/>
    <xf numFmtId="0" fontId="2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2" fillId="36" borderId="0" applyNumberFormat="0" applyBorder="0" applyAlignment="0" applyProtection="0"/>
    <xf numFmtId="0" fontId="22" fillId="37" borderId="0" applyNumberFormat="0" applyBorder="0" applyAlignment="0" applyProtection="0"/>
    <xf numFmtId="0" fontId="2" fillId="38" borderId="0" applyNumberFormat="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22" fillId="0" borderId="0"/>
    <xf numFmtId="0" fontId="22" fillId="0" borderId="0"/>
  </cellStyleXfs>
  <cellXfs count="1081">
    <xf numFmtId="0" fontId="0" fillId="0" borderId="0" xfId="0"/>
    <xf numFmtId="0" fontId="0" fillId="2" borderId="0" xfId="0" applyFill="1"/>
    <xf numFmtId="0" fontId="0" fillId="2" borderId="1" xfId="0" applyFill="1" applyBorder="1"/>
    <xf numFmtId="0" fontId="0" fillId="5" borderId="0" xfId="0" applyFill="1"/>
    <xf numFmtId="0" fontId="2" fillId="5" borderId="0" xfId="0" applyFont="1" applyFill="1"/>
    <xf numFmtId="0" fontId="6" fillId="5" borderId="0" xfId="0" applyFont="1" applyFill="1"/>
    <xf numFmtId="10" fontId="0" fillId="2" borderId="1" xfId="0" applyNumberFormat="1" applyFill="1" applyBorder="1"/>
    <xf numFmtId="0" fontId="4" fillId="2" borderId="0" xfId="1" applyFill="1" applyAlignment="1" applyProtection="1"/>
    <xf numFmtId="0" fontId="4" fillId="2" borderId="0" xfId="1" applyFill="1" applyBorder="1" applyAlignment="1" applyProtection="1"/>
    <xf numFmtId="0" fontId="8" fillId="5" borderId="0" xfId="0" applyFont="1" applyFill="1"/>
    <xf numFmtId="0" fontId="9" fillId="2" borderId="0" xfId="0" applyFont="1" applyFill="1"/>
    <xf numFmtId="0" fontId="0" fillId="2" borderId="0" xfId="0" applyFill="1" applyProtection="1">
      <protection locked="0"/>
    </xf>
    <xf numFmtId="0" fontId="0" fillId="2" borderId="1" xfId="0" applyFill="1" applyBorder="1" applyProtection="1">
      <protection locked="0"/>
    </xf>
    <xf numFmtId="9" fontId="0" fillId="2" borderId="0" xfId="0" applyNumberFormat="1" applyFill="1"/>
    <xf numFmtId="0" fontId="10" fillId="5" borderId="12" xfId="0" applyFont="1" applyFill="1" applyBorder="1" applyProtection="1">
      <protection locked="0"/>
    </xf>
    <xf numFmtId="0" fontId="0" fillId="2" borderId="1" xfId="0" applyFill="1" applyBorder="1" applyAlignment="1">
      <alignment horizontal="center"/>
    </xf>
    <xf numFmtId="0" fontId="0" fillId="2" borderId="0" xfId="0" applyFill="1" applyAlignment="1" applyProtection="1">
      <alignment wrapText="1"/>
      <protection locked="0"/>
    </xf>
    <xf numFmtId="0" fontId="1" fillId="2" borderId="0" xfId="0" applyFont="1" applyFill="1" applyAlignment="1" applyProtection="1">
      <alignment horizontal="center"/>
      <protection locked="0"/>
    </xf>
    <xf numFmtId="0" fontId="3" fillId="2" borderId="0" xfId="0" applyFont="1" applyFill="1" applyAlignment="1" applyProtection="1">
      <alignment horizontal="center"/>
      <protection locked="0"/>
    </xf>
    <xf numFmtId="0" fontId="11" fillId="2" borderId="0" xfId="0" applyFont="1" applyFill="1" applyProtection="1">
      <protection locked="0"/>
    </xf>
    <xf numFmtId="0" fontId="3" fillId="2" borderId="0" xfId="0" applyFont="1" applyFill="1" applyProtection="1">
      <protection locked="0"/>
    </xf>
    <xf numFmtId="164" fontId="0" fillId="2" borderId="0" xfId="0" applyNumberFormat="1" applyFill="1" applyAlignment="1" applyProtection="1">
      <alignment horizontal="center" vertical="center"/>
      <protection locked="0"/>
    </xf>
    <xf numFmtId="0" fontId="0" fillId="2" borderId="1" xfId="0" applyFill="1" applyBorder="1" applyAlignment="1" applyProtection="1">
      <alignment horizontal="center" vertical="center"/>
      <protection locked="0"/>
    </xf>
    <xf numFmtId="10" fontId="14" fillId="0" borderId="1" xfId="0" applyNumberFormat="1" applyFont="1" applyBorder="1" applyAlignment="1" applyProtection="1">
      <alignment horizontal="center"/>
      <protection locked="0"/>
    </xf>
    <xf numFmtId="0" fontId="8" fillId="5" borderId="9" xfId="0" applyFont="1" applyFill="1" applyBorder="1" applyAlignment="1" applyProtection="1">
      <alignment horizontal="left" vertical="center"/>
      <protection locked="0"/>
    </xf>
    <xf numFmtId="0" fontId="8" fillId="5" borderId="3" xfId="0" applyFont="1" applyFill="1" applyBorder="1" applyAlignment="1" applyProtection="1">
      <alignment horizontal="left" vertical="center"/>
      <protection locked="0"/>
    </xf>
    <xf numFmtId="0" fontId="0" fillId="2" borderId="9" xfId="0" applyFill="1" applyBorder="1" applyProtection="1">
      <protection locked="0"/>
    </xf>
    <xf numFmtId="0" fontId="0" fillId="2" borderId="14" xfId="0" applyFill="1" applyBorder="1"/>
    <xf numFmtId="0" fontId="0" fillId="2" borderId="0" xfId="0" applyFill="1" applyAlignment="1">
      <alignment wrapText="1"/>
    </xf>
    <xf numFmtId="0" fontId="12" fillId="2" borderId="0" xfId="1" applyFont="1" applyFill="1" applyBorder="1" applyAlignment="1" applyProtection="1">
      <alignment wrapText="1"/>
    </xf>
    <xf numFmtId="0" fontId="4" fillId="2" borderId="0" xfId="1" applyFill="1" applyAlignment="1" applyProtection="1">
      <alignment wrapText="1"/>
    </xf>
    <xf numFmtId="0" fontId="0" fillId="0" borderId="1" xfId="0" applyBorder="1"/>
    <xf numFmtId="14" fontId="0" fillId="0" borderId="1" xfId="0" applyNumberFormat="1" applyBorder="1" applyAlignment="1">
      <alignment horizontal="center"/>
    </xf>
    <xf numFmtId="0" fontId="0" fillId="0" borderId="1" xfId="0" quotePrefix="1" applyBorder="1"/>
    <xf numFmtId="10" fontId="14" fillId="2" borderId="1" xfId="0" applyNumberFormat="1" applyFont="1" applyFill="1" applyBorder="1" applyAlignment="1" applyProtection="1">
      <alignment horizontal="center"/>
      <protection locked="0"/>
    </xf>
    <xf numFmtId="10" fontId="0" fillId="2" borderId="1" xfId="0" applyNumberFormat="1" applyFill="1" applyBorder="1" applyProtection="1">
      <protection locked="0"/>
    </xf>
    <xf numFmtId="0" fontId="0" fillId="2" borderId="15" xfId="0" applyFill="1" applyBorder="1"/>
    <xf numFmtId="10" fontId="1" fillId="2" borderId="16" xfId="0" applyNumberFormat="1" applyFont="1" applyFill="1" applyBorder="1" applyAlignment="1">
      <alignment horizontal="center" vertical="center"/>
    </xf>
    <xf numFmtId="9" fontId="22" fillId="0" borderId="0" xfId="2" applyFont="1" applyFill="1" applyBorder="1" applyAlignment="1">
      <alignment horizontal="center" vertical="center"/>
    </xf>
    <xf numFmtId="9" fontId="0" fillId="2" borderId="0" xfId="2" applyFont="1" applyFill="1"/>
    <xf numFmtId="0" fontId="21" fillId="2" borderId="0" xfId="0" applyFont="1" applyFill="1"/>
    <xf numFmtId="0" fontId="16" fillId="2" borderId="0" xfId="0" applyFont="1" applyFill="1"/>
    <xf numFmtId="0" fontId="6" fillId="39" borderId="0" xfId="0" applyFont="1" applyFill="1" applyAlignment="1" applyProtection="1">
      <alignment horizontal="center"/>
      <protection locked="0"/>
    </xf>
    <xf numFmtId="0" fontId="36" fillId="0" borderId="0" xfId="0" applyFont="1" applyAlignment="1">
      <alignment vertical="center"/>
    </xf>
    <xf numFmtId="0" fontId="5" fillId="4" borderId="6" xfId="0" applyFont="1" applyFill="1" applyBorder="1" applyAlignment="1">
      <alignment horizontal="center" wrapText="1"/>
    </xf>
    <xf numFmtId="0" fontId="0" fillId="0" borderId="0" xfId="0" applyAlignment="1">
      <alignment horizontal="center"/>
    </xf>
    <xf numFmtId="0" fontId="0" fillId="0" borderId="0" xfId="0" applyAlignment="1">
      <alignment horizontal="left" vertical="center"/>
    </xf>
    <xf numFmtId="10" fontId="10" fillId="5" borderId="0" xfId="0" applyNumberFormat="1" applyFont="1" applyFill="1" applyAlignment="1" applyProtection="1">
      <alignment horizontal="center" vertical="center" wrapText="1"/>
      <protection locked="0"/>
    </xf>
    <xf numFmtId="0" fontId="2" fillId="5" borderId="0" xfId="0" applyFont="1" applyFill="1" applyAlignment="1" applyProtection="1">
      <alignment horizontal="center" vertical="center" wrapText="1"/>
      <protection locked="0"/>
    </xf>
    <xf numFmtId="0" fontId="38" fillId="0" borderId="1" xfId="0" applyFont="1" applyBorder="1" applyAlignment="1">
      <alignment horizontal="center"/>
    </xf>
    <xf numFmtId="0" fontId="0" fillId="5" borderId="9" xfId="0" applyFill="1" applyBorder="1"/>
    <xf numFmtId="0" fontId="0" fillId="5" borderId="3" xfId="0" applyFill="1" applyBorder="1"/>
    <xf numFmtId="0" fontId="0" fillId="5" borderId="13" xfId="0" applyFill="1" applyBorder="1"/>
    <xf numFmtId="0" fontId="0" fillId="5" borderId="5" xfId="0" applyFill="1" applyBorder="1"/>
    <xf numFmtId="0" fontId="38" fillId="0" borderId="0" xfId="0" applyFont="1" applyAlignment="1">
      <alignment horizontal="left" vertical="center"/>
    </xf>
    <xf numFmtId="0" fontId="10" fillId="39" borderId="0" xfId="0" applyFont="1" applyFill="1" applyAlignment="1" applyProtection="1">
      <alignment horizontal="center" vertical="center" wrapText="1"/>
      <protection locked="0"/>
    </xf>
    <xf numFmtId="0" fontId="10" fillId="5" borderId="0" xfId="0" applyFont="1" applyFill="1" applyAlignment="1" applyProtection="1">
      <alignment horizontal="center" vertical="center"/>
      <protection locked="0"/>
    </xf>
    <xf numFmtId="0" fontId="0" fillId="2" borderId="12" xfId="0" applyFill="1" applyBorder="1" applyAlignment="1">
      <alignment horizontal="center" vertical="center"/>
    </xf>
    <xf numFmtId="0" fontId="0" fillId="2" borderId="9" xfId="0" applyFill="1" applyBorder="1" applyAlignment="1">
      <alignment horizontal="center" vertical="center"/>
    </xf>
    <xf numFmtId="0" fontId="0" fillId="2" borderId="3" xfId="0" applyFill="1" applyBorder="1" applyAlignment="1">
      <alignment horizontal="center" vertical="center"/>
    </xf>
    <xf numFmtId="0" fontId="6" fillId="5" borderId="12" xfId="0" applyFont="1" applyFill="1" applyBorder="1" applyAlignment="1">
      <alignment horizontal="center"/>
    </xf>
    <xf numFmtId="0" fontId="4" fillId="5" borderId="10" xfId="1" applyFill="1" applyBorder="1" applyAlignment="1" applyProtection="1">
      <alignment horizontal="center"/>
    </xf>
    <xf numFmtId="0" fontId="38" fillId="2" borderId="1" xfId="0" applyFont="1" applyFill="1" applyBorder="1" applyAlignment="1">
      <alignment horizontal="center" vertical="center"/>
    </xf>
    <xf numFmtId="16" fontId="0" fillId="2" borderId="1" xfId="0" applyNumberFormat="1" applyFill="1" applyBorder="1" applyAlignment="1" applyProtection="1">
      <alignment horizontal="center" vertical="center"/>
      <protection locked="0"/>
    </xf>
    <xf numFmtId="0" fontId="38" fillId="2" borderId="0" xfId="0" applyFont="1" applyFill="1"/>
    <xf numFmtId="10" fontId="38" fillId="2" borderId="0" xfId="0" applyNumberFormat="1" applyFont="1" applyFill="1"/>
    <xf numFmtId="0" fontId="38" fillId="2" borderId="7" xfId="0" applyFont="1" applyFill="1" applyBorder="1" applyAlignment="1">
      <alignment horizontal="center" vertical="center"/>
    </xf>
    <xf numFmtId="0" fontId="6" fillId="5" borderId="1" xfId="0" applyFont="1" applyFill="1" applyBorder="1"/>
    <xf numFmtId="0" fontId="6" fillId="5" borderId="1" xfId="0" applyFont="1" applyFill="1" applyBorder="1" applyAlignment="1">
      <alignment horizontal="center"/>
    </xf>
    <xf numFmtId="14" fontId="6" fillId="5" borderId="1" xfId="0" applyNumberFormat="1" applyFont="1" applyFill="1" applyBorder="1" applyAlignment="1">
      <alignment horizontal="center"/>
    </xf>
    <xf numFmtId="16" fontId="40" fillId="45" borderId="1" xfId="0" applyNumberFormat="1" applyFont="1" applyFill="1" applyBorder="1" applyAlignment="1">
      <alignment horizontal="center"/>
    </xf>
    <xf numFmtId="14" fontId="41" fillId="2" borderId="0" xfId="0" applyNumberFormat="1" applyFont="1" applyFill="1" applyAlignment="1" applyProtection="1">
      <alignment horizontal="center" vertical="center" textRotation="75"/>
      <protection locked="0"/>
    </xf>
    <xf numFmtId="0" fontId="38" fillId="2" borderId="0" xfId="0" applyFont="1" applyFill="1" applyAlignment="1">
      <alignment textRotation="75"/>
    </xf>
    <xf numFmtId="0" fontId="38" fillId="0" borderId="26" xfId="0" applyFont="1" applyBorder="1" applyAlignment="1">
      <alignment horizontal="center"/>
    </xf>
    <xf numFmtId="0" fontId="38" fillId="0" borderId="49" xfId="0" applyFont="1" applyBorder="1" applyAlignment="1">
      <alignment horizontal="center"/>
    </xf>
    <xf numFmtId="0" fontId="38" fillId="0" borderId="50" xfId="0" applyFont="1" applyBorder="1" applyAlignment="1">
      <alignment horizontal="center"/>
    </xf>
    <xf numFmtId="0" fontId="38" fillId="2" borderId="47" xfId="0" applyFont="1" applyFill="1" applyBorder="1" applyAlignment="1">
      <alignment horizontal="center" vertical="center"/>
    </xf>
    <xf numFmtId="0" fontId="38" fillId="2" borderId="26" xfId="0" applyFont="1" applyFill="1" applyBorder="1" applyAlignment="1">
      <alignment horizontal="center" vertical="center"/>
    </xf>
    <xf numFmtId="0" fontId="38" fillId="2" borderId="48" xfId="0" applyFont="1" applyFill="1" applyBorder="1" applyAlignment="1">
      <alignment horizontal="center" vertical="center"/>
    </xf>
    <xf numFmtId="0" fontId="38" fillId="2" borderId="49" xfId="0" applyFont="1" applyFill="1" applyBorder="1" applyAlignment="1">
      <alignment horizontal="center" vertical="center"/>
    </xf>
    <xf numFmtId="0" fontId="38" fillId="2" borderId="50" xfId="0" applyFont="1" applyFill="1" applyBorder="1" applyAlignment="1">
      <alignment horizontal="center" vertical="center"/>
    </xf>
    <xf numFmtId="0" fontId="38" fillId="0" borderId="43" xfId="0" applyFont="1" applyBorder="1" applyAlignment="1" applyProtection="1">
      <alignment horizontal="center" wrapText="1"/>
      <protection locked="0"/>
    </xf>
    <xf numFmtId="0" fontId="38" fillId="0" borderId="43" xfId="0" applyFont="1" applyBorder="1" applyAlignment="1" applyProtection="1">
      <alignment horizontal="center"/>
      <protection locked="0"/>
    </xf>
    <xf numFmtId="0" fontId="38" fillId="0" borderId="45" xfId="0" applyFont="1" applyBorder="1" applyAlignment="1" applyProtection="1">
      <alignment horizontal="center"/>
      <protection locked="0"/>
    </xf>
    <xf numFmtId="0" fontId="38" fillId="0" borderId="43" xfId="0" applyFont="1" applyBorder="1" applyProtection="1">
      <protection locked="0"/>
    </xf>
    <xf numFmtId="0" fontId="38" fillId="2" borderId="46" xfId="0" applyFont="1" applyFill="1" applyBorder="1" applyAlignment="1">
      <alignment horizontal="center" vertical="center"/>
    </xf>
    <xf numFmtId="0" fontId="38" fillId="2" borderId="2" xfId="0" applyFont="1" applyFill="1" applyBorder="1" applyAlignment="1">
      <alignment horizontal="center" vertical="center"/>
    </xf>
    <xf numFmtId="0" fontId="38" fillId="0" borderId="38" xfId="0" applyFont="1" applyBorder="1" applyAlignment="1" applyProtection="1">
      <alignment horizontal="center" wrapText="1"/>
      <protection locked="0"/>
    </xf>
    <xf numFmtId="0" fontId="38" fillId="0" borderId="38" xfId="0" applyFont="1" applyBorder="1" applyProtection="1">
      <protection locked="0"/>
    </xf>
    <xf numFmtId="0" fontId="39" fillId="42" borderId="34" xfId="0" applyFont="1" applyFill="1" applyBorder="1" applyAlignment="1">
      <alignment horizontal="center" vertical="center"/>
    </xf>
    <xf numFmtId="0" fontId="39" fillId="42" borderId="54" xfId="0" applyFont="1" applyFill="1" applyBorder="1" applyAlignment="1">
      <alignment horizontal="center" vertical="center"/>
    </xf>
    <xf numFmtId="0" fontId="39" fillId="43" borderId="16" xfId="0" applyFont="1" applyFill="1" applyBorder="1" applyAlignment="1">
      <alignment horizontal="center" vertical="center" wrapText="1"/>
    </xf>
    <xf numFmtId="0" fontId="39" fillId="43" borderId="57" xfId="0" applyFont="1" applyFill="1" applyBorder="1" applyAlignment="1">
      <alignment horizontal="center" vertical="center" wrapText="1"/>
    </xf>
    <xf numFmtId="0" fontId="39" fillId="43" borderId="58" xfId="0" applyFont="1" applyFill="1" applyBorder="1" applyAlignment="1">
      <alignment horizontal="center" vertical="center" wrapText="1"/>
    </xf>
    <xf numFmtId="0" fontId="6" fillId="5" borderId="44" xfId="0" applyFont="1" applyFill="1" applyBorder="1" applyAlignment="1">
      <alignment horizontal="left"/>
    </xf>
    <xf numFmtId="0" fontId="2" fillId="5" borderId="44" xfId="0" applyFont="1" applyFill="1" applyBorder="1"/>
    <xf numFmtId="0" fontId="6" fillId="5" borderId="44" xfId="0" applyFont="1" applyFill="1" applyBorder="1"/>
    <xf numFmtId="0" fontId="1" fillId="2" borderId="0" xfId="0" applyFont="1" applyFill="1" applyProtection="1">
      <protection locked="0"/>
    </xf>
    <xf numFmtId="0" fontId="0" fillId="6" borderId="0" xfId="0" applyFill="1"/>
    <xf numFmtId="164" fontId="4" fillId="2" borderId="0" xfId="1" applyNumberFormat="1" applyFill="1" applyBorder="1" applyAlignment="1" applyProtection="1">
      <alignment vertical="center"/>
      <protection locked="0"/>
    </xf>
    <xf numFmtId="14" fontId="41" fillId="2" borderId="0" xfId="0" applyNumberFormat="1" applyFont="1" applyFill="1" applyAlignment="1">
      <alignment horizontal="center" vertical="center" textRotation="75"/>
    </xf>
    <xf numFmtId="10" fontId="42" fillId="2" borderId="0" xfId="0" applyNumberFormat="1" applyFont="1" applyFill="1" applyAlignment="1">
      <alignment textRotation="75"/>
    </xf>
    <xf numFmtId="0" fontId="42" fillId="2" borderId="0" xfId="0" applyFont="1" applyFill="1" applyAlignment="1">
      <alignment textRotation="75"/>
    </xf>
    <xf numFmtId="0" fontId="39" fillId="2" borderId="4" xfId="0" applyFont="1" applyFill="1" applyBorder="1" applyAlignment="1" applyProtection="1">
      <alignment horizontal="center"/>
      <protection locked="0"/>
    </xf>
    <xf numFmtId="0" fontId="43" fillId="2" borderId="0" xfId="0" applyFont="1" applyFill="1" applyAlignment="1" applyProtection="1">
      <alignment horizontal="right" vertical="center"/>
      <protection locked="0"/>
    </xf>
    <xf numFmtId="0" fontId="21" fillId="46" borderId="0" xfId="0" applyFont="1" applyFill="1"/>
    <xf numFmtId="0" fontId="6" fillId="5" borderId="0" xfId="0" applyFont="1" applyFill="1" applyAlignment="1">
      <alignment horizontal="center"/>
    </xf>
    <xf numFmtId="0" fontId="0" fillId="46" borderId="0" xfId="0" applyFill="1"/>
    <xf numFmtId="10" fontId="0" fillId="0" borderId="1" xfId="0" applyNumberFormat="1" applyBorder="1"/>
    <xf numFmtId="10" fontId="0" fillId="0" borderId="1" xfId="0" quotePrefix="1" applyNumberFormat="1" applyBorder="1"/>
    <xf numFmtId="0" fontId="8" fillId="5" borderId="0" xfId="0" applyFont="1" applyFill="1" applyAlignment="1">
      <alignment horizontal="center"/>
    </xf>
    <xf numFmtId="0" fontId="0" fillId="2" borderId="0" xfId="0" applyFill="1" applyAlignment="1">
      <alignment horizontal="center"/>
    </xf>
    <xf numFmtId="0" fontId="8" fillId="5" borderId="70" xfId="0" applyFont="1" applyFill="1" applyBorder="1" applyAlignment="1">
      <alignment horizontal="center"/>
    </xf>
    <xf numFmtId="0" fontId="8" fillId="5" borderId="71" xfId="0" applyFont="1" applyFill="1" applyBorder="1" applyAlignment="1">
      <alignment horizontal="center"/>
    </xf>
    <xf numFmtId="0" fontId="8" fillId="5" borderId="72" xfId="0" applyFont="1" applyFill="1" applyBorder="1" applyAlignment="1">
      <alignment horizontal="center"/>
    </xf>
    <xf numFmtId="0" fontId="45" fillId="5" borderId="0" xfId="0" applyFont="1" applyFill="1" applyAlignment="1">
      <alignment horizontal="right" vertical="center"/>
    </xf>
    <xf numFmtId="0" fontId="0" fillId="2" borderId="9" xfId="0" applyFill="1" applyBorder="1"/>
    <xf numFmtId="0" fontId="0" fillId="2" borderId="3" xfId="0" applyFill="1" applyBorder="1"/>
    <xf numFmtId="0" fontId="4" fillId="2" borderId="10" xfId="1" applyFill="1" applyBorder="1" applyAlignment="1" applyProtection="1"/>
    <xf numFmtId="0" fontId="0" fillId="2" borderId="13" xfId="0" applyFill="1" applyBorder="1"/>
    <xf numFmtId="0" fontId="4" fillId="2" borderId="13" xfId="1" applyFill="1" applyBorder="1" applyAlignment="1" applyProtection="1"/>
    <xf numFmtId="0" fontId="0" fillId="2" borderId="5" xfId="0" applyFill="1" applyBorder="1"/>
    <xf numFmtId="0" fontId="2" fillId="5" borderId="11" xfId="0" applyFont="1" applyFill="1" applyBorder="1" applyProtection="1">
      <protection locked="0"/>
    </xf>
    <xf numFmtId="0" fontId="2" fillId="5" borderId="0" xfId="0" applyFont="1" applyFill="1" applyAlignment="1">
      <alignment horizontal="center" vertical="center"/>
    </xf>
    <xf numFmtId="0" fontId="46" fillId="6" borderId="1" xfId="0" applyFont="1" applyFill="1" applyBorder="1" applyAlignment="1">
      <alignment horizontal="center" vertical="center"/>
    </xf>
    <xf numFmtId="0" fontId="0" fillId="2" borderId="1" xfId="0" applyFill="1" applyBorder="1" applyAlignment="1">
      <alignment horizontal="center" vertical="center"/>
    </xf>
    <xf numFmtId="0" fontId="46" fillId="47" borderId="1" xfId="0" applyFont="1" applyFill="1" applyBorder="1" applyAlignment="1">
      <alignment horizontal="right"/>
    </xf>
    <xf numFmtId="0" fontId="40" fillId="5" borderId="71" xfId="0" applyFont="1" applyFill="1" applyBorder="1" applyAlignment="1">
      <alignment horizontal="center" vertical="center"/>
    </xf>
    <xf numFmtId="0" fontId="40" fillId="5" borderId="73" xfId="0" applyFont="1" applyFill="1" applyBorder="1" applyAlignment="1">
      <alignment horizontal="center" vertical="center"/>
    </xf>
    <xf numFmtId="0" fontId="40" fillId="3" borderId="34" xfId="0" applyFont="1" applyFill="1" applyBorder="1" applyAlignment="1">
      <alignment horizontal="center" vertical="center"/>
    </xf>
    <xf numFmtId="0" fontId="7" fillId="5" borderId="73" xfId="0" applyFont="1" applyFill="1" applyBorder="1" applyAlignment="1" applyProtection="1">
      <alignment horizontal="center" vertical="center" wrapText="1"/>
      <protection locked="0"/>
    </xf>
    <xf numFmtId="10" fontId="38" fillId="2" borderId="1" xfId="0" applyNumberFormat="1" applyFont="1" applyFill="1" applyBorder="1"/>
    <xf numFmtId="10" fontId="38" fillId="0" borderId="77" xfId="0" applyNumberFormat="1" applyFont="1" applyBorder="1" applyAlignment="1">
      <alignment horizontal="center"/>
    </xf>
    <xf numFmtId="10" fontId="38" fillId="2" borderId="26" xfId="0" applyNumberFormat="1" applyFont="1" applyFill="1" applyBorder="1"/>
    <xf numFmtId="10" fontId="38" fillId="2" borderId="49" xfId="0" applyNumberFormat="1" applyFont="1" applyFill="1" applyBorder="1"/>
    <xf numFmtId="10" fontId="38" fillId="2" borderId="50" xfId="0" applyNumberFormat="1" applyFont="1" applyFill="1" applyBorder="1"/>
    <xf numFmtId="0" fontId="38" fillId="0" borderId="40" xfId="0" applyFont="1" applyBorder="1" applyAlignment="1">
      <alignment horizontal="center"/>
    </xf>
    <xf numFmtId="0" fontId="38" fillId="0" borderId="41" xfId="0" applyFont="1" applyBorder="1" applyAlignment="1">
      <alignment horizontal="center"/>
    </xf>
    <xf numFmtId="0" fontId="38" fillId="0" borderId="42" xfId="0" applyFont="1" applyBorder="1" applyAlignment="1">
      <alignment horizontal="center"/>
    </xf>
    <xf numFmtId="0" fontId="38" fillId="2" borderId="40" xfId="0" applyFont="1" applyFill="1" applyBorder="1" applyAlignment="1">
      <alignment horizontal="center" vertical="center"/>
    </xf>
    <xf numFmtId="0" fontId="38" fillId="2" borderId="41" xfId="0" applyFont="1" applyFill="1" applyBorder="1" applyAlignment="1">
      <alignment horizontal="center" vertical="center"/>
    </xf>
    <xf numFmtId="0" fontId="38" fillId="2" borderId="42" xfId="0" applyFont="1" applyFill="1" applyBorder="1" applyAlignment="1">
      <alignment horizontal="center" vertical="center"/>
    </xf>
    <xf numFmtId="10" fontId="38" fillId="2" borderId="51" xfId="0" applyNumberFormat="1" applyFont="1" applyFill="1" applyBorder="1"/>
    <xf numFmtId="10" fontId="38" fillId="2" borderId="62" xfId="0" applyNumberFormat="1" applyFont="1" applyFill="1" applyBorder="1"/>
    <xf numFmtId="10" fontId="38" fillId="2" borderId="35" xfId="0" applyNumberFormat="1" applyFont="1" applyFill="1" applyBorder="1"/>
    <xf numFmtId="0" fontId="39" fillId="7" borderId="75" xfId="0" applyFont="1" applyFill="1" applyBorder="1" applyAlignment="1">
      <alignment horizontal="center" vertical="center"/>
    </xf>
    <xf numFmtId="0" fontId="39" fillId="7" borderId="71" xfId="0" applyFont="1" applyFill="1" applyBorder="1" applyAlignment="1">
      <alignment horizontal="center" vertical="center"/>
    </xf>
    <xf numFmtId="0" fontId="39" fillId="7" borderId="72" xfId="0" applyFont="1" applyFill="1" applyBorder="1" applyAlignment="1">
      <alignment horizontal="center" vertical="center" wrapText="1"/>
    </xf>
    <xf numFmtId="0" fontId="38" fillId="0" borderId="47" xfId="0" applyFont="1" applyBorder="1" applyAlignment="1">
      <alignment horizontal="center"/>
    </xf>
    <xf numFmtId="0" fontId="38" fillId="0" borderId="48" xfId="0" applyFont="1" applyBorder="1" applyAlignment="1">
      <alignment horizontal="center"/>
    </xf>
    <xf numFmtId="0" fontId="0" fillId="2" borderId="12" xfId="0" applyFill="1" applyBorder="1"/>
    <xf numFmtId="0" fontId="0" fillId="2" borderId="11" xfId="0" applyFill="1" applyBorder="1"/>
    <xf numFmtId="0" fontId="0" fillId="2" borderId="10" xfId="0" applyFill="1" applyBorder="1"/>
    <xf numFmtId="0" fontId="0" fillId="2" borderId="7" xfId="0" applyFill="1" applyBorder="1"/>
    <xf numFmtId="0" fontId="1" fillId="0" borderId="40" xfId="0" applyFont="1" applyBorder="1" applyAlignment="1">
      <alignment wrapText="1"/>
    </xf>
    <xf numFmtId="0" fontId="0" fillId="0" borderId="42" xfId="0" applyBorder="1" applyAlignment="1">
      <alignment horizontal="left"/>
    </xf>
    <xf numFmtId="0" fontId="1" fillId="0" borderId="47" xfId="0" applyFont="1" applyBorder="1" applyAlignment="1">
      <alignment wrapText="1"/>
    </xf>
    <xf numFmtId="0" fontId="0" fillId="0" borderId="26" xfId="0" applyBorder="1" applyAlignment="1">
      <alignment horizontal="left" vertical="center"/>
    </xf>
    <xf numFmtId="0" fontId="1" fillId="0" borderId="48" xfId="0" applyFont="1" applyBorder="1" applyAlignment="1">
      <alignment vertical="top"/>
    </xf>
    <xf numFmtId="14" fontId="0" fillId="0" borderId="50" xfId="0" applyNumberFormat="1" applyBorder="1" applyAlignment="1">
      <alignment horizontal="left"/>
    </xf>
    <xf numFmtId="0" fontId="1" fillId="40" borderId="78" xfId="0" applyFont="1" applyFill="1" applyBorder="1" applyAlignment="1">
      <alignment horizontal="left" vertical="top"/>
    </xf>
    <xf numFmtId="0" fontId="1" fillId="40" borderId="79" xfId="0" applyFont="1" applyFill="1" applyBorder="1" applyAlignment="1">
      <alignment horizontal="left"/>
    </xf>
    <xf numFmtId="0" fontId="1" fillId="0" borderId="40" xfId="0" applyFont="1" applyBorder="1" applyAlignment="1">
      <alignment vertical="top" wrapText="1"/>
    </xf>
    <xf numFmtId="0" fontId="0" fillId="0" borderId="72" xfId="0" applyBorder="1" applyAlignment="1">
      <alignment horizontal="left"/>
    </xf>
    <xf numFmtId="0" fontId="47" fillId="0" borderId="59" xfId="0" applyFont="1" applyBorder="1" applyAlignment="1">
      <alignment wrapText="1"/>
    </xf>
    <xf numFmtId="0" fontId="0" fillId="0" borderId="26" xfId="0" applyBorder="1" applyAlignment="1">
      <alignment horizontal="left"/>
    </xf>
    <xf numFmtId="0" fontId="47" fillId="0" borderId="59" xfId="0" applyFont="1" applyBorder="1"/>
    <xf numFmtId="0" fontId="47" fillId="0" borderId="65" xfId="0" applyFont="1" applyBorder="1"/>
    <xf numFmtId="0" fontId="0" fillId="0" borderId="67" xfId="0" applyBorder="1" applyAlignment="1">
      <alignment horizontal="left"/>
    </xf>
    <xf numFmtId="0" fontId="0" fillId="0" borderId="67" xfId="0" applyBorder="1" applyAlignment="1">
      <alignment horizontal="left" wrapText="1"/>
    </xf>
    <xf numFmtId="0" fontId="1" fillId="0" borderId="16" xfId="0" applyFont="1" applyBorder="1" applyAlignment="1">
      <alignment vertical="center" wrapText="1"/>
    </xf>
    <xf numFmtId="0" fontId="0" fillId="0" borderId="58" xfId="0" applyBorder="1" applyAlignment="1">
      <alignment vertical="center" wrapText="1"/>
    </xf>
    <xf numFmtId="0" fontId="1" fillId="0" borderId="78" xfId="0" applyFont="1" applyBorder="1" applyAlignment="1">
      <alignment vertical="center" wrapText="1"/>
    </xf>
    <xf numFmtId="0" fontId="0" fillId="0" borderId="79" xfId="0" applyBorder="1" applyAlignment="1">
      <alignment vertical="center" wrapText="1"/>
    </xf>
    <xf numFmtId="0" fontId="1" fillId="0" borderId="70" xfId="0" applyFont="1" applyBorder="1" applyAlignment="1">
      <alignment vertical="center" wrapText="1"/>
    </xf>
    <xf numFmtId="0" fontId="0" fillId="0" borderId="72" xfId="0" applyBorder="1" applyAlignment="1">
      <alignment horizontal="left" vertical="top" wrapText="1"/>
    </xf>
    <xf numFmtId="0" fontId="1" fillId="0" borderId="27" xfId="0" applyFont="1" applyBorder="1" applyAlignment="1">
      <alignment vertical="center" wrapText="1"/>
    </xf>
    <xf numFmtId="0" fontId="0" fillId="0" borderId="29" xfId="0" applyBorder="1" applyAlignment="1">
      <alignment vertical="center" wrapText="1"/>
    </xf>
    <xf numFmtId="0" fontId="1" fillId="40" borderId="0" xfId="0" applyFont="1" applyFill="1" applyAlignment="1">
      <alignment horizontal="center" vertical="center"/>
    </xf>
    <xf numFmtId="0" fontId="48" fillId="5" borderId="80" xfId="0" applyFont="1" applyFill="1" applyBorder="1" applyAlignment="1">
      <alignment horizontal="center"/>
    </xf>
    <xf numFmtId="0" fontId="1" fillId="5" borderId="0" xfId="0" applyFont="1" applyFill="1"/>
    <xf numFmtId="0" fontId="1" fillId="2" borderId="0" xfId="0" applyFont="1" applyFill="1"/>
    <xf numFmtId="0" fontId="1" fillId="0" borderId="0" xfId="0" applyFont="1"/>
    <xf numFmtId="0" fontId="0" fillId="0" borderId="1" xfId="0" applyBorder="1" applyAlignment="1">
      <alignment horizontal="center" vertical="center"/>
    </xf>
    <xf numFmtId="0" fontId="49" fillId="50" borderId="1" xfId="0" applyFont="1" applyFill="1" applyBorder="1" applyAlignment="1">
      <alignment horizontal="center" vertical="center"/>
    </xf>
    <xf numFmtId="0" fontId="0" fillId="50" borderId="6" xfId="0" applyFill="1" applyBorder="1" applyAlignment="1">
      <alignment horizontal="center"/>
    </xf>
    <xf numFmtId="0" fontId="0" fillId="0" borderId="1" xfId="0" applyBorder="1" applyAlignment="1">
      <alignment vertical="center" wrapText="1"/>
    </xf>
    <xf numFmtId="0" fontId="0" fillId="0" borderId="1" xfId="0" applyBorder="1" applyAlignment="1">
      <alignment wrapText="1"/>
    </xf>
    <xf numFmtId="0" fontId="0" fillId="0" borderId="0" xfId="0" applyAlignment="1">
      <alignment wrapText="1"/>
    </xf>
    <xf numFmtId="0" fontId="9" fillId="0" borderId="1" xfId="0" applyFont="1" applyBorder="1" applyAlignment="1">
      <alignment horizontal="center" vertical="center"/>
    </xf>
    <xf numFmtId="0" fontId="38" fillId="0" borderId="45" xfId="0" applyFont="1" applyBorder="1" applyAlignment="1" applyProtection="1">
      <alignment horizontal="center" wrapText="1"/>
      <protection locked="0"/>
    </xf>
    <xf numFmtId="0" fontId="38" fillId="41" borderId="51" xfId="0" applyFont="1" applyFill="1" applyBorder="1" applyAlignment="1">
      <alignment horizontal="left" vertical="center" wrapText="1"/>
    </xf>
    <xf numFmtId="0" fontId="38" fillId="41" borderId="62" xfId="0" applyFont="1" applyFill="1" applyBorder="1" applyAlignment="1">
      <alignment horizontal="left" vertical="center" wrapText="1"/>
    </xf>
    <xf numFmtId="0" fontId="38" fillId="41" borderId="35" xfId="0" applyFont="1" applyFill="1" applyBorder="1" applyAlignment="1">
      <alignment horizontal="left" vertical="center" wrapText="1"/>
    </xf>
    <xf numFmtId="0" fontId="40" fillId="5" borderId="75" xfId="0" applyFont="1" applyFill="1" applyBorder="1" applyAlignment="1">
      <alignment horizontal="center" vertical="center"/>
    </xf>
    <xf numFmtId="10" fontId="38" fillId="0" borderId="43" xfId="0" applyNumberFormat="1" applyFont="1" applyBorder="1" applyAlignment="1">
      <alignment horizontal="center"/>
    </xf>
    <xf numFmtId="10" fontId="38" fillId="0" borderId="45" xfId="0" applyNumberFormat="1" applyFont="1" applyBorder="1" applyAlignment="1">
      <alignment horizontal="center"/>
    </xf>
    <xf numFmtId="0" fontId="0" fillId="0" borderId="1" xfId="0" applyBorder="1" applyAlignment="1">
      <alignment horizontal="left"/>
    </xf>
    <xf numFmtId="0" fontId="0" fillId="0" borderId="6" xfId="0" applyBorder="1" applyAlignment="1">
      <alignment horizontal="left"/>
    </xf>
    <xf numFmtId="0" fontId="2" fillId="39" borderId="0" xfId="0" applyFont="1" applyFill="1" applyAlignment="1" applyProtection="1">
      <alignment horizontal="center" vertical="center" wrapText="1"/>
      <protection locked="0"/>
    </xf>
    <xf numFmtId="10" fontId="10" fillId="39" borderId="0" xfId="0" applyNumberFormat="1" applyFont="1" applyFill="1" applyAlignment="1" applyProtection="1">
      <alignment horizontal="center" vertical="center" wrapText="1"/>
      <protection locked="0"/>
    </xf>
    <xf numFmtId="0" fontId="6" fillId="39" borderId="0" xfId="0" applyFont="1" applyFill="1" applyAlignment="1" applyProtection="1">
      <alignment horizontal="center" wrapText="1"/>
      <protection locked="0"/>
    </xf>
    <xf numFmtId="0" fontId="51" fillId="0" borderId="1" xfId="0" applyFont="1" applyBorder="1"/>
    <xf numFmtId="14" fontId="9" fillId="2" borderId="46" xfId="0" applyNumberFormat="1" applyFont="1" applyFill="1" applyBorder="1" applyAlignment="1" applyProtection="1">
      <alignment horizontal="center" vertical="center"/>
      <protection locked="0"/>
    </xf>
    <xf numFmtId="0" fontId="17" fillId="5" borderId="33" xfId="0" applyFont="1" applyFill="1" applyBorder="1" applyAlignment="1">
      <alignment horizontal="center"/>
    </xf>
    <xf numFmtId="0" fontId="6" fillId="2" borderId="44" xfId="0" applyFont="1" applyFill="1" applyBorder="1" applyAlignment="1">
      <alignment horizontal="left"/>
    </xf>
    <xf numFmtId="0" fontId="6" fillId="2" borderId="0" xfId="0" applyFont="1" applyFill="1" applyAlignment="1">
      <alignment horizontal="left"/>
    </xf>
    <xf numFmtId="0" fontId="6" fillId="5" borderId="0" xfId="0" applyFont="1" applyFill="1" applyAlignment="1">
      <alignment horizontal="left"/>
    </xf>
    <xf numFmtId="0" fontId="2" fillId="5" borderId="16" xfId="0" applyFont="1" applyFill="1" applyBorder="1" applyAlignment="1">
      <alignment horizontal="center"/>
    </xf>
    <xf numFmtId="0" fontId="2" fillId="5" borderId="57" xfId="0" applyFont="1" applyFill="1" applyBorder="1" applyAlignment="1">
      <alignment horizontal="center"/>
    </xf>
    <xf numFmtId="0" fontId="2" fillId="5" borderId="58" xfId="0" applyFont="1" applyFill="1" applyBorder="1" applyAlignment="1">
      <alignment horizontal="center"/>
    </xf>
    <xf numFmtId="0" fontId="2" fillId="5" borderId="47" xfId="0" applyFont="1" applyFill="1" applyBorder="1" applyAlignment="1" applyProtection="1">
      <alignment horizontal="center" vertical="center"/>
      <protection locked="0"/>
    </xf>
    <xf numFmtId="0" fontId="2" fillId="5" borderId="1" xfId="0" applyFont="1" applyFill="1" applyBorder="1" applyAlignment="1" applyProtection="1">
      <alignment horizontal="center" vertical="center"/>
      <protection locked="0"/>
    </xf>
    <xf numFmtId="0" fontId="2" fillId="5" borderId="26" xfId="0" applyFont="1" applyFill="1" applyBorder="1" applyAlignment="1" applyProtection="1">
      <alignment horizontal="center" vertical="center"/>
      <protection locked="0"/>
    </xf>
    <xf numFmtId="0" fontId="0" fillId="2" borderId="0" xfId="0" applyFill="1" applyAlignment="1" applyProtection="1">
      <alignment horizontal="left"/>
      <protection locked="0"/>
    </xf>
    <xf numFmtId="0" fontId="0" fillId="3" borderId="1" xfId="0" applyFill="1" applyBorder="1" applyProtection="1">
      <protection locked="0"/>
    </xf>
    <xf numFmtId="0" fontId="6" fillId="5" borderId="33" xfId="0" applyFont="1" applyFill="1" applyBorder="1"/>
    <xf numFmtId="0" fontId="6" fillId="5" borderId="31" xfId="0" applyFont="1" applyFill="1" applyBorder="1" applyAlignment="1">
      <alignment horizontal="center"/>
    </xf>
    <xf numFmtId="14" fontId="9" fillId="2" borderId="38" xfId="0" applyNumberFormat="1" applyFont="1" applyFill="1" applyBorder="1" applyAlignment="1" applyProtection="1">
      <alignment horizontal="center" vertical="center"/>
      <protection locked="0"/>
    </xf>
    <xf numFmtId="0" fontId="4" fillId="0" borderId="0" xfId="1" applyAlignment="1" applyProtection="1"/>
    <xf numFmtId="0" fontId="4" fillId="0" borderId="0" xfId="1" applyAlignment="1" applyProtection="1">
      <alignment horizontal="left" vertical="center"/>
    </xf>
    <xf numFmtId="16" fontId="52" fillId="2" borderId="44" xfId="0" applyNumberFormat="1" applyFont="1" applyFill="1" applyBorder="1" applyAlignment="1">
      <alignment horizontal="center"/>
    </xf>
    <xf numFmtId="0" fontId="52" fillId="2" borderId="1" xfId="0" applyFont="1" applyFill="1" applyBorder="1" applyAlignment="1">
      <alignment horizontal="center" vertical="center"/>
    </xf>
    <xf numFmtId="16" fontId="52" fillId="0" borderId="1" xfId="0" applyNumberFormat="1" applyFont="1" applyBorder="1" applyAlignment="1" applyProtection="1">
      <alignment horizontal="center" vertical="center"/>
      <protection locked="0"/>
    </xf>
    <xf numFmtId="16" fontId="52" fillId="0" borderId="26" xfId="0" applyNumberFormat="1" applyFont="1" applyBorder="1" applyAlignment="1" applyProtection="1">
      <alignment horizontal="center" vertical="center"/>
      <protection locked="0"/>
    </xf>
    <xf numFmtId="0" fontId="53" fillId="0" borderId="47" xfId="0" applyFont="1" applyBorder="1" applyAlignment="1">
      <alignment horizontal="center" vertical="center"/>
    </xf>
    <xf numFmtId="0" fontId="53" fillId="0" borderId="1" xfId="0" applyFont="1" applyBorder="1" applyAlignment="1">
      <alignment horizontal="center" vertical="center"/>
    </xf>
    <xf numFmtId="0" fontId="53" fillId="2" borderId="1" xfId="0" applyFont="1" applyFill="1" applyBorder="1" applyAlignment="1">
      <alignment horizontal="center" vertical="center"/>
    </xf>
    <xf numFmtId="9" fontId="53" fillId="2" borderId="26" xfId="2" applyFont="1" applyFill="1" applyBorder="1" applyAlignment="1">
      <alignment horizontal="center" vertical="center"/>
    </xf>
    <xf numFmtId="0" fontId="53" fillId="2" borderId="69" xfId="2" applyNumberFormat="1" applyFont="1" applyFill="1" applyBorder="1" applyAlignment="1">
      <alignment horizontal="center" vertical="center"/>
    </xf>
    <xf numFmtId="0" fontId="53" fillId="2" borderId="43" xfId="2" applyNumberFormat="1" applyFont="1" applyFill="1" applyBorder="1" applyAlignment="1">
      <alignment horizontal="center" vertical="center"/>
    </xf>
    <xf numFmtId="0" fontId="9" fillId="2" borderId="35" xfId="46" applyFont="1" applyFill="1" applyBorder="1"/>
    <xf numFmtId="0" fontId="9" fillId="41" borderId="49" xfId="46" applyFont="1" applyFill="1" applyBorder="1" applyAlignment="1">
      <alignment horizontal="center"/>
    </xf>
    <xf numFmtId="0" fontId="9" fillId="41" borderId="50" xfId="46" applyFont="1" applyFill="1" applyBorder="1" applyAlignment="1">
      <alignment horizontal="center"/>
    </xf>
    <xf numFmtId="0" fontId="9" fillId="41" borderId="48" xfId="46" applyFont="1" applyFill="1" applyBorder="1" applyAlignment="1">
      <alignment horizontal="center"/>
    </xf>
    <xf numFmtId="0" fontId="9" fillId="41" borderId="61" xfId="46" applyFont="1" applyFill="1" applyBorder="1" applyAlignment="1">
      <alignment horizontal="center"/>
    </xf>
    <xf numFmtId="0" fontId="9" fillId="41" borderId="45" xfId="46" applyFont="1" applyFill="1" applyBorder="1" applyAlignment="1">
      <alignment horizontal="center"/>
    </xf>
    <xf numFmtId="0" fontId="9" fillId="2" borderId="0" xfId="46" applyFont="1" applyFill="1"/>
    <xf numFmtId="0" fontId="9" fillId="7" borderId="10" xfId="46" applyFont="1" applyFill="1" applyBorder="1" applyAlignment="1">
      <alignment horizontal="center" vertical="center" wrapText="1"/>
    </xf>
    <xf numFmtId="0" fontId="9" fillId="7" borderId="13" xfId="46" applyFont="1" applyFill="1" applyBorder="1" applyAlignment="1">
      <alignment horizontal="center" vertical="center" wrapText="1"/>
    </xf>
    <xf numFmtId="16" fontId="52" fillId="6" borderId="44" xfId="0" applyNumberFormat="1" applyFont="1" applyFill="1" applyBorder="1" applyAlignment="1">
      <alignment horizontal="center"/>
    </xf>
    <xf numFmtId="0" fontId="52" fillId="6" borderId="1" xfId="0" applyFont="1" applyFill="1" applyBorder="1" applyAlignment="1">
      <alignment horizontal="center" vertical="center"/>
    </xf>
    <xf numFmtId="16" fontId="52" fillId="6" borderId="1" xfId="0" applyNumberFormat="1" applyFont="1" applyFill="1" applyBorder="1" applyAlignment="1" applyProtection="1">
      <alignment horizontal="center" vertical="center"/>
      <protection locked="0"/>
    </xf>
    <xf numFmtId="0" fontId="0" fillId="6" borderId="0" xfId="0" applyFill="1" applyAlignment="1">
      <alignment horizontal="center"/>
    </xf>
    <xf numFmtId="0" fontId="53" fillId="6" borderId="47" xfId="0" applyFont="1" applyFill="1" applyBorder="1" applyAlignment="1">
      <alignment horizontal="center" vertical="center"/>
    </xf>
    <xf numFmtId="0" fontId="53" fillId="6" borderId="1" xfId="0" applyFont="1" applyFill="1" applyBorder="1" applyAlignment="1">
      <alignment horizontal="center" vertical="center"/>
    </xf>
    <xf numFmtId="9" fontId="53" fillId="6" borderId="26" xfId="2" applyFont="1" applyFill="1" applyBorder="1" applyAlignment="1">
      <alignment horizontal="center" vertical="center"/>
    </xf>
    <xf numFmtId="0" fontId="53" fillId="6" borderId="69" xfId="2" applyNumberFormat="1" applyFont="1" applyFill="1" applyBorder="1" applyAlignment="1">
      <alignment horizontal="center" vertical="center"/>
    </xf>
    <xf numFmtId="0" fontId="53" fillId="6" borderId="63" xfId="2" applyNumberFormat="1" applyFont="1" applyFill="1" applyBorder="1" applyAlignment="1">
      <alignment horizontal="center" vertical="center"/>
    </xf>
    <xf numFmtId="0" fontId="53" fillId="6" borderId="38" xfId="2" applyNumberFormat="1" applyFont="1" applyFill="1" applyBorder="1" applyAlignment="1">
      <alignment horizontal="center" vertical="center"/>
    </xf>
    <xf numFmtId="10" fontId="53" fillId="0" borderId="1" xfId="0" applyNumberFormat="1" applyFont="1" applyBorder="1" applyAlignment="1">
      <alignment horizontal="center" vertical="center"/>
    </xf>
    <xf numFmtId="10" fontId="37" fillId="2" borderId="2" xfId="0" applyNumberFormat="1" applyFont="1" applyFill="1" applyBorder="1" applyAlignment="1" applyProtection="1">
      <alignment horizontal="center"/>
      <protection locked="0"/>
    </xf>
    <xf numFmtId="0" fontId="52" fillId="0" borderId="1" xfId="0" applyFont="1" applyBorder="1" applyAlignment="1" applyProtection="1">
      <alignment horizontal="center" vertical="center" wrapText="1"/>
      <protection locked="0"/>
    </xf>
    <xf numFmtId="0" fontId="6" fillId="5" borderId="33" xfId="0" applyFont="1" applyFill="1" applyBorder="1" applyProtection="1">
      <protection locked="0"/>
    </xf>
    <xf numFmtId="0" fontId="40" fillId="5" borderId="31" xfId="0" applyFont="1" applyFill="1" applyBorder="1" applyAlignment="1">
      <alignment horizontal="center" vertical="center" wrapText="1"/>
    </xf>
    <xf numFmtId="0" fontId="6" fillId="5" borderId="35" xfId="0" applyFont="1" applyFill="1" applyBorder="1" applyProtection="1">
      <protection locked="0"/>
    </xf>
    <xf numFmtId="0" fontId="54" fillId="0" borderId="15" xfId="0" applyFont="1" applyBorder="1" applyAlignment="1">
      <alignment horizontal="left" vertical="center"/>
    </xf>
    <xf numFmtId="0" fontId="0" fillId="2" borderId="29" xfId="0" applyFill="1" applyBorder="1" applyAlignment="1" applyProtection="1">
      <alignment horizontal="left" vertical="center"/>
      <protection locked="0"/>
    </xf>
    <xf numFmtId="14" fontId="15" fillId="39" borderId="36" xfId="0" applyNumberFormat="1" applyFont="1" applyFill="1" applyBorder="1" applyAlignment="1" applyProtection="1">
      <alignment horizontal="center"/>
      <protection locked="0"/>
    </xf>
    <xf numFmtId="0" fontId="0" fillId="2" borderId="31" xfId="0" applyFill="1" applyBorder="1" applyProtection="1">
      <protection locked="0"/>
    </xf>
    <xf numFmtId="0" fontId="54" fillId="0" borderId="31" xfId="0" applyFont="1" applyBorder="1" applyAlignment="1">
      <alignment horizontal="left" vertical="center"/>
    </xf>
    <xf numFmtId="0" fontId="0" fillId="2" borderId="33" xfId="0" applyFill="1" applyBorder="1" applyProtection="1">
      <protection locked="0"/>
    </xf>
    <xf numFmtId="0" fontId="0" fillId="2" borderId="31" xfId="0" applyFill="1" applyBorder="1" applyAlignment="1" applyProtection="1">
      <alignment horizontal="center" vertical="center"/>
      <protection locked="0"/>
    </xf>
    <xf numFmtId="14" fontId="0" fillId="2" borderId="31" xfId="0" applyNumberFormat="1" applyFill="1" applyBorder="1" applyAlignment="1" applyProtection="1">
      <alignment horizontal="center" vertical="center"/>
      <protection locked="0"/>
    </xf>
    <xf numFmtId="0" fontId="4" fillId="2" borderId="44" xfId="1" applyFill="1" applyBorder="1" applyAlignment="1" applyProtection="1">
      <protection locked="0"/>
    </xf>
    <xf numFmtId="0" fontId="6" fillId="5" borderId="36" xfId="0" applyFont="1" applyFill="1" applyBorder="1" applyAlignment="1" applyProtection="1">
      <alignment horizontal="center"/>
      <protection locked="0"/>
    </xf>
    <xf numFmtId="10" fontId="14" fillId="2" borderId="26" xfId="0" applyNumberFormat="1" applyFont="1" applyFill="1" applyBorder="1" applyAlignment="1" applyProtection="1">
      <alignment horizontal="center"/>
      <protection locked="0"/>
    </xf>
    <xf numFmtId="10" fontId="14" fillId="0" borderId="49" xfId="0" applyNumberFormat="1" applyFont="1" applyBorder="1" applyAlignment="1" applyProtection="1">
      <alignment horizontal="center"/>
      <protection locked="0"/>
    </xf>
    <xf numFmtId="10" fontId="14" fillId="2" borderId="49" xfId="0" applyNumberFormat="1" applyFont="1" applyFill="1" applyBorder="1" applyAlignment="1" applyProtection="1">
      <alignment horizontal="center"/>
      <protection locked="0"/>
    </xf>
    <xf numFmtId="10" fontId="14" fillId="2" borderId="50" xfId="0" applyNumberFormat="1" applyFont="1" applyFill="1" applyBorder="1" applyAlignment="1" applyProtection="1">
      <alignment horizontal="center"/>
      <protection locked="0"/>
    </xf>
    <xf numFmtId="10" fontId="37" fillId="2" borderId="46" xfId="0" applyNumberFormat="1" applyFont="1" applyFill="1" applyBorder="1" applyAlignment="1" applyProtection="1">
      <alignment horizontal="center"/>
      <protection locked="0"/>
    </xf>
    <xf numFmtId="10" fontId="1" fillId="2" borderId="16" xfId="0" applyNumberFormat="1" applyFont="1" applyFill="1" applyBorder="1" applyAlignment="1">
      <alignment horizontal="center"/>
    </xf>
    <xf numFmtId="10" fontId="1" fillId="2" borderId="58" xfId="0" applyNumberFormat="1" applyFont="1" applyFill="1" applyBorder="1" applyAlignment="1">
      <alignment horizontal="center"/>
    </xf>
    <xf numFmtId="0" fontId="6" fillId="5" borderId="31" xfId="0" applyFont="1" applyFill="1" applyBorder="1" applyAlignment="1" applyProtection="1">
      <alignment horizontal="center"/>
      <protection locked="0"/>
    </xf>
    <xf numFmtId="0" fontId="7" fillId="5" borderId="31" xfId="0" applyFont="1" applyFill="1" applyBorder="1" applyAlignment="1" applyProtection="1">
      <alignment horizontal="center" vertical="center"/>
      <protection locked="0"/>
    </xf>
    <xf numFmtId="10" fontId="14" fillId="2" borderId="63" xfId="0" applyNumberFormat="1" applyFont="1" applyFill="1" applyBorder="1" applyAlignment="1" applyProtection="1">
      <alignment horizontal="center"/>
      <protection locked="0"/>
    </xf>
    <xf numFmtId="14" fontId="15" fillId="5" borderId="44" xfId="0" applyNumberFormat="1" applyFont="1" applyFill="1" applyBorder="1" applyAlignment="1" applyProtection="1">
      <alignment horizontal="center"/>
      <protection locked="0"/>
    </xf>
    <xf numFmtId="14" fontId="9" fillId="2" borderId="54" xfId="0" applyNumberFormat="1" applyFont="1" applyFill="1" applyBorder="1" applyAlignment="1" applyProtection="1">
      <alignment horizontal="center" vertical="center"/>
      <protection locked="0"/>
    </xf>
    <xf numFmtId="0" fontId="9" fillId="2" borderId="59" xfId="0" applyFont="1" applyFill="1" applyBorder="1" applyAlignment="1">
      <alignment horizontal="left"/>
    </xf>
    <xf numFmtId="0" fontId="9" fillId="2" borderId="8" xfId="0" applyFont="1" applyFill="1" applyBorder="1" applyAlignment="1">
      <alignment horizontal="left"/>
    </xf>
    <xf numFmtId="14" fontId="9" fillId="2" borderId="55" xfId="0" applyNumberFormat="1" applyFont="1" applyFill="1" applyBorder="1" applyAlignment="1" applyProtection="1">
      <alignment horizontal="center" vertical="center"/>
      <protection locked="0"/>
    </xf>
    <xf numFmtId="10" fontId="14" fillId="2" borderId="7" xfId="0" applyNumberFormat="1" applyFont="1" applyFill="1" applyBorder="1" applyAlignment="1" applyProtection="1">
      <alignment horizontal="center"/>
      <protection locked="0"/>
    </xf>
    <xf numFmtId="10" fontId="14" fillId="2" borderId="82" xfId="0" applyNumberFormat="1" applyFont="1" applyFill="1" applyBorder="1" applyAlignment="1" applyProtection="1">
      <alignment horizontal="center"/>
      <protection locked="0"/>
    </xf>
    <xf numFmtId="10" fontId="14" fillId="2" borderId="6" xfId="0" applyNumberFormat="1" applyFont="1" applyFill="1" applyBorder="1" applyAlignment="1" applyProtection="1">
      <alignment horizontal="center"/>
      <protection locked="0"/>
    </xf>
    <xf numFmtId="14" fontId="15" fillId="5" borderId="0" xfId="0" applyNumberFormat="1" applyFont="1" applyFill="1" applyAlignment="1" applyProtection="1">
      <alignment horizontal="center" vertical="center"/>
      <protection locked="0"/>
    </xf>
    <xf numFmtId="14" fontId="56" fillId="5" borderId="0" xfId="0" applyNumberFormat="1" applyFont="1" applyFill="1" applyAlignment="1" applyProtection="1">
      <alignment horizontal="center" vertical="center"/>
      <protection locked="0"/>
    </xf>
    <xf numFmtId="0" fontId="6" fillId="5" borderId="0" xfId="0" applyFont="1" applyFill="1" applyAlignment="1" applyProtection="1">
      <alignment horizontal="center"/>
      <protection locked="0"/>
    </xf>
    <xf numFmtId="0" fontId="4" fillId="2" borderId="0" xfId="1" applyFill="1" applyBorder="1" applyAlignment="1" applyProtection="1">
      <alignment horizontal="center"/>
    </xf>
    <xf numFmtId="0" fontId="4" fillId="2" borderId="0" xfId="1" quotePrefix="1" applyFill="1" applyAlignment="1" applyProtection="1">
      <protection locked="0"/>
    </xf>
    <xf numFmtId="10" fontId="14" fillId="0" borderId="77" xfId="0" applyNumberFormat="1" applyFont="1" applyBorder="1" applyAlignment="1" applyProtection="1">
      <alignment horizontal="center"/>
      <protection hidden="1"/>
    </xf>
    <xf numFmtId="10" fontId="14" fillId="0" borderId="43" xfId="0" applyNumberFormat="1" applyFont="1" applyBorder="1" applyAlignment="1" applyProtection="1">
      <alignment horizontal="center"/>
      <protection hidden="1"/>
    </xf>
    <xf numFmtId="10" fontId="14" fillId="0" borderId="45" xfId="0" applyNumberFormat="1" applyFont="1" applyBorder="1" applyAlignment="1" applyProtection="1">
      <alignment horizontal="center"/>
      <protection hidden="1"/>
    </xf>
    <xf numFmtId="0" fontId="0" fillId="2" borderId="52" xfId="0" applyFill="1" applyBorder="1" applyAlignment="1" applyProtection="1">
      <alignment horizontal="center"/>
      <protection hidden="1"/>
    </xf>
    <xf numFmtId="0" fontId="0" fillId="2" borderId="8" xfId="0" applyFill="1" applyBorder="1" applyAlignment="1" applyProtection="1">
      <alignment horizontal="center"/>
      <protection hidden="1"/>
    </xf>
    <xf numFmtId="0" fontId="0" fillId="2" borderId="76" xfId="0" applyFill="1" applyBorder="1" applyAlignment="1" applyProtection="1">
      <alignment horizontal="center"/>
      <protection hidden="1"/>
    </xf>
    <xf numFmtId="14" fontId="15" fillId="5" borderId="64" xfId="0" applyNumberFormat="1" applyFont="1" applyFill="1" applyBorder="1" applyAlignment="1" applyProtection="1">
      <alignment horizontal="center" vertical="center"/>
      <protection locked="0"/>
    </xf>
    <xf numFmtId="10" fontId="14" fillId="0" borderId="6" xfId="0" applyNumberFormat="1" applyFont="1" applyBorder="1" applyAlignment="1" applyProtection="1">
      <alignment horizontal="center"/>
      <protection locked="0"/>
    </xf>
    <xf numFmtId="10" fontId="14" fillId="0" borderId="74" xfId="0" applyNumberFormat="1" applyFont="1" applyBorder="1" applyAlignment="1" applyProtection="1">
      <alignment horizontal="center"/>
      <protection locked="0"/>
    </xf>
    <xf numFmtId="0" fontId="6" fillId="5" borderId="44" xfId="0" applyFont="1" applyFill="1" applyBorder="1" applyProtection="1">
      <protection locked="0"/>
    </xf>
    <xf numFmtId="10" fontId="14" fillId="0" borderId="63" xfId="0" applyNumberFormat="1" applyFont="1" applyBorder="1" applyAlignment="1">
      <alignment horizontal="center"/>
    </xf>
    <xf numFmtId="10" fontId="38" fillId="2" borderId="40" xfId="0" applyNumberFormat="1" applyFont="1" applyFill="1" applyBorder="1"/>
    <xf numFmtId="10" fontId="38" fillId="2" borderId="41" xfId="0" applyNumberFormat="1" applyFont="1" applyFill="1" applyBorder="1"/>
    <xf numFmtId="10" fontId="38" fillId="2" borderId="42" xfId="0" applyNumberFormat="1" applyFont="1" applyFill="1" applyBorder="1"/>
    <xf numFmtId="10" fontId="38" fillId="2" borderId="47" xfId="0" applyNumberFormat="1" applyFont="1" applyFill="1" applyBorder="1"/>
    <xf numFmtId="10" fontId="38" fillId="2" borderId="48" xfId="0" applyNumberFormat="1" applyFont="1" applyFill="1" applyBorder="1"/>
    <xf numFmtId="0" fontId="38" fillId="2" borderId="10" xfId="0" applyFont="1" applyFill="1" applyBorder="1" applyAlignment="1">
      <alignment horizontal="center" vertical="center"/>
    </xf>
    <xf numFmtId="0" fontId="38" fillId="2" borderId="68" xfId="0" applyFont="1" applyFill="1" applyBorder="1" applyAlignment="1">
      <alignment horizontal="center" vertical="center"/>
    </xf>
    <xf numFmtId="0" fontId="39" fillId="44" borderId="78" xfId="0" applyFont="1" applyFill="1" applyBorder="1" applyAlignment="1">
      <alignment horizontal="center"/>
    </xf>
    <xf numFmtId="0" fontId="38" fillId="0" borderId="63" xfId="0" applyFont="1" applyBorder="1" applyAlignment="1" applyProtection="1">
      <alignment horizontal="center" wrapText="1"/>
      <protection locked="0"/>
    </xf>
    <xf numFmtId="0" fontId="38" fillId="0" borderId="61" xfId="0" applyFont="1" applyBorder="1" applyAlignment="1" applyProtection="1">
      <alignment horizontal="center" wrapText="1"/>
      <protection locked="0"/>
    </xf>
    <xf numFmtId="0" fontId="39" fillId="44" borderId="30" xfId="0" applyFont="1" applyFill="1" applyBorder="1" applyAlignment="1">
      <alignment horizontal="center"/>
    </xf>
    <xf numFmtId="0" fontId="39" fillId="44" borderId="79" xfId="0" applyFont="1" applyFill="1" applyBorder="1" applyAlignment="1">
      <alignment horizontal="center"/>
    </xf>
    <xf numFmtId="0" fontId="9" fillId="41" borderId="76" xfId="46" applyFont="1" applyFill="1" applyBorder="1" applyAlignment="1">
      <alignment horizontal="center"/>
    </xf>
    <xf numFmtId="9" fontId="53" fillId="2" borderId="1" xfId="2" applyFont="1" applyFill="1" applyBorder="1" applyAlignment="1">
      <alignment horizontal="center" vertical="center"/>
    </xf>
    <xf numFmtId="0" fontId="2" fillId="0" borderId="0" xfId="0" applyFont="1" applyAlignment="1" applyProtection="1">
      <alignment horizontal="center" vertical="center" wrapText="1"/>
      <protection locked="0"/>
    </xf>
    <xf numFmtId="10" fontId="10" fillId="0" borderId="0" xfId="0" applyNumberFormat="1" applyFont="1" applyAlignment="1" applyProtection="1">
      <alignment horizontal="center" vertical="center" wrapText="1"/>
      <protection locked="0"/>
    </xf>
    <xf numFmtId="10" fontId="14" fillId="2" borderId="8" xfId="0" applyNumberFormat="1" applyFont="1" applyFill="1" applyBorder="1" applyAlignment="1" applyProtection="1">
      <alignment horizontal="center"/>
      <protection locked="0"/>
    </xf>
    <xf numFmtId="10" fontId="14" fillId="2" borderId="9" xfId="0" applyNumberFormat="1" applyFont="1" applyFill="1" applyBorder="1" applyAlignment="1" applyProtection="1">
      <alignment horizontal="center"/>
      <protection locked="0"/>
    </xf>
    <xf numFmtId="0" fontId="10" fillId="0" borderId="0" xfId="0" applyFont="1" applyAlignment="1" applyProtection="1">
      <alignment horizontal="center" vertical="center" wrapText="1"/>
      <protection locked="0"/>
    </xf>
    <xf numFmtId="10" fontId="14" fillId="0" borderId="1" xfId="0" applyNumberFormat="1" applyFont="1" applyBorder="1" applyAlignment="1" applyProtection="1">
      <alignment horizontal="center"/>
      <protection hidden="1"/>
    </xf>
    <xf numFmtId="0" fontId="0" fillId="2" borderId="1" xfId="0" applyFill="1" applyBorder="1" applyAlignment="1" applyProtection="1">
      <alignment horizontal="center"/>
      <protection hidden="1"/>
    </xf>
    <xf numFmtId="10" fontId="10" fillId="53" borderId="0" xfId="0" applyNumberFormat="1" applyFont="1" applyFill="1" applyAlignment="1" applyProtection="1">
      <alignment horizontal="center" vertical="center" wrapText="1"/>
      <protection locked="0"/>
    </xf>
    <xf numFmtId="0" fontId="0" fillId="0" borderId="7" xfId="0" applyBorder="1" applyProtection="1">
      <protection locked="0"/>
    </xf>
    <xf numFmtId="0" fontId="0" fillId="0" borderId="0" xfId="0" applyProtection="1">
      <protection locked="0"/>
    </xf>
    <xf numFmtId="0" fontId="6" fillId="5" borderId="12" xfId="0" applyFont="1" applyFill="1" applyBorder="1" applyAlignment="1">
      <alignment horizontal="left"/>
    </xf>
    <xf numFmtId="0" fontId="4" fillId="2" borderId="0" xfId="1" quotePrefix="1" applyFill="1" applyAlignment="1" applyProtection="1"/>
    <xf numFmtId="0" fontId="39" fillId="42" borderId="81" xfId="0" applyFont="1" applyFill="1" applyBorder="1" applyAlignment="1">
      <alignment horizontal="center" vertical="center"/>
    </xf>
    <xf numFmtId="0" fontId="39" fillId="43" borderId="16" xfId="0" applyFont="1" applyFill="1" applyBorder="1" applyAlignment="1">
      <alignment horizontal="center" vertical="center"/>
    </xf>
    <xf numFmtId="0" fontId="39" fillId="43" borderId="57" xfId="0" applyFont="1" applyFill="1" applyBorder="1" applyAlignment="1">
      <alignment horizontal="center" vertical="center"/>
    </xf>
    <xf numFmtId="0" fontId="39" fillId="43" borderId="58" xfId="0" applyFont="1" applyFill="1" applyBorder="1" applyAlignment="1">
      <alignment horizontal="center" vertical="center"/>
    </xf>
    <xf numFmtId="10" fontId="38" fillId="0" borderId="51" xfId="0" applyNumberFormat="1" applyFont="1" applyBorder="1" applyAlignment="1">
      <alignment horizontal="center"/>
    </xf>
    <xf numFmtId="0" fontId="38" fillId="2" borderId="5" xfId="0" applyFont="1" applyFill="1" applyBorder="1" applyAlignment="1">
      <alignment horizontal="center" vertical="center"/>
    </xf>
    <xf numFmtId="0" fontId="38" fillId="2" borderId="39" xfId="0" applyFont="1" applyFill="1" applyBorder="1" applyAlignment="1">
      <alignment horizontal="center" vertical="center"/>
    </xf>
    <xf numFmtId="10" fontId="38" fillId="0" borderId="59" xfId="0" applyNumberFormat="1" applyFont="1" applyBorder="1" applyAlignment="1">
      <alignment horizontal="center"/>
    </xf>
    <xf numFmtId="14" fontId="14" fillId="2" borderId="6" xfId="0" applyNumberFormat="1" applyFont="1" applyFill="1" applyBorder="1" applyAlignment="1" applyProtection="1">
      <alignment horizontal="center"/>
      <protection locked="0"/>
    </xf>
    <xf numFmtId="10" fontId="0" fillId="2" borderId="0" xfId="0" applyNumberFormat="1" applyFill="1" applyProtection="1">
      <protection locked="0"/>
    </xf>
    <xf numFmtId="0" fontId="4" fillId="0" borderId="0" xfId="1" applyBorder="1" applyAlignment="1" applyProtection="1">
      <protection locked="0"/>
    </xf>
    <xf numFmtId="0" fontId="4" fillId="0" borderId="0" xfId="1" applyBorder="1" applyAlignment="1" applyProtection="1">
      <alignment horizontal="left" vertical="center"/>
      <protection locked="0"/>
    </xf>
    <xf numFmtId="0" fontId="36" fillId="0" borderId="0" xfId="0" applyFont="1" applyAlignment="1" applyProtection="1">
      <alignment vertical="center"/>
      <protection locked="0"/>
    </xf>
    <xf numFmtId="10" fontId="14" fillId="2" borderId="1" xfId="0" applyNumberFormat="1" applyFont="1" applyFill="1" applyBorder="1" applyAlignment="1">
      <alignment horizontal="center"/>
    </xf>
    <xf numFmtId="10" fontId="37" fillId="2" borderId="1" xfId="0" applyNumberFormat="1" applyFont="1" applyFill="1" applyBorder="1" applyAlignment="1">
      <alignment horizontal="center"/>
    </xf>
    <xf numFmtId="10" fontId="14" fillId="0" borderId="1" xfId="0" applyNumberFormat="1" applyFont="1" applyBorder="1" applyAlignment="1">
      <alignment horizontal="center"/>
    </xf>
    <xf numFmtId="0" fontId="54" fillId="0" borderId="0" xfId="0" applyFont="1" applyAlignment="1" applyProtection="1">
      <alignment horizontal="left" vertical="center"/>
      <protection locked="0"/>
    </xf>
    <xf numFmtId="0" fontId="6" fillId="2" borderId="0" xfId="0" applyFont="1" applyFill="1"/>
    <xf numFmtId="0" fontId="1" fillId="2" borderId="0" xfId="0" applyFont="1" applyFill="1" applyAlignment="1">
      <alignment horizontal="center"/>
    </xf>
    <xf numFmtId="164" fontId="1" fillId="2" borderId="0" xfId="0" applyNumberFormat="1" applyFont="1" applyFill="1" applyAlignment="1">
      <alignment horizontal="center" vertical="center" textRotation="45"/>
    </xf>
    <xf numFmtId="165" fontId="1" fillId="44" borderId="2" xfId="0" applyNumberFormat="1" applyFont="1" applyFill="1" applyBorder="1" applyAlignment="1">
      <alignment horizontal="center" vertical="center" wrapText="1"/>
    </xf>
    <xf numFmtId="165" fontId="1" fillId="44" borderId="39" xfId="0" applyNumberFormat="1" applyFont="1" applyFill="1" applyBorder="1" applyAlignment="1">
      <alignment horizontal="center" vertical="center" wrapText="1"/>
    </xf>
    <xf numFmtId="165" fontId="1" fillId="44" borderId="40" xfId="0" applyNumberFormat="1" applyFont="1" applyFill="1" applyBorder="1" applyAlignment="1">
      <alignment horizontal="center" vertical="center" wrapText="1"/>
    </xf>
    <xf numFmtId="165" fontId="1" fillId="44" borderId="41" xfId="0" applyNumberFormat="1" applyFont="1" applyFill="1" applyBorder="1" applyAlignment="1">
      <alignment horizontal="center" vertical="center" wrapText="1"/>
    </xf>
    <xf numFmtId="165" fontId="1" fillId="44" borderId="42" xfId="0" applyNumberFormat="1" applyFont="1" applyFill="1" applyBorder="1" applyAlignment="1">
      <alignment horizontal="center" vertical="center" wrapText="1"/>
    </xf>
    <xf numFmtId="165" fontId="1" fillId="41" borderId="2" xfId="0" applyNumberFormat="1" applyFont="1" applyFill="1" applyBorder="1" applyAlignment="1">
      <alignment horizontal="center" vertical="center" wrapText="1"/>
    </xf>
    <xf numFmtId="165" fontId="1" fillId="41" borderId="39" xfId="0" applyNumberFormat="1" applyFont="1" applyFill="1" applyBorder="1" applyAlignment="1">
      <alignment horizontal="center" vertical="center" wrapText="1"/>
    </xf>
    <xf numFmtId="165" fontId="1" fillId="41" borderId="40" xfId="0" applyNumberFormat="1" applyFont="1" applyFill="1" applyBorder="1" applyAlignment="1">
      <alignment horizontal="center" vertical="center" wrapText="1"/>
    </xf>
    <xf numFmtId="165" fontId="1" fillId="41" borderId="41" xfId="0" applyNumberFormat="1" applyFont="1" applyFill="1" applyBorder="1" applyAlignment="1">
      <alignment horizontal="center" vertical="center" wrapText="1"/>
    </xf>
    <xf numFmtId="165" fontId="1" fillId="41" borderId="42" xfId="0" applyNumberFormat="1" applyFont="1" applyFill="1" applyBorder="1" applyAlignment="1">
      <alignment horizontal="center" vertical="center" wrapText="1"/>
    </xf>
    <xf numFmtId="165" fontId="1" fillId="41" borderId="38" xfId="0" applyNumberFormat="1" applyFont="1" applyFill="1" applyBorder="1" applyAlignment="1">
      <alignment horizontal="center" vertical="center" wrapText="1"/>
    </xf>
    <xf numFmtId="165" fontId="1" fillId="44" borderId="38" xfId="0" applyNumberFormat="1" applyFont="1" applyFill="1" applyBorder="1" applyAlignment="1">
      <alignment horizontal="center" vertical="center" wrapText="1"/>
    </xf>
    <xf numFmtId="0" fontId="0" fillId="0" borderId="29" xfId="0" applyBorder="1" applyProtection="1">
      <protection locked="0"/>
    </xf>
    <xf numFmtId="0" fontId="57" fillId="0" borderId="0" xfId="0" applyFont="1" applyAlignment="1" applyProtection="1">
      <alignment wrapText="1"/>
      <protection locked="0"/>
    </xf>
    <xf numFmtId="0" fontId="40" fillId="5" borderId="32" xfId="0" applyFont="1" applyFill="1" applyBorder="1" applyAlignment="1" applyProtection="1">
      <alignment horizontal="center" vertical="center" wrapText="1"/>
      <protection locked="0"/>
    </xf>
    <xf numFmtId="0" fontId="40" fillId="5" borderId="0" xfId="0" applyFont="1" applyFill="1" applyAlignment="1" applyProtection="1">
      <alignment horizontal="center" vertical="center" wrapText="1"/>
      <protection locked="0"/>
    </xf>
    <xf numFmtId="0" fontId="0" fillId="0" borderId="6" xfId="0" applyBorder="1" applyProtection="1">
      <protection locked="0"/>
    </xf>
    <xf numFmtId="0" fontId="0" fillId="2" borderId="40" xfId="0" applyFill="1" applyBorder="1"/>
    <xf numFmtId="0" fontId="0" fillId="2" borderId="71" xfId="0" applyFill="1" applyBorder="1"/>
    <xf numFmtId="10" fontId="14" fillId="2" borderId="53" xfId="0" applyNumberFormat="1" applyFont="1" applyFill="1" applyBorder="1" applyAlignment="1">
      <alignment horizontal="center"/>
    </xf>
    <xf numFmtId="0" fontId="0" fillId="2" borderId="47" xfId="0" applyFill="1" applyBorder="1"/>
    <xf numFmtId="10" fontId="14" fillId="2" borderId="69" xfId="0" applyNumberFormat="1" applyFont="1" applyFill="1" applyBorder="1" applyAlignment="1">
      <alignment horizontal="center"/>
    </xf>
    <xf numFmtId="0" fontId="0" fillId="2" borderId="8" xfId="0" applyFill="1" applyBorder="1"/>
    <xf numFmtId="10" fontId="14" fillId="2" borderId="61" xfId="0" applyNumberFormat="1" applyFont="1" applyFill="1" applyBorder="1" applyAlignment="1">
      <alignment horizontal="center"/>
    </xf>
    <xf numFmtId="10" fontId="14" fillId="2" borderId="77" xfId="0" applyNumberFormat="1" applyFont="1" applyFill="1" applyBorder="1" applyAlignment="1">
      <alignment horizontal="center"/>
    </xf>
    <xf numFmtId="10" fontId="14" fillId="2" borderId="43" xfId="0" applyNumberFormat="1" applyFont="1" applyFill="1" applyBorder="1" applyAlignment="1">
      <alignment horizontal="center"/>
    </xf>
    <xf numFmtId="10" fontId="14" fillId="2" borderId="45" xfId="0" applyNumberFormat="1" applyFont="1" applyFill="1" applyBorder="1" applyAlignment="1">
      <alignment horizontal="center"/>
    </xf>
    <xf numFmtId="14" fontId="0" fillId="2" borderId="31" xfId="0" applyNumberFormat="1" applyFill="1" applyBorder="1" applyAlignment="1">
      <alignment horizontal="center" vertical="center"/>
    </xf>
    <xf numFmtId="0" fontId="0" fillId="2" borderId="7" xfId="0" applyFill="1" applyBorder="1" applyProtection="1">
      <protection locked="0"/>
    </xf>
    <xf numFmtId="0" fontId="58" fillId="53" borderId="0" xfId="0" applyFont="1" applyFill="1" applyAlignment="1" applyProtection="1">
      <alignment horizontal="center"/>
      <protection locked="0"/>
    </xf>
    <xf numFmtId="0" fontId="60" fillId="55" borderId="31" xfId="0" applyFont="1" applyFill="1" applyBorder="1" applyAlignment="1">
      <alignment horizontal="center" vertical="center" wrapText="1"/>
    </xf>
    <xf numFmtId="1" fontId="38" fillId="2" borderId="51" xfId="0" applyNumberFormat="1" applyFont="1" applyFill="1" applyBorder="1"/>
    <xf numFmtId="0" fontId="55" fillId="2" borderId="0" xfId="0" applyFont="1" applyFill="1" applyAlignment="1">
      <alignment horizontal="center" vertical="center"/>
    </xf>
    <xf numFmtId="0" fontId="6" fillId="53" borderId="33" xfId="0" applyFont="1" applyFill="1" applyBorder="1" applyAlignment="1" applyProtection="1">
      <alignment horizontal="center" vertical="center" wrapText="1"/>
      <protection locked="0"/>
    </xf>
    <xf numFmtId="0" fontId="6" fillId="53" borderId="31" xfId="0" applyFont="1" applyFill="1" applyBorder="1" applyAlignment="1" applyProtection="1">
      <alignment horizontal="center" vertical="center" wrapText="1"/>
      <protection locked="0"/>
    </xf>
    <xf numFmtId="0" fontId="6" fillId="53" borderId="0" xfId="0" applyFont="1" applyFill="1" applyAlignment="1" applyProtection="1">
      <alignment horizontal="center" vertical="center" wrapText="1"/>
      <protection locked="0"/>
    </xf>
    <xf numFmtId="0" fontId="6" fillId="53" borderId="64" xfId="0" applyFont="1" applyFill="1" applyBorder="1" applyAlignment="1" applyProtection="1">
      <alignment horizontal="center" vertical="center" wrapText="1"/>
      <protection locked="0"/>
    </xf>
    <xf numFmtId="0" fontId="6" fillId="53" borderId="0" xfId="0" applyFont="1" applyFill="1" applyAlignment="1" applyProtection="1">
      <alignment horizontal="center" wrapText="1"/>
      <protection locked="0"/>
    </xf>
    <xf numFmtId="14" fontId="15" fillId="53" borderId="36" xfId="0" applyNumberFormat="1" applyFont="1" applyFill="1" applyBorder="1" applyAlignment="1" applyProtection="1">
      <alignment horizontal="center"/>
      <protection locked="0"/>
    </xf>
    <xf numFmtId="14" fontId="15" fillId="53" borderId="0" xfId="0" applyNumberFormat="1" applyFont="1" applyFill="1" applyAlignment="1" applyProtection="1">
      <alignment horizontal="center"/>
      <protection locked="0"/>
    </xf>
    <xf numFmtId="0" fontId="0" fillId="0" borderId="7" xfId="0" applyBorder="1" applyAlignment="1">
      <alignment horizontal="left"/>
    </xf>
    <xf numFmtId="0" fontId="0" fillId="0" borderId="6" xfId="0" applyBorder="1"/>
    <xf numFmtId="0" fontId="62" fillId="0" borderId="83" xfId="0" applyFont="1" applyBorder="1" applyAlignment="1">
      <alignment horizontal="left"/>
    </xf>
    <xf numFmtId="0" fontId="63" fillId="0" borderId="83" xfId="0" applyFont="1" applyBorder="1" applyAlignment="1">
      <alignment horizontal="left"/>
    </xf>
    <xf numFmtId="0" fontId="0" fillId="0" borderId="7" xfId="0" applyBorder="1"/>
    <xf numFmtId="0" fontId="62" fillId="0" borderId="84" xfId="0" applyFont="1" applyBorder="1" applyAlignment="1">
      <alignment horizontal="left"/>
    </xf>
    <xf numFmtId="0" fontId="51" fillId="0" borderId="7" xfId="0" applyFont="1" applyBorder="1"/>
    <xf numFmtId="0" fontId="4" fillId="0" borderId="83" xfId="1" applyBorder="1" applyAlignment="1" applyProtection="1"/>
    <xf numFmtId="0" fontId="63" fillId="0" borderId="85" xfId="0" applyFont="1" applyBorder="1" applyAlignment="1">
      <alignment horizontal="center"/>
    </xf>
    <xf numFmtId="0" fontId="9" fillId="0" borderId="0" xfId="0" applyFont="1" applyAlignment="1">
      <alignment vertical="center"/>
    </xf>
    <xf numFmtId="0" fontId="65" fillId="0" borderId="1" xfId="0" applyFont="1" applyBorder="1" applyAlignment="1">
      <alignment wrapText="1"/>
    </xf>
    <xf numFmtId="0" fontId="65" fillId="0" borderId="2" xfId="0" applyFont="1" applyBorder="1" applyAlignment="1">
      <alignment wrapText="1"/>
    </xf>
    <xf numFmtId="0" fontId="4" fillId="0" borderId="84" xfId="1" applyBorder="1" applyAlignment="1" applyProtection="1"/>
    <xf numFmtId="0" fontId="4" fillId="0" borderId="1" xfId="1" applyBorder="1" applyAlignment="1" applyProtection="1"/>
    <xf numFmtId="0" fontId="9" fillId="41" borderId="68" xfId="46" applyFont="1" applyFill="1" applyBorder="1" applyAlignment="1">
      <alignment horizontal="center"/>
    </xf>
    <xf numFmtId="164" fontId="18" fillId="7" borderId="33" xfId="1" applyNumberFormat="1" applyFont="1" applyFill="1" applyBorder="1" applyAlignment="1" applyProtection="1">
      <alignment vertical="center"/>
      <protection locked="0"/>
    </xf>
    <xf numFmtId="0" fontId="0" fillId="0" borderId="1" xfId="0" applyBorder="1" applyAlignment="1" applyProtection="1">
      <alignment horizontal="center"/>
      <protection locked="0"/>
    </xf>
    <xf numFmtId="0" fontId="0" fillId="0" borderId="1" xfId="0" applyBorder="1" applyAlignment="1" applyProtection="1">
      <alignment horizontal="center" vertical="center"/>
      <protection locked="0"/>
    </xf>
    <xf numFmtId="0" fontId="9" fillId="0" borderId="1" xfId="0" applyFont="1" applyBorder="1" applyAlignment="1">
      <alignment vertical="center"/>
    </xf>
    <xf numFmtId="0" fontId="0" fillId="48" borderId="1" xfId="0" applyFill="1" applyBorder="1" applyAlignment="1" applyProtection="1">
      <alignment horizontal="center" vertical="center"/>
      <protection locked="0"/>
    </xf>
    <xf numFmtId="0" fontId="0" fillId="48" borderId="1" xfId="0" applyFill="1" applyBorder="1" applyAlignment="1" applyProtection="1">
      <alignment horizontal="center"/>
      <protection locked="0"/>
    </xf>
    <xf numFmtId="9" fontId="0" fillId="0" borderId="1" xfId="0" applyNumberFormat="1" applyBorder="1" applyAlignment="1" applyProtection="1">
      <alignment horizontal="center"/>
      <protection locked="0"/>
    </xf>
    <xf numFmtId="9" fontId="0" fillId="0" borderId="1" xfId="0" applyNumberFormat="1" applyBorder="1" applyAlignment="1" applyProtection="1">
      <alignment horizontal="center" vertical="center"/>
      <protection locked="0"/>
    </xf>
    <xf numFmtId="0" fontId="10" fillId="5" borderId="9" xfId="0" applyFont="1" applyFill="1" applyBorder="1" applyProtection="1">
      <protection locked="0"/>
    </xf>
    <xf numFmtId="165" fontId="1" fillId="44" borderId="13" xfId="0" applyNumberFormat="1" applyFont="1" applyFill="1" applyBorder="1" applyAlignment="1">
      <alignment horizontal="center" vertical="center" wrapText="1"/>
    </xf>
    <xf numFmtId="165" fontId="1" fillId="44" borderId="63" xfId="0" applyNumberFormat="1" applyFont="1" applyFill="1" applyBorder="1" applyAlignment="1">
      <alignment horizontal="center" vertical="center" wrapText="1"/>
    </xf>
    <xf numFmtId="165" fontId="1" fillId="44" borderId="86" xfId="0" applyNumberFormat="1" applyFont="1" applyFill="1" applyBorder="1" applyAlignment="1">
      <alignment horizontal="center" vertical="center" wrapText="1"/>
    </xf>
    <xf numFmtId="165" fontId="1" fillId="41" borderId="86" xfId="0" applyNumberFormat="1" applyFont="1" applyFill="1" applyBorder="1" applyAlignment="1">
      <alignment horizontal="center" vertical="center" wrapText="1"/>
    </xf>
    <xf numFmtId="0" fontId="8" fillId="5" borderId="11" xfId="0" applyFont="1" applyFill="1" applyBorder="1" applyAlignment="1" applyProtection="1">
      <alignment vertical="center"/>
      <protection locked="0"/>
    </xf>
    <xf numFmtId="0" fontId="8" fillId="5" borderId="0" xfId="0" applyFont="1" applyFill="1" applyAlignment="1" applyProtection="1">
      <alignment vertical="center"/>
      <protection locked="0"/>
    </xf>
    <xf numFmtId="16" fontId="0" fillId="2" borderId="7" xfId="0" applyNumberFormat="1" applyFill="1" applyBorder="1" applyAlignment="1" applyProtection="1">
      <alignment horizontal="center" vertical="center"/>
      <protection locked="0"/>
    </xf>
    <xf numFmtId="0" fontId="5" fillId="0" borderId="1" xfId="0" applyFont="1" applyBorder="1" applyAlignment="1">
      <alignment horizontal="center"/>
    </xf>
    <xf numFmtId="0" fontId="5" fillId="0" borderId="1" xfId="0" applyFont="1" applyBorder="1" applyAlignment="1">
      <alignment horizontal="center" vertical="center"/>
    </xf>
    <xf numFmtId="0" fontId="68" fillId="56" borderId="0" xfId="0" applyFont="1" applyFill="1" applyAlignment="1">
      <alignment horizontal="center" vertical="top"/>
    </xf>
    <xf numFmtId="164" fontId="4" fillId="2" borderId="0" xfId="1" applyNumberFormat="1" applyFill="1" applyBorder="1" applyAlignment="1" applyProtection="1">
      <alignment horizontal="center" vertical="center"/>
      <protection locked="0"/>
    </xf>
    <xf numFmtId="164" fontId="1" fillId="2" borderId="0" xfId="0" applyNumberFormat="1" applyFont="1" applyFill="1" applyAlignment="1">
      <alignment vertical="center" textRotation="45"/>
    </xf>
    <xf numFmtId="167" fontId="1" fillId="2" borderId="0" xfId="0" applyNumberFormat="1" applyFont="1" applyFill="1" applyAlignment="1" applyProtection="1">
      <alignment horizontal="center" vertical="center" textRotation="45"/>
      <protection locked="0"/>
    </xf>
    <xf numFmtId="167" fontId="1" fillId="2" borderId="83" xfId="0" applyNumberFormat="1" applyFont="1" applyFill="1" applyBorder="1" applyAlignment="1" applyProtection="1">
      <alignment horizontal="center" vertical="center"/>
      <protection locked="0"/>
    </xf>
    <xf numFmtId="0" fontId="2" fillId="5" borderId="83" xfId="0" applyFont="1" applyFill="1" applyBorder="1" applyAlignment="1" applyProtection="1">
      <alignment horizontal="center" vertical="center"/>
      <protection locked="0"/>
    </xf>
    <xf numFmtId="0" fontId="0" fillId="2" borderId="83" xfId="0" applyFill="1" applyBorder="1" applyProtection="1">
      <protection locked="0"/>
    </xf>
    <xf numFmtId="0" fontId="0" fillId="2" borderId="83" xfId="0" applyFill="1" applyBorder="1" applyAlignment="1" applyProtection="1">
      <alignment horizontal="center"/>
      <protection locked="0"/>
    </xf>
    <xf numFmtId="0" fontId="7" fillId="5" borderId="0" xfId="0" applyFont="1" applyFill="1" applyAlignment="1" applyProtection="1">
      <alignment horizontal="center" vertical="center"/>
      <protection locked="0"/>
    </xf>
    <xf numFmtId="164" fontId="18" fillId="7" borderId="0" xfId="1" applyNumberFormat="1" applyFont="1" applyFill="1" applyBorder="1" applyAlignment="1" applyProtection="1">
      <alignment vertical="center"/>
      <protection locked="0"/>
    </xf>
    <xf numFmtId="0" fontId="0" fillId="7" borderId="85" xfId="0" applyFill="1" applyBorder="1" applyAlignment="1">
      <alignment horizontal="center" vertical="center"/>
    </xf>
    <xf numFmtId="167" fontId="1" fillId="0" borderId="83" xfId="0" applyNumberFormat="1" applyFont="1" applyBorder="1" applyAlignment="1" applyProtection="1">
      <alignment horizontal="center" vertical="center"/>
      <protection locked="0"/>
    </xf>
    <xf numFmtId="167" fontId="1" fillId="2" borderId="87" xfId="0" applyNumberFormat="1" applyFont="1" applyFill="1" applyBorder="1" applyAlignment="1" applyProtection="1">
      <alignment horizontal="center" vertical="center"/>
      <protection locked="0"/>
    </xf>
    <xf numFmtId="0" fontId="2" fillId="5" borderId="87" xfId="0" applyFont="1" applyFill="1" applyBorder="1" applyAlignment="1" applyProtection="1">
      <alignment horizontal="center" vertical="center"/>
      <protection locked="0"/>
    </xf>
    <xf numFmtId="0" fontId="0" fillId="2" borderId="87" xfId="0" applyFill="1" applyBorder="1" applyAlignment="1" applyProtection="1">
      <alignment horizontal="center"/>
      <protection locked="0"/>
    </xf>
    <xf numFmtId="0" fontId="2" fillId="58" borderId="85" xfId="0" applyFont="1" applyFill="1" applyBorder="1" applyAlignment="1">
      <alignment horizontal="center" vertical="center"/>
    </xf>
    <xf numFmtId="0" fontId="0" fillId="7" borderId="83" xfId="0" applyFill="1" applyBorder="1" applyAlignment="1">
      <alignment horizontal="center" vertical="center"/>
    </xf>
    <xf numFmtId="0" fontId="2" fillId="5" borderId="83" xfId="0" applyFont="1" applyFill="1" applyBorder="1" applyAlignment="1">
      <alignment horizontal="center" vertical="center" wrapText="1"/>
    </xf>
    <xf numFmtId="0" fontId="0" fillId="2" borderId="83" xfId="0" applyFill="1" applyBorder="1" applyAlignment="1">
      <alignment horizontal="center" vertical="center"/>
    </xf>
    <xf numFmtId="0" fontId="0" fillId="2" borderId="83" xfId="0" applyFill="1" applyBorder="1"/>
    <xf numFmtId="0" fontId="0" fillId="2" borderId="83" xfId="0" applyFill="1" applyBorder="1" applyAlignment="1">
      <alignment wrapText="1"/>
    </xf>
    <xf numFmtId="0" fontId="67" fillId="61" borderId="83" xfId="0" applyFont="1" applyFill="1" applyBorder="1" applyAlignment="1">
      <alignment horizontal="center" vertical="center"/>
    </xf>
    <xf numFmtId="0" fontId="74" fillId="2" borderId="0" xfId="0" applyFont="1" applyFill="1" applyAlignment="1" applyProtection="1">
      <alignment horizontal="centerContinuous"/>
      <protection locked="0"/>
    </xf>
    <xf numFmtId="0" fontId="75" fillId="2" borderId="0" xfId="1" quotePrefix="1" applyFont="1" applyFill="1" applyAlignment="1" applyProtection="1">
      <protection locked="0"/>
    </xf>
    <xf numFmtId="0" fontId="76" fillId="2" borderId="0" xfId="0" applyFont="1" applyFill="1" applyProtection="1">
      <protection locked="0"/>
    </xf>
    <xf numFmtId="0" fontId="76" fillId="2" borderId="0" xfId="0" applyFont="1" applyFill="1" applyAlignment="1" applyProtection="1">
      <alignment horizontal="centerContinuous"/>
      <protection locked="0"/>
    </xf>
    <xf numFmtId="0" fontId="77" fillId="5" borderId="33" xfId="0" applyFont="1" applyFill="1" applyBorder="1" applyAlignment="1" applyProtection="1">
      <alignment horizontal="center"/>
      <protection locked="0"/>
    </xf>
    <xf numFmtId="0" fontId="77" fillId="5" borderId="31" xfId="0" applyFont="1" applyFill="1" applyBorder="1" applyAlignment="1" applyProtection="1">
      <alignment horizontal="center"/>
      <protection locked="0"/>
    </xf>
    <xf numFmtId="0" fontId="77" fillId="5" borderId="32" xfId="0" applyFont="1" applyFill="1" applyBorder="1" applyAlignment="1" applyProtection="1">
      <alignment horizontal="center"/>
      <protection locked="0"/>
    </xf>
    <xf numFmtId="0" fontId="76" fillId="2" borderId="0" xfId="0" applyFont="1" applyFill="1" applyAlignment="1" applyProtection="1">
      <alignment horizontal="right"/>
      <protection locked="0"/>
    </xf>
    <xf numFmtId="0" fontId="76" fillId="6" borderId="7" xfId="0" applyFont="1" applyFill="1" applyBorder="1" applyProtection="1">
      <protection locked="0"/>
    </xf>
    <xf numFmtId="0" fontId="76" fillId="0" borderId="0" xfId="0" applyFont="1" applyProtection="1">
      <protection locked="0"/>
    </xf>
    <xf numFmtId="10" fontId="76" fillId="0" borderId="0" xfId="0" applyNumberFormat="1" applyFont="1"/>
    <xf numFmtId="10" fontId="76" fillId="2" borderId="7" xfId="0" applyNumberFormat="1" applyFont="1" applyFill="1" applyBorder="1" applyAlignment="1">
      <alignment horizontal="center"/>
    </xf>
    <xf numFmtId="10" fontId="76" fillId="2" borderId="69" xfId="0" applyNumberFormat="1" applyFont="1" applyFill="1" applyBorder="1" applyAlignment="1">
      <alignment horizontal="center"/>
    </xf>
    <xf numFmtId="9" fontId="76" fillId="2" borderId="7" xfId="0" applyNumberFormat="1" applyFont="1" applyFill="1" applyBorder="1" applyAlignment="1">
      <alignment horizontal="center"/>
    </xf>
    <xf numFmtId="9" fontId="76" fillId="2" borderId="69" xfId="0" applyNumberFormat="1" applyFont="1" applyFill="1" applyBorder="1" applyAlignment="1">
      <alignment horizontal="center"/>
    </xf>
    <xf numFmtId="14" fontId="76" fillId="2" borderId="0" xfId="0" applyNumberFormat="1" applyFont="1" applyFill="1" applyAlignment="1" applyProtection="1">
      <alignment horizontal="center"/>
      <protection locked="0"/>
    </xf>
    <xf numFmtId="0" fontId="76" fillId="45" borderId="59" xfId="0" applyFont="1" applyFill="1" applyBorder="1" applyAlignment="1" applyProtection="1">
      <alignment horizontal="right"/>
      <protection locked="0"/>
    </xf>
    <xf numFmtId="0" fontId="76" fillId="45" borderId="6" xfId="0" applyFont="1" applyFill="1" applyBorder="1" applyAlignment="1" applyProtection="1">
      <alignment horizontal="right"/>
      <protection locked="0"/>
    </xf>
    <xf numFmtId="10" fontId="76" fillId="45" borderId="7" xfId="0" applyNumberFormat="1" applyFont="1" applyFill="1" applyBorder="1" applyAlignment="1">
      <alignment horizontal="center"/>
    </xf>
    <xf numFmtId="10" fontId="76" fillId="45" borderId="69" xfId="0" applyNumberFormat="1" applyFont="1" applyFill="1" applyBorder="1" applyAlignment="1">
      <alignment horizontal="center"/>
    </xf>
    <xf numFmtId="0" fontId="85" fillId="2" borderId="0" xfId="0" applyFont="1" applyFill="1"/>
    <xf numFmtId="15" fontId="76" fillId="2" borderId="83" xfId="0" applyNumberFormat="1" applyFont="1" applyFill="1" applyBorder="1" applyAlignment="1" applyProtection="1">
      <alignment horizontal="center"/>
      <protection locked="0"/>
    </xf>
    <xf numFmtId="15" fontId="76" fillId="0" borderId="83" xfId="0" applyNumberFormat="1" applyFont="1" applyBorder="1" applyAlignment="1">
      <alignment horizontal="center"/>
    </xf>
    <xf numFmtId="14" fontId="76" fillId="2" borderId="83" xfId="0" applyNumberFormat="1" applyFont="1" applyFill="1" applyBorder="1" applyAlignment="1" applyProtection="1">
      <alignment horizontal="center"/>
      <protection locked="0"/>
    </xf>
    <xf numFmtId="0" fontId="86" fillId="2" borderId="0" xfId="0" applyFont="1" applyFill="1" applyProtection="1">
      <protection locked="0"/>
    </xf>
    <xf numFmtId="0" fontId="87" fillId="2" borderId="0" xfId="1" quotePrefix="1" applyFont="1" applyFill="1" applyAlignment="1" applyProtection="1">
      <protection locked="0"/>
    </xf>
    <xf numFmtId="0" fontId="86" fillId="2" borderId="0" xfId="0" applyFont="1" applyFill="1" applyAlignment="1" applyProtection="1">
      <alignment horizontal="center" vertical="center"/>
      <protection locked="0"/>
    </xf>
    <xf numFmtId="0" fontId="86" fillId="2" borderId="0" xfId="0" applyFont="1" applyFill="1" applyAlignment="1" applyProtection="1">
      <alignment horizontal="center" vertical="center" wrapText="1"/>
      <protection locked="0"/>
    </xf>
    <xf numFmtId="0" fontId="82" fillId="5" borderId="33" xfId="0" applyFont="1" applyFill="1" applyBorder="1" applyProtection="1">
      <protection locked="0"/>
    </xf>
    <xf numFmtId="0" fontId="82" fillId="5" borderId="70" xfId="0" applyFont="1" applyFill="1" applyBorder="1" applyAlignment="1" applyProtection="1">
      <alignment horizontal="center" wrapText="1"/>
      <protection locked="0"/>
    </xf>
    <xf numFmtId="0" fontId="82" fillId="5" borderId="71" xfId="0" applyFont="1" applyFill="1" applyBorder="1" applyAlignment="1" applyProtection="1">
      <alignment horizontal="center" wrapText="1"/>
      <protection locked="0"/>
    </xf>
    <xf numFmtId="0" fontId="82" fillId="0" borderId="0" xfId="0" applyFont="1" applyProtection="1">
      <protection locked="0"/>
    </xf>
    <xf numFmtId="0" fontId="86" fillId="2" borderId="51" xfId="0" applyFont="1" applyFill="1" applyBorder="1"/>
    <xf numFmtId="0" fontId="86" fillId="2" borderId="1" xfId="0" applyFont="1" applyFill="1" applyBorder="1"/>
    <xf numFmtId="9" fontId="86" fillId="2" borderId="0" xfId="0" applyNumberFormat="1" applyFont="1" applyFill="1" applyProtection="1">
      <protection locked="0"/>
    </xf>
    <xf numFmtId="1" fontId="86" fillId="2" borderId="47" xfId="0" applyNumberFormat="1" applyFont="1" applyFill="1" applyBorder="1"/>
    <xf numFmtId="0" fontId="86" fillId="2" borderId="59" xfId="0" applyFont="1" applyFill="1" applyBorder="1"/>
    <xf numFmtId="0" fontId="86" fillId="2" borderId="0" xfId="0" applyFont="1" applyFill="1"/>
    <xf numFmtId="0" fontId="86" fillId="2" borderId="54" xfId="0" applyFont="1" applyFill="1" applyBorder="1"/>
    <xf numFmtId="9" fontId="88" fillId="2" borderId="27" xfId="0" applyNumberFormat="1" applyFont="1" applyFill="1" applyBorder="1" applyAlignment="1">
      <alignment horizontal="center" vertical="center"/>
    </xf>
    <xf numFmtId="9" fontId="86" fillId="0" borderId="0" xfId="2" applyFont="1" applyFill="1" applyBorder="1" applyAlignment="1" applyProtection="1">
      <alignment horizontal="center" vertical="center"/>
    </xf>
    <xf numFmtId="9" fontId="86" fillId="2" borderId="0" xfId="2" applyFont="1" applyFill="1" applyProtection="1">
      <protection locked="0"/>
    </xf>
    <xf numFmtId="0" fontId="82" fillId="5" borderId="0" xfId="0" applyFont="1" applyFill="1" applyProtection="1">
      <protection locked="0"/>
    </xf>
    <xf numFmtId="0" fontId="86" fillId="2" borderId="7" xfId="0" applyFont="1" applyFill="1" applyBorder="1" applyProtection="1">
      <protection locked="0"/>
    </xf>
    <xf numFmtId="0" fontId="86" fillId="2" borderId="1" xfId="0" applyFont="1" applyFill="1" applyBorder="1" applyProtection="1">
      <protection locked="0"/>
    </xf>
    <xf numFmtId="0" fontId="82" fillId="0" borderId="0" xfId="0" applyFont="1" applyAlignment="1" applyProtection="1">
      <alignment vertical="center"/>
      <protection locked="0"/>
    </xf>
    <xf numFmtId="0" fontId="86" fillId="2" borderId="0" xfId="0" applyFont="1" applyFill="1" applyAlignment="1" applyProtection="1">
      <alignment horizontal="center"/>
      <protection locked="0"/>
    </xf>
    <xf numFmtId="0" fontId="82" fillId="5" borderId="31" xfId="0" applyFont="1" applyFill="1" applyBorder="1" applyAlignment="1" applyProtection="1">
      <alignment horizontal="center" vertical="center"/>
      <protection locked="0"/>
    </xf>
    <xf numFmtId="0" fontId="82" fillId="5" borderId="83" xfId="0" applyFont="1" applyFill="1" applyBorder="1" applyAlignment="1" applyProtection="1">
      <alignment horizontal="center" wrapText="1"/>
      <protection locked="0"/>
    </xf>
    <xf numFmtId="9" fontId="86" fillId="2" borderId="83" xfId="0" applyNumberFormat="1" applyFont="1" applyFill="1" applyBorder="1" applyProtection="1">
      <protection locked="0"/>
    </xf>
    <xf numFmtId="9" fontId="86" fillId="54" borderId="83" xfId="0" applyNumberFormat="1" applyFont="1" applyFill="1" applyBorder="1"/>
    <xf numFmtId="0" fontId="86" fillId="2" borderId="7" xfId="0" applyFont="1" applyFill="1" applyBorder="1"/>
    <xf numFmtId="9" fontId="88" fillId="2" borderId="54" xfId="0" applyNumberFormat="1" applyFont="1" applyFill="1" applyBorder="1" applyAlignment="1">
      <alignment horizontal="center" vertical="center"/>
    </xf>
    <xf numFmtId="0" fontId="0" fillId="7" borderId="0" xfId="0" applyFill="1" applyAlignment="1" applyProtection="1">
      <alignment horizontal="left" vertical="top" wrapText="1"/>
      <protection locked="0"/>
    </xf>
    <xf numFmtId="0" fontId="76" fillId="0" borderId="0" xfId="0" applyFont="1"/>
    <xf numFmtId="0" fontId="76" fillId="0" borderId="0" xfId="0" applyFont="1" applyAlignment="1">
      <alignment horizontal="center"/>
    </xf>
    <xf numFmtId="0" fontId="93" fillId="0" borderId="0" xfId="0" applyFont="1" applyAlignment="1">
      <alignment vertical="center"/>
    </xf>
    <xf numFmtId="0" fontId="94" fillId="0" borderId="0" xfId="0" applyFont="1" applyAlignment="1">
      <alignment horizontal="center" vertical="center"/>
    </xf>
    <xf numFmtId="0" fontId="93" fillId="0" borderId="0" xfId="0" applyFont="1" applyAlignment="1">
      <alignment horizontal="center" vertical="center"/>
    </xf>
    <xf numFmtId="0" fontId="76" fillId="5" borderId="0" xfId="0" applyFont="1" applyFill="1" applyProtection="1">
      <protection locked="0"/>
    </xf>
    <xf numFmtId="0" fontId="79" fillId="5" borderId="103" xfId="0" applyFont="1" applyFill="1" applyBorder="1"/>
    <xf numFmtId="0" fontId="76" fillId="5" borderId="104" xfId="0" applyFont="1" applyFill="1" applyBorder="1" applyProtection="1">
      <protection locked="0"/>
    </xf>
    <xf numFmtId="0" fontId="83" fillId="5" borderId="103" xfId="0" applyFont="1" applyFill="1" applyBorder="1"/>
    <xf numFmtId="0" fontId="76" fillId="5" borderId="106" xfId="0" applyFont="1" applyFill="1" applyBorder="1" applyProtection="1">
      <protection locked="0"/>
    </xf>
    <xf numFmtId="0" fontId="76" fillId="5" borderId="103" xfId="0" applyFont="1" applyFill="1" applyBorder="1" applyProtection="1">
      <protection locked="0"/>
    </xf>
    <xf numFmtId="0" fontId="76" fillId="5" borderId="105" xfId="0" applyFont="1" applyFill="1" applyBorder="1" applyProtection="1">
      <protection locked="0"/>
    </xf>
    <xf numFmtId="0" fontId="76" fillId="5" borderId="107" xfId="0" applyFont="1" applyFill="1" applyBorder="1" applyProtection="1">
      <protection locked="0"/>
    </xf>
    <xf numFmtId="0" fontId="84" fillId="0" borderId="83" xfId="0" applyFont="1" applyBorder="1" applyAlignment="1">
      <alignment horizontal="left"/>
    </xf>
    <xf numFmtId="14" fontId="76" fillId="2" borderId="83" xfId="0" applyNumberFormat="1" applyFont="1" applyFill="1" applyBorder="1" applyProtection="1">
      <protection locked="0"/>
    </xf>
    <xf numFmtId="10" fontId="76" fillId="2" borderId="83" xfId="0" applyNumberFormat="1" applyFont="1" applyFill="1" applyBorder="1" applyProtection="1">
      <protection locked="0"/>
    </xf>
    <xf numFmtId="0" fontId="76" fillId="0" borderId="83" xfId="0" applyFont="1" applyBorder="1" applyProtection="1">
      <protection locked="0"/>
    </xf>
    <xf numFmtId="0" fontId="78" fillId="6" borderId="108" xfId="0" applyFont="1" applyFill="1" applyBorder="1" applyAlignment="1" applyProtection="1">
      <alignment horizontal="left"/>
      <protection locked="0"/>
    </xf>
    <xf numFmtId="0" fontId="76" fillId="6" borderId="116" xfId="0" applyFont="1" applyFill="1" applyBorder="1" applyProtection="1">
      <protection locked="0"/>
    </xf>
    <xf numFmtId="0" fontId="77" fillId="5" borderId="91" xfId="0" applyFont="1" applyFill="1" applyBorder="1" applyAlignment="1">
      <alignment horizontal="center" vertical="center"/>
    </xf>
    <xf numFmtId="0" fontId="77" fillId="5" borderId="91" xfId="0" applyFont="1" applyFill="1" applyBorder="1" applyAlignment="1">
      <alignment horizontal="center" vertical="center" wrapText="1"/>
    </xf>
    <xf numFmtId="0" fontId="1" fillId="7" borderId="83" xfId="0" applyFont="1" applyFill="1" applyBorder="1" applyAlignment="1">
      <alignment horizontal="center" vertical="center"/>
    </xf>
    <xf numFmtId="0" fontId="80" fillId="5" borderId="103" xfId="0" applyFont="1" applyFill="1" applyBorder="1"/>
    <xf numFmtId="0" fontId="82" fillId="5" borderId="103" xfId="0" applyFont="1" applyFill="1" applyBorder="1" applyAlignment="1">
      <alignment horizontal="right" vertical="center"/>
    </xf>
    <xf numFmtId="0" fontId="83" fillId="5" borderId="103" xfId="0" applyFont="1" applyFill="1" applyBorder="1" applyAlignment="1">
      <alignment horizontal="center" vertical="center"/>
    </xf>
    <xf numFmtId="0" fontId="82" fillId="5" borderId="105" xfId="0" applyFont="1" applyFill="1" applyBorder="1" applyAlignment="1">
      <alignment horizontal="right" vertical="center"/>
    </xf>
    <xf numFmtId="0" fontId="80" fillId="5" borderId="107" xfId="0" applyFont="1" applyFill="1" applyBorder="1"/>
    <xf numFmtId="0" fontId="98" fillId="5" borderId="0" xfId="0" applyFont="1" applyFill="1" applyAlignment="1">
      <alignment horizontal="center" vertical="center"/>
    </xf>
    <xf numFmtId="0" fontId="98" fillId="5" borderId="0" xfId="0" applyFont="1" applyFill="1" applyAlignment="1">
      <alignment horizontal="center" vertical="center" wrapText="1"/>
    </xf>
    <xf numFmtId="0" fontId="99" fillId="5" borderId="104" xfId="0" applyFont="1" applyFill="1" applyBorder="1" applyProtection="1">
      <protection locked="0"/>
    </xf>
    <xf numFmtId="0" fontId="82" fillId="5" borderId="83" xfId="0" applyFont="1" applyFill="1" applyBorder="1" applyAlignment="1" applyProtection="1">
      <alignment horizontal="center" vertical="center" wrapText="1"/>
      <protection locked="0"/>
    </xf>
    <xf numFmtId="9" fontId="0" fillId="0" borderId="1" xfId="0" applyNumberFormat="1" applyBorder="1" applyAlignment="1">
      <alignment horizontal="center"/>
    </xf>
    <xf numFmtId="0" fontId="1" fillId="59" borderId="83" xfId="0" applyFont="1" applyFill="1" applyBorder="1" applyAlignment="1">
      <alignment horizontal="center" vertical="center"/>
    </xf>
    <xf numFmtId="0" fontId="2" fillId="58" borderId="83" xfId="0" applyFont="1" applyFill="1" applyBorder="1" applyAlignment="1">
      <alignment horizontal="center" vertical="center"/>
    </xf>
    <xf numFmtId="0" fontId="0" fillId="0" borderId="83" xfId="0" applyBorder="1" applyAlignment="1">
      <alignment horizontal="center"/>
    </xf>
    <xf numFmtId="0" fontId="0" fillId="0" borderId="83" xfId="0" applyBorder="1" applyAlignment="1">
      <alignment horizontal="center" vertical="center"/>
    </xf>
    <xf numFmtId="0" fontId="8" fillId="5" borderId="71" xfId="0" applyFont="1" applyFill="1" applyBorder="1" applyAlignment="1" applyProtection="1">
      <alignment horizontal="center" wrapText="1"/>
      <protection locked="0"/>
    </xf>
    <xf numFmtId="0" fontId="86" fillId="2" borderId="83" xfId="0" applyFont="1" applyFill="1" applyBorder="1" applyProtection="1">
      <protection locked="0"/>
    </xf>
    <xf numFmtId="1" fontId="86" fillId="2" borderId="59" xfId="0" applyNumberFormat="1" applyFont="1" applyFill="1" applyBorder="1"/>
    <xf numFmtId="2" fontId="86" fillId="2" borderId="6" xfId="0" applyNumberFormat="1" applyFont="1" applyFill="1" applyBorder="1"/>
    <xf numFmtId="0" fontId="38" fillId="2" borderId="51" xfId="0" applyFont="1" applyFill="1" applyBorder="1"/>
    <xf numFmtId="0" fontId="84" fillId="0" borderId="85" xfId="0" applyFont="1" applyBorder="1" applyAlignment="1">
      <alignment horizontal="center"/>
    </xf>
    <xf numFmtId="0" fontId="84" fillId="0" borderId="87" xfId="0" applyFont="1" applyBorder="1" applyAlignment="1">
      <alignment horizontal="center"/>
    </xf>
    <xf numFmtId="0" fontId="2" fillId="3" borderId="0" xfId="0" applyFont="1" applyFill="1" applyAlignment="1" applyProtection="1">
      <alignment horizontal="center" vertical="center"/>
      <protection locked="0"/>
    </xf>
    <xf numFmtId="10" fontId="53" fillId="6" borderId="1" xfId="0" applyNumberFormat="1" applyFont="1" applyFill="1" applyBorder="1" applyAlignment="1">
      <alignment horizontal="center" vertical="center"/>
    </xf>
    <xf numFmtId="9" fontId="53" fillId="6" borderId="1" xfId="2" applyFont="1" applyFill="1" applyBorder="1" applyAlignment="1">
      <alignment horizontal="center" vertical="center"/>
    </xf>
    <xf numFmtId="0" fontId="83" fillId="5" borderId="91" xfId="0" applyFont="1" applyFill="1" applyBorder="1" applyAlignment="1">
      <alignment vertical="center" wrapText="1"/>
    </xf>
    <xf numFmtId="0" fontId="83" fillId="5" borderId="91" xfId="0" applyFont="1" applyFill="1" applyBorder="1" applyAlignment="1">
      <alignment horizontal="center" vertical="center" wrapText="1"/>
    </xf>
    <xf numFmtId="0" fontId="80" fillId="5" borderId="0" xfId="0" applyFont="1" applyFill="1"/>
    <xf numFmtId="0" fontId="82" fillId="5" borderId="0" xfId="0" applyFont="1" applyFill="1" applyAlignment="1">
      <alignment horizontal="right" vertical="center"/>
    </xf>
    <xf numFmtId="0" fontId="83" fillId="5" borderId="0" xfId="0" applyFont="1" applyFill="1" applyAlignment="1">
      <alignment vertical="center"/>
    </xf>
    <xf numFmtId="0" fontId="77" fillId="5" borderId="91" xfId="0" applyFont="1" applyFill="1" applyBorder="1" applyAlignment="1">
      <alignment vertical="center" wrapText="1"/>
    </xf>
    <xf numFmtId="0" fontId="103" fillId="5" borderId="91" xfId="0" applyFont="1" applyFill="1" applyBorder="1" applyAlignment="1">
      <alignment vertical="center"/>
    </xf>
    <xf numFmtId="14" fontId="52" fillId="6" borderId="1" xfId="0" applyNumberFormat="1" applyFont="1" applyFill="1" applyBorder="1" applyAlignment="1" applyProtection="1">
      <alignment horizontal="center" vertical="center" wrapText="1"/>
      <protection locked="0"/>
    </xf>
    <xf numFmtId="0" fontId="106" fillId="0" borderId="0" xfId="0" applyFont="1"/>
    <xf numFmtId="0" fontId="104" fillId="72" borderId="124" xfId="0" applyFont="1" applyFill="1" applyBorder="1" applyAlignment="1">
      <alignment horizontal="center" vertical="center" wrapText="1"/>
    </xf>
    <xf numFmtId="0" fontId="104" fillId="73" borderId="124" xfId="0" applyFont="1" applyFill="1" applyBorder="1" applyAlignment="1">
      <alignment horizontal="center" vertical="center" wrapText="1"/>
    </xf>
    <xf numFmtId="0" fontId="104" fillId="74" borderId="124" xfId="0" applyFont="1" applyFill="1" applyBorder="1" applyAlignment="1">
      <alignment horizontal="center" vertical="center" wrapText="1"/>
    </xf>
    <xf numFmtId="0" fontId="104" fillId="69" borderId="124" xfId="0" applyFont="1" applyFill="1" applyBorder="1" applyAlignment="1">
      <alignment horizontal="center" vertical="center" wrapText="1"/>
    </xf>
    <xf numFmtId="0" fontId="104" fillId="75" borderId="124" xfId="0" applyFont="1" applyFill="1" applyBorder="1" applyAlignment="1">
      <alignment horizontal="center" vertical="center" wrapText="1"/>
    </xf>
    <xf numFmtId="0" fontId="86" fillId="6" borderId="83" xfId="0" applyFont="1" applyFill="1" applyBorder="1" applyAlignment="1">
      <alignment horizontal="center" vertical="center"/>
    </xf>
    <xf numFmtId="14" fontId="86" fillId="6" borderId="83" xfId="0" applyNumberFormat="1" applyFont="1" applyFill="1" applyBorder="1" applyAlignment="1">
      <alignment horizontal="center" vertical="center"/>
    </xf>
    <xf numFmtId="16" fontId="86" fillId="6" borderId="83" xfId="0" applyNumberFormat="1" applyFont="1" applyFill="1" applyBorder="1" applyAlignment="1">
      <alignment horizontal="center" vertical="center"/>
    </xf>
    <xf numFmtId="0" fontId="86" fillId="6" borderId="0" xfId="0" applyFont="1" applyFill="1"/>
    <xf numFmtId="9" fontId="86" fillId="73" borderId="83" xfId="0" applyNumberFormat="1" applyFont="1" applyFill="1" applyBorder="1" applyAlignment="1">
      <alignment horizontal="center" vertical="center"/>
    </xf>
    <xf numFmtId="0" fontId="43" fillId="6" borderId="83" xfId="0" applyFont="1" applyFill="1" applyBorder="1" applyAlignment="1">
      <alignment horizontal="center" vertical="center"/>
    </xf>
    <xf numFmtId="0" fontId="0" fillId="76" borderId="83" xfId="0" applyFill="1" applyBorder="1" applyAlignment="1">
      <alignment horizontal="center"/>
    </xf>
    <xf numFmtId="0" fontId="43" fillId="6" borderId="94" xfId="0" applyFont="1" applyFill="1" applyBorder="1" applyAlignment="1">
      <alignment horizontal="center" vertical="center"/>
    </xf>
    <xf numFmtId="0" fontId="0" fillId="0" borderId="87" xfId="0" applyBorder="1" applyAlignment="1">
      <alignment horizontal="center"/>
    </xf>
    <xf numFmtId="1" fontId="0" fillId="48" borderId="89" xfId="0" applyNumberFormat="1" applyFill="1" applyBorder="1" applyAlignment="1">
      <alignment horizontal="center"/>
    </xf>
    <xf numFmtId="1" fontId="109" fillId="77" borderId="84" xfId="0" applyNumberFormat="1" applyFont="1" applyFill="1" applyBorder="1" applyAlignment="1">
      <alignment horizontal="center" vertical="center"/>
    </xf>
    <xf numFmtId="0" fontId="108" fillId="76" borderId="92" xfId="0" applyFont="1" applyFill="1" applyBorder="1" applyAlignment="1">
      <alignment vertical="center"/>
    </xf>
    <xf numFmtId="0" fontId="0" fillId="76" borderId="98" xfId="0" applyFill="1" applyBorder="1" applyAlignment="1">
      <alignment vertical="center"/>
    </xf>
    <xf numFmtId="0" fontId="6" fillId="5" borderId="83" xfId="0" applyFont="1" applyFill="1" applyBorder="1" applyProtection="1">
      <protection locked="0"/>
    </xf>
    <xf numFmtId="0" fontId="0" fillId="2" borderId="83" xfId="0" applyFill="1" applyBorder="1" applyAlignment="1">
      <alignment horizontal="center" vertical="center" wrapText="1"/>
    </xf>
    <xf numFmtId="9" fontId="1" fillId="2" borderId="83" xfId="0" applyNumberFormat="1" applyFont="1" applyFill="1" applyBorder="1" applyAlignment="1">
      <alignment horizontal="center" vertical="center"/>
    </xf>
    <xf numFmtId="0" fontId="0" fillId="2" borderId="85" xfId="0" applyFill="1" applyBorder="1"/>
    <xf numFmtId="0" fontId="76" fillId="7" borderId="91" xfId="0" applyFont="1" applyFill="1" applyBorder="1" applyAlignment="1">
      <alignment horizontal="center" vertical="center"/>
    </xf>
    <xf numFmtId="10" fontId="76" fillId="7" borderId="91" xfId="0" applyNumberFormat="1" applyFont="1" applyFill="1" applyBorder="1" applyAlignment="1">
      <alignment horizontal="center" vertical="center"/>
    </xf>
    <xf numFmtId="9" fontId="76" fillId="7" borderId="91" xfId="0" applyNumberFormat="1" applyFont="1" applyFill="1" applyBorder="1" applyAlignment="1">
      <alignment horizontal="center" vertical="center"/>
    </xf>
    <xf numFmtId="9" fontId="76" fillId="7" borderId="91" xfId="0" applyNumberFormat="1" applyFont="1" applyFill="1" applyBorder="1" applyAlignment="1">
      <alignment horizontal="center"/>
    </xf>
    <xf numFmtId="10" fontId="76" fillId="7" borderId="91" xfId="0" applyNumberFormat="1" applyFont="1" applyFill="1" applyBorder="1" applyAlignment="1">
      <alignment horizontal="center"/>
    </xf>
    <xf numFmtId="9" fontId="76" fillId="7" borderId="91" xfId="0" applyNumberFormat="1" applyFont="1" applyFill="1" applyBorder="1" applyAlignment="1" applyProtection="1">
      <alignment horizontal="center"/>
      <protection locked="0"/>
    </xf>
    <xf numFmtId="0" fontId="76" fillId="7" borderId="91" xfId="0" applyFont="1" applyFill="1" applyBorder="1" applyAlignment="1" applyProtection="1">
      <alignment horizontal="center"/>
      <protection locked="0"/>
    </xf>
    <xf numFmtId="10" fontId="86" fillId="6" borderId="83" xfId="0" applyNumberFormat="1" applyFont="1" applyFill="1" applyBorder="1" applyAlignment="1">
      <alignment horizontal="center" vertical="center"/>
    </xf>
    <xf numFmtId="9" fontId="86" fillId="6" borderId="83" xfId="0" applyNumberFormat="1" applyFont="1" applyFill="1" applyBorder="1" applyAlignment="1">
      <alignment horizontal="center" vertical="center"/>
    </xf>
    <xf numFmtId="1" fontId="86" fillId="6" borderId="83" xfId="0" applyNumberFormat="1" applyFont="1" applyFill="1" applyBorder="1" applyAlignment="1">
      <alignment horizontal="center" vertical="center"/>
    </xf>
    <xf numFmtId="0" fontId="105" fillId="68" borderId="0" xfId="0" applyFont="1" applyFill="1" applyAlignment="1">
      <alignment horizontal="center"/>
    </xf>
    <xf numFmtId="0" fontId="104" fillId="72" borderId="0" xfId="0" applyFont="1" applyFill="1" applyAlignment="1">
      <alignment horizontal="center" vertical="center" wrapText="1"/>
    </xf>
    <xf numFmtId="0" fontId="105" fillId="0" borderId="0" xfId="0" applyFont="1" applyAlignment="1">
      <alignment horizontal="center"/>
    </xf>
    <xf numFmtId="0" fontId="104" fillId="0" borderId="0" xfId="0" applyFont="1" applyAlignment="1">
      <alignment horizontal="center" vertical="center" wrapText="1"/>
    </xf>
    <xf numFmtId="0" fontId="5" fillId="4" borderId="1" xfId="0" applyFont="1" applyFill="1" applyBorder="1" applyAlignment="1">
      <alignment vertical="center" wrapText="1"/>
    </xf>
    <xf numFmtId="0" fontId="5" fillId="4" borderId="1" xfId="0" applyFont="1" applyFill="1" applyBorder="1" applyAlignment="1">
      <alignment horizontal="center" vertical="center" wrapText="1"/>
    </xf>
    <xf numFmtId="0" fontId="5" fillId="4" borderId="4" xfId="0" applyFont="1" applyFill="1" applyBorder="1" applyAlignment="1">
      <alignment horizontal="center" vertical="center" wrapText="1"/>
    </xf>
    <xf numFmtId="0" fontId="5" fillId="48" borderId="1"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37" fillId="0" borderId="1" xfId="0" applyFont="1" applyBorder="1"/>
    <xf numFmtId="0" fontId="111" fillId="0" borderId="1" xfId="0" applyFont="1" applyBorder="1"/>
    <xf numFmtId="0" fontId="111" fillId="2" borderId="0" xfId="0" applyFont="1" applyFill="1"/>
    <xf numFmtId="0" fontId="112" fillId="2" borderId="0" xfId="0" applyFont="1" applyFill="1"/>
    <xf numFmtId="0" fontId="1" fillId="2" borderId="83" xfId="0" applyFont="1" applyFill="1" applyBorder="1" applyAlignment="1">
      <alignment horizontal="center"/>
    </xf>
    <xf numFmtId="14" fontId="1" fillId="2" borderId="83" xfId="0" applyNumberFormat="1" applyFont="1" applyFill="1" applyBorder="1" applyAlignment="1">
      <alignment horizontal="center"/>
    </xf>
    <xf numFmtId="0" fontId="54" fillId="0" borderId="31" xfId="0" applyFont="1" applyBorder="1" applyAlignment="1" applyProtection="1">
      <alignment horizontal="left" vertical="center"/>
      <protection locked="0"/>
    </xf>
    <xf numFmtId="10" fontId="14" fillId="0" borderId="2" xfId="0" applyNumberFormat="1" applyFont="1" applyBorder="1" applyAlignment="1" applyProtection="1">
      <alignment horizontal="center"/>
      <protection hidden="1"/>
    </xf>
    <xf numFmtId="10" fontId="14" fillId="2" borderId="2" xfId="0" applyNumberFormat="1" applyFont="1" applyFill="1" applyBorder="1" applyAlignment="1" applyProtection="1">
      <alignment horizontal="center"/>
      <protection locked="0"/>
    </xf>
    <xf numFmtId="10" fontId="14" fillId="2" borderId="2" xfId="0" applyNumberFormat="1" applyFont="1" applyFill="1" applyBorder="1" applyAlignment="1">
      <alignment horizontal="center"/>
    </xf>
    <xf numFmtId="0" fontId="6" fillId="5" borderId="91" xfId="0" applyFont="1" applyFill="1" applyBorder="1" applyAlignment="1">
      <alignment horizontal="center" vertical="center" wrapText="1"/>
    </xf>
    <xf numFmtId="0" fontId="40" fillId="53" borderId="91" xfId="0" applyFont="1" applyFill="1" applyBorder="1" applyAlignment="1" applyProtection="1">
      <alignment horizontal="center" vertical="center" wrapText="1"/>
      <protection locked="0"/>
    </xf>
    <xf numFmtId="0" fontId="40" fillId="52" borderId="91" xfId="0" applyFont="1" applyFill="1" applyBorder="1" applyAlignment="1" applyProtection="1">
      <alignment horizontal="center" vertical="center" wrapText="1"/>
      <protection locked="0"/>
    </xf>
    <xf numFmtId="0" fontId="40" fillId="52" borderId="91" xfId="0" applyFont="1" applyFill="1" applyBorder="1" applyAlignment="1">
      <alignment horizontal="center" vertical="center" wrapText="1"/>
    </xf>
    <xf numFmtId="0" fontId="91" fillId="5" borderId="91" xfId="0" applyFont="1" applyFill="1" applyBorder="1" applyAlignment="1">
      <alignment horizontal="center" wrapText="1"/>
    </xf>
    <xf numFmtId="14" fontId="15" fillId="5" borderId="91" xfId="0" applyNumberFormat="1" applyFont="1" applyFill="1" applyBorder="1" applyAlignment="1" applyProtection="1">
      <alignment horizontal="center"/>
      <protection locked="0"/>
    </xf>
    <xf numFmtId="14" fontId="15" fillId="52" borderId="91" xfId="0" applyNumberFormat="1" applyFont="1" applyFill="1" applyBorder="1" applyAlignment="1" applyProtection="1">
      <alignment horizontal="center"/>
      <protection locked="0"/>
    </xf>
    <xf numFmtId="14" fontId="15" fillId="52" borderId="91" xfId="0" applyNumberFormat="1" applyFont="1" applyFill="1" applyBorder="1" applyAlignment="1">
      <alignment horizontal="center" vertical="center"/>
    </xf>
    <xf numFmtId="0" fontId="6" fillId="39" borderId="91" xfId="0" applyFont="1" applyFill="1" applyBorder="1" applyAlignment="1" applyProtection="1">
      <alignment horizontal="center" wrapText="1"/>
      <protection locked="0"/>
    </xf>
    <xf numFmtId="0" fontId="6" fillId="39" borderId="91" xfId="0" applyFont="1" applyFill="1" applyBorder="1" applyAlignment="1" applyProtection="1">
      <alignment horizontal="center"/>
      <protection locked="0"/>
    </xf>
    <xf numFmtId="14" fontId="15" fillId="39" borderId="91" xfId="0" applyNumberFormat="1" applyFont="1" applyFill="1" applyBorder="1" applyAlignment="1" applyProtection="1">
      <alignment horizontal="center"/>
      <protection locked="0"/>
    </xf>
    <xf numFmtId="0" fontId="40" fillId="52" borderId="125" xfId="0" applyFont="1" applyFill="1" applyBorder="1" applyAlignment="1" applyProtection="1">
      <alignment horizontal="center" vertical="center" wrapText="1"/>
      <protection locked="0"/>
    </xf>
    <xf numFmtId="14" fontId="15" fillId="52" borderId="125" xfId="0" applyNumberFormat="1" applyFont="1" applyFill="1" applyBorder="1" applyAlignment="1" applyProtection="1">
      <alignment horizontal="center"/>
      <protection locked="0"/>
    </xf>
    <xf numFmtId="0" fontId="54" fillId="0" borderId="124" xfId="0" applyFont="1" applyBorder="1" applyAlignment="1" applyProtection="1">
      <alignment horizontal="left" vertical="center"/>
      <protection locked="0"/>
    </xf>
    <xf numFmtId="0" fontId="0" fillId="2" borderId="124" xfId="0" applyFill="1" applyBorder="1" applyProtection="1">
      <protection locked="0"/>
    </xf>
    <xf numFmtId="0" fontId="54" fillId="0" borderId="33" xfId="0" applyFont="1" applyBorder="1" applyAlignment="1" applyProtection="1">
      <alignment horizontal="left" vertical="center"/>
      <protection locked="0"/>
    </xf>
    <xf numFmtId="0" fontId="0" fillId="2" borderId="32" xfId="0" applyFill="1" applyBorder="1" applyAlignment="1" applyProtection="1">
      <alignment horizontal="left" vertical="center"/>
      <protection locked="0"/>
    </xf>
    <xf numFmtId="10" fontId="14" fillId="0" borderId="2" xfId="0" applyNumberFormat="1" applyFont="1" applyBorder="1" applyAlignment="1">
      <alignment horizontal="center"/>
    </xf>
    <xf numFmtId="0" fontId="90" fillId="7" borderId="100" xfId="0" applyFont="1" applyFill="1" applyBorder="1" applyAlignment="1" applyProtection="1">
      <alignment horizontal="center" vertical="center" wrapText="1"/>
      <protection locked="0"/>
    </xf>
    <xf numFmtId="0" fontId="110" fillId="5" borderId="126" xfId="0" applyFont="1" applyFill="1" applyBorder="1" applyAlignment="1">
      <alignment horizontal="center" vertical="center" wrapText="1"/>
    </xf>
    <xf numFmtId="0" fontId="109" fillId="5" borderId="126" xfId="0" applyFont="1" applyFill="1" applyBorder="1" applyAlignment="1">
      <alignment horizontal="center" vertical="center" wrapText="1"/>
    </xf>
    <xf numFmtId="0" fontId="40" fillId="5" borderId="126" xfId="0" applyFont="1" applyFill="1" applyBorder="1" applyAlignment="1">
      <alignment horizontal="center" vertical="center" wrapText="1"/>
    </xf>
    <xf numFmtId="0" fontId="6" fillId="5" borderId="126" xfId="0" applyFont="1" applyFill="1" applyBorder="1" applyAlignment="1">
      <alignment horizontal="center" vertical="center" wrapText="1"/>
    </xf>
    <xf numFmtId="0" fontId="113" fillId="62" borderId="93" xfId="0" applyFont="1" applyFill="1" applyBorder="1" applyAlignment="1">
      <alignment vertical="center"/>
    </xf>
    <xf numFmtId="0" fontId="113" fillId="62" borderId="96" xfId="0" applyFont="1" applyFill="1" applyBorder="1" applyAlignment="1">
      <alignment vertical="center"/>
    </xf>
    <xf numFmtId="0" fontId="78" fillId="78" borderId="83" xfId="0" applyFont="1" applyFill="1" applyBorder="1"/>
    <xf numFmtId="0" fontId="78" fillId="78" borderId="83" xfId="0" applyFont="1" applyFill="1" applyBorder="1" applyAlignment="1">
      <alignment horizontal="center" vertical="center"/>
    </xf>
    <xf numFmtId="0" fontId="78" fillId="78" borderId="85" xfId="0" applyFont="1" applyFill="1" applyBorder="1" applyAlignment="1">
      <alignment horizontal="center" vertical="center"/>
    </xf>
    <xf numFmtId="0" fontId="78" fillId="78" borderId="83" xfId="0" applyFont="1" applyFill="1" applyBorder="1" applyAlignment="1">
      <alignment vertical="center"/>
    </xf>
    <xf numFmtId="0" fontId="76" fillId="0" borderId="83" xfId="0" applyFont="1" applyBorder="1"/>
    <xf numFmtId="0" fontId="76" fillId="0" borderId="85" xfId="0" applyFont="1" applyBorder="1"/>
    <xf numFmtId="164" fontId="69" fillId="7" borderId="90" xfId="1" applyNumberFormat="1" applyFont="1" applyFill="1" applyBorder="1" applyAlignment="1" applyProtection="1">
      <alignment horizontal="center" vertical="center"/>
      <protection locked="0"/>
    </xf>
    <xf numFmtId="164" fontId="69" fillId="7" borderId="87" xfId="1" applyNumberFormat="1" applyFont="1" applyFill="1" applyBorder="1" applyAlignment="1" applyProtection="1">
      <alignment horizontal="center" vertical="center"/>
      <protection locked="0"/>
    </xf>
    <xf numFmtId="0" fontId="0" fillId="57" borderId="83" xfId="0" applyFill="1" applyBorder="1" applyAlignment="1" applyProtection="1">
      <alignment horizontal="center"/>
      <protection locked="0"/>
    </xf>
    <xf numFmtId="0" fontId="0" fillId="44" borderId="83" xfId="0" applyFill="1" applyBorder="1" applyAlignment="1" applyProtection="1">
      <alignment horizontal="center"/>
      <protection locked="0"/>
    </xf>
    <xf numFmtId="167" fontId="1" fillId="2" borderId="85" xfId="0" applyNumberFormat="1" applyFont="1" applyFill="1" applyBorder="1" applyAlignment="1" applyProtection="1">
      <alignment horizontal="center" vertical="center"/>
      <protection locked="0"/>
    </xf>
    <xf numFmtId="0" fontId="2" fillId="5" borderId="85" xfId="0" applyFont="1" applyFill="1" applyBorder="1" applyAlignment="1" applyProtection="1">
      <alignment horizontal="center" vertical="center"/>
      <protection locked="0"/>
    </xf>
    <xf numFmtId="0" fontId="0" fillId="44" borderId="89" xfId="0" applyFill="1" applyBorder="1" applyAlignment="1" applyProtection="1">
      <alignment horizontal="center"/>
      <protection locked="0"/>
    </xf>
    <xf numFmtId="167" fontId="1" fillId="0" borderId="89" xfId="0" applyNumberFormat="1" applyFont="1" applyBorder="1" applyAlignment="1" applyProtection="1">
      <alignment horizontal="center" vertical="center"/>
      <protection locked="0"/>
    </xf>
    <xf numFmtId="167" fontId="1" fillId="2" borderId="97" xfId="0" applyNumberFormat="1" applyFont="1" applyFill="1" applyBorder="1" applyAlignment="1" applyProtection="1">
      <alignment horizontal="center" vertical="center"/>
      <protection locked="0"/>
    </xf>
    <xf numFmtId="167" fontId="1" fillId="2" borderId="89" xfId="0" applyNumberFormat="1" applyFont="1" applyFill="1" applyBorder="1" applyAlignment="1" applyProtection="1">
      <alignment horizontal="center" vertical="center"/>
      <protection locked="0"/>
    </xf>
    <xf numFmtId="0" fontId="0" fillId="2" borderId="85" xfId="0" applyFill="1" applyBorder="1" applyAlignment="1">
      <alignment horizontal="center" vertical="center"/>
    </xf>
    <xf numFmtId="0" fontId="72" fillId="5" borderId="84" xfId="0" applyFont="1" applyFill="1" applyBorder="1" applyAlignment="1">
      <alignment horizontal="center" vertical="center" wrapText="1"/>
    </xf>
    <xf numFmtId="0" fontId="8" fillId="51" borderId="0" xfId="45" applyFont="1" applyFill="1" applyAlignment="1">
      <alignment horizontal="center"/>
    </xf>
    <xf numFmtId="9" fontId="53" fillId="6" borderId="0" xfId="2" applyFont="1" applyFill="1" applyBorder="1" applyAlignment="1">
      <alignment horizontal="center" vertical="center"/>
    </xf>
    <xf numFmtId="9" fontId="53" fillId="2" borderId="0" xfId="2" applyFont="1" applyFill="1" applyBorder="1" applyAlignment="1">
      <alignment horizontal="center" vertical="center"/>
    </xf>
    <xf numFmtId="0" fontId="9" fillId="41" borderId="0" xfId="46" applyFont="1" applyFill="1" applyAlignment="1">
      <alignment horizontal="center"/>
    </xf>
    <xf numFmtId="0" fontId="9" fillId="7" borderId="0" xfId="46" applyFont="1" applyFill="1" applyAlignment="1">
      <alignment horizontal="center" vertical="center" wrapText="1"/>
    </xf>
    <xf numFmtId="16" fontId="2" fillId="5" borderId="83" xfId="0" applyNumberFormat="1" applyFont="1" applyFill="1" applyBorder="1" applyAlignment="1" applyProtection="1">
      <alignment horizontal="center" vertical="center" wrapText="1"/>
      <protection locked="0"/>
    </xf>
    <xf numFmtId="16" fontId="2" fillId="5" borderId="83" xfId="0" applyNumberFormat="1" applyFont="1" applyFill="1" applyBorder="1" applyAlignment="1" applyProtection="1">
      <alignment horizontal="center" vertical="center"/>
      <protection locked="0"/>
    </xf>
    <xf numFmtId="1" fontId="53" fillId="6" borderId="83" xfId="2" applyNumberFormat="1" applyFont="1" applyFill="1" applyBorder="1" applyAlignment="1">
      <alignment horizontal="center" vertical="center"/>
    </xf>
    <xf numFmtId="1" fontId="53" fillId="2" borderId="83" xfId="2" applyNumberFormat="1" applyFont="1" applyFill="1" applyBorder="1" applyAlignment="1">
      <alignment horizontal="center" vertical="center"/>
    </xf>
    <xf numFmtId="9" fontId="53" fillId="2" borderId="83" xfId="2" applyFont="1" applyFill="1" applyBorder="1" applyAlignment="1">
      <alignment horizontal="center" vertical="center"/>
    </xf>
    <xf numFmtId="9" fontId="53" fillId="6" borderId="7" xfId="2" applyFont="1" applyFill="1" applyBorder="1" applyAlignment="1">
      <alignment horizontal="center" vertical="center"/>
    </xf>
    <xf numFmtId="9" fontId="53" fillId="2" borderId="7" xfId="2" applyFont="1" applyFill="1" applyBorder="1" applyAlignment="1">
      <alignment horizontal="center" vertical="center"/>
    </xf>
    <xf numFmtId="1" fontId="53" fillId="79" borderId="83" xfId="2" applyNumberFormat="1" applyFont="1" applyFill="1" applyBorder="1" applyAlignment="1">
      <alignment horizontal="center" vertical="center"/>
    </xf>
    <xf numFmtId="9" fontId="53" fillId="79" borderId="83" xfId="2" applyFont="1" applyFill="1" applyBorder="1" applyAlignment="1">
      <alignment horizontal="center" vertical="center"/>
    </xf>
    <xf numFmtId="0" fontId="2" fillId="5" borderId="89" xfId="0" applyFont="1" applyFill="1" applyBorder="1" applyAlignment="1" applyProtection="1">
      <alignment horizontal="center" vertical="center"/>
      <protection locked="0"/>
    </xf>
    <xf numFmtId="0" fontId="0" fillId="2" borderId="85" xfId="0" applyFill="1" applyBorder="1" applyAlignment="1" applyProtection="1">
      <alignment horizontal="center"/>
      <protection locked="0"/>
    </xf>
    <xf numFmtId="164" fontId="35" fillId="2" borderId="0" xfId="44" applyNumberFormat="1" applyFill="1" applyBorder="1" applyAlignment="1" applyProtection="1">
      <alignment vertical="center"/>
      <protection locked="0"/>
    </xf>
    <xf numFmtId="167" fontId="1" fillId="2" borderId="95" xfId="0" applyNumberFormat="1" applyFont="1" applyFill="1" applyBorder="1" applyAlignment="1" applyProtection="1">
      <alignment horizontal="center" vertical="center"/>
      <protection locked="0"/>
    </xf>
    <xf numFmtId="9" fontId="0" fillId="2" borderId="0" xfId="0" applyNumberFormat="1" applyFill="1" applyProtection="1">
      <protection locked="0"/>
    </xf>
    <xf numFmtId="0" fontId="116" fillId="0" borderId="0" xfId="0" applyFont="1"/>
    <xf numFmtId="0" fontId="118" fillId="81" borderId="2" xfId="0" applyFont="1" applyFill="1" applyBorder="1"/>
    <xf numFmtId="16" fontId="118" fillId="81" borderId="5" xfId="0" applyNumberFormat="1" applyFont="1" applyFill="1" applyBorder="1"/>
    <xf numFmtId="0" fontId="116" fillId="82" borderId="5" xfId="0" applyFont="1" applyFill="1" applyBorder="1" applyAlignment="1">
      <alignment horizontal="center" vertical="center" textRotation="180"/>
    </xf>
    <xf numFmtId="0" fontId="118" fillId="0" borderId="0" xfId="0" applyFont="1" applyAlignment="1">
      <alignment horizontal="center" vertical="center" wrapText="1"/>
    </xf>
    <xf numFmtId="0" fontId="116" fillId="0" borderId="0" xfId="0" applyFont="1" applyAlignment="1">
      <alignment horizontal="center" vertical="center"/>
    </xf>
    <xf numFmtId="0" fontId="118" fillId="81" borderId="83" xfId="0" applyFont="1" applyFill="1" applyBorder="1"/>
    <xf numFmtId="0" fontId="116" fillId="82" borderId="83" xfId="0" applyFont="1" applyFill="1" applyBorder="1" applyAlignment="1">
      <alignment horizontal="center" vertical="center" textRotation="180"/>
    </xf>
    <xf numFmtId="0" fontId="116" fillId="82" borderId="83" xfId="0" applyFont="1" applyFill="1" applyBorder="1" applyAlignment="1">
      <alignment horizontal="left" vertical="center"/>
    </xf>
    <xf numFmtId="0" fontId="116" fillId="82" borderId="13" xfId="0" applyFont="1" applyFill="1" applyBorder="1" applyAlignment="1">
      <alignment horizontal="left" vertical="center"/>
    </xf>
    <xf numFmtId="0" fontId="120" fillId="0" borderId="130" xfId="0" applyFont="1" applyBorder="1"/>
    <xf numFmtId="0" fontId="121" fillId="0" borderId="130" xfId="0" applyFont="1" applyBorder="1"/>
    <xf numFmtId="0" fontId="123" fillId="83" borderId="83" xfId="0" applyFont="1" applyFill="1" applyBorder="1" applyAlignment="1">
      <alignment horizontal="center" vertical="center" textRotation="180"/>
    </xf>
    <xf numFmtId="0" fontId="123" fillId="83" borderId="83" xfId="0" applyFont="1" applyFill="1" applyBorder="1" applyAlignment="1">
      <alignment horizontal="left" vertical="center"/>
    </xf>
    <xf numFmtId="0" fontId="125" fillId="7" borderId="83" xfId="0" applyFont="1" applyFill="1" applyBorder="1" applyAlignment="1">
      <alignment horizontal="center" vertical="center" textRotation="180"/>
    </xf>
    <xf numFmtId="0" fontId="125" fillId="7" borderId="83" xfId="0" applyFont="1" applyFill="1" applyBorder="1" applyAlignment="1">
      <alignment horizontal="left" vertical="center"/>
    </xf>
    <xf numFmtId="16" fontId="118" fillId="81" borderId="85" xfId="0" applyNumberFormat="1" applyFont="1" applyFill="1" applyBorder="1"/>
    <xf numFmtId="0" fontId="118" fillId="81" borderId="85" xfId="0" applyFont="1" applyFill="1" applyBorder="1"/>
    <xf numFmtId="0" fontId="118" fillId="81" borderId="87" xfId="0" applyFont="1" applyFill="1" applyBorder="1"/>
    <xf numFmtId="0" fontId="126" fillId="84" borderId="0" xfId="1" applyFont="1" applyFill="1" applyAlignment="1" applyProtection="1">
      <alignment horizontal="center" vertical="center"/>
    </xf>
    <xf numFmtId="16" fontId="0" fillId="2" borderId="0" xfId="0" applyNumberFormat="1" applyFill="1" applyProtection="1">
      <protection locked="0"/>
    </xf>
    <xf numFmtId="0" fontId="0" fillId="2" borderId="0" xfId="0" applyFill="1" applyAlignment="1" applyProtection="1">
      <alignment horizontal="center"/>
      <protection locked="0"/>
    </xf>
    <xf numFmtId="0" fontId="2" fillId="3" borderId="83" xfId="0" applyFont="1" applyFill="1" applyBorder="1" applyAlignment="1" applyProtection="1">
      <alignment horizontal="center" vertical="center"/>
      <protection locked="0"/>
    </xf>
    <xf numFmtId="0" fontId="1" fillId="79" borderId="83" xfId="0" applyFont="1" applyFill="1" applyBorder="1" applyAlignment="1" applyProtection="1">
      <alignment horizontal="center" vertical="center"/>
      <protection locked="0"/>
    </xf>
    <xf numFmtId="16" fontId="116" fillId="0" borderId="0" xfId="0" applyNumberFormat="1" applyFont="1"/>
    <xf numFmtId="0" fontId="118" fillId="0" borderId="0" xfId="0" applyFont="1" applyAlignment="1">
      <alignment horizontal="center" vertical="center"/>
    </xf>
    <xf numFmtId="0" fontId="116" fillId="0" borderId="2" xfId="0" applyFont="1" applyBorder="1" applyAlignment="1">
      <alignment horizontal="center" vertical="center"/>
    </xf>
    <xf numFmtId="0" fontId="39" fillId="0" borderId="38" xfId="0" applyFont="1" applyBorder="1" applyAlignment="1" applyProtection="1">
      <alignment horizontal="center" wrapText="1"/>
      <protection locked="0"/>
    </xf>
    <xf numFmtId="0" fontId="7" fillId="5" borderId="31" xfId="0" applyFont="1" applyFill="1" applyBorder="1" applyAlignment="1" applyProtection="1">
      <alignment horizontal="center" vertical="center" wrapText="1"/>
      <protection locked="0"/>
    </xf>
    <xf numFmtId="0" fontId="0" fillId="2" borderId="2" xfId="0" applyFill="1" applyBorder="1"/>
    <xf numFmtId="0" fontId="0" fillId="2" borderId="2" xfId="0" applyFill="1" applyBorder="1" applyAlignment="1">
      <alignment horizontal="center"/>
    </xf>
    <xf numFmtId="0" fontId="76" fillId="0" borderId="85" xfId="0" applyFont="1" applyBorder="1" applyAlignment="1">
      <alignment horizontal="left"/>
    </xf>
    <xf numFmtId="0" fontId="76" fillId="0" borderId="90" xfId="0" applyFont="1" applyBorder="1" applyAlignment="1">
      <alignment horizontal="left"/>
    </xf>
    <xf numFmtId="0" fontId="76" fillId="0" borderId="87" xfId="0" applyFont="1" applyBorder="1" applyAlignment="1">
      <alignment horizontal="left"/>
    </xf>
    <xf numFmtId="0" fontId="113" fillId="62" borderId="92" xfId="0" applyFont="1" applyFill="1" applyBorder="1" applyAlignment="1">
      <alignment horizontal="center" vertical="center"/>
    </xf>
    <xf numFmtId="0" fontId="113" fillId="62" borderId="93" xfId="0" applyFont="1" applyFill="1" applyBorder="1" applyAlignment="1">
      <alignment horizontal="center" vertical="center"/>
    </xf>
    <xf numFmtId="0" fontId="113" fillId="62" borderId="95" xfId="0" applyFont="1" applyFill="1" applyBorder="1" applyAlignment="1">
      <alignment horizontal="center" vertical="center"/>
    </xf>
    <xf numFmtId="0" fontId="113" fillId="62" borderId="96" xfId="0" applyFont="1" applyFill="1" applyBorder="1" applyAlignment="1">
      <alignment horizontal="center" vertical="center"/>
    </xf>
    <xf numFmtId="0" fontId="78" fillId="78" borderId="83" xfId="0" applyFont="1" applyFill="1" applyBorder="1" applyAlignment="1">
      <alignment horizontal="center" vertical="center"/>
    </xf>
    <xf numFmtId="0" fontId="97" fillId="59" borderId="92" xfId="0" applyFont="1" applyFill="1" applyBorder="1" applyAlignment="1">
      <alignment horizontal="center" vertical="center"/>
    </xf>
    <xf numFmtId="0" fontId="97" fillId="59" borderId="93" xfId="0" applyFont="1" applyFill="1" applyBorder="1" applyAlignment="1">
      <alignment horizontal="center" vertical="center"/>
    </xf>
    <xf numFmtId="0" fontId="97" fillId="59" borderId="94" xfId="0" applyFont="1" applyFill="1" applyBorder="1" applyAlignment="1">
      <alignment horizontal="center" vertical="center"/>
    </xf>
    <xf numFmtId="0" fontId="97" fillId="59" borderId="98" xfId="0" applyFont="1" applyFill="1" applyBorder="1" applyAlignment="1">
      <alignment horizontal="center" vertical="center"/>
    </xf>
    <xf numFmtId="0" fontId="97" fillId="59" borderId="0" xfId="0" applyFont="1" applyFill="1" applyAlignment="1">
      <alignment horizontal="center" vertical="center"/>
    </xf>
    <xf numFmtId="0" fontId="97" fillId="59" borderId="99" xfId="0" applyFont="1" applyFill="1" applyBorder="1" applyAlignment="1">
      <alignment horizontal="center" vertical="center"/>
    </xf>
    <xf numFmtId="0" fontId="97" fillId="59" borderId="95" xfId="0" applyFont="1" applyFill="1" applyBorder="1" applyAlignment="1">
      <alignment horizontal="center" vertical="center"/>
    </xf>
    <xf numFmtId="0" fontId="97" fillId="59" borderId="96" xfId="0" applyFont="1" applyFill="1" applyBorder="1" applyAlignment="1">
      <alignment horizontal="center" vertical="center"/>
    </xf>
    <xf numFmtId="0" fontId="97" fillId="59" borderId="97" xfId="0" applyFont="1" applyFill="1" applyBorder="1" applyAlignment="1">
      <alignment horizontal="center" vertical="center"/>
    </xf>
    <xf numFmtId="0" fontId="92" fillId="59" borderId="92" xfId="0" applyFont="1" applyFill="1" applyBorder="1" applyAlignment="1">
      <alignment horizontal="left" vertical="center"/>
    </xf>
    <xf numFmtId="0" fontId="92" fillId="59" borderId="93" xfId="0" applyFont="1" applyFill="1" applyBorder="1" applyAlignment="1">
      <alignment horizontal="left" vertical="center"/>
    </xf>
    <xf numFmtId="0" fontId="92" fillId="59" borderId="94" xfId="0" applyFont="1" applyFill="1" applyBorder="1" applyAlignment="1">
      <alignment horizontal="left" vertical="center"/>
    </xf>
    <xf numFmtId="0" fontId="92" fillId="59" borderId="98" xfId="0" applyFont="1" applyFill="1" applyBorder="1" applyAlignment="1">
      <alignment horizontal="left" vertical="center"/>
    </xf>
    <xf numFmtId="0" fontId="92" fillId="59" borderId="0" xfId="0" applyFont="1" applyFill="1" applyAlignment="1">
      <alignment horizontal="left" vertical="center"/>
    </xf>
    <xf numFmtId="0" fontId="92" fillId="59" borderId="99" xfId="0" applyFont="1" applyFill="1" applyBorder="1" applyAlignment="1">
      <alignment horizontal="left" vertical="center"/>
    </xf>
    <xf numFmtId="0" fontId="92" fillId="59" borderId="95" xfId="0" applyFont="1" applyFill="1" applyBorder="1" applyAlignment="1">
      <alignment horizontal="left" vertical="center"/>
    </xf>
    <xf numFmtId="0" fontId="92" fillId="59" borderId="96" xfId="0" applyFont="1" applyFill="1" applyBorder="1" applyAlignment="1">
      <alignment horizontal="left" vertical="center"/>
    </xf>
    <xf numFmtId="0" fontId="92" fillId="59" borderId="97" xfId="0" applyFont="1" applyFill="1" applyBorder="1" applyAlignment="1">
      <alignment horizontal="left" vertical="center"/>
    </xf>
    <xf numFmtId="0" fontId="76" fillId="62" borderId="92" xfId="0" applyFont="1" applyFill="1" applyBorder="1" applyAlignment="1">
      <alignment horizontal="center" vertical="center"/>
    </xf>
    <xf numFmtId="0" fontId="76" fillId="62" borderId="93" xfId="0" applyFont="1" applyFill="1" applyBorder="1" applyAlignment="1">
      <alignment horizontal="center" vertical="center"/>
    </xf>
    <xf numFmtId="0" fontId="76" fillId="62" borderId="94" xfId="0" applyFont="1" applyFill="1" applyBorder="1" applyAlignment="1">
      <alignment horizontal="center" vertical="center"/>
    </xf>
    <xf numFmtId="0" fontId="76" fillId="62" borderId="95" xfId="0" applyFont="1" applyFill="1" applyBorder="1" applyAlignment="1">
      <alignment horizontal="center" vertical="center"/>
    </xf>
    <xf numFmtId="0" fontId="76" fillId="62" borderId="96" xfId="0" applyFont="1" applyFill="1" applyBorder="1" applyAlignment="1">
      <alignment horizontal="center" vertical="center"/>
    </xf>
    <xf numFmtId="0" fontId="76" fillId="62" borderId="97" xfId="0" applyFont="1" applyFill="1" applyBorder="1" applyAlignment="1">
      <alignment horizontal="center" vertical="center"/>
    </xf>
    <xf numFmtId="0" fontId="96" fillId="44" borderId="85" xfId="1" applyFont="1" applyFill="1" applyBorder="1" applyAlignment="1" applyProtection="1">
      <alignment horizontal="center"/>
    </xf>
    <xf numFmtId="0" fontId="96" fillId="44" borderId="90" xfId="1" applyFont="1" applyFill="1" applyBorder="1" applyAlignment="1" applyProtection="1">
      <alignment horizontal="center"/>
    </xf>
    <xf numFmtId="0" fontId="96" fillId="44" borderId="87" xfId="1" applyFont="1" applyFill="1" applyBorder="1" applyAlignment="1" applyProtection="1">
      <alignment horizontal="center"/>
    </xf>
    <xf numFmtId="0" fontId="9" fillId="2" borderId="59" xfId="0" applyFont="1" applyFill="1" applyBorder="1" applyAlignment="1">
      <alignment horizontal="left"/>
    </xf>
    <xf numFmtId="0" fontId="9" fillId="2" borderId="8" xfId="0" applyFont="1" applyFill="1" applyBorder="1" applyAlignment="1">
      <alignment horizontal="left"/>
    </xf>
    <xf numFmtId="0" fontId="17" fillId="5" borderId="33" xfId="0" applyFont="1" applyFill="1" applyBorder="1" applyAlignment="1">
      <alignment horizontal="center" vertical="center"/>
    </xf>
    <xf numFmtId="0" fontId="17" fillId="5" borderId="31" xfId="0" applyFont="1" applyFill="1" applyBorder="1" applyAlignment="1">
      <alignment horizontal="center" vertical="center"/>
    </xf>
    <xf numFmtId="0" fontId="17" fillId="5" borderId="32" xfId="0" applyFont="1" applyFill="1" applyBorder="1" applyAlignment="1">
      <alignment horizontal="center" vertical="center"/>
    </xf>
    <xf numFmtId="0" fontId="17" fillId="5" borderId="35" xfId="0" applyFont="1" applyFill="1" applyBorder="1" applyAlignment="1">
      <alignment horizontal="center" vertical="center"/>
    </xf>
    <xf numFmtId="0" fontId="17" fillId="5" borderId="36" xfId="0" applyFont="1" applyFill="1" applyBorder="1" applyAlignment="1">
      <alignment horizontal="center" vertical="center"/>
    </xf>
    <xf numFmtId="0" fontId="17" fillId="5" borderId="37" xfId="0" applyFont="1" applyFill="1" applyBorder="1" applyAlignment="1">
      <alignment horizontal="center" vertical="center"/>
    </xf>
    <xf numFmtId="0" fontId="9" fillId="2" borderId="51" xfId="0" applyFont="1" applyFill="1" applyBorder="1" applyAlignment="1">
      <alignment horizontal="left" wrapText="1"/>
    </xf>
    <xf numFmtId="0" fontId="9" fillId="2" borderId="52" xfId="0" applyFont="1" applyFill="1" applyBorder="1" applyAlignment="1">
      <alignment horizontal="left" wrapText="1"/>
    </xf>
    <xf numFmtId="0" fontId="9" fillId="2" borderId="47" xfId="0" applyFont="1" applyFill="1" applyBorder="1" applyAlignment="1">
      <alignment horizontal="left"/>
    </xf>
    <xf numFmtId="0" fontId="9" fillId="2" borderId="7" xfId="0" applyFont="1" applyFill="1" applyBorder="1" applyAlignment="1">
      <alignment horizontal="left"/>
    </xf>
    <xf numFmtId="0" fontId="9" fillId="2" borderId="47" xfId="0" applyFont="1" applyFill="1" applyBorder="1" applyAlignment="1">
      <alignment horizontal="left" wrapText="1"/>
    </xf>
    <xf numFmtId="0" fontId="9" fillId="2" borderId="7" xfId="0" applyFont="1" applyFill="1" applyBorder="1" applyAlignment="1">
      <alignment horizontal="left" wrapText="1"/>
    </xf>
    <xf numFmtId="0" fontId="9" fillId="2" borderId="48" xfId="0" applyFont="1" applyFill="1" applyBorder="1" applyAlignment="1">
      <alignment horizontal="left"/>
    </xf>
    <xf numFmtId="0" fontId="9" fillId="2" borderId="68" xfId="0" applyFont="1" applyFill="1" applyBorder="1" applyAlignment="1">
      <alignment horizontal="left"/>
    </xf>
    <xf numFmtId="0" fontId="9" fillId="2" borderId="60" xfId="0" applyFont="1" applyFill="1" applyBorder="1" applyAlignment="1">
      <alignment horizontal="left"/>
    </xf>
    <xf numFmtId="0" fontId="9" fillId="2" borderId="76" xfId="0" applyFont="1" applyFill="1" applyBorder="1" applyAlignment="1">
      <alignment horizontal="left"/>
    </xf>
    <xf numFmtId="0" fontId="9" fillId="2" borderId="33" xfId="0" applyFont="1" applyFill="1" applyBorder="1" applyAlignment="1">
      <alignment horizontal="left" wrapText="1"/>
    </xf>
    <xf numFmtId="0" fontId="9" fillId="2" borderId="31" xfId="0" applyFont="1" applyFill="1" applyBorder="1" applyAlignment="1">
      <alignment horizontal="left" wrapText="1"/>
    </xf>
    <xf numFmtId="0" fontId="9" fillId="2" borderId="65" xfId="0" applyFont="1" applyFill="1" applyBorder="1" applyAlignment="1">
      <alignment horizontal="left" vertical="top" wrapText="1"/>
    </xf>
    <xf numFmtId="0" fontId="9" fillId="2" borderId="9" xfId="0" applyFont="1" applyFill="1" applyBorder="1" applyAlignment="1">
      <alignment horizontal="left" vertical="top" wrapText="1"/>
    </xf>
    <xf numFmtId="0" fontId="78" fillId="59" borderId="91" xfId="0" applyFont="1" applyFill="1" applyBorder="1" applyAlignment="1" applyProtection="1">
      <alignment horizontal="center" vertical="center"/>
      <protection locked="0"/>
    </xf>
    <xf numFmtId="0" fontId="82" fillId="5" borderId="100" xfId="0" applyFont="1" applyFill="1" applyBorder="1" applyAlignment="1">
      <alignment horizontal="center" vertical="center" wrapText="1"/>
    </xf>
    <xf numFmtId="0" fontId="82" fillId="5" borderId="101" xfId="0" applyFont="1" applyFill="1" applyBorder="1" applyAlignment="1">
      <alignment horizontal="center" vertical="center" wrapText="1"/>
    </xf>
    <xf numFmtId="0" fontId="82" fillId="5" borderId="102" xfId="0" applyFont="1" applyFill="1" applyBorder="1" applyAlignment="1">
      <alignment horizontal="center" vertical="center" wrapText="1"/>
    </xf>
    <xf numFmtId="0" fontId="76" fillId="5" borderId="104" xfId="0" applyFont="1" applyFill="1" applyBorder="1" applyAlignment="1" applyProtection="1">
      <alignment horizontal="center"/>
      <protection locked="0"/>
    </xf>
    <xf numFmtId="0" fontId="76" fillId="5" borderId="106" xfId="0" applyFont="1" applyFill="1" applyBorder="1" applyAlignment="1" applyProtection="1">
      <alignment horizontal="center"/>
      <protection locked="0"/>
    </xf>
    <xf numFmtId="14" fontId="76" fillId="0" borderId="83" xfId="0" applyNumberFormat="1" applyFont="1" applyBorder="1" applyAlignment="1" applyProtection="1">
      <alignment horizontal="center"/>
      <protection locked="0"/>
    </xf>
    <xf numFmtId="0" fontId="80" fillId="5" borderId="0" xfId="0" applyFont="1" applyFill="1" applyAlignment="1">
      <alignment horizontal="center"/>
    </xf>
    <xf numFmtId="0" fontId="80" fillId="5" borderId="107" xfId="0" applyFont="1" applyFill="1" applyBorder="1" applyAlignment="1">
      <alignment horizontal="center"/>
    </xf>
    <xf numFmtId="0" fontId="82" fillId="5" borderId="103" xfId="0" applyFont="1" applyFill="1" applyBorder="1" applyAlignment="1">
      <alignment horizontal="center"/>
    </xf>
    <xf numFmtId="0" fontId="82" fillId="5" borderId="0" xfId="0" applyFont="1" applyFill="1" applyAlignment="1">
      <alignment horizontal="center"/>
    </xf>
    <xf numFmtId="0" fontId="76" fillId="5" borderId="0" xfId="0" applyFont="1" applyFill="1" applyAlignment="1" applyProtection="1">
      <alignment horizontal="center"/>
      <protection locked="0"/>
    </xf>
    <xf numFmtId="0" fontId="80" fillId="5" borderId="0" xfId="0" applyFont="1" applyFill="1" applyAlignment="1" applyProtection="1">
      <alignment horizontal="center"/>
      <protection locked="0"/>
    </xf>
    <xf numFmtId="0" fontId="82" fillId="5" borderId="103" xfId="0" applyFont="1" applyFill="1" applyBorder="1" applyAlignment="1">
      <alignment horizontal="center" vertical="center"/>
    </xf>
    <xf numFmtId="0" fontId="82" fillId="5" borderId="0" xfId="0" applyFont="1" applyFill="1" applyAlignment="1">
      <alignment horizontal="center" vertical="center"/>
    </xf>
    <xf numFmtId="0" fontId="100" fillId="64" borderId="91" xfId="0" applyFont="1" applyFill="1" applyBorder="1" applyAlignment="1" applyProtection="1">
      <alignment horizontal="center"/>
      <protection locked="0"/>
    </xf>
    <xf numFmtId="0" fontId="77" fillId="5" borderId="91" xfId="0" applyFont="1" applyFill="1" applyBorder="1" applyAlignment="1">
      <alignment horizontal="center" vertical="center" wrapText="1"/>
    </xf>
    <xf numFmtId="9" fontId="76" fillId="7" borderId="91" xfId="0" applyNumberFormat="1" applyFont="1" applyFill="1" applyBorder="1" applyAlignment="1">
      <alignment horizontal="center" vertical="center"/>
    </xf>
    <xf numFmtId="0" fontId="100" fillId="63" borderId="91" xfId="0" applyFont="1" applyFill="1" applyBorder="1" applyAlignment="1" applyProtection="1">
      <alignment horizontal="center" vertical="center"/>
      <protection locked="0"/>
    </xf>
    <xf numFmtId="0" fontId="76" fillId="7" borderId="91" xfId="0" applyFont="1" applyFill="1" applyBorder="1" applyAlignment="1">
      <alignment horizontal="center" vertical="center"/>
    </xf>
    <xf numFmtId="0" fontId="77" fillId="5" borderId="100" xfId="0" applyFont="1" applyFill="1" applyBorder="1" applyAlignment="1" applyProtection="1">
      <alignment horizontal="center"/>
      <protection locked="0"/>
    </xf>
    <xf numFmtId="0" fontId="77" fillId="5" borderId="101" xfId="0" applyFont="1" applyFill="1" applyBorder="1" applyAlignment="1" applyProtection="1">
      <alignment horizontal="center"/>
      <protection locked="0"/>
    </xf>
    <xf numFmtId="0" fontId="77" fillId="5" borderId="102" xfId="0" applyFont="1" applyFill="1" applyBorder="1" applyAlignment="1" applyProtection="1">
      <alignment horizontal="center"/>
      <protection locked="0"/>
    </xf>
    <xf numFmtId="0" fontId="78" fillId="2" borderId="1" xfId="0" applyFont="1" applyFill="1" applyBorder="1" applyAlignment="1" applyProtection="1">
      <alignment horizontal="center"/>
      <protection locked="0"/>
    </xf>
    <xf numFmtId="0" fontId="76" fillId="0" borderId="114" xfId="0" applyFont="1" applyBorder="1" applyAlignment="1">
      <alignment horizontal="center"/>
    </xf>
    <xf numFmtId="0" fontId="76" fillId="2" borderId="110" xfId="0" applyFont="1" applyFill="1" applyBorder="1" applyAlignment="1" applyProtection="1">
      <alignment horizontal="center"/>
      <protection locked="0"/>
    </xf>
    <xf numFmtId="0" fontId="76" fillId="2" borderId="1" xfId="0" applyFont="1" applyFill="1" applyBorder="1" applyAlignment="1" applyProtection="1">
      <alignment horizontal="center"/>
      <protection locked="0"/>
    </xf>
    <xf numFmtId="0" fontId="76" fillId="2" borderId="7" xfId="0" applyFont="1" applyFill="1" applyBorder="1" applyAlignment="1" applyProtection="1">
      <alignment horizontal="center"/>
      <protection locked="0"/>
    </xf>
    <xf numFmtId="0" fontId="78" fillId="6" borderId="85" xfId="0" applyFont="1" applyFill="1" applyBorder="1" applyAlignment="1" applyProtection="1">
      <alignment horizontal="left"/>
      <protection locked="0"/>
    </xf>
    <xf numFmtId="0" fontId="78" fillId="6" borderId="87" xfId="0" applyFont="1" applyFill="1" applyBorder="1" applyAlignment="1" applyProtection="1">
      <alignment horizontal="left"/>
      <protection locked="0"/>
    </xf>
    <xf numFmtId="0" fontId="79" fillId="5" borderId="111" xfId="0" applyFont="1" applyFill="1" applyBorder="1" applyAlignment="1" applyProtection="1">
      <alignment horizontal="center"/>
      <protection locked="0"/>
    </xf>
    <xf numFmtId="0" fontId="79" fillId="5" borderId="112" xfId="0" applyFont="1" applyFill="1" applyBorder="1" applyAlignment="1" applyProtection="1">
      <alignment horizontal="center"/>
      <protection locked="0"/>
    </xf>
    <xf numFmtId="0" fontId="79" fillId="5" borderId="113" xfId="0" applyFont="1" applyFill="1" applyBorder="1" applyAlignment="1" applyProtection="1">
      <alignment horizontal="center"/>
      <protection locked="0"/>
    </xf>
    <xf numFmtId="1" fontId="76" fillId="2" borderId="7" xfId="0" applyNumberFormat="1" applyFont="1" applyFill="1" applyBorder="1" applyAlignment="1">
      <alignment horizontal="center"/>
    </xf>
    <xf numFmtId="1" fontId="76" fillId="2" borderId="69" xfId="0" applyNumberFormat="1" applyFont="1" applyFill="1" applyBorder="1" applyAlignment="1">
      <alignment horizontal="center"/>
    </xf>
    <xf numFmtId="0" fontId="78" fillId="6" borderId="83" xfId="0" applyFont="1" applyFill="1" applyBorder="1" applyAlignment="1" applyProtection="1">
      <alignment horizontal="left"/>
      <protection locked="0"/>
    </xf>
    <xf numFmtId="15" fontId="76" fillId="0" borderId="83" xfId="0" applyNumberFormat="1" applyFont="1" applyBorder="1" applyAlignment="1" applyProtection="1">
      <alignment horizontal="center"/>
      <protection locked="0"/>
    </xf>
    <xf numFmtId="15" fontId="76" fillId="0" borderId="109" xfId="0" applyNumberFormat="1" applyFont="1" applyBorder="1" applyAlignment="1" applyProtection="1">
      <alignment horizontal="center"/>
      <protection locked="0"/>
    </xf>
    <xf numFmtId="0" fontId="76" fillId="2" borderId="69" xfId="0" applyFont="1" applyFill="1" applyBorder="1" applyAlignment="1" applyProtection="1">
      <alignment horizontal="center"/>
      <protection locked="0"/>
    </xf>
    <xf numFmtId="0" fontId="76" fillId="6" borderId="59" xfId="0" applyFont="1" applyFill="1" applyBorder="1" applyAlignment="1" applyProtection="1">
      <alignment horizontal="center"/>
      <protection locked="0"/>
    </xf>
    <xf numFmtId="0" fontId="76" fillId="6" borderId="6" xfId="0" applyFont="1" applyFill="1" applyBorder="1" applyAlignment="1" applyProtection="1">
      <alignment horizontal="center"/>
      <protection locked="0"/>
    </xf>
    <xf numFmtId="0" fontId="102" fillId="66" borderId="91" xfId="0" applyFont="1" applyFill="1" applyBorder="1" applyAlignment="1" applyProtection="1">
      <alignment horizontal="center"/>
      <protection locked="0"/>
    </xf>
    <xf numFmtId="0" fontId="78" fillId="2" borderId="110" xfId="0" applyFont="1" applyFill="1" applyBorder="1" applyAlignment="1" applyProtection="1">
      <alignment horizontal="center"/>
      <protection locked="0"/>
    </xf>
    <xf numFmtId="0" fontId="78" fillId="2" borderId="7" xfId="0" applyFont="1" applyFill="1" applyBorder="1" applyAlignment="1" applyProtection="1">
      <alignment horizontal="center"/>
      <protection locked="0"/>
    </xf>
    <xf numFmtId="0" fontId="76" fillId="5" borderId="105" xfId="0" applyFont="1" applyFill="1" applyBorder="1" applyAlignment="1" applyProtection="1">
      <alignment horizontal="center"/>
      <protection locked="0"/>
    </xf>
    <xf numFmtId="0" fontId="76" fillId="5" borderId="107" xfId="0" applyFont="1" applyFill="1" applyBorder="1" applyAlignment="1" applyProtection="1">
      <alignment horizontal="center"/>
      <protection locked="0"/>
    </xf>
    <xf numFmtId="10" fontId="76" fillId="2" borderId="7" xfId="0" applyNumberFormat="1" applyFont="1" applyFill="1" applyBorder="1" applyAlignment="1">
      <alignment horizontal="center"/>
    </xf>
    <xf numFmtId="10" fontId="76" fillId="2" borderId="69" xfId="0" applyNumberFormat="1" applyFont="1" applyFill="1" applyBorder="1" applyAlignment="1">
      <alignment horizontal="center"/>
    </xf>
    <xf numFmtId="1" fontId="76" fillId="2" borderId="7" xfId="0" applyNumberFormat="1" applyFont="1" applyFill="1" applyBorder="1" applyAlignment="1" applyProtection="1">
      <alignment horizontal="center"/>
      <protection locked="0"/>
    </xf>
    <xf numFmtId="1" fontId="76" fillId="2" borderId="69" xfId="0" applyNumberFormat="1" applyFont="1" applyFill="1" applyBorder="1" applyAlignment="1" applyProtection="1">
      <alignment horizontal="center"/>
      <protection locked="0"/>
    </xf>
    <xf numFmtId="14" fontId="76" fillId="0" borderId="0" xfId="0" applyNumberFormat="1" applyFont="1" applyAlignment="1" applyProtection="1">
      <alignment horizontal="center"/>
      <protection locked="0"/>
    </xf>
    <xf numFmtId="0" fontId="84" fillId="0" borderId="85" xfId="0" applyFont="1" applyBorder="1" applyAlignment="1">
      <alignment horizontal="center"/>
    </xf>
    <xf numFmtId="0" fontId="84" fillId="0" borderId="87" xfId="0" applyFont="1" applyBorder="1" applyAlignment="1">
      <alignment horizontal="center"/>
    </xf>
    <xf numFmtId="15" fontId="76" fillId="0" borderId="85" xfId="0" applyNumberFormat="1" applyFont="1" applyBorder="1" applyAlignment="1" applyProtection="1">
      <alignment horizontal="center"/>
      <protection locked="0"/>
    </xf>
    <xf numFmtId="15" fontId="76" fillId="0" borderId="90" xfId="0" applyNumberFormat="1" applyFont="1" applyBorder="1" applyAlignment="1" applyProtection="1">
      <alignment horizontal="center"/>
      <protection locked="0"/>
    </xf>
    <xf numFmtId="15" fontId="76" fillId="0" borderId="117" xfId="0" applyNumberFormat="1" applyFont="1" applyBorder="1" applyAlignment="1" applyProtection="1">
      <alignment horizontal="center"/>
      <protection locked="0"/>
    </xf>
    <xf numFmtId="0" fontId="81" fillId="5" borderId="103" xfId="0" applyFont="1" applyFill="1" applyBorder="1" applyAlignment="1">
      <alignment horizontal="center" vertical="center"/>
    </xf>
    <xf numFmtId="0" fontId="81" fillId="5" borderId="0" xfId="0" applyFont="1" applyFill="1" applyAlignment="1">
      <alignment horizontal="center" vertical="center"/>
    </xf>
    <xf numFmtId="0" fontId="81" fillId="5" borderId="104" xfId="0" applyFont="1" applyFill="1" applyBorder="1" applyAlignment="1">
      <alignment horizontal="center" vertical="center"/>
    </xf>
    <xf numFmtId="0" fontId="79" fillId="5" borderId="103" xfId="0" applyFont="1" applyFill="1" applyBorder="1" applyAlignment="1">
      <alignment horizontal="center"/>
    </xf>
    <xf numFmtId="0" fontId="79" fillId="5" borderId="0" xfId="0" applyFont="1" applyFill="1" applyAlignment="1">
      <alignment horizontal="center"/>
    </xf>
    <xf numFmtId="0" fontId="79" fillId="5" borderId="104" xfId="0" applyFont="1" applyFill="1" applyBorder="1" applyAlignment="1">
      <alignment horizontal="center"/>
    </xf>
    <xf numFmtId="0" fontId="101" fillId="65" borderId="91" xfId="0" applyFont="1" applyFill="1" applyBorder="1" applyAlignment="1">
      <alignment horizontal="center"/>
    </xf>
    <xf numFmtId="0" fontId="76" fillId="5" borderId="118" xfId="0" applyFont="1" applyFill="1" applyBorder="1" applyAlignment="1" applyProtection="1">
      <alignment horizontal="center"/>
      <protection locked="0"/>
    </xf>
    <xf numFmtId="0" fontId="76" fillId="5" borderId="119" xfId="0" applyFont="1" applyFill="1" applyBorder="1" applyAlignment="1" applyProtection="1">
      <alignment horizontal="center"/>
      <protection locked="0"/>
    </xf>
    <xf numFmtId="15" fontId="76" fillId="0" borderId="120" xfId="0" applyNumberFormat="1" applyFont="1" applyBorder="1" applyAlignment="1" applyProtection="1">
      <alignment horizontal="center"/>
      <protection locked="0"/>
    </xf>
    <xf numFmtId="15" fontId="76" fillId="0" borderId="121" xfId="0" applyNumberFormat="1" applyFont="1" applyBorder="1" applyAlignment="1" applyProtection="1">
      <alignment horizontal="center"/>
      <protection locked="0"/>
    </xf>
    <xf numFmtId="15" fontId="76" fillId="0" borderId="122" xfId="0" applyNumberFormat="1" applyFont="1" applyBorder="1" applyAlignment="1" applyProtection="1">
      <alignment horizontal="center"/>
      <protection locked="0"/>
    </xf>
    <xf numFmtId="0" fontId="78" fillId="6" borderId="120" xfId="0" applyFont="1" applyFill="1" applyBorder="1" applyAlignment="1" applyProtection="1">
      <alignment horizontal="left"/>
      <protection locked="0"/>
    </xf>
    <xf numFmtId="0" fontId="78" fillId="6" borderId="123" xfId="0" applyFont="1" applyFill="1" applyBorder="1" applyAlignment="1" applyProtection="1">
      <alignment horizontal="left"/>
      <protection locked="0"/>
    </xf>
    <xf numFmtId="0" fontId="90" fillId="78" borderId="0" xfId="0" applyFont="1" applyFill="1" applyAlignment="1">
      <alignment horizontal="center" vertical="center"/>
    </xf>
    <xf numFmtId="0" fontId="90" fillId="78" borderId="13" xfId="0" applyFont="1" applyFill="1" applyBorder="1" applyAlignment="1">
      <alignment horizontal="center" vertical="center"/>
    </xf>
    <xf numFmtId="0" fontId="44" fillId="49" borderId="12" xfId="0" applyFont="1" applyFill="1" applyBorder="1" applyAlignment="1">
      <alignment horizontal="center" vertical="center" wrapText="1"/>
    </xf>
    <xf numFmtId="0" fontId="44" fillId="49" borderId="9" xfId="0" applyFont="1" applyFill="1" applyBorder="1" applyAlignment="1">
      <alignment horizontal="center" vertical="center" wrapText="1"/>
    </xf>
    <xf numFmtId="0" fontId="44" fillId="49" borderId="3" xfId="0" applyFont="1" applyFill="1" applyBorder="1" applyAlignment="1">
      <alignment horizontal="center" vertical="center" wrapText="1"/>
    </xf>
    <xf numFmtId="0" fontId="44" fillId="49" borderId="10" xfId="0" applyFont="1" applyFill="1" applyBorder="1" applyAlignment="1">
      <alignment horizontal="center" vertical="center" wrapText="1"/>
    </xf>
    <xf numFmtId="0" fontId="44" fillId="49" borderId="13" xfId="0" applyFont="1" applyFill="1" applyBorder="1" applyAlignment="1">
      <alignment horizontal="center" vertical="center" wrapText="1"/>
    </xf>
    <xf numFmtId="0" fontId="44" fillId="49" borderId="5" xfId="0" applyFont="1" applyFill="1" applyBorder="1" applyAlignment="1">
      <alignment horizontal="center" vertical="center" wrapText="1"/>
    </xf>
    <xf numFmtId="0" fontId="6" fillId="5" borderId="1" xfId="0" applyFont="1" applyFill="1" applyBorder="1" applyAlignment="1" applyProtection="1">
      <alignment horizontal="center" vertical="center" wrapText="1"/>
      <protection locked="0"/>
    </xf>
    <xf numFmtId="0" fontId="6" fillId="5" borderId="4" xfId="0" applyFont="1" applyFill="1" applyBorder="1" applyAlignment="1" applyProtection="1">
      <alignment horizontal="center" vertical="center" wrapText="1"/>
      <protection locked="0"/>
    </xf>
    <xf numFmtId="0" fontId="6" fillId="5" borderId="31" xfId="0" applyFont="1" applyFill="1" applyBorder="1" applyAlignment="1">
      <alignment horizontal="center" wrapText="1"/>
    </xf>
    <xf numFmtId="0" fontId="6" fillId="5" borderId="0" xfId="0" applyFont="1" applyFill="1" applyAlignment="1">
      <alignment horizontal="center" wrapText="1"/>
    </xf>
    <xf numFmtId="0" fontId="6" fillId="5" borderId="31" xfId="0" applyFont="1" applyFill="1" applyBorder="1" applyAlignment="1">
      <alignment horizontal="center" vertical="center" wrapText="1"/>
    </xf>
    <xf numFmtId="0" fontId="6" fillId="5" borderId="0" xfId="0" applyFont="1" applyFill="1" applyAlignment="1">
      <alignment horizontal="center" vertical="center" wrapText="1"/>
    </xf>
    <xf numFmtId="0" fontId="6" fillId="5" borderId="91" xfId="0" applyFont="1" applyFill="1" applyBorder="1" applyAlignment="1">
      <alignment horizontal="center" wrapText="1"/>
    </xf>
    <xf numFmtId="0" fontId="6" fillId="39" borderId="91" xfId="0" applyFont="1" applyFill="1" applyBorder="1" applyAlignment="1">
      <alignment horizontal="center" vertical="center" wrapText="1"/>
    </xf>
    <xf numFmtId="0" fontId="0" fillId="7" borderId="31" xfId="0" applyFill="1" applyBorder="1" applyAlignment="1" applyProtection="1">
      <alignment horizontal="left" vertical="top" wrapText="1"/>
      <protection locked="0"/>
    </xf>
    <xf numFmtId="0" fontId="0" fillId="7" borderId="32" xfId="0" applyFill="1" applyBorder="1" applyAlignment="1" applyProtection="1">
      <alignment horizontal="left" vertical="top" wrapText="1"/>
      <protection locked="0"/>
    </xf>
    <xf numFmtId="0" fontId="0" fillId="7" borderId="36" xfId="0" applyFill="1" applyBorder="1" applyAlignment="1" applyProtection="1">
      <alignment horizontal="left" vertical="top" wrapText="1"/>
      <protection locked="0"/>
    </xf>
    <xf numFmtId="0" fontId="6" fillId="5" borderId="6" xfId="0" applyFont="1" applyFill="1" applyBorder="1" applyAlignment="1" applyProtection="1">
      <alignment horizontal="center" vertical="center" wrapText="1"/>
      <protection locked="0"/>
    </xf>
    <xf numFmtId="0" fontId="6" fillId="5" borderId="3" xfId="0" applyFont="1" applyFill="1" applyBorder="1" applyAlignment="1" applyProtection="1">
      <alignment horizontal="center" vertical="center" wrapText="1"/>
      <protection locked="0"/>
    </xf>
    <xf numFmtId="0" fontId="54" fillId="0" borderId="33" xfId="0" applyFont="1" applyBorder="1" applyAlignment="1" applyProtection="1">
      <alignment horizontal="left" vertical="center" wrapText="1"/>
      <protection locked="0"/>
    </xf>
    <xf numFmtId="0" fontId="54" fillId="0" borderId="31" xfId="0" applyFont="1" applyBorder="1" applyAlignment="1" applyProtection="1">
      <alignment horizontal="left" vertical="center" wrapText="1"/>
      <protection locked="0"/>
    </xf>
    <xf numFmtId="0" fontId="54" fillId="0" borderId="31" xfId="0" applyFont="1" applyBorder="1" applyAlignment="1" applyProtection="1">
      <alignment horizontal="left" vertical="center"/>
      <protection locked="0"/>
    </xf>
    <xf numFmtId="0" fontId="54" fillId="0" borderId="91" xfId="0" applyFont="1" applyBorder="1" applyAlignment="1" applyProtection="1">
      <alignment horizontal="left" vertical="center"/>
      <protection locked="0"/>
    </xf>
    <xf numFmtId="0" fontId="1" fillId="7" borderId="83" xfId="0" applyFont="1" applyFill="1" applyBorder="1" applyAlignment="1">
      <alignment horizontal="center" vertical="center"/>
    </xf>
    <xf numFmtId="164" fontId="71" fillId="7" borderId="83" xfId="1" applyNumberFormat="1" applyFont="1" applyFill="1" applyBorder="1" applyAlignment="1" applyProtection="1">
      <alignment horizontal="center" vertical="center"/>
      <protection locked="0"/>
    </xf>
    <xf numFmtId="164" fontId="66" fillId="7" borderId="83" xfId="1" applyNumberFormat="1" applyFont="1" applyFill="1" applyBorder="1" applyAlignment="1" applyProtection="1">
      <alignment horizontal="center" vertical="center"/>
      <protection locked="0"/>
    </xf>
    <xf numFmtId="164" fontId="73" fillId="45" borderId="98" xfId="1" applyNumberFormat="1" applyFont="1" applyFill="1" applyBorder="1" applyAlignment="1" applyProtection="1">
      <alignment horizontal="center" vertical="center"/>
      <protection locked="0"/>
    </xf>
    <xf numFmtId="164" fontId="73" fillId="45" borderId="0" xfId="1" applyNumberFormat="1" applyFont="1" applyFill="1" applyBorder="1" applyAlignment="1" applyProtection="1">
      <alignment horizontal="center" vertical="center"/>
      <protection locked="0"/>
    </xf>
    <xf numFmtId="164" fontId="73" fillId="45" borderId="95" xfId="1" applyNumberFormat="1" applyFont="1" applyFill="1" applyBorder="1" applyAlignment="1" applyProtection="1">
      <alignment horizontal="center" vertical="center"/>
      <protection locked="0"/>
    </xf>
    <xf numFmtId="164" fontId="73" fillId="45" borderId="96" xfId="1" applyNumberFormat="1" applyFont="1" applyFill="1" applyBorder="1" applyAlignment="1" applyProtection="1">
      <alignment horizontal="center" vertical="center"/>
      <protection locked="0"/>
    </xf>
    <xf numFmtId="0" fontId="1" fillId="2" borderId="83" xfId="0" applyFont="1" applyFill="1" applyBorder="1" applyAlignment="1">
      <alignment horizontal="center"/>
    </xf>
    <xf numFmtId="14" fontId="1" fillId="2" borderId="83" xfId="0" applyNumberFormat="1" applyFont="1" applyFill="1" applyBorder="1" applyAlignment="1">
      <alignment horizontal="center"/>
    </xf>
    <xf numFmtId="0" fontId="8" fillId="5" borderId="83" xfId="0" applyFont="1" applyFill="1" applyBorder="1" applyAlignment="1" applyProtection="1">
      <alignment horizontal="center" vertical="center" wrapText="1"/>
      <protection locked="0"/>
    </xf>
    <xf numFmtId="0" fontId="1" fillId="2" borderId="83" xfId="0" applyFont="1" applyFill="1" applyBorder="1" applyAlignment="1" applyProtection="1">
      <alignment horizontal="center"/>
      <protection locked="0"/>
    </xf>
    <xf numFmtId="164" fontId="69" fillId="7" borderId="90" xfId="1" applyNumberFormat="1" applyFont="1" applyFill="1" applyBorder="1" applyAlignment="1" applyProtection="1">
      <alignment horizontal="center" vertical="center"/>
      <protection locked="0"/>
    </xf>
    <xf numFmtId="164" fontId="69" fillId="7" borderId="87" xfId="1" applyNumberFormat="1" applyFont="1" applyFill="1" applyBorder="1" applyAlignment="1" applyProtection="1">
      <alignment horizontal="center" vertical="center"/>
      <protection locked="0"/>
    </xf>
    <xf numFmtId="164" fontId="69" fillId="57" borderId="83" xfId="44" applyNumberFormat="1" applyFont="1" applyFill="1" applyBorder="1" applyAlignment="1" applyProtection="1">
      <alignment horizontal="center" vertical="center" wrapText="1"/>
      <protection locked="0"/>
    </xf>
    <xf numFmtId="0" fontId="2" fillId="58" borderId="85" xfId="0" applyFont="1" applyFill="1" applyBorder="1" applyAlignment="1">
      <alignment horizontal="center" vertical="center"/>
    </xf>
    <xf numFmtId="164" fontId="69" fillId="7" borderId="85" xfId="1" applyNumberFormat="1" applyFont="1" applyFill="1" applyBorder="1" applyAlignment="1" applyProtection="1">
      <alignment horizontal="center" vertical="center"/>
      <protection locked="0"/>
    </xf>
    <xf numFmtId="164" fontId="69" fillId="57" borderId="88" xfId="1" applyNumberFormat="1" applyFont="1" applyFill="1" applyBorder="1" applyAlignment="1" applyProtection="1">
      <alignment horizontal="center" vertical="center" wrapText="1"/>
      <protection locked="0"/>
    </xf>
    <xf numFmtId="164" fontId="69" fillId="57" borderId="89" xfId="1" applyNumberFormat="1" applyFont="1" applyFill="1" applyBorder="1" applyAlignment="1" applyProtection="1">
      <alignment horizontal="center" vertical="center" wrapText="1"/>
      <protection locked="0"/>
    </xf>
    <xf numFmtId="164" fontId="114" fillId="60" borderId="88" xfId="1" applyNumberFormat="1" applyFont="1" applyFill="1" applyBorder="1" applyAlignment="1" applyProtection="1">
      <alignment horizontal="center" vertical="center" wrapText="1"/>
      <protection locked="0"/>
    </xf>
    <xf numFmtId="164" fontId="114" fillId="60" borderId="89" xfId="1" applyNumberFormat="1" applyFont="1" applyFill="1" applyBorder="1" applyAlignment="1" applyProtection="1">
      <alignment horizontal="center" vertical="center" wrapText="1"/>
      <protection locked="0"/>
    </xf>
    <xf numFmtId="164" fontId="69" fillId="57" borderId="83" xfId="1" applyNumberFormat="1" applyFont="1" applyFill="1" applyBorder="1" applyAlignment="1" applyProtection="1">
      <alignment horizontal="center" vertical="center"/>
      <protection locked="0"/>
    </xf>
    <xf numFmtId="164" fontId="69" fillId="57" borderId="85" xfId="1" applyNumberFormat="1" applyFont="1" applyFill="1" applyBorder="1" applyAlignment="1" applyProtection="1">
      <alignment horizontal="center" vertical="center"/>
      <protection locked="0"/>
    </xf>
    <xf numFmtId="164" fontId="70" fillId="58" borderId="85" xfId="1" applyNumberFormat="1" applyFont="1" applyFill="1" applyBorder="1" applyAlignment="1" applyProtection="1">
      <alignment horizontal="center" vertical="center"/>
      <protection locked="0"/>
    </xf>
    <xf numFmtId="164" fontId="70" fillId="58" borderId="87" xfId="1" applyNumberFormat="1" applyFont="1" applyFill="1" applyBorder="1" applyAlignment="1" applyProtection="1">
      <alignment horizontal="center" vertical="center"/>
      <protection locked="0"/>
    </xf>
    <xf numFmtId="0" fontId="1" fillId="7" borderId="85" xfId="0" applyFont="1" applyFill="1" applyBorder="1" applyAlignment="1">
      <alignment horizontal="center" vertical="center"/>
    </xf>
    <xf numFmtId="164" fontId="114" fillId="60" borderId="84" xfId="1" applyNumberFormat="1" applyFont="1" applyFill="1" applyBorder="1" applyAlignment="1" applyProtection="1">
      <alignment horizontal="center" vertical="center" wrapText="1"/>
      <protection locked="0"/>
    </xf>
    <xf numFmtId="164" fontId="69" fillId="60" borderId="88" xfId="1" applyNumberFormat="1" applyFont="1" applyFill="1" applyBorder="1" applyAlignment="1" applyProtection="1">
      <alignment horizontal="center" vertical="center" wrapText="1"/>
      <protection locked="0"/>
    </xf>
    <xf numFmtId="164" fontId="69" fillId="60" borderId="89" xfId="1" applyNumberFormat="1" applyFont="1" applyFill="1" applyBorder="1" applyAlignment="1" applyProtection="1">
      <alignment horizontal="center" vertical="center" wrapText="1"/>
      <protection locked="0"/>
    </xf>
    <xf numFmtId="164" fontId="69" fillId="44" borderId="85" xfId="1" applyNumberFormat="1" applyFont="1" applyFill="1" applyBorder="1" applyAlignment="1" applyProtection="1">
      <alignment horizontal="center" vertical="center"/>
      <protection locked="0"/>
    </xf>
    <xf numFmtId="164" fontId="69" fillId="44" borderId="90" xfId="1" applyNumberFormat="1" applyFont="1" applyFill="1" applyBorder="1" applyAlignment="1" applyProtection="1">
      <alignment horizontal="center" vertical="center"/>
      <protection locked="0"/>
    </xf>
    <xf numFmtId="164" fontId="69" fillId="44" borderId="87" xfId="1" applyNumberFormat="1" applyFont="1" applyFill="1" applyBorder="1" applyAlignment="1" applyProtection="1">
      <alignment horizontal="center" vertical="center"/>
      <protection locked="0"/>
    </xf>
    <xf numFmtId="0" fontId="1" fillId="2" borderId="85" xfId="0" applyFont="1" applyFill="1" applyBorder="1" applyAlignment="1">
      <alignment horizontal="center"/>
    </xf>
    <xf numFmtId="0" fontId="1" fillId="2" borderId="87" xfId="0" applyFont="1" applyFill="1" applyBorder="1" applyAlignment="1">
      <alignment horizontal="center"/>
    </xf>
    <xf numFmtId="0" fontId="6" fillId="5" borderId="83" xfId="0" applyFont="1" applyFill="1" applyBorder="1" applyAlignment="1">
      <alignment horizontal="center"/>
    </xf>
    <xf numFmtId="0" fontId="6" fillId="5" borderId="85" xfId="0" applyFont="1" applyFill="1" applyBorder="1" applyAlignment="1">
      <alignment horizontal="center"/>
    </xf>
    <xf numFmtId="0" fontId="64" fillId="56" borderId="83" xfId="0" applyFont="1" applyFill="1" applyBorder="1" applyAlignment="1">
      <alignment horizontal="center"/>
    </xf>
    <xf numFmtId="14" fontId="1" fillId="0" borderId="83" xfId="0" applyNumberFormat="1" applyFont="1" applyBorder="1" applyAlignment="1">
      <alignment horizontal="center"/>
    </xf>
    <xf numFmtId="164" fontId="69" fillId="60" borderId="83" xfId="1" applyNumberFormat="1" applyFont="1" applyFill="1" applyBorder="1" applyAlignment="1" applyProtection="1">
      <alignment horizontal="center" vertical="center"/>
      <protection locked="0"/>
    </xf>
    <xf numFmtId="164" fontId="69" fillId="44" borderId="0" xfId="1" applyNumberFormat="1" applyFont="1" applyFill="1" applyBorder="1" applyAlignment="1" applyProtection="1">
      <alignment horizontal="center" vertical="center"/>
      <protection locked="0"/>
    </xf>
    <xf numFmtId="164" fontId="69" fillId="44" borderId="96" xfId="1" applyNumberFormat="1" applyFont="1" applyFill="1" applyBorder="1" applyAlignment="1" applyProtection="1">
      <alignment horizontal="center" vertical="center"/>
      <protection locked="0"/>
    </xf>
    <xf numFmtId="0" fontId="110" fillId="5" borderId="83" xfId="0" applyFont="1" applyFill="1" applyBorder="1" applyAlignment="1">
      <alignment horizontal="center" vertical="center" wrapText="1"/>
    </xf>
    <xf numFmtId="0" fontId="50" fillId="5" borderId="83" xfId="0" applyFont="1" applyFill="1" applyBorder="1" applyAlignment="1">
      <alignment horizontal="center" vertical="center"/>
    </xf>
    <xf numFmtId="0" fontId="6" fillId="39" borderId="64" xfId="0" applyFont="1" applyFill="1" applyBorder="1" applyAlignment="1" applyProtection="1">
      <alignment horizontal="center" vertical="center" wrapText="1"/>
      <protection locked="0"/>
    </xf>
    <xf numFmtId="0" fontId="6" fillId="39" borderId="37" xfId="0" applyFont="1" applyFill="1" applyBorder="1" applyAlignment="1" applyProtection="1">
      <alignment horizontal="center" vertical="center" wrapText="1"/>
      <protection locked="0"/>
    </xf>
    <xf numFmtId="0" fontId="54" fillId="0" borderId="0" xfId="0" applyFont="1" applyAlignment="1">
      <alignment horizontal="left" vertical="center"/>
    </xf>
    <xf numFmtId="0" fontId="0" fillId="2" borderId="1" xfId="0" applyFill="1" applyBorder="1" applyAlignment="1">
      <alignment horizontal="center"/>
    </xf>
    <xf numFmtId="0" fontId="6" fillId="5" borderId="11" xfId="0" applyFont="1" applyFill="1" applyBorder="1" applyAlignment="1" applyProtection="1">
      <alignment horizontal="center" vertical="center" wrapText="1"/>
      <protection locked="0"/>
    </xf>
    <xf numFmtId="0" fontId="6" fillId="5" borderId="0" xfId="0" applyFont="1" applyFill="1" applyAlignment="1" applyProtection="1">
      <alignment horizontal="center" vertical="center" wrapText="1"/>
      <protection locked="0"/>
    </xf>
    <xf numFmtId="0" fontId="0" fillId="2" borderId="28" xfId="0" applyFill="1" applyBorder="1" applyAlignment="1" applyProtection="1">
      <alignment horizontal="center"/>
      <protection locked="0"/>
    </xf>
    <xf numFmtId="0" fontId="54" fillId="0" borderId="44" xfId="0" applyFont="1" applyBorder="1" applyAlignment="1">
      <alignment horizontal="center" vertical="center" wrapText="1"/>
    </xf>
    <xf numFmtId="0" fontId="54" fillId="0" borderId="0" xfId="0" applyFont="1" applyAlignment="1">
      <alignment horizontal="center" vertical="center" wrapText="1"/>
    </xf>
    <xf numFmtId="0" fontId="6" fillId="5" borderId="31" xfId="0" applyFont="1" applyFill="1" applyBorder="1" applyAlignment="1" applyProtection="1">
      <alignment horizontal="center" wrapText="1"/>
      <protection locked="0"/>
    </xf>
    <xf numFmtId="0" fontId="6" fillId="5" borderId="0" xfId="0" applyFont="1" applyFill="1" applyAlignment="1" applyProtection="1">
      <alignment horizontal="center" wrapText="1"/>
      <protection locked="0"/>
    </xf>
    <xf numFmtId="0" fontId="6" fillId="5" borderId="31" xfId="0" applyFont="1" applyFill="1" applyBorder="1" applyAlignment="1" applyProtection="1">
      <alignment horizontal="center" vertical="center" wrapText="1"/>
      <protection locked="0"/>
    </xf>
    <xf numFmtId="0" fontId="6" fillId="5" borderId="36" xfId="0" applyFont="1" applyFill="1" applyBorder="1" applyAlignment="1" applyProtection="1">
      <alignment horizontal="center" vertical="center" wrapText="1"/>
      <protection locked="0"/>
    </xf>
    <xf numFmtId="0" fontId="1" fillId="0" borderId="47" xfId="0" applyFont="1" applyBorder="1" applyAlignment="1">
      <alignment horizontal="left" vertical="center"/>
    </xf>
    <xf numFmtId="0" fontId="0" fillId="0" borderId="67" xfId="0" applyBorder="1" applyAlignment="1">
      <alignment horizontal="left" vertical="center" wrapText="1"/>
    </xf>
    <xf numFmtId="0" fontId="0" fillId="0" borderId="39" xfId="0" applyBorder="1" applyAlignment="1">
      <alignment horizontal="left" vertical="center" wrapText="1"/>
    </xf>
    <xf numFmtId="0" fontId="6" fillId="40" borderId="33" xfId="0" applyFont="1" applyFill="1" applyBorder="1" applyAlignment="1">
      <alignment horizontal="center" vertical="center" wrapText="1"/>
    </xf>
    <xf numFmtId="0" fontId="6" fillId="40" borderId="32" xfId="0" applyFont="1" applyFill="1" applyBorder="1" applyAlignment="1">
      <alignment horizontal="center" vertical="center" wrapText="1"/>
    </xf>
    <xf numFmtId="0" fontId="6" fillId="40" borderId="35" xfId="0" applyFont="1" applyFill="1" applyBorder="1" applyAlignment="1">
      <alignment horizontal="center" vertical="center" wrapText="1"/>
    </xf>
    <xf numFmtId="0" fontId="6" fillId="40" borderId="37" xfId="0" applyFont="1" applyFill="1" applyBorder="1" applyAlignment="1">
      <alignment horizontal="center" vertical="center" wrapText="1"/>
    </xf>
    <xf numFmtId="0" fontId="47" fillId="0" borderId="66" xfId="0" applyFont="1" applyBorder="1" applyAlignment="1">
      <alignment vertical="center"/>
    </xf>
    <xf numFmtId="0" fontId="47" fillId="0" borderId="78" xfId="0" applyFont="1" applyBorder="1" applyAlignment="1">
      <alignment vertical="center"/>
    </xf>
    <xf numFmtId="0" fontId="0" fillId="0" borderId="67" xfId="0" applyBorder="1" applyAlignment="1">
      <alignment horizontal="left" wrapText="1"/>
    </xf>
    <xf numFmtId="0" fontId="0" fillId="0" borderId="79" xfId="0" applyBorder="1" applyAlignment="1">
      <alignment horizontal="left"/>
    </xf>
    <xf numFmtId="0" fontId="47" fillId="0" borderId="51" xfId="0" applyFont="1" applyBorder="1" applyAlignment="1">
      <alignment horizontal="left" vertical="top"/>
    </xf>
    <xf numFmtId="0" fontId="47" fillId="0" borderId="60" xfId="0" applyFont="1" applyBorder="1" applyAlignment="1">
      <alignment horizontal="left" vertical="top"/>
    </xf>
    <xf numFmtId="0" fontId="0" fillId="0" borderId="72" xfId="0" applyBorder="1" applyAlignment="1">
      <alignment horizontal="left" vertical="top" wrapText="1"/>
    </xf>
    <xf numFmtId="0" fontId="0" fillId="0" borderId="56" xfId="0" applyBorder="1" applyAlignment="1">
      <alignment horizontal="left" vertical="top"/>
    </xf>
    <xf numFmtId="0" fontId="0" fillId="0" borderId="72" xfId="0" applyBorder="1" applyAlignment="1">
      <alignment vertical="top" wrapText="1"/>
    </xf>
    <xf numFmtId="0" fontId="0" fillId="0" borderId="56" xfId="0" applyBorder="1" applyAlignment="1">
      <alignment vertical="top"/>
    </xf>
    <xf numFmtId="0" fontId="0" fillId="0" borderId="67" xfId="0" applyBorder="1" applyAlignment="1">
      <alignment wrapText="1"/>
    </xf>
    <xf numFmtId="0" fontId="0" fillId="0" borderId="67" xfId="0" applyBorder="1" applyAlignment="1">
      <alignment horizontal="left" vertical="top" wrapText="1"/>
    </xf>
    <xf numFmtId="0" fontId="0" fillId="0" borderId="56" xfId="0" applyBorder="1" applyAlignment="1">
      <alignment horizontal="left" vertical="top" wrapText="1"/>
    </xf>
    <xf numFmtId="0" fontId="61" fillId="2" borderId="0" xfId="0" applyFont="1" applyFill="1" applyAlignment="1">
      <alignment horizontal="center" vertical="center"/>
    </xf>
    <xf numFmtId="0" fontId="55" fillId="2" borderId="0" xfId="0" applyFont="1" applyFill="1" applyAlignment="1">
      <alignment horizontal="center" vertical="center"/>
    </xf>
    <xf numFmtId="0" fontId="118" fillId="81" borderId="85" xfId="0" applyFont="1" applyFill="1" applyBorder="1" applyAlignment="1">
      <alignment horizontal="center"/>
    </xf>
    <xf numFmtId="0" fontId="118" fillId="81" borderId="90" xfId="0" applyFont="1" applyFill="1" applyBorder="1" applyAlignment="1">
      <alignment horizontal="center"/>
    </xf>
    <xf numFmtId="0" fontId="118" fillId="81" borderId="87" xfId="0" applyFont="1" applyFill="1" applyBorder="1" applyAlignment="1">
      <alignment horizontal="center"/>
    </xf>
    <xf numFmtId="16" fontId="118" fillId="81" borderId="85" xfId="0" applyNumberFormat="1" applyFont="1" applyFill="1" applyBorder="1" applyAlignment="1">
      <alignment horizontal="center"/>
    </xf>
    <xf numFmtId="16" fontId="118" fillId="81" borderId="90" xfId="0" applyNumberFormat="1" applyFont="1" applyFill="1" applyBorder="1" applyAlignment="1">
      <alignment horizontal="center"/>
    </xf>
    <xf numFmtId="16" fontId="118" fillId="81" borderId="87" xfId="0" applyNumberFormat="1" applyFont="1" applyFill="1" applyBorder="1" applyAlignment="1">
      <alignment horizontal="center"/>
    </xf>
    <xf numFmtId="0" fontId="124" fillId="7" borderId="85" xfId="0" applyFont="1" applyFill="1" applyBorder="1" applyAlignment="1">
      <alignment horizontal="center" vertical="center"/>
    </xf>
    <xf numFmtId="0" fontId="124" fillId="7" borderId="90" xfId="0" applyFont="1" applyFill="1" applyBorder="1" applyAlignment="1">
      <alignment horizontal="center" vertical="center"/>
    </xf>
    <xf numFmtId="0" fontId="124" fillId="7" borderId="87" xfId="0" applyFont="1" applyFill="1" applyBorder="1" applyAlignment="1">
      <alignment horizontal="center" vertical="center"/>
    </xf>
    <xf numFmtId="0" fontId="0" fillId="0" borderId="83" xfId="0" applyBorder="1" applyAlignment="1">
      <alignment horizontal="center"/>
    </xf>
    <xf numFmtId="0" fontId="117" fillId="83" borderId="85" xfId="0" applyFont="1" applyFill="1" applyBorder="1" applyAlignment="1">
      <alignment horizontal="center" vertical="center"/>
    </xf>
    <xf numFmtId="0" fontId="117" fillId="83" borderId="90" xfId="0" applyFont="1" applyFill="1" applyBorder="1" applyAlignment="1">
      <alignment horizontal="center" vertical="center"/>
    </xf>
    <xf numFmtId="0" fontId="117" fillId="83" borderId="87" xfId="0" applyFont="1" applyFill="1" applyBorder="1" applyAlignment="1">
      <alignment horizontal="center" vertical="center"/>
    </xf>
    <xf numFmtId="0" fontId="0" fillId="0" borderId="84" xfId="0" applyBorder="1" applyAlignment="1">
      <alignment horizontal="center"/>
    </xf>
    <xf numFmtId="0" fontId="0" fillId="0" borderId="89" xfId="0" applyBorder="1" applyAlignment="1">
      <alignment horizontal="center"/>
    </xf>
    <xf numFmtId="0" fontId="124" fillId="7" borderId="83" xfId="0" applyFont="1" applyFill="1" applyBorder="1" applyAlignment="1">
      <alignment horizontal="center" vertical="center"/>
    </xf>
    <xf numFmtId="0" fontId="118" fillId="81" borderId="83" xfId="0" applyFont="1" applyFill="1" applyBorder="1" applyAlignment="1">
      <alignment horizontal="center"/>
    </xf>
    <xf numFmtId="16" fontId="118" fillId="81" borderId="83" xfId="0" applyNumberFormat="1" applyFont="1" applyFill="1" applyBorder="1" applyAlignment="1">
      <alignment horizontal="center"/>
    </xf>
    <xf numFmtId="0" fontId="117" fillId="83" borderId="83" xfId="0" applyFont="1" applyFill="1" applyBorder="1" applyAlignment="1">
      <alignment horizontal="center" vertical="center"/>
    </xf>
    <xf numFmtId="0" fontId="117" fillId="80" borderId="83" xfId="0" applyFont="1" applyFill="1" applyBorder="1" applyAlignment="1">
      <alignment horizontal="center" vertical="center"/>
    </xf>
    <xf numFmtId="0" fontId="117" fillId="80" borderId="7" xfId="0" applyFont="1" applyFill="1" applyBorder="1" applyAlignment="1">
      <alignment vertical="center"/>
    </xf>
    <xf numFmtId="0" fontId="117" fillId="80" borderId="8" xfId="0" applyFont="1" applyFill="1" applyBorder="1" applyAlignment="1">
      <alignment vertical="center"/>
    </xf>
    <xf numFmtId="0" fontId="117" fillId="80" borderId="127" xfId="0" applyFont="1" applyFill="1" applyBorder="1" applyAlignment="1">
      <alignment vertical="center"/>
    </xf>
    <xf numFmtId="0" fontId="121" fillId="0" borderId="131" xfId="0" applyFont="1" applyBorder="1" applyAlignment="1">
      <alignment horizontal="center" vertical="top" wrapText="1"/>
    </xf>
    <xf numFmtId="0" fontId="121" fillId="0" borderId="9" xfId="0" applyFont="1" applyBorder="1" applyAlignment="1">
      <alignment horizontal="center" vertical="top" wrapText="1"/>
    </xf>
    <xf numFmtId="0" fontId="121" fillId="0" borderId="132" xfId="0" applyFont="1" applyBorder="1" applyAlignment="1">
      <alignment horizontal="center" vertical="top" wrapText="1"/>
    </xf>
    <xf numFmtId="0" fontId="121" fillId="0" borderId="133" xfId="0" applyFont="1" applyBorder="1" applyAlignment="1">
      <alignment horizontal="center" vertical="top" wrapText="1"/>
    </xf>
    <xf numFmtId="0" fontId="121" fillId="0" borderId="13" xfId="0" applyFont="1" applyBorder="1" applyAlignment="1">
      <alignment horizontal="center" vertical="top" wrapText="1"/>
    </xf>
    <xf numFmtId="0" fontId="121" fillId="0" borderId="134" xfId="0" applyFont="1" applyBorder="1" applyAlignment="1">
      <alignment horizontal="center" vertical="top" wrapText="1"/>
    </xf>
    <xf numFmtId="0" fontId="117" fillId="80" borderId="85" xfId="0" applyFont="1" applyFill="1" applyBorder="1" applyAlignment="1">
      <alignment horizontal="center" vertical="center"/>
    </xf>
    <xf numFmtId="0" fontId="117" fillId="80" borderId="90" xfId="0" applyFont="1" applyFill="1" applyBorder="1" applyAlignment="1">
      <alignment horizontal="center" vertical="center"/>
    </xf>
    <xf numFmtId="0" fontId="117" fillId="80" borderId="87" xfId="0" applyFont="1" applyFill="1" applyBorder="1" applyAlignment="1">
      <alignment horizontal="center" vertical="center"/>
    </xf>
    <xf numFmtId="0" fontId="39" fillId="7" borderId="34" xfId="0" applyFont="1" applyFill="1" applyBorder="1" applyAlignment="1" applyProtection="1">
      <alignment horizontal="center" vertical="center" wrapText="1"/>
      <protection locked="0"/>
    </xf>
    <xf numFmtId="0" fontId="39" fillId="7" borderId="54" xfId="0" applyFont="1" applyFill="1" applyBorder="1" applyAlignment="1" applyProtection="1">
      <alignment horizontal="center" vertical="center" wrapText="1"/>
      <protection locked="0"/>
    </xf>
    <xf numFmtId="14" fontId="0" fillId="0" borderId="0" xfId="0" applyNumberFormat="1" applyAlignment="1">
      <alignment horizontal="left"/>
    </xf>
    <xf numFmtId="0" fontId="40" fillId="5" borderId="34" xfId="0" applyFont="1" applyFill="1" applyBorder="1" applyAlignment="1" applyProtection="1">
      <alignment horizontal="center" vertical="center" wrapText="1"/>
      <protection locked="0"/>
    </xf>
    <xf numFmtId="0" fontId="40" fillId="5" borderId="54" xfId="0" applyFont="1" applyFill="1" applyBorder="1" applyAlignment="1" applyProtection="1">
      <alignment horizontal="center" vertical="center" wrapText="1"/>
      <protection locked="0"/>
    </xf>
    <xf numFmtId="0" fontId="1" fillId="0" borderId="0" xfId="0" applyFont="1" applyAlignment="1">
      <alignment horizontal="right" vertical="center"/>
    </xf>
    <xf numFmtId="0" fontId="40" fillId="40" borderId="33" xfId="0" applyFont="1" applyFill="1" applyBorder="1" applyAlignment="1">
      <alignment horizontal="center" vertical="center"/>
    </xf>
    <xf numFmtId="0" fontId="40" fillId="40" borderId="35" xfId="0" applyFont="1" applyFill="1" applyBorder="1" applyAlignment="1">
      <alignment horizontal="center" vertical="center"/>
    </xf>
    <xf numFmtId="0" fontId="40" fillId="5" borderId="28" xfId="0" applyFont="1" applyFill="1" applyBorder="1" applyAlignment="1">
      <alignment horizontal="center" vertical="center"/>
    </xf>
    <xf numFmtId="0" fontId="40" fillId="5" borderId="29" xfId="0" applyFont="1" applyFill="1" applyBorder="1" applyAlignment="1">
      <alignment horizontal="center" vertical="center"/>
    </xf>
    <xf numFmtId="0" fontId="39" fillId="7" borderId="28" xfId="0" applyFont="1" applyFill="1" applyBorder="1" applyAlignment="1">
      <alignment horizontal="center" vertical="center"/>
    </xf>
    <xf numFmtId="0" fontId="39" fillId="7" borderId="29" xfId="0" applyFont="1" applyFill="1" applyBorder="1" applyAlignment="1">
      <alignment horizontal="center" vertical="center"/>
    </xf>
    <xf numFmtId="0" fontId="39" fillId="43" borderId="16" xfId="0" applyFont="1" applyFill="1" applyBorder="1" applyAlignment="1">
      <alignment horizontal="center"/>
    </xf>
    <xf numFmtId="0" fontId="39" fillId="43" borderId="57" xfId="0" applyFont="1" applyFill="1" applyBorder="1" applyAlignment="1">
      <alignment horizontal="center"/>
    </xf>
    <xf numFmtId="0" fontId="39" fillId="43" borderId="58" xfId="0" applyFont="1" applyFill="1" applyBorder="1" applyAlignment="1">
      <alignment horizontal="center"/>
    </xf>
    <xf numFmtId="0" fontId="60" fillId="55" borderId="15" xfId="0" applyFont="1" applyFill="1" applyBorder="1" applyAlignment="1">
      <alignment horizontal="center" vertical="center"/>
    </xf>
    <xf numFmtId="0" fontId="60" fillId="55" borderId="28" xfId="0" applyFont="1" applyFill="1" applyBorder="1" applyAlignment="1">
      <alignment horizontal="center" vertical="center"/>
    </xf>
    <xf numFmtId="0" fontId="88" fillId="7" borderId="83" xfId="0" applyFont="1" applyFill="1" applyBorder="1" applyAlignment="1" applyProtection="1">
      <alignment horizontal="center" vertical="center" wrapText="1"/>
      <protection locked="0"/>
    </xf>
    <xf numFmtId="0" fontId="88" fillId="59" borderId="83" xfId="0" applyFont="1" applyFill="1" applyBorder="1" applyAlignment="1" applyProtection="1">
      <alignment horizontal="center" vertical="center" wrapText="1"/>
      <protection locked="0"/>
    </xf>
    <xf numFmtId="0" fontId="82" fillId="58" borderId="83" xfId="0" applyFont="1" applyFill="1" applyBorder="1" applyAlignment="1" applyProtection="1">
      <alignment horizontal="center" vertical="center" wrapText="1"/>
      <protection locked="0"/>
    </xf>
    <xf numFmtId="0" fontId="89" fillId="2" borderId="0" xfId="0" applyFont="1" applyFill="1" applyAlignment="1" applyProtection="1">
      <alignment horizontal="center" vertical="center"/>
      <protection locked="0"/>
    </xf>
    <xf numFmtId="0" fontId="82" fillId="5" borderId="83" xfId="0" applyFont="1" applyFill="1" applyBorder="1" applyAlignment="1" applyProtection="1">
      <alignment horizontal="center" vertical="center"/>
      <protection locked="0"/>
    </xf>
    <xf numFmtId="0" fontId="82" fillId="5" borderId="0" xfId="0" applyFont="1" applyFill="1" applyAlignment="1" applyProtection="1">
      <alignment horizontal="center" vertical="center"/>
      <protection locked="0"/>
    </xf>
    <xf numFmtId="0" fontId="86" fillId="2" borderId="1" xfId="0" applyFont="1" applyFill="1" applyBorder="1" applyAlignment="1" applyProtection="1">
      <alignment horizontal="center"/>
      <protection locked="0"/>
    </xf>
    <xf numFmtId="0" fontId="86" fillId="2" borderId="6" xfId="0" applyFont="1" applyFill="1" applyBorder="1" applyAlignment="1" applyProtection="1">
      <alignment horizontal="center"/>
      <protection locked="0"/>
    </xf>
    <xf numFmtId="0" fontId="86" fillId="2" borderId="36" xfId="0" applyFont="1" applyFill="1" applyBorder="1" applyAlignment="1" applyProtection="1">
      <alignment horizontal="center" vertical="center" wrapText="1"/>
      <protection locked="0"/>
    </xf>
    <xf numFmtId="0" fontId="4" fillId="2" borderId="1" xfId="1" applyFill="1" applyBorder="1" applyAlignment="1" applyProtection="1">
      <alignment horizontal="center"/>
    </xf>
    <xf numFmtId="0" fontId="8" fillId="5" borderId="11" xfId="0" applyFont="1" applyFill="1" applyBorder="1" applyAlignment="1" applyProtection="1">
      <alignment horizontal="center" vertical="center"/>
      <protection locked="0"/>
    </xf>
    <xf numFmtId="0" fontId="8" fillId="5" borderId="0" xfId="0" applyFont="1" applyFill="1" applyAlignment="1" applyProtection="1">
      <alignment horizontal="center" vertical="center"/>
      <protection locked="0"/>
    </xf>
    <xf numFmtId="165" fontId="1" fillId="43" borderId="44" xfId="0" applyNumberFormat="1" applyFont="1" applyFill="1" applyBorder="1" applyAlignment="1">
      <alignment horizontal="center" vertical="center" wrapText="1"/>
    </xf>
    <xf numFmtId="165" fontId="1" fillId="43" borderId="0" xfId="0" applyNumberFormat="1" applyFont="1" applyFill="1" applyAlignment="1">
      <alignment horizontal="center" vertical="center" wrapText="1"/>
    </xf>
    <xf numFmtId="165" fontId="1" fillId="43" borderId="35" xfId="0" applyNumberFormat="1" applyFont="1" applyFill="1" applyBorder="1" applyAlignment="1">
      <alignment horizontal="center" vertical="center" wrapText="1"/>
    </xf>
    <xf numFmtId="165" fontId="1" fillId="43" borderId="36" xfId="0" applyNumberFormat="1" applyFont="1" applyFill="1" applyBorder="1" applyAlignment="1">
      <alignment horizontal="center" vertical="center" wrapText="1"/>
    </xf>
    <xf numFmtId="165" fontId="1" fillId="43" borderId="34" xfId="0" applyNumberFormat="1" applyFont="1" applyFill="1" applyBorder="1" applyAlignment="1">
      <alignment horizontal="center" vertical="center" wrapText="1"/>
    </xf>
    <xf numFmtId="165" fontId="1" fillId="43" borderId="54" xfId="0" applyNumberFormat="1" applyFont="1" applyFill="1" applyBorder="1" applyAlignment="1">
      <alignment horizontal="center" vertical="center" wrapText="1"/>
    </xf>
    <xf numFmtId="165" fontId="1" fillId="43" borderId="33" xfId="0" applyNumberFormat="1" applyFont="1" applyFill="1" applyBorder="1" applyAlignment="1">
      <alignment horizontal="center" vertical="center" wrapText="1"/>
    </xf>
    <xf numFmtId="165" fontId="1" fillId="43" borderId="32" xfId="0" applyNumberFormat="1" applyFont="1" applyFill="1" applyBorder="1" applyAlignment="1">
      <alignment horizontal="center" vertical="center" wrapText="1"/>
    </xf>
    <xf numFmtId="165" fontId="1" fillId="43" borderId="37" xfId="0" applyNumberFormat="1" applyFont="1" applyFill="1" applyBorder="1" applyAlignment="1">
      <alignment horizontal="center" vertical="center" wrapText="1"/>
    </xf>
    <xf numFmtId="165" fontId="1" fillId="43" borderId="31" xfId="0" applyNumberFormat="1" applyFont="1" applyFill="1" applyBorder="1" applyAlignment="1">
      <alignment horizontal="center" vertical="center" wrapText="1"/>
    </xf>
    <xf numFmtId="0" fontId="107" fillId="48" borderId="92" xfId="0" applyFont="1" applyFill="1" applyBorder="1" applyAlignment="1">
      <alignment horizontal="center" vertical="center"/>
    </xf>
    <xf numFmtId="0" fontId="107" fillId="48" borderId="89" xfId="0" applyFont="1" applyFill="1" applyBorder="1" applyAlignment="1">
      <alignment horizontal="center" vertical="center"/>
    </xf>
    <xf numFmtId="0" fontId="43" fillId="6" borderId="83" xfId="0" applyFont="1" applyFill="1" applyBorder="1" applyAlignment="1">
      <alignment horizontal="center" vertical="center"/>
    </xf>
    <xf numFmtId="0" fontId="0" fillId="59" borderId="83" xfId="0" applyFill="1" applyBorder="1" applyAlignment="1">
      <alignment horizontal="center" vertical="center"/>
    </xf>
    <xf numFmtId="166" fontId="0" fillId="7" borderId="83" xfId="0" applyNumberFormat="1" applyFill="1" applyBorder="1" applyAlignment="1">
      <alignment horizontal="center" vertical="center"/>
    </xf>
    <xf numFmtId="166" fontId="2" fillId="58" borderId="83" xfId="0" applyNumberFormat="1" applyFont="1" applyFill="1" applyBorder="1" applyAlignment="1">
      <alignment horizontal="center" vertical="center"/>
    </xf>
    <xf numFmtId="0" fontId="108" fillId="76" borderId="84" xfId="0" applyFont="1" applyFill="1" applyBorder="1" applyAlignment="1">
      <alignment horizontal="center" vertical="center"/>
    </xf>
    <xf numFmtId="0" fontId="108" fillId="76" borderId="89" xfId="0" applyFont="1" applyFill="1" applyBorder="1" applyAlignment="1">
      <alignment horizontal="center" vertical="center"/>
    </xf>
    <xf numFmtId="0" fontId="107" fillId="48" borderId="84" xfId="0" applyFont="1" applyFill="1" applyBorder="1" applyAlignment="1">
      <alignment horizontal="center" vertical="center"/>
    </xf>
    <xf numFmtId="0" fontId="108" fillId="76" borderId="88" xfId="0" applyFont="1" applyFill="1" applyBorder="1" applyAlignment="1">
      <alignment horizontal="center" vertical="center"/>
    </xf>
    <xf numFmtId="0" fontId="0" fillId="59" borderId="87" xfId="0" applyFill="1" applyBorder="1" applyAlignment="1">
      <alignment horizontal="center" vertical="center"/>
    </xf>
    <xf numFmtId="166" fontId="2" fillId="58" borderId="92" xfId="0" applyNumberFormat="1" applyFont="1" applyFill="1" applyBorder="1" applyAlignment="1">
      <alignment horizontal="center" vertical="center"/>
    </xf>
    <xf numFmtId="166" fontId="2" fillId="58" borderId="93" xfId="0" applyNumberFormat="1" applyFont="1" applyFill="1" applyBorder="1" applyAlignment="1">
      <alignment horizontal="center" vertical="center"/>
    </xf>
    <xf numFmtId="166" fontId="2" fillId="58" borderId="94" xfId="0" applyNumberFormat="1" applyFont="1" applyFill="1" applyBorder="1" applyAlignment="1">
      <alignment horizontal="center" vertical="center"/>
    </xf>
    <xf numFmtId="0" fontId="0" fillId="59" borderId="85" xfId="0" applyFill="1" applyBorder="1" applyAlignment="1">
      <alignment horizontal="center" vertical="center"/>
    </xf>
    <xf numFmtId="0" fontId="0" fillId="59" borderId="90" xfId="0" applyFill="1" applyBorder="1" applyAlignment="1">
      <alignment horizontal="center" vertical="center"/>
    </xf>
    <xf numFmtId="166" fontId="0" fillId="7" borderId="85" xfId="0" applyNumberFormat="1" applyFill="1" applyBorder="1" applyAlignment="1">
      <alignment horizontal="center" vertical="center"/>
    </xf>
    <xf numFmtId="166" fontId="0" fillId="7" borderId="90" xfId="0" applyNumberFormat="1" applyFill="1" applyBorder="1" applyAlignment="1">
      <alignment horizontal="center" vertical="center"/>
    </xf>
    <xf numFmtId="166" fontId="0" fillId="7" borderId="87" xfId="0" applyNumberFormat="1" applyFill="1" applyBorder="1" applyAlignment="1">
      <alignment horizontal="center" vertical="center"/>
    </xf>
    <xf numFmtId="0" fontId="43" fillId="6" borderId="85" xfId="0" applyFont="1" applyFill="1" applyBorder="1" applyAlignment="1">
      <alignment horizontal="center" vertical="center"/>
    </xf>
    <xf numFmtId="0" fontId="43" fillId="6" borderId="90" xfId="0" applyFont="1" applyFill="1" applyBorder="1" applyAlignment="1">
      <alignment horizontal="center" vertical="center"/>
    </xf>
    <xf numFmtId="0" fontId="43" fillId="6" borderId="87" xfId="0" applyFont="1" applyFill="1" applyBorder="1" applyAlignment="1">
      <alignment horizontal="center" vertical="center"/>
    </xf>
    <xf numFmtId="0" fontId="2" fillId="58" borderId="7" xfId="0" applyFont="1" applyFill="1" applyBorder="1" applyAlignment="1" applyProtection="1">
      <alignment horizontal="center"/>
      <protection locked="0"/>
    </xf>
    <xf numFmtId="0" fontId="2" fillId="58" borderId="8" xfId="0" applyFont="1" applyFill="1" applyBorder="1" applyAlignment="1" applyProtection="1">
      <alignment horizontal="center"/>
      <protection locked="0"/>
    </xf>
    <xf numFmtId="0" fontId="2" fillId="58" borderId="6" xfId="0" applyFont="1" applyFill="1" applyBorder="1" applyAlignment="1" applyProtection="1">
      <alignment horizontal="center"/>
      <protection locked="0"/>
    </xf>
    <xf numFmtId="0" fontId="46" fillId="0" borderId="4" xfId="0" applyFont="1" applyBorder="1" applyAlignment="1">
      <alignment horizontal="center" vertical="center"/>
    </xf>
    <xf numFmtId="0" fontId="46" fillId="0" borderId="2" xfId="0" applyFont="1" applyBorder="1" applyAlignment="1">
      <alignment horizontal="center" vertical="center"/>
    </xf>
    <xf numFmtId="0" fontId="0" fillId="59" borderId="1" xfId="0" applyFill="1" applyBorder="1" applyAlignment="1" applyProtection="1">
      <alignment horizontal="center" vertical="center"/>
      <protection locked="0"/>
    </xf>
    <xf numFmtId="0" fontId="0" fillId="7" borderId="1" xfId="0" applyFill="1" applyBorder="1" applyAlignment="1" applyProtection="1">
      <alignment horizontal="center"/>
      <protection locked="0"/>
    </xf>
    <xf numFmtId="0" fontId="10" fillId="5" borderId="13" xfId="0" applyFont="1" applyFill="1" applyBorder="1" applyAlignment="1">
      <alignment horizontal="center" vertical="center"/>
    </xf>
    <xf numFmtId="0" fontId="39" fillId="5" borderId="12" xfId="0" applyFont="1" applyFill="1" applyBorder="1" applyAlignment="1" applyProtection="1">
      <alignment horizontal="center"/>
      <protection locked="0"/>
    </xf>
    <xf numFmtId="0" fontId="39" fillId="5" borderId="3" xfId="0" applyFont="1" applyFill="1" applyBorder="1" applyAlignment="1" applyProtection="1">
      <alignment horizontal="center"/>
      <protection locked="0"/>
    </xf>
    <xf numFmtId="0" fontId="39" fillId="5" borderId="11" xfId="0" applyFont="1" applyFill="1" applyBorder="1" applyAlignment="1" applyProtection="1">
      <alignment horizontal="center"/>
      <protection locked="0"/>
    </xf>
    <xf numFmtId="0" fontId="39" fillId="5" borderId="14" xfId="0" applyFont="1" applyFill="1" applyBorder="1" applyAlignment="1" applyProtection="1">
      <alignment horizontal="center"/>
      <protection locked="0"/>
    </xf>
    <xf numFmtId="0" fontId="39" fillId="5" borderId="10" xfId="0" applyFont="1" applyFill="1" applyBorder="1" applyAlignment="1" applyProtection="1">
      <alignment horizontal="center"/>
      <protection locked="0"/>
    </xf>
    <xf numFmtId="0" fontId="39" fillId="5" borderId="5" xfId="0" applyFont="1" applyFill="1" applyBorder="1" applyAlignment="1" applyProtection="1">
      <alignment horizontal="center"/>
      <protection locked="0"/>
    </xf>
    <xf numFmtId="0" fontId="17" fillId="5" borderId="0" xfId="0" applyFont="1" applyFill="1" applyAlignment="1">
      <alignment horizontal="center" vertical="center"/>
    </xf>
    <xf numFmtId="0" fontId="45" fillId="5" borderId="0" xfId="0" applyFont="1" applyFill="1" applyAlignment="1">
      <alignment horizontal="center" vertical="center"/>
    </xf>
    <xf numFmtId="0" fontId="8" fillId="5" borderId="0" xfId="0" applyFont="1" applyFill="1" applyAlignment="1">
      <alignment horizontal="left" vertical="center"/>
    </xf>
    <xf numFmtId="0" fontId="0" fillId="7" borderId="11" xfId="0" applyFill="1" applyBorder="1" applyAlignment="1">
      <alignment horizontal="center"/>
    </xf>
    <xf numFmtId="0" fontId="0" fillId="7" borderId="0" xfId="0" applyFill="1" applyAlignment="1">
      <alignment horizontal="center"/>
    </xf>
    <xf numFmtId="0" fontId="39" fillId="44" borderId="51" xfId="0" applyFont="1" applyFill="1" applyBorder="1" applyAlignment="1">
      <alignment horizontal="center"/>
    </xf>
    <xf numFmtId="0" fontId="39" fillId="44" borderId="52" xfId="0" applyFont="1" applyFill="1" applyBorder="1" applyAlignment="1">
      <alignment horizontal="center"/>
    </xf>
    <xf numFmtId="0" fontId="39" fillId="44" borderId="53" xfId="0" applyFont="1" applyFill="1" applyBorder="1" applyAlignment="1">
      <alignment horizontal="center"/>
    </xf>
    <xf numFmtId="0" fontId="40" fillId="40" borderId="34" xfId="0" applyFont="1" applyFill="1" applyBorder="1" applyAlignment="1">
      <alignment horizontal="center" vertical="center"/>
    </xf>
    <xf numFmtId="0" fontId="40" fillId="40" borderId="54" xfId="0" applyFont="1" applyFill="1" applyBorder="1" applyAlignment="1">
      <alignment horizontal="center" vertical="center"/>
    </xf>
    <xf numFmtId="0" fontId="40" fillId="5" borderId="34" xfId="0" applyFont="1" applyFill="1" applyBorder="1" applyAlignment="1">
      <alignment horizontal="center" vertical="center" wrapText="1"/>
    </xf>
    <xf numFmtId="0" fontId="40" fillId="5" borderId="54" xfId="0" applyFont="1" applyFill="1" applyBorder="1" applyAlignment="1">
      <alignment horizontal="center" vertical="center" wrapText="1"/>
    </xf>
    <xf numFmtId="0" fontId="39" fillId="7" borderId="34" xfId="0" applyFont="1" applyFill="1" applyBorder="1" applyAlignment="1">
      <alignment horizontal="center" vertical="center" wrapText="1"/>
    </xf>
    <xf numFmtId="0" fontId="39" fillId="7" borderId="54" xfId="0" applyFont="1" applyFill="1" applyBorder="1" applyAlignment="1">
      <alignment horizontal="center" vertical="center" wrapText="1"/>
    </xf>
    <xf numFmtId="0" fontId="2" fillId="51" borderId="41" xfId="45" applyFont="1" applyFill="1" applyBorder="1" applyAlignment="1">
      <alignment horizontal="center" vertical="center" wrapText="1"/>
    </xf>
    <xf numFmtId="0" fontId="2" fillId="51" borderId="1" xfId="45" applyFont="1" applyFill="1" applyBorder="1" applyAlignment="1">
      <alignment horizontal="center" vertical="center" wrapText="1"/>
    </xf>
    <xf numFmtId="0" fontId="2" fillId="51" borderId="40" xfId="45" applyFont="1" applyFill="1" applyBorder="1" applyAlignment="1">
      <alignment horizontal="center" vertical="center" wrapText="1"/>
    </xf>
    <xf numFmtId="0" fontId="2" fillId="51" borderId="47" xfId="45" applyFont="1" applyFill="1" applyBorder="1" applyAlignment="1">
      <alignment horizontal="center" vertical="center" wrapText="1"/>
    </xf>
    <xf numFmtId="0" fontId="2" fillId="51" borderId="33" xfId="45" applyFont="1" applyFill="1" applyBorder="1" applyAlignment="1">
      <alignment horizontal="center" vertical="center" wrapText="1"/>
    </xf>
    <xf numFmtId="0" fontId="2" fillId="51" borderId="44" xfId="45" applyFont="1" applyFill="1" applyBorder="1" applyAlignment="1">
      <alignment horizontal="center" vertical="center" wrapText="1"/>
    </xf>
    <xf numFmtId="0" fontId="2" fillId="51" borderId="31" xfId="45" applyFont="1" applyFill="1" applyBorder="1" applyAlignment="1">
      <alignment horizontal="center" vertical="center" wrapText="1"/>
    </xf>
    <xf numFmtId="0" fontId="2" fillId="51" borderId="13" xfId="45" applyFont="1" applyFill="1" applyBorder="1" applyAlignment="1">
      <alignment horizontal="center" vertical="center" wrapText="1"/>
    </xf>
    <xf numFmtId="0" fontId="2" fillId="51" borderId="32" xfId="45" applyFont="1" applyFill="1" applyBorder="1" applyAlignment="1">
      <alignment horizontal="center" vertical="center" wrapText="1"/>
    </xf>
    <xf numFmtId="0" fontId="2" fillId="51" borderId="63" xfId="45" applyFont="1" applyFill="1" applyBorder="1" applyAlignment="1">
      <alignment horizontal="center" vertical="center" wrapText="1"/>
    </xf>
    <xf numFmtId="0" fontId="2" fillId="51" borderId="42" xfId="45" applyFont="1" applyFill="1" applyBorder="1" applyAlignment="1">
      <alignment horizontal="center" vertical="center" wrapText="1"/>
    </xf>
    <xf numFmtId="0" fontId="2" fillId="51" borderId="26" xfId="45" applyFont="1" applyFill="1" applyBorder="1" applyAlignment="1">
      <alignment horizontal="center" vertical="center" wrapText="1"/>
    </xf>
    <xf numFmtId="0" fontId="104" fillId="70" borderId="91" xfId="0" applyFont="1" applyFill="1" applyBorder="1" applyAlignment="1">
      <alignment horizontal="center"/>
    </xf>
    <xf numFmtId="0" fontId="105" fillId="71" borderId="105" xfId="0" applyFont="1" applyFill="1" applyBorder="1" applyAlignment="1">
      <alignment horizontal="center"/>
    </xf>
    <xf numFmtId="0" fontId="105" fillId="71" borderId="107" xfId="0" applyFont="1" applyFill="1" applyBorder="1" applyAlignment="1">
      <alignment horizontal="center"/>
    </xf>
    <xf numFmtId="0" fontId="115" fillId="51" borderId="36" xfId="45" applyFont="1" applyFill="1" applyBorder="1" applyAlignment="1">
      <alignment horizontal="center" vertical="center"/>
    </xf>
    <xf numFmtId="0" fontId="2" fillId="51" borderId="34" xfId="45" applyFont="1" applyFill="1" applyBorder="1" applyAlignment="1">
      <alignment horizontal="center" vertical="center" wrapText="1"/>
    </xf>
    <xf numFmtId="0" fontId="2" fillId="51" borderId="38" xfId="45" applyFont="1" applyFill="1" applyBorder="1" applyAlignment="1">
      <alignment horizontal="center" vertical="center" wrapText="1"/>
    </xf>
    <xf numFmtId="0" fontId="2" fillId="51" borderId="37" xfId="45" applyFont="1" applyFill="1" applyBorder="1" applyAlignment="1">
      <alignment horizontal="center" vertical="center" wrapText="1"/>
    </xf>
    <xf numFmtId="0" fontId="2" fillId="51" borderId="54" xfId="45" applyFont="1" applyFill="1" applyBorder="1" applyAlignment="1">
      <alignment horizontal="center" vertical="center" wrapText="1"/>
    </xf>
    <xf numFmtId="0" fontId="115" fillId="51" borderId="31" xfId="45" applyFont="1" applyFill="1" applyBorder="1" applyAlignment="1">
      <alignment horizontal="center" vertical="center"/>
    </xf>
    <xf numFmtId="0" fontId="107" fillId="79" borderId="0" xfId="45" applyFont="1" applyFill="1" applyAlignment="1">
      <alignment horizontal="center" vertical="center"/>
    </xf>
    <xf numFmtId="0" fontId="107" fillId="79" borderId="96" xfId="45" applyFont="1" applyFill="1" applyBorder="1" applyAlignment="1">
      <alignment horizontal="center" vertical="center"/>
    </xf>
    <xf numFmtId="0" fontId="2" fillId="51" borderId="81" xfId="45" applyFont="1" applyFill="1" applyBorder="1" applyAlignment="1">
      <alignment horizontal="center" vertical="center" wrapText="1"/>
    </xf>
    <xf numFmtId="0" fontId="104" fillId="67" borderId="91" xfId="0" applyFont="1" applyFill="1" applyBorder="1" applyAlignment="1">
      <alignment horizontal="center"/>
    </xf>
    <xf numFmtId="0" fontId="105" fillId="68" borderId="91" xfId="0" applyFont="1" applyFill="1" applyBorder="1" applyAlignment="1">
      <alignment horizontal="center"/>
    </xf>
    <xf numFmtId="0" fontId="104" fillId="69" borderId="91" xfId="0" applyFont="1" applyFill="1" applyBorder="1" applyAlignment="1">
      <alignment horizontal="center"/>
    </xf>
    <xf numFmtId="0" fontId="57" fillId="0" borderId="0" xfId="0" applyFont="1" applyAlignment="1" applyProtection="1">
      <alignment wrapText="1"/>
      <protection locked="0"/>
    </xf>
    <xf numFmtId="0" fontId="76" fillId="2" borderId="4" xfId="0" applyFont="1" applyFill="1" applyBorder="1" applyAlignment="1" applyProtection="1">
      <protection locked="0"/>
    </xf>
    <xf numFmtId="0" fontId="76" fillId="0" borderId="115" xfId="0" applyFont="1" applyBorder="1" applyAlignment="1"/>
    <xf numFmtId="0" fontId="0" fillId="0" borderId="79" xfId="0" applyBorder="1" applyAlignment="1"/>
    <xf numFmtId="0" fontId="118" fillId="81" borderId="8" xfId="0" applyFont="1" applyFill="1" applyBorder="1" applyAlignment="1"/>
    <xf numFmtId="0" fontId="118" fillId="81" borderId="127" xfId="0" applyFont="1" applyFill="1" applyBorder="1" applyAlignment="1"/>
    <xf numFmtId="0" fontId="119" fillId="0" borderId="128" xfId="0" applyFont="1" applyBorder="1" applyAlignment="1"/>
    <xf numFmtId="0" fontId="119" fillId="0" borderId="129" xfId="0" applyFont="1" applyBorder="1" applyAlignment="1"/>
    <xf numFmtId="0" fontId="122" fillId="0" borderId="128" xfId="0" applyFont="1" applyBorder="1" applyAlignment="1"/>
    <xf numFmtId="0" fontId="122" fillId="0" borderId="129" xfId="0" applyFont="1" applyBorder="1" applyAlignment="1"/>
  </cellXfs>
  <cellStyles count="47">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Hyperlink 2" xfId="44" xr:uid="{00000000-0005-0000-0000-000022000000}"/>
    <cellStyle name="Input" xfId="10" builtinId="20" customBuiltin="1"/>
    <cellStyle name="Linked Cell" xfId="13" builtinId="24" customBuiltin="1"/>
    <cellStyle name="Neutral" xfId="9" builtinId="28" customBuiltin="1"/>
    <cellStyle name="Normal" xfId="0" builtinId="0"/>
    <cellStyle name="Normal 12 2 3 3 2 2" xfId="46" xr:uid="{00000000-0005-0000-0000-000027000000}"/>
    <cellStyle name="Normal 12 2 3 4 2" xfId="45" xr:uid="{00000000-0005-0000-0000-000028000000}"/>
    <cellStyle name="Note" xfId="16" builtinId="10" customBuiltin="1"/>
    <cellStyle name="Output" xfId="11" builtinId="21" customBuiltin="1"/>
    <cellStyle name="Percent" xfId="2" builtinId="5"/>
    <cellStyle name="Title 2" xfId="43" xr:uid="{00000000-0005-0000-0000-00002C000000}"/>
    <cellStyle name="Total" xfId="18" builtinId="25" customBuiltin="1"/>
    <cellStyle name="Warning Text" xfId="15" builtinId="11" customBuiltin="1"/>
  </cellStyles>
  <dxfs count="2151">
    <dxf>
      <fill>
        <patternFill>
          <bgColor rgb="FFFF0000"/>
        </patternFill>
      </fill>
    </dxf>
    <dxf>
      <fill>
        <patternFill>
          <bgColor rgb="FF00B050"/>
        </patternFill>
      </fill>
    </dxf>
    <dxf>
      <fill>
        <patternFill>
          <bgColor rgb="FFFF0000"/>
        </patternFill>
      </fill>
    </dxf>
    <dxf>
      <fill>
        <patternFill>
          <bgColor rgb="FF00B05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92D050"/>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92D050"/>
        </patternFill>
      </fill>
    </dxf>
    <dxf>
      <fill>
        <patternFill>
          <bgColor rgb="FFFF0000"/>
        </patternFill>
      </fill>
    </dxf>
    <dxf>
      <fill>
        <patternFill patternType="none">
          <bgColor auto="1"/>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rgb="FF00B05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color rgb="FF1A8436"/>
      </font>
      <fill>
        <patternFill>
          <bgColor rgb="FFB2E9A5"/>
        </patternFill>
      </fill>
    </dxf>
    <dxf>
      <font>
        <color theme="5" tint="-0.24994659260841701"/>
      </font>
      <fill>
        <patternFill>
          <bgColor theme="5" tint="0.59996337778862885"/>
        </patternFill>
      </fill>
    </dxf>
    <dxf>
      <font>
        <condense val="0"/>
        <extend val="0"/>
        <color rgb="FF006100"/>
      </font>
      <fill>
        <patternFill>
          <bgColor rgb="FFC6EFCE"/>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0000"/>
        </patternFill>
      </fill>
    </dxf>
    <dxf>
      <fill>
        <patternFill>
          <bgColor rgb="FFFFFF00"/>
        </patternFill>
      </fill>
    </dxf>
    <dxf>
      <fill>
        <patternFill>
          <bgColor rgb="FF92D050"/>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ill>
        <patternFill>
          <bgColor rgb="FFFF0000"/>
        </patternFill>
      </fill>
    </dxf>
    <dxf>
      <fill>
        <patternFill>
          <bgColor rgb="FFFFFF00"/>
        </patternFill>
      </fill>
    </dxf>
    <dxf>
      <fill>
        <patternFill>
          <bgColor rgb="FF92D050"/>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ill>
        <patternFill>
          <bgColor rgb="FFFF0000"/>
        </patternFill>
      </fill>
    </dxf>
    <dxf>
      <fill>
        <patternFill>
          <bgColor rgb="FFFFFF00"/>
        </patternFill>
      </fill>
    </dxf>
    <dxf>
      <fill>
        <patternFill>
          <bgColor rgb="FF92D050"/>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ill>
        <patternFill>
          <bgColor rgb="FFFF0000"/>
        </patternFill>
      </fill>
    </dxf>
    <dxf>
      <fill>
        <patternFill>
          <bgColor rgb="FFFFFF00"/>
        </patternFill>
      </fill>
    </dxf>
    <dxf>
      <fill>
        <patternFill>
          <bgColor rgb="FF92D050"/>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ill>
        <patternFill>
          <bgColor rgb="FFFF0000"/>
        </patternFill>
      </fill>
    </dxf>
    <dxf>
      <fill>
        <patternFill>
          <bgColor rgb="FFFFFF00"/>
        </patternFill>
      </fill>
    </dxf>
    <dxf>
      <fill>
        <patternFill>
          <bgColor rgb="FF92D050"/>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ill>
        <patternFill>
          <bgColor rgb="FFFF0000"/>
        </patternFill>
      </fill>
    </dxf>
    <dxf>
      <fill>
        <patternFill>
          <bgColor rgb="FFFFFF00"/>
        </patternFill>
      </fill>
    </dxf>
    <dxf>
      <fill>
        <patternFill>
          <bgColor rgb="FF92D050"/>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ill>
        <patternFill>
          <bgColor rgb="FFFFFF00"/>
        </patternFill>
      </fill>
    </dxf>
    <dxf>
      <fill>
        <patternFill>
          <bgColor rgb="FF92D050"/>
        </patternFill>
      </fill>
    </dxf>
    <dxf>
      <fill>
        <patternFill>
          <bgColor theme="0" tint="-4.9989318521683403E-2"/>
        </patternFill>
      </fill>
    </dxf>
    <dxf>
      <fill>
        <patternFill>
          <bgColor theme="5" tint="-0.24994659260841701"/>
        </patternFill>
      </fill>
    </dxf>
    <dxf>
      <fill>
        <patternFill>
          <bgColor rgb="FFFFFF00"/>
        </patternFill>
      </fill>
    </dxf>
    <dxf>
      <fill>
        <patternFill>
          <bgColor rgb="FF92D050"/>
        </patternFill>
      </fill>
    </dxf>
    <dxf>
      <fill>
        <patternFill>
          <bgColor theme="0"/>
        </patternFill>
      </fill>
    </dxf>
    <dxf>
      <fill>
        <patternFill>
          <bgColor rgb="FFFFFF99"/>
        </patternFill>
      </fill>
    </dxf>
    <dxf>
      <fill>
        <patternFill>
          <bgColor theme="0" tint="-0.14996795556505021"/>
        </patternFill>
      </fill>
    </dxf>
    <dxf>
      <fill>
        <patternFill>
          <bgColor theme="9" tint="0.59996337778862885"/>
        </patternFill>
      </fill>
    </dxf>
    <dxf>
      <fill>
        <patternFill>
          <bgColor rgb="FFFFFF99"/>
        </patternFill>
      </fill>
    </dxf>
    <dxf>
      <fill>
        <patternFill>
          <bgColor theme="0" tint="-0.14996795556505021"/>
        </patternFill>
      </fill>
    </dxf>
    <dxf>
      <fill>
        <patternFill>
          <bgColor theme="9" tint="0.59996337778862885"/>
        </patternFill>
      </fill>
    </dxf>
    <dxf>
      <fill>
        <patternFill>
          <bgColor rgb="FFFFFF99"/>
        </patternFill>
      </fill>
    </dxf>
    <dxf>
      <fill>
        <patternFill>
          <bgColor theme="0" tint="-0.14996795556505021"/>
        </patternFill>
      </fill>
    </dxf>
    <dxf>
      <fill>
        <patternFill>
          <bgColor theme="9" tint="0.59996337778862885"/>
        </patternFill>
      </fill>
    </dxf>
    <dxf>
      <fill>
        <patternFill>
          <bgColor rgb="FFFFFF99"/>
        </patternFill>
      </fill>
    </dxf>
    <dxf>
      <fill>
        <patternFill>
          <bgColor theme="0" tint="-0.14996795556505021"/>
        </patternFill>
      </fill>
    </dxf>
    <dxf>
      <fill>
        <patternFill>
          <bgColor theme="9" tint="0.59996337778862885"/>
        </patternFill>
      </fill>
    </dxf>
    <dxf>
      <fill>
        <patternFill>
          <bgColor rgb="FFECEA94"/>
        </patternFill>
      </fill>
    </dxf>
    <dxf>
      <fill>
        <patternFill>
          <bgColor theme="0" tint="-0.24994659260841701"/>
        </patternFill>
      </fill>
    </dxf>
    <dxf>
      <fill>
        <patternFill>
          <bgColor theme="9" tint="0.59996337778862885"/>
        </patternFill>
      </fill>
    </dxf>
    <dxf>
      <fill>
        <patternFill patternType="none">
          <bgColor auto="1"/>
        </patternFill>
      </fill>
    </dxf>
    <dxf>
      <fill>
        <patternFill>
          <bgColor theme="9" tint="0.39994506668294322"/>
        </patternFill>
      </fill>
    </dxf>
    <dxf>
      <fill>
        <patternFill>
          <bgColor theme="0" tint="-0.24994659260841701"/>
        </patternFill>
      </fill>
    </dxf>
    <dxf>
      <fill>
        <patternFill>
          <bgColor rgb="FFFFFF99"/>
        </patternFill>
      </fill>
    </dxf>
    <dxf>
      <fill>
        <patternFill>
          <bgColor rgb="FFFFFF99"/>
        </patternFill>
      </fill>
    </dxf>
    <dxf>
      <fill>
        <patternFill>
          <bgColor theme="0" tint="-0.14996795556505021"/>
        </patternFill>
      </fill>
    </dxf>
    <dxf>
      <fill>
        <patternFill>
          <bgColor theme="9" tint="0.59996337778862885"/>
        </patternFill>
      </fill>
    </dxf>
    <dxf>
      <fill>
        <patternFill>
          <bgColor rgb="FFECEA94"/>
        </patternFill>
      </fill>
    </dxf>
    <dxf>
      <fill>
        <patternFill>
          <bgColor theme="0" tint="-0.24994659260841701"/>
        </patternFill>
      </fill>
    </dxf>
    <dxf>
      <fill>
        <patternFill>
          <bgColor theme="9" tint="0.59996337778862885"/>
        </patternFill>
      </fill>
    </dxf>
    <dxf>
      <fill>
        <patternFill patternType="none">
          <bgColor auto="1"/>
        </patternFill>
      </fill>
    </dxf>
    <dxf>
      <fill>
        <patternFill>
          <bgColor theme="9" tint="0.39994506668294322"/>
        </patternFill>
      </fill>
    </dxf>
    <dxf>
      <fill>
        <patternFill>
          <bgColor theme="0" tint="-0.24994659260841701"/>
        </patternFill>
      </fill>
    </dxf>
    <dxf>
      <fill>
        <patternFill>
          <bgColor rgb="FFFFFF99"/>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rgb="FFFFFF99"/>
        </patternFill>
      </fill>
    </dxf>
    <dxf>
      <fill>
        <patternFill>
          <bgColor theme="0" tint="-0.14996795556505021"/>
        </patternFill>
      </fill>
    </dxf>
    <dxf>
      <fill>
        <patternFill>
          <bgColor theme="9" tint="0.59996337778862885"/>
        </patternFill>
      </fill>
    </dxf>
    <dxf>
      <fill>
        <patternFill>
          <bgColor rgb="FFECEA94"/>
        </patternFill>
      </fill>
    </dxf>
    <dxf>
      <fill>
        <patternFill>
          <bgColor theme="0" tint="-0.24994659260841701"/>
        </patternFill>
      </fill>
    </dxf>
    <dxf>
      <fill>
        <patternFill>
          <bgColor theme="9" tint="0.59996337778862885"/>
        </patternFill>
      </fill>
    </dxf>
    <dxf>
      <fill>
        <patternFill patternType="none">
          <bgColor auto="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lor rgb="FF1A8436"/>
      </font>
      <fill>
        <patternFill>
          <bgColor rgb="FFB2E9A5"/>
        </patternFill>
      </fill>
    </dxf>
    <dxf>
      <font>
        <color theme="5" tint="-0.24994659260841701"/>
      </font>
      <fill>
        <patternFill>
          <bgColor theme="5" tint="0.59996337778862885"/>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ndense val="0"/>
        <extend val="0"/>
        <color rgb="FF006100"/>
      </font>
      <fill>
        <patternFill>
          <bgColor rgb="FFC6EFCE"/>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1"/>
      </font>
      <fill>
        <patternFill patternType="solid">
          <bgColor theme="8" tint="0.79998168889431442"/>
        </patternFill>
      </fill>
    </dxf>
    <dxf>
      <font>
        <color theme="1"/>
      </font>
      <fill>
        <patternFill patternType="solid">
          <bgColor theme="9" tint="0.79998168889431442"/>
        </patternFill>
      </fill>
    </dxf>
    <dxf>
      <font>
        <color rgb="FF1A8436"/>
      </font>
      <fill>
        <patternFill>
          <bgColor rgb="FFB2E9A5"/>
        </patternFill>
      </fill>
    </dxf>
    <dxf>
      <font>
        <color theme="5" tint="-0.24994659260841701"/>
      </font>
      <fill>
        <patternFill>
          <bgColor theme="5" tint="0.59996337778862885"/>
        </patternFill>
      </fill>
    </dxf>
    <dxf>
      <font>
        <condense val="0"/>
        <extend val="0"/>
        <color rgb="FF006100"/>
      </font>
      <fill>
        <patternFill>
          <bgColor rgb="FFC6EFCE"/>
        </patternFill>
      </fill>
    </dxf>
    <dxf>
      <font>
        <condense val="0"/>
        <extend val="0"/>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patternType="solid">
          <bgColor rgb="FF002060"/>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1" tint="0.499984740745262"/>
        </patternFill>
      </fill>
    </dxf>
    <dxf>
      <fill>
        <patternFill>
          <bgColor theme="1" tint="0.499984740745262"/>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92D050"/>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92D050"/>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92D050"/>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92D050"/>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92D050"/>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92D050"/>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rgb="FF00B05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1" tint="0.499984740745262"/>
        </patternFill>
      </fill>
    </dxf>
    <dxf>
      <fill>
        <patternFill patternType="none">
          <bgColor auto="1"/>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92D050"/>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1" tint="0.499984740745262"/>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1" tint="0.499984740745262"/>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1" tint="0.499984740745262"/>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1" tint="0.499984740745262"/>
        </patternFill>
      </fill>
    </dxf>
    <dxf>
      <fill>
        <patternFill>
          <bgColor theme="1" tint="0.499984740745262"/>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1" tint="0.499984740745262"/>
        </patternFill>
      </fill>
    </dxf>
    <dxf>
      <fill>
        <patternFill>
          <bgColor theme="1" tint="0.499984740745262"/>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1" tint="0.499984740745262"/>
        </patternFill>
      </fill>
    </dxf>
    <dxf>
      <fill>
        <patternFill>
          <bgColor theme="1" tint="0.499984740745262"/>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1" tint="0.499984740745262"/>
        </patternFill>
      </fill>
    </dxf>
    <dxf>
      <fill>
        <patternFill>
          <bgColor theme="1" tint="0.499984740745262"/>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1" tint="0.499984740745262"/>
        </patternFill>
      </fill>
    </dxf>
    <dxf>
      <fill>
        <patternFill>
          <bgColor theme="3" tint="0.59996337778862885"/>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theme="3" tint="0.59996337778862885"/>
        </patternFill>
      </fill>
    </dxf>
    <dxf>
      <fill>
        <patternFill>
          <bgColor rgb="FFFF0000"/>
        </patternFill>
      </fill>
    </dxf>
    <dxf>
      <fill>
        <patternFill>
          <bgColor rgb="FFFFFF00"/>
        </patternFill>
      </fill>
    </dxf>
    <dxf>
      <fill>
        <patternFill>
          <bgColor rgb="FFFFFF00"/>
        </patternFill>
      </fill>
    </dxf>
    <dxf>
      <fill>
        <patternFill>
          <bgColor theme="1" tint="0.499984740745262"/>
        </patternFill>
      </fill>
    </dxf>
    <dxf>
      <fill>
        <patternFill patternType="none">
          <bgColor auto="1"/>
        </patternFill>
      </fill>
    </dxf>
    <dxf>
      <fill>
        <patternFill>
          <bgColor rgb="FF00B050"/>
        </patternFill>
      </fill>
    </dxf>
    <dxf>
      <fill>
        <patternFill>
          <bgColor rgb="FFFF0000"/>
        </patternFill>
      </fill>
    </dxf>
    <dxf>
      <fill>
        <patternFill patternType="none">
          <bgColor auto="1"/>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FF0000"/>
        </patternFill>
      </fill>
    </dxf>
    <dxf>
      <fill>
        <patternFill patternType="none">
          <bgColor auto="1"/>
        </patternFill>
      </fill>
    </dxf>
    <dxf>
      <fill>
        <patternFill patternType="none">
          <bgColor auto="1"/>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92D050"/>
        </patternFill>
      </fill>
    </dxf>
    <dxf>
      <fill>
        <patternFill>
          <bgColor rgb="FF92D05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92D05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s>
  <tableStyles count="0" defaultTableStyle="TableStyleMedium9" defaultPivotStyle="PivotStyleLight16"/>
  <colors>
    <mruColors>
      <color rgb="FFF9CE69"/>
      <color rgb="FF49E6DB"/>
      <color rgb="FFECEA94"/>
      <color rgb="FFFFFF99"/>
      <color rgb="FF0072BC"/>
      <color rgb="FF29CD54"/>
      <color rgb="FF244062"/>
      <color rgb="FFFFFF00"/>
      <color rgb="FF8DB4E2"/>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openxmlformats.org/officeDocument/2006/relationships/customXml" Target="../customXml/item2.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40885764701247"/>
          <c:y val="5.13585977626181E-2"/>
          <c:w val="0.5582266389649998"/>
          <c:h val="0.83275619472427198"/>
        </c:manualLayout>
      </c:layout>
      <c:lineChart>
        <c:grouping val="standard"/>
        <c:varyColors val="0"/>
        <c:ser>
          <c:idx val="0"/>
          <c:order val="0"/>
          <c:tx>
            <c:strRef>
              <c:f>'Skill Assessment'!$K$2:$P$2</c:f>
              <c:strCache>
                <c:ptCount val="6"/>
                <c:pt idx="0">
                  <c:v>Skill Assessment </c:v>
                </c:pt>
              </c:strCache>
            </c:strRef>
          </c:tx>
          <c:marker>
            <c:symbol val="none"/>
          </c:marker>
          <c:trendline>
            <c:spPr>
              <a:ln w="38100">
                <a:solidFill>
                  <a:schemeClr val="accent3">
                    <a:lumMod val="50000"/>
                  </a:schemeClr>
                </a:solidFill>
                <a:tailEnd type="stealth"/>
              </a:ln>
            </c:spPr>
            <c:trendlineType val="linear"/>
            <c:dispRSqr val="0"/>
            <c:dispEq val="0"/>
          </c:trendline>
          <c:val>
            <c:numRef>
              <c:f>'Skill Assessment'!$K$45:$M$45</c:f>
              <c:numCache>
                <c:formatCode>0.00%</c:formatCode>
                <c:ptCount val="3"/>
                <c:pt idx="0">
                  <c:v>0</c:v>
                </c:pt>
                <c:pt idx="1">
                  <c:v>0</c:v>
                </c:pt>
                <c:pt idx="2">
                  <c:v>0</c:v>
                </c:pt>
              </c:numCache>
            </c:numRef>
          </c:val>
          <c:smooth val="0"/>
          <c:extLst>
            <c:ext xmlns:c16="http://schemas.microsoft.com/office/drawing/2014/chart" uri="{C3380CC4-5D6E-409C-BE32-E72D297353CC}">
              <c16:uniqueId val="{00000000-BC11-4EA0-A034-CE95C778513A}"/>
            </c:ext>
          </c:extLst>
        </c:ser>
        <c:ser>
          <c:idx val="1"/>
          <c:order val="1"/>
          <c:tx>
            <c:strRef>
              <c:f>'Skill Assessment'!$C$46</c:f>
              <c:strCache>
                <c:ptCount val="1"/>
                <c:pt idx="0">
                  <c:v>TARGET</c:v>
                </c:pt>
              </c:strCache>
            </c:strRef>
          </c:tx>
          <c:marker>
            <c:symbol val="none"/>
          </c:marker>
          <c:val>
            <c:numRef>
              <c:f>'Skill Assessment'!$K$46:$M$46</c:f>
              <c:numCache>
                <c:formatCode>0%</c:formatCode>
                <c:ptCount val="3"/>
                <c:pt idx="0">
                  <c:v>0.8</c:v>
                </c:pt>
                <c:pt idx="1">
                  <c:v>0.8</c:v>
                </c:pt>
                <c:pt idx="2">
                  <c:v>0.8</c:v>
                </c:pt>
              </c:numCache>
            </c:numRef>
          </c:val>
          <c:smooth val="0"/>
          <c:extLst>
            <c:ext xmlns:c16="http://schemas.microsoft.com/office/drawing/2014/chart" uri="{C3380CC4-5D6E-409C-BE32-E72D297353CC}">
              <c16:uniqueId val="{00000001-BC11-4EA0-A034-CE95C778513A}"/>
            </c:ext>
          </c:extLst>
        </c:ser>
        <c:ser>
          <c:idx val="2"/>
          <c:order val="2"/>
          <c:tx>
            <c:strRef>
              <c:f>'Skill Assessment'!$N$45</c:f>
              <c:strCache>
                <c:ptCount val="1"/>
              </c:strCache>
            </c:strRef>
          </c:tx>
          <c:marker>
            <c:symbol val="none"/>
          </c:marker>
          <c:val>
            <c:numLit>
              <c:formatCode>General</c:formatCode>
              <c:ptCount val="1"/>
              <c:pt idx="0">
                <c:v>1</c:v>
              </c:pt>
            </c:numLit>
          </c:val>
          <c:smooth val="0"/>
          <c:extLst xmlns:c15="http://schemas.microsoft.com/office/drawing/2012/chart">
            <c:ext xmlns:c16="http://schemas.microsoft.com/office/drawing/2014/chart" uri="{C3380CC4-5D6E-409C-BE32-E72D297353CC}">
              <c16:uniqueId val="{00000002-BC11-4EA0-A034-CE95C778513A}"/>
            </c:ext>
          </c:extLst>
        </c:ser>
        <c:dLbls>
          <c:showLegendKey val="0"/>
          <c:showVal val="0"/>
          <c:showCatName val="0"/>
          <c:showSerName val="0"/>
          <c:showPercent val="0"/>
          <c:showBubbleSize val="0"/>
        </c:dLbls>
        <c:smooth val="0"/>
        <c:axId val="89488768"/>
        <c:axId val="89494656"/>
        <c:extLst/>
      </c:lineChart>
      <c:catAx>
        <c:axId val="89488768"/>
        <c:scaling>
          <c:orientation val="minMax"/>
        </c:scaling>
        <c:delete val="0"/>
        <c:axPos val="b"/>
        <c:majorTickMark val="out"/>
        <c:minorTickMark val="none"/>
        <c:tickLblPos val="nextTo"/>
        <c:crossAx val="89494656"/>
        <c:crosses val="autoZero"/>
        <c:auto val="1"/>
        <c:lblAlgn val="ctr"/>
        <c:lblOffset val="100"/>
        <c:noMultiLvlLbl val="0"/>
      </c:catAx>
      <c:valAx>
        <c:axId val="89494656"/>
        <c:scaling>
          <c:orientation val="minMax"/>
          <c:max val="1"/>
        </c:scaling>
        <c:delete val="0"/>
        <c:axPos val="l"/>
        <c:majorGridlines/>
        <c:numFmt formatCode="0.00%" sourceLinked="1"/>
        <c:majorTickMark val="out"/>
        <c:minorTickMark val="none"/>
        <c:tickLblPos val="nextTo"/>
        <c:crossAx val="89488768"/>
        <c:crosses val="autoZero"/>
        <c:crossBetween val="between"/>
      </c:valAx>
    </c:plotArea>
    <c:legend>
      <c:legendPos val="r"/>
      <c:overlay val="0"/>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Soft Skills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rgbClr val="637CEF"/>
              </a:solidFill>
              <a:ln w="19050">
                <a:solidFill>
                  <a:schemeClr val="lt1"/>
                </a:solidFill>
              </a:ln>
              <a:effectLst/>
            </c:spPr>
            <c:extLst>
              <c:ext xmlns:c16="http://schemas.microsoft.com/office/drawing/2014/chart" uri="{C3380CC4-5D6E-409C-BE32-E72D297353CC}">
                <c16:uniqueId val="{00000001-BD76-4B22-9112-183928F711EC}"/>
              </c:ext>
            </c:extLst>
          </c:dPt>
          <c:dPt>
            <c:idx val="1"/>
            <c:bubble3D val="0"/>
            <c:spPr>
              <a:solidFill>
                <a:srgbClr val="E3008C"/>
              </a:solidFill>
              <a:ln w="19050">
                <a:solidFill>
                  <a:schemeClr val="lt1"/>
                </a:solidFill>
              </a:ln>
              <a:effectLst/>
            </c:spPr>
            <c:extLst>
              <c:ext xmlns:c16="http://schemas.microsoft.com/office/drawing/2014/chart" uri="{C3380CC4-5D6E-409C-BE32-E72D297353CC}">
                <c16:uniqueId val="{00000003-BD76-4B22-9112-183928F711EC}"/>
              </c:ext>
            </c:extLst>
          </c:dPt>
          <c:dPt>
            <c:idx val="2"/>
            <c:bubble3D val="0"/>
            <c:spPr>
              <a:solidFill>
                <a:srgbClr val="2AA0A4"/>
              </a:solidFill>
              <a:ln w="19050">
                <a:solidFill>
                  <a:schemeClr val="lt1"/>
                </a:solidFill>
              </a:ln>
              <a:effectLst/>
            </c:spPr>
            <c:extLst>
              <c:ext xmlns:c16="http://schemas.microsoft.com/office/drawing/2014/chart" uri="{C3380CC4-5D6E-409C-BE32-E72D297353CC}">
                <c16:uniqueId val="{00000005-BD76-4B22-9112-183928F711EC}"/>
              </c:ext>
            </c:extLst>
          </c:dPt>
          <c:dPt>
            <c:idx val="3"/>
            <c:bubble3D val="0"/>
            <c:spPr>
              <a:solidFill>
                <a:srgbClr val="9373C0"/>
              </a:solidFill>
              <a:ln w="19050">
                <a:solidFill>
                  <a:schemeClr val="lt1"/>
                </a:solidFill>
              </a:ln>
              <a:effectLst/>
            </c:spPr>
            <c:extLst>
              <c:ext xmlns:c16="http://schemas.microsoft.com/office/drawing/2014/chart" uri="{C3380CC4-5D6E-409C-BE32-E72D297353CC}">
                <c16:uniqueId val="{00000007-BD76-4B22-9112-183928F711EC}"/>
              </c:ext>
            </c:extLst>
          </c:dPt>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000000"/>
                    </a:solidFill>
                    <a:latin typeface="Aptos Display"/>
                    <a:ea typeface="Aptos Display"/>
                    <a:cs typeface="Aptos Display"/>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'Daily Observation'!$B$45:$B$48</c:f>
              <c:strCache>
                <c:ptCount val="4"/>
                <c:pt idx="0">
                  <c:v>EE</c:v>
                </c:pt>
                <c:pt idx="1">
                  <c:v>ME</c:v>
                </c:pt>
                <c:pt idx="2">
                  <c:v>NI</c:v>
                </c:pt>
                <c:pt idx="3">
                  <c:v>RF</c:v>
                </c:pt>
              </c:strCache>
            </c:strRef>
          </c:cat>
          <c:val>
            <c:numRef>
              <c:f>'Daily Observation'!$C$45:$C$48</c:f>
              <c:numCache>
                <c:formatCode>General</c:formatCode>
                <c:ptCount val="4"/>
                <c:pt idx="0">
                  <c:v>1</c:v>
                </c:pt>
                <c:pt idx="1">
                  <c:v>8</c:v>
                </c:pt>
                <c:pt idx="2">
                  <c:v>10</c:v>
                </c:pt>
                <c:pt idx="3">
                  <c:v>11</c:v>
                </c:pt>
              </c:numCache>
            </c:numRef>
          </c:val>
          <c:extLst>
            <c:ext xmlns:c16="http://schemas.microsoft.com/office/drawing/2014/chart" uri="{C3380CC4-5D6E-409C-BE32-E72D297353CC}">
              <c16:uniqueId val="{00000000-F2B7-435E-9E9B-C47F8530A5FF}"/>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17153973941568906"/>
          <c:y val="0.84675450374248507"/>
          <c:w val="0.45603751736915238"/>
          <c:h val="9.615451914664514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'PCB Nesting QA'!$C$24</c:f>
              <c:strCache>
                <c:ptCount val="1"/>
                <c:pt idx="0">
                  <c:v>CLASS AVERAGE</c:v>
                </c:pt>
              </c:strCache>
            </c:strRef>
          </c:tx>
          <c:marker>
            <c:symbol val="none"/>
          </c:marker>
          <c:trendline>
            <c:spPr>
              <a:ln w="38100">
                <a:solidFill>
                  <a:schemeClr val="accent3">
                    <a:lumMod val="50000"/>
                  </a:schemeClr>
                </a:solidFill>
                <a:tailEnd type="stealth"/>
              </a:ln>
            </c:spPr>
            <c:trendlineType val="linear"/>
            <c:dispRSqr val="0"/>
            <c:dispEq val="0"/>
          </c:trendline>
          <c:val>
            <c:numRef>
              <c:f>'PCB Nesting QA'!$D$24:$F$24</c:f>
              <c:numCache>
                <c:formatCode>0%</c:formatCode>
                <c:ptCount val="3"/>
                <c:pt idx="0">
                  <c:v>0</c:v>
                </c:pt>
                <c:pt idx="1">
                  <c:v>0</c:v>
                </c:pt>
                <c:pt idx="2">
                  <c:v>0</c:v>
                </c:pt>
              </c:numCache>
            </c:numRef>
          </c:val>
          <c:smooth val="0"/>
          <c:extLst>
            <c:ext xmlns:c16="http://schemas.microsoft.com/office/drawing/2014/chart" uri="{C3380CC4-5D6E-409C-BE32-E72D297353CC}">
              <c16:uniqueId val="{00000000-5827-44FC-B6EC-719D01FB7BC4}"/>
            </c:ext>
          </c:extLst>
        </c:ser>
        <c:ser>
          <c:idx val="1"/>
          <c:order val="1"/>
          <c:tx>
            <c:strRef>
              <c:f>'PCB Nesting QA'!$C$25</c:f>
              <c:strCache>
                <c:ptCount val="1"/>
                <c:pt idx="0">
                  <c:v>TARGET</c:v>
                </c:pt>
              </c:strCache>
            </c:strRef>
          </c:tx>
          <c:marker>
            <c:symbol val="none"/>
          </c:marker>
          <c:val>
            <c:numRef>
              <c:f>'PCB Nesting QA'!$D$25:$F$25</c:f>
              <c:numCache>
                <c:formatCode>0%</c:formatCode>
                <c:ptCount val="3"/>
                <c:pt idx="0">
                  <c:v>0.5</c:v>
                </c:pt>
                <c:pt idx="1">
                  <c:v>0.5</c:v>
                </c:pt>
                <c:pt idx="2">
                  <c:v>0.5</c:v>
                </c:pt>
              </c:numCache>
            </c:numRef>
          </c:val>
          <c:smooth val="0"/>
          <c:extLst>
            <c:ext xmlns:c16="http://schemas.microsoft.com/office/drawing/2014/chart" uri="{C3380CC4-5D6E-409C-BE32-E72D297353CC}">
              <c16:uniqueId val="{00000001-5827-44FC-B6EC-719D01FB7BC4}"/>
            </c:ext>
          </c:extLst>
        </c:ser>
        <c:ser>
          <c:idx val="2"/>
          <c:order val="2"/>
          <c:tx>
            <c:strRef>
              <c:f>'PCB Nesting QA'!$P$24</c:f>
              <c:strCache>
                <c:ptCount val="1"/>
                <c:pt idx="0">
                  <c:v>#DIV/0!</c:v>
                </c:pt>
              </c:strCache>
            </c:strRef>
          </c:tx>
          <c:marker>
            <c:symbol val="none"/>
          </c:marker>
          <c:val>
            <c:numLit>
              <c:formatCode>General</c:formatCode>
              <c:ptCount val="1"/>
              <c:pt idx="0">
                <c:v>1</c:v>
              </c:pt>
            </c:numLit>
          </c:val>
          <c:smooth val="0"/>
          <c:extLst xmlns:c15="http://schemas.microsoft.com/office/drawing/2012/chart">
            <c:ext xmlns:c16="http://schemas.microsoft.com/office/drawing/2014/chart" uri="{C3380CC4-5D6E-409C-BE32-E72D297353CC}">
              <c16:uniqueId val="{00000002-5827-44FC-B6EC-719D01FB7BC4}"/>
            </c:ext>
          </c:extLst>
        </c:ser>
        <c:dLbls>
          <c:showLegendKey val="0"/>
          <c:showVal val="0"/>
          <c:showCatName val="0"/>
          <c:showSerName val="0"/>
          <c:showPercent val="0"/>
          <c:showBubbleSize val="0"/>
        </c:dLbls>
        <c:smooth val="0"/>
        <c:axId val="89488768"/>
        <c:axId val="89494656"/>
        <c:extLst/>
      </c:lineChart>
      <c:catAx>
        <c:axId val="89488768"/>
        <c:scaling>
          <c:orientation val="minMax"/>
        </c:scaling>
        <c:delete val="0"/>
        <c:axPos val="b"/>
        <c:majorTickMark val="out"/>
        <c:minorTickMark val="none"/>
        <c:tickLblPos val="nextTo"/>
        <c:crossAx val="89494656"/>
        <c:crosses val="autoZero"/>
        <c:auto val="1"/>
        <c:lblAlgn val="ctr"/>
        <c:lblOffset val="100"/>
        <c:noMultiLvlLbl val="0"/>
      </c:catAx>
      <c:valAx>
        <c:axId val="89494656"/>
        <c:scaling>
          <c:orientation val="minMax"/>
          <c:max val="1"/>
        </c:scaling>
        <c:delete val="0"/>
        <c:axPos val="l"/>
        <c:majorGridlines/>
        <c:numFmt formatCode="0%" sourceLinked="1"/>
        <c:majorTickMark val="out"/>
        <c:minorTickMark val="none"/>
        <c:tickLblPos val="nextTo"/>
        <c:crossAx val="89488768"/>
        <c:crosses val="autoZero"/>
        <c:crossBetween val="between"/>
      </c:valAx>
    </c:plotArea>
    <c:legend>
      <c:legendPos val="r"/>
      <c:overlay val="0"/>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40885764701247"/>
          <c:y val="5.13585977626181E-2"/>
          <c:w val="0.5582266389649998"/>
          <c:h val="0.83275619472427198"/>
        </c:manualLayout>
      </c:layout>
      <c:lineChart>
        <c:grouping val="standard"/>
        <c:varyColors val="0"/>
        <c:ser>
          <c:idx val="0"/>
          <c:order val="0"/>
          <c:tx>
            <c:strRef>
              <c:f>'PCB Nesting QA'!$C$24</c:f>
              <c:strCache>
                <c:ptCount val="1"/>
                <c:pt idx="0">
                  <c:v>CLASS AVERAGE</c:v>
                </c:pt>
              </c:strCache>
            </c:strRef>
          </c:tx>
          <c:marker>
            <c:symbol val="none"/>
          </c:marker>
          <c:trendline>
            <c:spPr>
              <a:ln w="38100">
                <a:solidFill>
                  <a:schemeClr val="accent3">
                    <a:lumMod val="50000"/>
                  </a:schemeClr>
                </a:solidFill>
                <a:tailEnd type="stealth"/>
              </a:ln>
            </c:spPr>
            <c:trendlineType val="linear"/>
            <c:dispRSqr val="0"/>
            <c:dispEq val="0"/>
          </c:trendline>
          <c:val>
            <c:numRef>
              <c:f>'PCB Nesting QA'!$G$24:$O$24</c:f>
              <c:numCache>
                <c:formatCode>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A63B-4628-96E9-146CC30B8469}"/>
            </c:ext>
          </c:extLst>
        </c:ser>
        <c:ser>
          <c:idx val="1"/>
          <c:order val="1"/>
          <c:tx>
            <c:strRef>
              <c:f>'PCB Nesting QA'!$C$25</c:f>
              <c:strCache>
                <c:ptCount val="1"/>
                <c:pt idx="0">
                  <c:v>TARGET</c:v>
                </c:pt>
              </c:strCache>
            </c:strRef>
          </c:tx>
          <c:marker>
            <c:symbol val="none"/>
          </c:marker>
          <c:val>
            <c:numRef>
              <c:f>'PCB Nesting QA'!$G$25:$O$25</c:f>
              <c:numCache>
                <c:formatCode>0%</c:formatCode>
                <c:ptCount val="9"/>
                <c:pt idx="0">
                  <c:v>0.5</c:v>
                </c:pt>
                <c:pt idx="1">
                  <c:v>0.5</c:v>
                </c:pt>
                <c:pt idx="2">
                  <c:v>0.5</c:v>
                </c:pt>
                <c:pt idx="3">
                  <c:v>0.5</c:v>
                </c:pt>
                <c:pt idx="4">
                  <c:v>0.5</c:v>
                </c:pt>
                <c:pt idx="5">
                  <c:v>0.5</c:v>
                </c:pt>
                <c:pt idx="6">
                  <c:v>0.5</c:v>
                </c:pt>
                <c:pt idx="7">
                  <c:v>0.5</c:v>
                </c:pt>
                <c:pt idx="8">
                  <c:v>0.5</c:v>
                </c:pt>
              </c:numCache>
            </c:numRef>
          </c:val>
          <c:smooth val="0"/>
          <c:extLst>
            <c:ext xmlns:c16="http://schemas.microsoft.com/office/drawing/2014/chart" uri="{C3380CC4-5D6E-409C-BE32-E72D297353CC}">
              <c16:uniqueId val="{00000001-A63B-4628-96E9-146CC30B8469}"/>
            </c:ext>
          </c:extLst>
        </c:ser>
        <c:ser>
          <c:idx val="2"/>
          <c:order val="2"/>
          <c:tx>
            <c:strRef>
              <c:f>'PCB Nesting QA'!$P$24</c:f>
              <c:strCache>
                <c:ptCount val="1"/>
                <c:pt idx="0">
                  <c:v>#DIV/0!</c:v>
                </c:pt>
              </c:strCache>
            </c:strRef>
          </c:tx>
          <c:marker>
            <c:symbol val="none"/>
          </c:marker>
          <c:val>
            <c:numLit>
              <c:formatCode>General</c:formatCode>
              <c:ptCount val="1"/>
              <c:pt idx="0">
                <c:v>1</c:v>
              </c:pt>
            </c:numLit>
          </c:val>
          <c:smooth val="0"/>
          <c:extLst xmlns:c15="http://schemas.microsoft.com/office/drawing/2012/chart">
            <c:ext xmlns:c16="http://schemas.microsoft.com/office/drawing/2014/chart" uri="{C3380CC4-5D6E-409C-BE32-E72D297353CC}">
              <c16:uniqueId val="{00000002-A63B-4628-96E9-146CC30B8469}"/>
            </c:ext>
          </c:extLst>
        </c:ser>
        <c:dLbls>
          <c:showLegendKey val="0"/>
          <c:showVal val="0"/>
          <c:showCatName val="0"/>
          <c:showSerName val="0"/>
          <c:showPercent val="0"/>
          <c:showBubbleSize val="0"/>
        </c:dLbls>
        <c:smooth val="0"/>
        <c:axId val="89488768"/>
        <c:axId val="89494656"/>
        <c:extLst/>
      </c:lineChart>
      <c:catAx>
        <c:axId val="89488768"/>
        <c:scaling>
          <c:orientation val="minMax"/>
        </c:scaling>
        <c:delete val="0"/>
        <c:axPos val="b"/>
        <c:majorTickMark val="out"/>
        <c:minorTickMark val="none"/>
        <c:tickLblPos val="nextTo"/>
        <c:crossAx val="89494656"/>
        <c:crosses val="autoZero"/>
        <c:auto val="1"/>
        <c:lblAlgn val="ctr"/>
        <c:lblOffset val="100"/>
        <c:noMultiLvlLbl val="0"/>
      </c:catAx>
      <c:valAx>
        <c:axId val="89494656"/>
        <c:scaling>
          <c:orientation val="minMax"/>
          <c:max val="1"/>
        </c:scaling>
        <c:delete val="0"/>
        <c:axPos val="l"/>
        <c:majorGridlines/>
        <c:numFmt formatCode="0%" sourceLinked="1"/>
        <c:majorTickMark val="out"/>
        <c:minorTickMark val="none"/>
        <c:tickLblPos val="nextTo"/>
        <c:crossAx val="89488768"/>
        <c:crosses val="autoZero"/>
        <c:crossBetween val="between"/>
      </c:valAx>
    </c:plotArea>
    <c:legend>
      <c:legendPos val="r"/>
      <c:overlay val="0"/>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olors1.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4.xml"/><Relationship Id="rId1" Type="http://schemas.openxmlformats.org/officeDocument/2006/relationships/chart" Target="../charts/chart3.xml"/></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14</xdr:col>
      <xdr:colOff>390525</xdr:colOff>
      <xdr:row>0</xdr:row>
      <xdr:rowOff>0</xdr:rowOff>
    </xdr:from>
    <xdr:to>
      <xdr:col>27</xdr:col>
      <xdr:colOff>161925</xdr:colOff>
      <xdr:row>9</xdr:row>
      <xdr:rowOff>123825</xdr:rowOff>
    </xdr:to>
    <xdr:pic>
      <xdr:nvPicPr>
        <xdr:cNvPr id="2" name="Picture 1">
          <a:extLst>
            <a:ext uri="{FF2B5EF4-FFF2-40B4-BE49-F238E27FC236}">
              <a16:creationId xmlns:a16="http://schemas.microsoft.com/office/drawing/2014/main" id="{E32EE1C7-11D1-4AE8-BEE2-B757B0CDF5F1}"/>
            </a:ext>
          </a:extLst>
        </xdr:cNvPr>
        <xdr:cNvPicPr>
          <a:picLocks noChangeAspect="1"/>
        </xdr:cNvPicPr>
      </xdr:nvPicPr>
      <xdr:blipFill>
        <a:blip xmlns:r="http://schemas.openxmlformats.org/officeDocument/2006/relationships" r:embed="rId1"/>
        <a:stretch>
          <a:fillRect/>
        </a:stretch>
      </xdr:blipFill>
      <xdr:spPr>
        <a:xfrm>
          <a:off x="8924925" y="0"/>
          <a:ext cx="7696200" cy="20955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27842</xdr:colOff>
      <xdr:row>1</xdr:row>
      <xdr:rowOff>448978</xdr:rowOff>
    </xdr:to>
    <xdr:pic>
      <xdr:nvPicPr>
        <xdr:cNvPr id="3" name="Picture 2">
          <a:extLst>
            <a:ext uri="{FF2B5EF4-FFF2-40B4-BE49-F238E27FC236}">
              <a16:creationId xmlns:a16="http://schemas.microsoft.com/office/drawing/2014/main" id="{A72D2333-8968-4573-B8F8-9BB2A46088E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8327" y="0"/>
          <a:ext cx="1012825" cy="45215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1731645</xdr:colOff>
      <xdr:row>1</xdr:row>
      <xdr:rowOff>672465</xdr:rowOff>
    </xdr:to>
    <xdr:pic>
      <xdr:nvPicPr>
        <xdr:cNvPr id="2" name="Picture 1">
          <a:extLst>
            <a:ext uri="{FF2B5EF4-FFF2-40B4-BE49-F238E27FC236}">
              <a16:creationId xmlns:a16="http://schemas.microsoft.com/office/drawing/2014/main" id="{173007B7-FA60-6DE4-DEA8-B4B31A99211B}"/>
            </a:ext>
          </a:extLst>
        </xdr:cNvPr>
        <xdr:cNvPicPr>
          <a:picLocks noChangeAspect="1"/>
        </xdr:cNvPicPr>
      </xdr:nvPicPr>
      <xdr:blipFill>
        <a:blip xmlns:r="http://schemas.openxmlformats.org/officeDocument/2006/relationships" r:embed="rId1"/>
        <a:stretch>
          <a:fillRect/>
        </a:stretch>
      </xdr:blipFill>
      <xdr:spPr>
        <a:xfrm>
          <a:off x="0" y="0"/>
          <a:ext cx="3141345" cy="8629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3</xdr:col>
      <xdr:colOff>704850</xdr:colOff>
      <xdr:row>2</xdr:row>
      <xdr:rowOff>133350</xdr:rowOff>
    </xdr:to>
    <xdr:pic>
      <xdr:nvPicPr>
        <xdr:cNvPr id="2" name="Picture 1">
          <a:extLst>
            <a:ext uri="{FF2B5EF4-FFF2-40B4-BE49-F238E27FC236}">
              <a16:creationId xmlns:a16="http://schemas.microsoft.com/office/drawing/2014/main" id="{D6884C47-067F-FD34-40A6-A1B5156CDBA6}"/>
            </a:ext>
          </a:extLst>
        </xdr:cNvPr>
        <xdr:cNvPicPr>
          <a:picLocks noChangeAspect="1"/>
        </xdr:cNvPicPr>
      </xdr:nvPicPr>
      <xdr:blipFill>
        <a:blip xmlns:r="http://schemas.openxmlformats.org/officeDocument/2006/relationships" r:embed="rId1"/>
        <a:stretch>
          <a:fillRect/>
        </a:stretch>
      </xdr:blipFill>
      <xdr:spPr>
        <a:xfrm>
          <a:off x="200025" y="180975"/>
          <a:ext cx="2867025" cy="78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xdr:col>
      <xdr:colOff>812800</xdr:colOff>
      <xdr:row>3</xdr:row>
      <xdr:rowOff>77503</xdr:rowOff>
    </xdr:to>
    <xdr:pic>
      <xdr:nvPicPr>
        <xdr:cNvPr id="2" name="Picture 1">
          <a:extLst>
            <a:ext uri="{FF2B5EF4-FFF2-40B4-BE49-F238E27FC236}">
              <a16:creationId xmlns:a16="http://schemas.microsoft.com/office/drawing/2014/main" id="{314F43D9-D40C-4835-93AA-840C385E210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22350" cy="44897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87565</xdr:colOff>
      <xdr:row>1</xdr:row>
      <xdr:rowOff>48984</xdr:rowOff>
    </xdr:from>
    <xdr:to>
      <xdr:col>3</xdr:col>
      <xdr:colOff>652982</xdr:colOff>
      <xdr:row>1</xdr:row>
      <xdr:rowOff>446313</xdr:rowOff>
    </xdr:to>
    <xdr:sp macro="[0]!EmailSelectedSheets" textlink="">
      <xdr:nvSpPr>
        <xdr:cNvPr id="3" name="Rounded Rectangle 2">
          <a:extLst>
            <a:ext uri="{FF2B5EF4-FFF2-40B4-BE49-F238E27FC236}">
              <a16:creationId xmlns:a16="http://schemas.microsoft.com/office/drawing/2014/main" id="{00000000-0008-0000-0900-000003000000}"/>
            </a:ext>
          </a:extLst>
        </xdr:cNvPr>
        <xdr:cNvSpPr/>
      </xdr:nvSpPr>
      <xdr:spPr>
        <a:xfrm>
          <a:off x="1872822" y="604155"/>
          <a:ext cx="1795503" cy="3973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Submit Results</a:t>
          </a:r>
        </a:p>
      </xdr:txBody>
    </xdr:sp>
    <xdr:clientData/>
  </xdr:twoCellAnchor>
  <xdr:twoCellAnchor editAs="oneCell">
    <xdr:from>
      <xdr:col>0</xdr:col>
      <xdr:colOff>85725</xdr:colOff>
      <xdr:row>1</xdr:row>
      <xdr:rowOff>28575</xdr:rowOff>
    </xdr:from>
    <xdr:to>
      <xdr:col>2</xdr:col>
      <xdr:colOff>26670</xdr:colOff>
      <xdr:row>1</xdr:row>
      <xdr:rowOff>483870</xdr:rowOff>
    </xdr:to>
    <xdr:pic>
      <xdr:nvPicPr>
        <xdr:cNvPr id="2" name="Picture 1">
          <a:extLst>
            <a:ext uri="{FF2B5EF4-FFF2-40B4-BE49-F238E27FC236}">
              <a16:creationId xmlns:a16="http://schemas.microsoft.com/office/drawing/2014/main" id="{C3B34F3C-2F77-6077-F3AF-7E686CCC57C0}"/>
            </a:ext>
            <a:ext uri="{147F2762-F138-4A5C-976F-8EAC2B608ADB}">
              <a16:predDERef xmlns:a16="http://schemas.microsoft.com/office/drawing/2014/main" pred="{00000000-0008-0000-0900-000003000000}"/>
            </a:ext>
          </a:extLst>
        </xdr:cNvPr>
        <xdr:cNvPicPr>
          <a:picLocks noChangeAspect="1"/>
        </xdr:cNvPicPr>
      </xdr:nvPicPr>
      <xdr:blipFill>
        <a:blip xmlns:r="http://schemas.openxmlformats.org/officeDocument/2006/relationships" r:embed="rId1"/>
        <a:stretch>
          <a:fillRect/>
        </a:stretch>
      </xdr:blipFill>
      <xdr:spPr>
        <a:xfrm>
          <a:off x="85725" y="590550"/>
          <a:ext cx="1666875" cy="4572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1</xdr:colOff>
      <xdr:row>14</xdr:row>
      <xdr:rowOff>258537</xdr:rowOff>
    </xdr:from>
    <xdr:to>
      <xdr:col>3</xdr:col>
      <xdr:colOff>54428</xdr:colOff>
      <xdr:row>15</xdr:row>
      <xdr:rowOff>27216</xdr:rowOff>
    </xdr:to>
    <xdr:sp macro="[0]!RoundedRectangle10_Click" textlink="">
      <xdr:nvSpPr>
        <xdr:cNvPr id="11" name="Rounded Rectangle 10">
          <a:extLst>
            <a:ext uri="{FF2B5EF4-FFF2-40B4-BE49-F238E27FC236}">
              <a16:creationId xmlns:a16="http://schemas.microsoft.com/office/drawing/2014/main" id="{00000000-0008-0000-0800-00000B000000}"/>
            </a:ext>
          </a:extLst>
        </xdr:cNvPr>
        <xdr:cNvSpPr/>
      </xdr:nvSpPr>
      <xdr:spPr>
        <a:xfrm>
          <a:off x="231322" y="2381251"/>
          <a:ext cx="2068285" cy="51707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a:t>Submit to Payroll</a:t>
          </a:r>
        </a:p>
      </xdr:txBody>
    </xdr:sp>
    <xdr:clientData/>
  </xdr:twoCellAnchor>
  <xdr:twoCellAnchor>
    <xdr:from>
      <xdr:col>1</xdr:col>
      <xdr:colOff>1</xdr:colOff>
      <xdr:row>14</xdr:row>
      <xdr:rowOff>258537</xdr:rowOff>
    </xdr:from>
    <xdr:to>
      <xdr:col>3</xdr:col>
      <xdr:colOff>408214</xdr:colOff>
      <xdr:row>15</xdr:row>
      <xdr:rowOff>27216</xdr:rowOff>
    </xdr:to>
    <xdr:sp macro="[0]!SubmitToPayroll" textlink="">
      <xdr:nvSpPr>
        <xdr:cNvPr id="7" name="Rounded Rectangle 6">
          <a:extLst>
            <a:ext uri="{FF2B5EF4-FFF2-40B4-BE49-F238E27FC236}">
              <a16:creationId xmlns:a16="http://schemas.microsoft.com/office/drawing/2014/main" id="{00000000-0008-0000-0800-000007000000}"/>
            </a:ext>
          </a:extLst>
        </xdr:cNvPr>
        <xdr:cNvSpPr/>
      </xdr:nvSpPr>
      <xdr:spPr>
        <a:xfrm>
          <a:off x="228601" y="2392137"/>
          <a:ext cx="2075088" cy="52115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a:t>Submit to Payroll</a:t>
          </a:r>
        </a:p>
      </xdr:txBody>
    </xdr:sp>
    <xdr:clientData/>
  </xdr:twoCellAnchor>
  <xdr:twoCellAnchor>
    <xdr:from>
      <xdr:col>3</xdr:col>
      <xdr:colOff>925287</xdr:colOff>
      <xdr:row>14</xdr:row>
      <xdr:rowOff>272143</xdr:rowOff>
    </xdr:from>
    <xdr:to>
      <xdr:col>5</xdr:col>
      <xdr:colOff>1</xdr:colOff>
      <xdr:row>15</xdr:row>
      <xdr:rowOff>40822</xdr:rowOff>
    </xdr:to>
    <xdr:sp macro="[0]!SubmitToOPS" textlink="">
      <xdr:nvSpPr>
        <xdr:cNvPr id="8" name="Rounded Rectangle 7">
          <a:extLst>
            <a:ext uri="{FF2B5EF4-FFF2-40B4-BE49-F238E27FC236}">
              <a16:creationId xmlns:a16="http://schemas.microsoft.com/office/drawing/2014/main" id="{00000000-0008-0000-0800-000008000000}"/>
            </a:ext>
          </a:extLst>
        </xdr:cNvPr>
        <xdr:cNvSpPr/>
      </xdr:nvSpPr>
      <xdr:spPr>
        <a:xfrm>
          <a:off x="2820762" y="2405743"/>
          <a:ext cx="1798864" cy="52115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a:t>Submit to OPS</a:t>
          </a:r>
        </a:p>
      </xdr:txBody>
    </xdr:sp>
    <xdr:clientData/>
  </xdr:twoCellAnchor>
  <xdr:twoCellAnchor editAs="oneCell">
    <xdr:from>
      <xdr:col>1</xdr:col>
      <xdr:colOff>0</xdr:colOff>
      <xdr:row>1</xdr:row>
      <xdr:rowOff>0</xdr:rowOff>
    </xdr:from>
    <xdr:to>
      <xdr:col>3</xdr:col>
      <xdr:colOff>361950</xdr:colOff>
      <xdr:row>1</xdr:row>
      <xdr:rowOff>666750</xdr:rowOff>
    </xdr:to>
    <xdr:pic>
      <xdr:nvPicPr>
        <xdr:cNvPr id="2" name="Picture 1">
          <a:extLst>
            <a:ext uri="{FF2B5EF4-FFF2-40B4-BE49-F238E27FC236}">
              <a16:creationId xmlns:a16="http://schemas.microsoft.com/office/drawing/2014/main" id="{D84FF718-600B-185A-7BD2-C502D3D19DAC}"/>
            </a:ext>
            <a:ext uri="{147F2762-F138-4A5C-976F-8EAC2B608ADB}">
              <a16:predDERef xmlns:a16="http://schemas.microsoft.com/office/drawing/2014/main" pred="{00000000-0008-0000-0800-000008000000}"/>
            </a:ext>
          </a:extLst>
        </xdr:cNvPr>
        <xdr:cNvPicPr>
          <a:picLocks noChangeAspect="1"/>
        </xdr:cNvPicPr>
      </xdr:nvPicPr>
      <xdr:blipFill>
        <a:blip xmlns:r="http://schemas.openxmlformats.org/officeDocument/2006/relationships" r:embed="rId1"/>
        <a:stretch>
          <a:fillRect/>
        </a:stretch>
      </xdr:blipFill>
      <xdr:spPr>
        <a:xfrm>
          <a:off x="247650" y="180975"/>
          <a:ext cx="2447925" cy="666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xdr:col>
      <xdr:colOff>87565</xdr:colOff>
      <xdr:row>1</xdr:row>
      <xdr:rowOff>48984</xdr:rowOff>
    </xdr:from>
    <xdr:to>
      <xdr:col>3</xdr:col>
      <xdr:colOff>652982</xdr:colOff>
      <xdr:row>1</xdr:row>
      <xdr:rowOff>446313</xdr:rowOff>
    </xdr:to>
    <xdr:sp macro="[0]!EmailSelectedSheets" textlink="">
      <xdr:nvSpPr>
        <xdr:cNvPr id="2" name="Rounded Rectangle 2">
          <a:extLst>
            <a:ext uri="{FF2B5EF4-FFF2-40B4-BE49-F238E27FC236}">
              <a16:creationId xmlns:a16="http://schemas.microsoft.com/office/drawing/2014/main" id="{48912D0E-D5D5-42BA-B845-8BCAA5473BFC}"/>
            </a:ext>
          </a:extLst>
        </xdr:cNvPr>
        <xdr:cNvSpPr/>
      </xdr:nvSpPr>
      <xdr:spPr>
        <a:xfrm>
          <a:off x="1870645" y="605244"/>
          <a:ext cx="1792237" cy="3973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Submit Results</a:t>
          </a:r>
        </a:p>
      </xdr:txBody>
    </xdr:sp>
    <xdr:clientData/>
  </xdr:twoCellAnchor>
  <xdr:twoCellAnchor editAs="oneCell">
    <xdr:from>
      <xdr:col>0</xdr:col>
      <xdr:colOff>0</xdr:colOff>
      <xdr:row>0</xdr:row>
      <xdr:rowOff>0</xdr:rowOff>
    </xdr:from>
    <xdr:to>
      <xdr:col>1</xdr:col>
      <xdr:colOff>216189</xdr:colOff>
      <xdr:row>0</xdr:row>
      <xdr:rowOff>445803</xdr:rowOff>
    </xdr:to>
    <xdr:pic>
      <xdr:nvPicPr>
        <xdr:cNvPr id="3" name="Picture 2">
          <a:extLst>
            <a:ext uri="{FF2B5EF4-FFF2-40B4-BE49-F238E27FC236}">
              <a16:creationId xmlns:a16="http://schemas.microsoft.com/office/drawing/2014/main" id="{C990ED06-3D41-4D68-8B60-720314D3DCF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01049" cy="44580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87565</xdr:colOff>
      <xdr:row>1</xdr:row>
      <xdr:rowOff>48984</xdr:rowOff>
    </xdr:from>
    <xdr:to>
      <xdr:col>3</xdr:col>
      <xdr:colOff>652982</xdr:colOff>
      <xdr:row>1</xdr:row>
      <xdr:rowOff>446313</xdr:rowOff>
    </xdr:to>
    <xdr:sp macro="[0]!EmailSelectedSheets" textlink="">
      <xdr:nvSpPr>
        <xdr:cNvPr id="2" name="Rounded Rectangle 2">
          <a:extLst>
            <a:ext uri="{FF2B5EF4-FFF2-40B4-BE49-F238E27FC236}">
              <a16:creationId xmlns:a16="http://schemas.microsoft.com/office/drawing/2014/main" id="{CD77FF63-D582-4BF8-8376-927E59ED4C7B}"/>
            </a:ext>
          </a:extLst>
        </xdr:cNvPr>
        <xdr:cNvSpPr/>
      </xdr:nvSpPr>
      <xdr:spPr>
        <a:xfrm>
          <a:off x="1870645" y="605244"/>
          <a:ext cx="1792237" cy="3973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Submit Results</a:t>
          </a:r>
        </a:p>
      </xdr:txBody>
    </xdr:sp>
    <xdr:clientData/>
  </xdr:twoCellAnchor>
  <xdr:twoCellAnchor editAs="oneCell">
    <xdr:from>
      <xdr:col>0</xdr:col>
      <xdr:colOff>0</xdr:colOff>
      <xdr:row>0</xdr:row>
      <xdr:rowOff>0</xdr:rowOff>
    </xdr:from>
    <xdr:to>
      <xdr:col>1</xdr:col>
      <xdr:colOff>216189</xdr:colOff>
      <xdr:row>0</xdr:row>
      <xdr:rowOff>445803</xdr:rowOff>
    </xdr:to>
    <xdr:pic>
      <xdr:nvPicPr>
        <xdr:cNvPr id="3" name="Picture 2">
          <a:extLst>
            <a:ext uri="{FF2B5EF4-FFF2-40B4-BE49-F238E27FC236}">
              <a16:creationId xmlns:a16="http://schemas.microsoft.com/office/drawing/2014/main" id="{85AA1458-C0E6-4277-BBAC-BC2EC947373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01049" cy="445803"/>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1</xdr:row>
      <xdr:rowOff>134470</xdr:rowOff>
    </xdr:from>
    <xdr:to>
      <xdr:col>1</xdr:col>
      <xdr:colOff>702235</xdr:colOff>
      <xdr:row>1</xdr:row>
      <xdr:rowOff>589798</xdr:rowOff>
    </xdr:to>
    <xdr:pic>
      <xdr:nvPicPr>
        <xdr:cNvPr id="2" name="Picture 1">
          <a:extLst>
            <a:ext uri="{FF2B5EF4-FFF2-40B4-BE49-F238E27FC236}">
              <a16:creationId xmlns:a16="http://schemas.microsoft.com/office/drawing/2014/main" id="{88F431FF-41BD-4EF7-91FE-117C47894C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34470"/>
          <a:ext cx="1016000" cy="45532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1326778</xdr:colOff>
      <xdr:row>48</xdr:row>
      <xdr:rowOff>71717</xdr:rowOff>
    </xdr:from>
    <xdr:to>
      <xdr:col>14</xdr:col>
      <xdr:colOff>80682</xdr:colOff>
      <xdr:row>63</xdr:row>
      <xdr:rowOff>17928</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1</xdr:row>
      <xdr:rowOff>0</xdr:rowOff>
    </xdr:from>
    <xdr:to>
      <xdr:col>1</xdr:col>
      <xdr:colOff>373183</xdr:colOff>
      <xdr:row>1</xdr:row>
      <xdr:rowOff>438002</xdr:rowOff>
    </xdr:to>
    <xdr:pic>
      <xdr:nvPicPr>
        <xdr:cNvPr id="5" name="Picture 4">
          <a:extLst>
            <a:ext uri="{FF2B5EF4-FFF2-40B4-BE49-F238E27FC236}">
              <a16:creationId xmlns:a16="http://schemas.microsoft.com/office/drawing/2014/main" id="{04793291-D5DA-4436-9B44-56359A04954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1016000" cy="452153"/>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266700</xdr:colOff>
      <xdr:row>35</xdr:row>
      <xdr:rowOff>161925</xdr:rowOff>
    </xdr:from>
    <xdr:to>
      <xdr:col>6</xdr:col>
      <xdr:colOff>180975</xdr:colOff>
      <xdr:row>47</xdr:row>
      <xdr:rowOff>47625</xdr:rowOff>
    </xdr:to>
    <xdr:graphicFrame macro="">
      <xdr:nvGraphicFramePr>
        <xdr:cNvPr id="6" name="Chart 5">
          <a:extLst>
            <a:ext uri="{FF2B5EF4-FFF2-40B4-BE49-F238E27FC236}">
              <a16:creationId xmlns:a16="http://schemas.microsoft.com/office/drawing/2014/main" id="{D6675A55-B3E6-C7DC-7B24-D63066AF9FEC}"/>
            </a:ext>
            <a:ext uri="{147F2762-F138-4A5C-976F-8EAC2B608ADB}">
              <a16:predDERef xmlns:a16="http://schemas.microsoft.com/office/drawing/2014/main" pred="{C1DA7A70-7EAC-935C-290F-52B05D254B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152401</xdr:colOff>
      <xdr:row>0</xdr:row>
      <xdr:rowOff>30481</xdr:rowOff>
    </xdr:from>
    <xdr:to>
      <xdr:col>3</xdr:col>
      <xdr:colOff>358140</xdr:colOff>
      <xdr:row>1</xdr:row>
      <xdr:rowOff>144781</xdr:rowOff>
    </xdr:to>
    <xdr:sp macro="[0]!Sheet13.SubmitToHandOff" textlink="">
      <xdr:nvSpPr>
        <xdr:cNvPr id="7" name="Rounded Rectangle 6">
          <a:extLst>
            <a:ext uri="{FF2B5EF4-FFF2-40B4-BE49-F238E27FC236}">
              <a16:creationId xmlns:a16="http://schemas.microsoft.com/office/drawing/2014/main" id="{67E4007E-D741-4933-90D3-55DEC73965B4}"/>
            </a:ext>
          </a:extLst>
        </xdr:cNvPr>
        <xdr:cNvSpPr/>
      </xdr:nvSpPr>
      <xdr:spPr>
        <a:xfrm>
          <a:off x="1043941" y="30481"/>
          <a:ext cx="1196339" cy="297180"/>
        </a:xfrm>
        <a:prstGeom prst="round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mn-ea"/>
              <a:cs typeface="+mn-cs"/>
            </a:rPr>
            <a:t>Submit Hand Off</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22</xdr:col>
      <xdr:colOff>353546</xdr:colOff>
      <xdr:row>1</xdr:row>
      <xdr:rowOff>200025</xdr:rowOff>
    </xdr:from>
    <xdr:to>
      <xdr:col>28</xdr:col>
      <xdr:colOff>505945</xdr:colOff>
      <xdr:row>12</xdr:row>
      <xdr:rowOff>116541</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344581</xdr:colOff>
      <xdr:row>13</xdr:row>
      <xdr:rowOff>85725</xdr:rowOff>
    </xdr:from>
    <xdr:to>
      <xdr:col>34</xdr:col>
      <xdr:colOff>127188</xdr:colOff>
      <xdr:row>27</xdr:row>
      <xdr:rowOff>126066</xdr:rowOff>
    </xdr:to>
    <xdr:graphicFrame macro="">
      <xdr:nvGraphicFramePr>
        <xdr:cNvPr id="5" name="Chart 4">
          <a:extLst>
            <a:ext uri="{FF2B5EF4-FFF2-40B4-BE49-F238E27FC236}">
              <a16:creationId xmlns:a16="http://schemas.microsoft.com/office/drawing/2014/main" id="{00000000-0008-0000-0C00-000005000000}"/>
            </a:ext>
            <a:ext uri="{147F2762-F138-4A5C-976F-8EAC2B608ADB}">
              <a16:predDERef xmlns:a16="http://schemas.microsoft.com/office/drawing/2014/main" pre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1</xdr:row>
      <xdr:rowOff>171450</xdr:rowOff>
    </xdr:from>
    <xdr:to>
      <xdr:col>2</xdr:col>
      <xdr:colOff>929640</xdr:colOff>
      <xdr:row>2</xdr:row>
      <xdr:rowOff>281940</xdr:rowOff>
    </xdr:to>
    <xdr:pic>
      <xdr:nvPicPr>
        <xdr:cNvPr id="2" name="Picture 1">
          <a:extLst>
            <a:ext uri="{FF2B5EF4-FFF2-40B4-BE49-F238E27FC236}">
              <a16:creationId xmlns:a16="http://schemas.microsoft.com/office/drawing/2014/main" id="{81BAA7B7-B9B2-8777-3615-1E9D66DDF3D2}"/>
            </a:ext>
            <a:ext uri="{147F2762-F138-4A5C-976F-8EAC2B608ADB}">
              <a16:predDERef xmlns:a16="http://schemas.microsoft.com/office/drawing/2014/main" pred="{00000000-0008-0000-0C00-000005000000}"/>
            </a:ext>
          </a:extLst>
        </xdr:cNvPr>
        <xdr:cNvPicPr>
          <a:picLocks noChangeAspect="1"/>
        </xdr:cNvPicPr>
      </xdr:nvPicPr>
      <xdr:blipFill>
        <a:blip xmlns:r="http://schemas.openxmlformats.org/officeDocument/2006/relationships" r:embed="rId3"/>
        <a:stretch>
          <a:fillRect/>
        </a:stretch>
      </xdr:blipFill>
      <xdr:spPr>
        <a:xfrm>
          <a:off x="0" y="352425"/>
          <a:ext cx="2124075" cy="58102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9525</xdr:colOff>
      <xdr:row>1</xdr:row>
      <xdr:rowOff>66675</xdr:rowOff>
    </xdr:from>
    <xdr:to>
      <xdr:col>1</xdr:col>
      <xdr:colOff>2150745</xdr:colOff>
      <xdr:row>2</xdr:row>
      <xdr:rowOff>169545</xdr:rowOff>
    </xdr:to>
    <xdr:pic>
      <xdr:nvPicPr>
        <xdr:cNvPr id="4" name="Picture 3">
          <a:extLst>
            <a:ext uri="{FF2B5EF4-FFF2-40B4-BE49-F238E27FC236}">
              <a16:creationId xmlns:a16="http://schemas.microsoft.com/office/drawing/2014/main" id="{8AE510E1-8D58-8AED-192C-F3BFBFD089CA}"/>
            </a:ext>
          </a:extLst>
        </xdr:cNvPr>
        <xdr:cNvPicPr>
          <a:picLocks noChangeAspect="1"/>
        </xdr:cNvPicPr>
      </xdr:nvPicPr>
      <xdr:blipFill>
        <a:blip xmlns:r="http://schemas.openxmlformats.org/officeDocument/2006/relationships" r:embed="rId1"/>
        <a:stretch>
          <a:fillRect/>
        </a:stretch>
      </xdr:blipFill>
      <xdr:spPr>
        <a:xfrm>
          <a:off x="228600" y="247650"/>
          <a:ext cx="2152650" cy="5810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373062</xdr:colOff>
      <xdr:row>1</xdr:row>
      <xdr:rowOff>4478</xdr:rowOff>
    </xdr:to>
    <xdr:pic>
      <xdr:nvPicPr>
        <xdr:cNvPr id="3" name="Picture 2">
          <a:extLst>
            <a:ext uri="{FF2B5EF4-FFF2-40B4-BE49-F238E27FC236}">
              <a16:creationId xmlns:a16="http://schemas.microsoft.com/office/drawing/2014/main" id="{88D24857-8690-4365-B09E-384C121CBF1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16000" cy="452153"/>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1</xdr:row>
      <xdr:rowOff>66675</xdr:rowOff>
    </xdr:from>
    <xdr:to>
      <xdr:col>0</xdr:col>
      <xdr:colOff>1009650</xdr:colOff>
      <xdr:row>1</xdr:row>
      <xdr:rowOff>515653</xdr:rowOff>
    </xdr:to>
    <xdr:pic>
      <xdr:nvPicPr>
        <xdr:cNvPr id="3" name="Picture 2">
          <a:extLst>
            <a:ext uri="{FF2B5EF4-FFF2-40B4-BE49-F238E27FC236}">
              <a16:creationId xmlns:a16="http://schemas.microsoft.com/office/drawing/2014/main" id="{A08C2F45-A78D-436D-9A26-982A41D9D68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66675"/>
          <a:ext cx="1009650" cy="44897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21</xdr:col>
      <xdr:colOff>162676</xdr:colOff>
      <xdr:row>3</xdr:row>
      <xdr:rowOff>274046</xdr:rowOff>
    </xdr:from>
    <xdr:to>
      <xdr:col>22</xdr:col>
      <xdr:colOff>503465</xdr:colOff>
      <xdr:row>3</xdr:row>
      <xdr:rowOff>651237</xdr:rowOff>
    </xdr:to>
    <xdr:sp macro="[0]!EmailSelectedSheets" textlink="">
      <xdr:nvSpPr>
        <xdr:cNvPr id="2" name="Rounded Rectangle 2">
          <a:extLst>
            <a:ext uri="{FF2B5EF4-FFF2-40B4-BE49-F238E27FC236}">
              <a16:creationId xmlns:a16="http://schemas.microsoft.com/office/drawing/2014/main" id="{47C0F868-1CA6-4369-B383-BCA0D527B6C6}"/>
            </a:ext>
          </a:extLst>
        </xdr:cNvPr>
        <xdr:cNvSpPr/>
      </xdr:nvSpPr>
      <xdr:spPr>
        <a:xfrm>
          <a:off x="21770819" y="1743617"/>
          <a:ext cx="966717" cy="37719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Submit Results</a:t>
          </a:r>
        </a:p>
      </xdr:txBody>
    </xdr:sp>
    <xdr:clientData/>
  </xdr:twoCellAnchor>
  <xdr:twoCellAnchor editAs="oneCell">
    <xdr:from>
      <xdr:col>0</xdr:col>
      <xdr:colOff>19050</xdr:colOff>
      <xdr:row>1</xdr:row>
      <xdr:rowOff>409575</xdr:rowOff>
    </xdr:from>
    <xdr:to>
      <xdr:col>1</xdr:col>
      <xdr:colOff>904875</xdr:colOff>
      <xdr:row>2</xdr:row>
      <xdr:rowOff>295275</xdr:rowOff>
    </xdr:to>
    <xdr:pic>
      <xdr:nvPicPr>
        <xdr:cNvPr id="4" name="Picture 3">
          <a:extLst>
            <a:ext uri="{FF2B5EF4-FFF2-40B4-BE49-F238E27FC236}">
              <a16:creationId xmlns:a16="http://schemas.microsoft.com/office/drawing/2014/main" id="{BD07831F-4362-9003-B3CE-A6CF8155AAB0}"/>
            </a:ext>
            <a:ext uri="{147F2762-F138-4A5C-976F-8EAC2B608ADB}">
              <a16:predDERef xmlns:a16="http://schemas.microsoft.com/office/drawing/2014/main" pred="{47C0F868-1CA6-4369-B383-BCA0D527B6C6}"/>
            </a:ext>
          </a:extLst>
        </xdr:cNvPr>
        <xdr:cNvPicPr>
          <a:picLocks noChangeAspect="1"/>
        </xdr:cNvPicPr>
      </xdr:nvPicPr>
      <xdr:blipFill>
        <a:blip xmlns:r="http://schemas.openxmlformats.org/officeDocument/2006/relationships" r:embed="rId1"/>
        <a:stretch>
          <a:fillRect/>
        </a:stretch>
      </xdr:blipFill>
      <xdr:spPr>
        <a:xfrm>
          <a:off x="19050" y="600075"/>
          <a:ext cx="1638300" cy="4476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toremrep00ap016/Users/jmclarty/AppData/Local/Microsoft/Windows/Temporary%20Internet%20Files/Content.Outlook/6XFQ4NGJ/Employee%20Attendance%20Tracker%202019.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ttendance Tracker"/>
      <sheetName val="Sheet2"/>
    </sheetNames>
    <sheetDataSet>
      <sheetData sheetId="0"/>
      <sheetData sheetId="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x:/r/sites/Training/Shared%20Documents/Training%20Resources/Trainer%20SOPs/NH%20Onboarding/PCB%20Pre%20Training%20Guide.xlsx?d=w1ed3c9ab58fc4b21a68e3c053e847ad8&amp;csf=1&amp;web=1&amp;e=8sZFbZ"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bpontt.sharepoint.com/:x:/r/sites/Training/Shared%20Documents/Training%20Resources/Progress%20Reports/Templates%20and%20Reference%20Docs/00.%20Training%20Progress%20Report%20-%20PCB%20Tier%201_template2.xlsm?d=web80e3e83d8f46edb4d65981f233d36a&amp;csf=1&amp;web=1&amp;e=oKTcMs&amp;nav=MTJfQUwyX3szNDI1MTYzMS1EODYwLTQ3QUEtQTMzMS1DNzJDRjgyNUQyNzJ9"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51631-D860-47AA-A331-C72CF825D272}">
  <dimension ref="H2:BG50"/>
  <sheetViews>
    <sheetView showGridLines="0" topLeftCell="AM3" zoomScale="70" zoomScaleNormal="70" workbookViewId="0">
      <selection activeCell="AL2" sqref="AL2"/>
    </sheetView>
  </sheetViews>
  <sheetFormatPr defaultColWidth="9.140625" defaultRowHeight="14.45"/>
  <cols>
    <col min="1" max="27" width="9.140625" style="495"/>
    <col min="28" max="28" width="65.140625" style="495" customWidth="1"/>
    <col min="29" max="29" width="9.140625" style="495"/>
    <col min="30" max="30" width="29.85546875" style="495" customWidth="1"/>
    <col min="31" max="37" width="9.140625" style="495"/>
    <col min="38" max="38" width="17.5703125" style="495" bestFit="1" customWidth="1"/>
    <col min="39" max="39" width="96.140625" style="495" bestFit="1" customWidth="1"/>
    <col min="40" max="40" width="117" style="495" bestFit="1" customWidth="1"/>
    <col min="41" max="41" width="90.5703125" style="495" bestFit="1" customWidth="1"/>
    <col min="42" max="54" width="9.140625" style="495"/>
    <col min="55" max="55" width="17.5703125" style="495" bestFit="1" customWidth="1"/>
    <col min="56" max="56" width="88.42578125" style="495" bestFit="1" customWidth="1"/>
    <col min="57" max="57" width="82.42578125" style="495" bestFit="1" customWidth="1"/>
    <col min="58" max="58" width="72.42578125" style="495" bestFit="1" customWidth="1"/>
    <col min="59" max="59" width="87.5703125" style="495" bestFit="1" customWidth="1"/>
    <col min="60" max="16384" width="9.140625" style="495"/>
  </cols>
  <sheetData>
    <row r="2" spans="11:59" ht="21">
      <c r="AL2" s="697" t="s">
        <v>0</v>
      </c>
      <c r="AM2" s="698"/>
      <c r="AN2" s="698"/>
      <c r="AO2" s="698"/>
      <c r="AP2" s="698"/>
      <c r="AQ2" s="698"/>
      <c r="AR2" s="698"/>
      <c r="AS2" s="698"/>
      <c r="AT2" s="698"/>
      <c r="AU2" s="698"/>
      <c r="AV2" s="698"/>
      <c r="AW2" s="698"/>
      <c r="AX2" s="624"/>
      <c r="AY2" s="624"/>
      <c r="AZ2" s="624"/>
      <c r="BC2" s="697" t="s">
        <v>1</v>
      </c>
      <c r="BD2" s="698"/>
      <c r="BE2" s="698"/>
      <c r="BF2" s="698"/>
      <c r="BG2" s="698"/>
    </row>
    <row r="3" spans="11:59" ht="21">
      <c r="AL3" s="699"/>
      <c r="AM3" s="700"/>
      <c r="AN3" s="700"/>
      <c r="AO3" s="700"/>
      <c r="AP3" s="700"/>
      <c r="AQ3" s="700"/>
      <c r="AR3" s="700"/>
      <c r="AS3" s="700"/>
      <c r="AT3" s="700"/>
      <c r="AU3" s="700"/>
      <c r="AV3" s="700"/>
      <c r="AW3" s="700"/>
      <c r="AX3" s="625"/>
      <c r="AY3" s="625"/>
      <c r="AZ3" s="625"/>
      <c r="BC3" s="699"/>
      <c r="BD3" s="700"/>
      <c r="BE3" s="700"/>
      <c r="BF3" s="700"/>
      <c r="BG3" s="700"/>
    </row>
    <row r="5" spans="11:59">
      <c r="AL5" s="626" t="s">
        <v>2</v>
      </c>
      <c r="AM5" s="627" t="s">
        <v>3</v>
      </c>
      <c r="AN5" s="627" t="s">
        <v>4</v>
      </c>
      <c r="AO5" s="628" t="s">
        <v>5</v>
      </c>
      <c r="AP5" s="701" t="s">
        <v>6</v>
      </c>
      <c r="AQ5" s="701"/>
      <c r="AR5" s="701"/>
      <c r="AS5" s="701"/>
      <c r="AT5" s="701"/>
      <c r="AU5" s="701"/>
      <c r="AV5" s="701"/>
      <c r="AW5" s="701"/>
      <c r="AX5" s="701"/>
      <c r="AY5" s="701"/>
      <c r="BC5" s="626" t="s">
        <v>2</v>
      </c>
      <c r="BD5" s="627" t="s">
        <v>3</v>
      </c>
      <c r="BE5" s="627" t="s">
        <v>4</v>
      </c>
      <c r="BF5" s="627" t="s">
        <v>5</v>
      </c>
      <c r="BG5" s="629" t="s">
        <v>6</v>
      </c>
    </row>
    <row r="6" spans="11:59">
      <c r="AL6" s="630" t="s">
        <v>7</v>
      </c>
      <c r="AM6" s="630" t="s">
        <v>8</v>
      </c>
      <c r="AN6" s="630" t="s">
        <v>9</v>
      </c>
      <c r="AO6" s="631" t="s">
        <v>10</v>
      </c>
      <c r="AP6" s="694" t="s">
        <v>11</v>
      </c>
      <c r="AQ6" s="695"/>
      <c r="AR6" s="695"/>
      <c r="AS6" s="695"/>
      <c r="AT6" s="695"/>
      <c r="AU6" s="695"/>
      <c r="AV6" s="695"/>
      <c r="AW6" s="695"/>
      <c r="AX6" s="695"/>
      <c r="AY6" s="696"/>
      <c r="BC6" s="630" t="s">
        <v>7</v>
      </c>
      <c r="BD6" s="630" t="s">
        <v>12</v>
      </c>
      <c r="BE6" s="630" t="s">
        <v>13</v>
      </c>
      <c r="BF6" s="630" t="s">
        <v>14</v>
      </c>
      <c r="BG6" s="630" t="s">
        <v>15</v>
      </c>
    </row>
    <row r="7" spans="11:59">
      <c r="AL7" s="630" t="s">
        <v>16</v>
      </c>
      <c r="AM7" s="630" t="s">
        <v>17</v>
      </c>
      <c r="AN7" s="630" t="s">
        <v>18</v>
      </c>
      <c r="AO7" s="631" t="s">
        <v>19</v>
      </c>
      <c r="AP7" s="694" t="s">
        <v>20</v>
      </c>
      <c r="AQ7" s="695"/>
      <c r="AR7" s="695"/>
      <c r="AS7" s="695"/>
      <c r="AT7" s="695"/>
      <c r="AU7" s="695"/>
      <c r="AV7" s="695"/>
      <c r="AW7" s="695"/>
      <c r="AX7" s="695"/>
      <c r="AY7" s="696"/>
      <c r="BC7" s="630" t="s">
        <v>16</v>
      </c>
      <c r="BD7" s="630" t="s">
        <v>21</v>
      </c>
      <c r="BE7" s="630" t="s">
        <v>22</v>
      </c>
      <c r="BF7" s="630" t="s">
        <v>23</v>
      </c>
      <c r="BG7" s="630" t="s">
        <v>24</v>
      </c>
    </row>
    <row r="8" spans="11:59">
      <c r="AL8" s="630" t="s">
        <v>25</v>
      </c>
      <c r="AM8" s="630" t="s">
        <v>26</v>
      </c>
      <c r="AN8" s="630" t="s">
        <v>27</v>
      </c>
      <c r="AO8" s="631" t="s">
        <v>28</v>
      </c>
      <c r="AP8" s="694" t="s">
        <v>29</v>
      </c>
      <c r="AQ8" s="695"/>
      <c r="AR8" s="695"/>
      <c r="AS8" s="695"/>
      <c r="AT8" s="695"/>
      <c r="AU8" s="695"/>
      <c r="AV8" s="695"/>
      <c r="AW8" s="695"/>
      <c r="AX8" s="695"/>
      <c r="AY8" s="696"/>
      <c r="BC8" s="630" t="s">
        <v>25</v>
      </c>
      <c r="BD8" s="630" t="s">
        <v>30</v>
      </c>
      <c r="BE8" s="630" t="s">
        <v>31</v>
      </c>
      <c r="BF8" s="630" t="s">
        <v>32</v>
      </c>
      <c r="BG8" s="630" t="s">
        <v>33</v>
      </c>
    </row>
    <row r="9" spans="11:59">
      <c r="AL9" s="630" t="s">
        <v>34</v>
      </c>
      <c r="AM9" s="630" t="s">
        <v>35</v>
      </c>
      <c r="AN9" s="630" t="s">
        <v>36</v>
      </c>
      <c r="AO9" s="631" t="s">
        <v>37</v>
      </c>
      <c r="AP9" s="694" t="s">
        <v>38</v>
      </c>
      <c r="AQ9" s="695"/>
      <c r="AR9" s="695"/>
      <c r="AS9" s="695"/>
      <c r="AT9" s="695"/>
      <c r="AU9" s="695"/>
      <c r="AV9" s="695"/>
      <c r="AW9" s="695"/>
      <c r="AX9" s="695"/>
      <c r="AY9" s="696"/>
      <c r="BC9" s="630" t="s">
        <v>34</v>
      </c>
      <c r="BD9" s="630" t="s">
        <v>39</v>
      </c>
      <c r="BE9" s="630" t="s">
        <v>40</v>
      </c>
      <c r="BF9" s="630" t="s">
        <v>41</v>
      </c>
      <c r="BG9" s="630" t="s">
        <v>42</v>
      </c>
    </row>
    <row r="10" spans="11:59">
      <c r="AL10" s="630" t="s">
        <v>43</v>
      </c>
      <c r="AM10" s="630" t="s">
        <v>44</v>
      </c>
      <c r="AN10" s="630" t="s">
        <v>45</v>
      </c>
      <c r="AO10" s="631" t="s">
        <v>46</v>
      </c>
      <c r="AP10" s="694" t="s">
        <v>47</v>
      </c>
      <c r="AQ10" s="695"/>
      <c r="AR10" s="695"/>
      <c r="AS10" s="695"/>
      <c r="AT10" s="695"/>
      <c r="AU10" s="695"/>
      <c r="AV10" s="695"/>
      <c r="AW10" s="695"/>
      <c r="AX10" s="695"/>
      <c r="AY10" s="696"/>
      <c r="BC10" s="630" t="s">
        <v>43</v>
      </c>
      <c r="BD10" s="630" t="s">
        <v>48</v>
      </c>
      <c r="BE10" s="630" t="s">
        <v>49</v>
      </c>
      <c r="BF10" s="630" t="s">
        <v>50</v>
      </c>
      <c r="BG10" s="630" t="s">
        <v>51</v>
      </c>
    </row>
    <row r="11" spans="11:59">
      <c r="AL11" s="630" t="s">
        <v>52</v>
      </c>
      <c r="AM11" s="630" t="s">
        <v>53</v>
      </c>
      <c r="AN11" s="630" t="s">
        <v>54</v>
      </c>
      <c r="AO11" s="631" t="s">
        <v>55</v>
      </c>
      <c r="AP11" s="694" t="s">
        <v>56</v>
      </c>
      <c r="AQ11" s="695"/>
      <c r="AR11" s="695"/>
      <c r="AS11" s="695"/>
      <c r="AT11" s="695"/>
      <c r="AU11" s="695"/>
      <c r="AV11" s="695"/>
      <c r="AW11" s="695"/>
      <c r="AX11" s="695"/>
      <c r="AY11" s="696"/>
      <c r="BC11" s="630" t="s">
        <v>57</v>
      </c>
      <c r="BD11" s="630" t="s">
        <v>58</v>
      </c>
      <c r="BE11" s="630" t="s">
        <v>59</v>
      </c>
      <c r="BF11" s="630" t="s">
        <v>60</v>
      </c>
      <c r="BG11" s="630" t="s">
        <v>61</v>
      </c>
    </row>
    <row r="12" spans="11:59" ht="25.9">
      <c r="K12" s="497"/>
      <c r="L12" s="497"/>
      <c r="M12" s="497"/>
      <c r="N12" s="497"/>
      <c r="O12" s="497"/>
      <c r="P12" s="497"/>
      <c r="R12" s="497"/>
      <c r="T12" s="497"/>
      <c r="U12" s="498" t="s">
        <v>62</v>
      </c>
      <c r="V12" s="499"/>
      <c r="W12" s="499"/>
      <c r="X12" s="499"/>
      <c r="Y12" s="499"/>
      <c r="Z12" s="499"/>
      <c r="AA12" s="499"/>
      <c r="AB12" s="496"/>
      <c r="AC12" s="496"/>
      <c r="AD12" s="496"/>
      <c r="BC12" s="630" t="s">
        <v>63</v>
      </c>
      <c r="BD12" s="630" t="s">
        <v>64</v>
      </c>
      <c r="BE12" s="630" t="s">
        <v>65</v>
      </c>
      <c r="BF12" s="630" t="s">
        <v>66</v>
      </c>
      <c r="BG12" s="630" t="s">
        <v>67</v>
      </c>
    </row>
    <row r="13" spans="11:59" ht="25.9">
      <c r="K13" s="497"/>
      <c r="L13" s="497"/>
      <c r="M13" s="497"/>
      <c r="N13" s="497"/>
      <c r="O13" s="497"/>
      <c r="P13" s="497"/>
      <c r="R13" s="497"/>
      <c r="T13" s="497"/>
      <c r="U13" s="498" t="s">
        <v>68</v>
      </c>
      <c r="V13" s="499"/>
      <c r="W13" s="499"/>
      <c r="X13" s="499"/>
      <c r="Y13" s="499"/>
      <c r="Z13" s="499"/>
      <c r="AA13" s="499"/>
      <c r="AB13" s="496"/>
      <c r="AC13" s="496"/>
      <c r="AD13" s="496"/>
      <c r="BC13" s="630" t="s">
        <v>69</v>
      </c>
      <c r="BD13" s="630" t="s">
        <v>70</v>
      </c>
      <c r="BE13" s="630" t="s">
        <v>71</v>
      </c>
      <c r="BF13" s="630" t="s">
        <v>72</v>
      </c>
      <c r="BG13" s="630" t="s">
        <v>73</v>
      </c>
    </row>
    <row r="14" spans="11:59">
      <c r="S14" s="496"/>
      <c r="T14" s="496"/>
      <c r="U14" s="496"/>
      <c r="V14" s="496"/>
      <c r="W14" s="496"/>
      <c r="X14" s="496"/>
      <c r="Y14" s="496"/>
      <c r="Z14" s="496"/>
      <c r="AA14" s="496"/>
      <c r="AB14" s="496"/>
      <c r="AC14" s="496"/>
      <c r="AD14" s="496"/>
      <c r="BC14" s="630" t="s">
        <v>74</v>
      </c>
      <c r="BD14" s="630" t="s">
        <v>75</v>
      </c>
      <c r="BE14" s="630" t="s">
        <v>76</v>
      </c>
      <c r="BF14" s="630" t="s">
        <v>77</v>
      </c>
      <c r="BG14" s="630" t="s">
        <v>78</v>
      </c>
    </row>
    <row r="17" spans="8:28" ht="47.45">
      <c r="H17" s="726" t="s">
        <v>79</v>
      </c>
      <c r="I17" s="727"/>
      <c r="J17" s="727"/>
      <c r="K17" s="727"/>
      <c r="L17" s="727"/>
      <c r="M17" s="727"/>
      <c r="N17" s="727"/>
      <c r="O17" s="727"/>
      <c r="P17" s="727"/>
      <c r="Q17" s="727"/>
      <c r="R17" s="727"/>
      <c r="S17" s="727"/>
      <c r="T17" s="727"/>
      <c r="U17" s="727"/>
      <c r="V17" s="727"/>
      <c r="W17" s="727"/>
      <c r="X17" s="727"/>
      <c r="Y17" s="727"/>
      <c r="Z17" s="727"/>
      <c r="AA17" s="727"/>
      <c r="AB17" s="728"/>
    </row>
    <row r="19" spans="8:28">
      <c r="H19" s="720"/>
      <c r="I19" s="721"/>
      <c r="J19" s="721"/>
      <c r="K19" s="721"/>
      <c r="L19" s="721"/>
      <c r="M19" s="721"/>
      <c r="N19" s="721"/>
      <c r="O19" s="721"/>
      <c r="P19" s="721"/>
      <c r="Q19" s="721"/>
      <c r="R19" s="721"/>
      <c r="S19" s="721"/>
      <c r="T19" s="721"/>
      <c r="U19" s="721"/>
      <c r="V19" s="721"/>
      <c r="W19" s="721"/>
      <c r="X19" s="721"/>
      <c r="Y19" s="721"/>
      <c r="Z19" s="721"/>
      <c r="AA19" s="721"/>
      <c r="AB19" s="722"/>
    </row>
    <row r="20" spans="8:28">
      <c r="H20" s="723"/>
      <c r="I20" s="724"/>
      <c r="J20" s="724"/>
      <c r="K20" s="724"/>
      <c r="L20" s="724"/>
      <c r="M20" s="724"/>
      <c r="N20" s="724"/>
      <c r="O20" s="724"/>
      <c r="P20" s="724"/>
      <c r="Q20" s="724"/>
      <c r="R20" s="724"/>
      <c r="S20" s="724"/>
      <c r="T20" s="724"/>
      <c r="U20" s="724"/>
      <c r="V20" s="724"/>
      <c r="W20" s="724"/>
      <c r="X20" s="724"/>
      <c r="Y20" s="724"/>
      <c r="Z20" s="724"/>
      <c r="AA20" s="724"/>
      <c r="AB20" s="725"/>
    </row>
    <row r="21" spans="8:28" ht="15" customHeight="1">
      <c r="H21" s="702">
        <v>1</v>
      </c>
      <c r="I21" s="703"/>
      <c r="J21" s="704"/>
      <c r="K21" s="711" t="s">
        <v>80</v>
      </c>
      <c r="L21" s="712"/>
      <c r="M21" s="712"/>
      <c r="N21" s="712"/>
      <c r="O21" s="712"/>
      <c r="P21" s="712"/>
      <c r="Q21" s="712"/>
      <c r="R21" s="712"/>
      <c r="S21" s="712"/>
      <c r="T21" s="712"/>
      <c r="U21" s="712"/>
      <c r="V21" s="712"/>
      <c r="W21" s="712"/>
      <c r="X21" s="712"/>
      <c r="Y21" s="712"/>
      <c r="Z21" s="712"/>
      <c r="AA21" s="712"/>
      <c r="AB21" s="713"/>
    </row>
    <row r="22" spans="8:28" ht="15" customHeight="1">
      <c r="H22" s="705"/>
      <c r="I22" s="706"/>
      <c r="J22" s="707"/>
      <c r="K22" s="714"/>
      <c r="L22" s="715"/>
      <c r="M22" s="715"/>
      <c r="N22" s="715"/>
      <c r="O22" s="715"/>
      <c r="P22" s="715"/>
      <c r="Q22" s="715"/>
      <c r="R22" s="715"/>
      <c r="S22" s="715"/>
      <c r="T22" s="715"/>
      <c r="U22" s="715"/>
      <c r="V22" s="715"/>
      <c r="W22" s="715"/>
      <c r="X22" s="715"/>
      <c r="Y22" s="715"/>
      <c r="Z22" s="715"/>
      <c r="AA22" s="715"/>
      <c r="AB22" s="716"/>
    </row>
    <row r="23" spans="8:28" ht="15" customHeight="1">
      <c r="H23" s="708"/>
      <c r="I23" s="709"/>
      <c r="J23" s="710"/>
      <c r="K23" s="717"/>
      <c r="L23" s="718"/>
      <c r="M23" s="718"/>
      <c r="N23" s="718"/>
      <c r="O23" s="718"/>
      <c r="P23" s="718"/>
      <c r="Q23" s="718"/>
      <c r="R23" s="718"/>
      <c r="S23" s="718"/>
      <c r="T23" s="718"/>
      <c r="U23" s="718"/>
      <c r="V23" s="718"/>
      <c r="W23" s="718"/>
      <c r="X23" s="718"/>
      <c r="Y23" s="718"/>
      <c r="Z23" s="718"/>
      <c r="AA23" s="718"/>
      <c r="AB23" s="719"/>
    </row>
    <row r="24" spans="8:28" ht="15" customHeight="1">
      <c r="H24" s="702">
        <v>2</v>
      </c>
      <c r="I24" s="703"/>
      <c r="J24" s="704"/>
      <c r="K24" s="711" t="s">
        <v>81</v>
      </c>
      <c r="L24" s="712"/>
      <c r="M24" s="712"/>
      <c r="N24" s="712"/>
      <c r="O24" s="712"/>
      <c r="P24" s="712"/>
      <c r="Q24" s="712"/>
      <c r="R24" s="712"/>
      <c r="S24" s="712"/>
      <c r="T24" s="712"/>
      <c r="U24" s="712"/>
      <c r="V24" s="712"/>
      <c r="W24" s="712"/>
      <c r="X24" s="712"/>
      <c r="Y24" s="712"/>
      <c r="Z24" s="712"/>
      <c r="AA24" s="712"/>
      <c r="AB24" s="713"/>
    </row>
    <row r="25" spans="8:28" ht="15" customHeight="1">
      <c r="H25" s="705"/>
      <c r="I25" s="706"/>
      <c r="J25" s="707"/>
      <c r="K25" s="714"/>
      <c r="L25" s="715"/>
      <c r="M25" s="715"/>
      <c r="N25" s="715"/>
      <c r="O25" s="715"/>
      <c r="P25" s="715"/>
      <c r="Q25" s="715"/>
      <c r="R25" s="715"/>
      <c r="S25" s="715"/>
      <c r="T25" s="715"/>
      <c r="U25" s="715"/>
      <c r="V25" s="715"/>
      <c r="W25" s="715"/>
      <c r="X25" s="715"/>
      <c r="Y25" s="715"/>
      <c r="Z25" s="715"/>
      <c r="AA25" s="715"/>
      <c r="AB25" s="716"/>
    </row>
    <row r="26" spans="8:28" ht="15" customHeight="1">
      <c r="H26" s="708"/>
      <c r="I26" s="709"/>
      <c r="J26" s="710"/>
      <c r="K26" s="717"/>
      <c r="L26" s="718"/>
      <c r="M26" s="718"/>
      <c r="N26" s="718"/>
      <c r="O26" s="718"/>
      <c r="P26" s="718"/>
      <c r="Q26" s="718"/>
      <c r="R26" s="718"/>
      <c r="S26" s="718"/>
      <c r="T26" s="718"/>
      <c r="U26" s="718"/>
      <c r="V26" s="718"/>
      <c r="W26" s="718"/>
      <c r="X26" s="718"/>
      <c r="Y26" s="718"/>
      <c r="Z26" s="718"/>
      <c r="AA26" s="718"/>
      <c r="AB26" s="719"/>
    </row>
    <row r="27" spans="8:28" ht="15" customHeight="1">
      <c r="H27" s="702">
        <v>3</v>
      </c>
      <c r="I27" s="703"/>
      <c r="J27" s="704"/>
      <c r="K27" s="711" t="s">
        <v>82</v>
      </c>
      <c r="L27" s="712"/>
      <c r="M27" s="712"/>
      <c r="N27" s="712"/>
      <c r="O27" s="712"/>
      <c r="P27" s="712"/>
      <c r="Q27" s="712"/>
      <c r="R27" s="712"/>
      <c r="S27" s="712"/>
      <c r="T27" s="712"/>
      <c r="U27" s="712"/>
      <c r="V27" s="712"/>
      <c r="W27" s="712"/>
      <c r="X27" s="712"/>
      <c r="Y27" s="712"/>
      <c r="Z27" s="712"/>
      <c r="AA27" s="712"/>
      <c r="AB27" s="713"/>
    </row>
    <row r="28" spans="8:28" ht="15" customHeight="1">
      <c r="H28" s="705"/>
      <c r="I28" s="706"/>
      <c r="J28" s="707"/>
      <c r="K28" s="714"/>
      <c r="L28" s="715"/>
      <c r="M28" s="715"/>
      <c r="N28" s="715"/>
      <c r="O28" s="715"/>
      <c r="P28" s="715"/>
      <c r="Q28" s="715"/>
      <c r="R28" s="715"/>
      <c r="S28" s="715"/>
      <c r="T28" s="715"/>
      <c r="U28" s="715"/>
      <c r="V28" s="715"/>
      <c r="W28" s="715"/>
      <c r="X28" s="715"/>
      <c r="Y28" s="715"/>
      <c r="Z28" s="715"/>
      <c r="AA28" s="715"/>
      <c r="AB28" s="716"/>
    </row>
    <row r="29" spans="8:28" ht="15" customHeight="1">
      <c r="H29" s="708"/>
      <c r="I29" s="709"/>
      <c r="J29" s="710"/>
      <c r="K29" s="717"/>
      <c r="L29" s="718"/>
      <c r="M29" s="718"/>
      <c r="N29" s="718"/>
      <c r="O29" s="718"/>
      <c r="P29" s="718"/>
      <c r="Q29" s="718"/>
      <c r="R29" s="718"/>
      <c r="S29" s="718"/>
      <c r="T29" s="718"/>
      <c r="U29" s="718"/>
      <c r="V29" s="718"/>
      <c r="W29" s="718"/>
      <c r="X29" s="718"/>
      <c r="Y29" s="718"/>
      <c r="Z29" s="718"/>
      <c r="AA29" s="718"/>
      <c r="AB29" s="719"/>
    </row>
    <row r="30" spans="8:28" ht="15" customHeight="1">
      <c r="H30" s="702">
        <v>4</v>
      </c>
      <c r="I30" s="703"/>
      <c r="J30" s="704"/>
      <c r="K30" s="711" t="s">
        <v>83</v>
      </c>
      <c r="L30" s="712"/>
      <c r="M30" s="712"/>
      <c r="N30" s="712"/>
      <c r="O30" s="712"/>
      <c r="P30" s="712"/>
      <c r="Q30" s="712"/>
      <c r="R30" s="712"/>
      <c r="S30" s="712"/>
      <c r="T30" s="712"/>
      <c r="U30" s="712"/>
      <c r="V30" s="712"/>
      <c r="W30" s="712"/>
      <c r="X30" s="712"/>
      <c r="Y30" s="712"/>
      <c r="Z30" s="712"/>
      <c r="AA30" s="712"/>
      <c r="AB30" s="713"/>
    </row>
    <row r="31" spans="8:28" ht="15" customHeight="1">
      <c r="H31" s="705"/>
      <c r="I31" s="706"/>
      <c r="J31" s="707"/>
      <c r="K31" s="714"/>
      <c r="L31" s="715"/>
      <c r="M31" s="715"/>
      <c r="N31" s="715"/>
      <c r="O31" s="715"/>
      <c r="P31" s="715"/>
      <c r="Q31" s="715"/>
      <c r="R31" s="715"/>
      <c r="S31" s="715"/>
      <c r="T31" s="715"/>
      <c r="U31" s="715"/>
      <c r="V31" s="715"/>
      <c r="W31" s="715"/>
      <c r="X31" s="715"/>
      <c r="Y31" s="715"/>
      <c r="Z31" s="715"/>
      <c r="AA31" s="715"/>
      <c r="AB31" s="716"/>
    </row>
    <row r="32" spans="8:28" ht="15" customHeight="1">
      <c r="H32" s="708"/>
      <c r="I32" s="709"/>
      <c r="J32" s="710"/>
      <c r="K32" s="717"/>
      <c r="L32" s="718"/>
      <c r="M32" s="718"/>
      <c r="N32" s="718"/>
      <c r="O32" s="718"/>
      <c r="P32" s="718"/>
      <c r="Q32" s="718"/>
      <c r="R32" s="718"/>
      <c r="S32" s="718"/>
      <c r="T32" s="718"/>
      <c r="U32" s="718"/>
      <c r="V32" s="718"/>
      <c r="W32" s="718"/>
      <c r="X32" s="718"/>
      <c r="Y32" s="718"/>
      <c r="Z32" s="718"/>
      <c r="AA32" s="718"/>
      <c r="AB32" s="719"/>
    </row>
    <row r="33" spans="8:28" ht="15" customHeight="1">
      <c r="H33" s="702">
        <v>5</v>
      </c>
      <c r="I33" s="703"/>
      <c r="J33" s="704"/>
      <c r="K33" s="711" t="s">
        <v>84</v>
      </c>
      <c r="L33" s="712"/>
      <c r="M33" s="712"/>
      <c r="N33" s="712"/>
      <c r="O33" s="712"/>
      <c r="P33" s="712"/>
      <c r="Q33" s="712"/>
      <c r="R33" s="712"/>
      <c r="S33" s="712"/>
      <c r="T33" s="712"/>
      <c r="U33" s="712"/>
      <c r="V33" s="712"/>
      <c r="W33" s="712"/>
      <c r="X33" s="712"/>
      <c r="Y33" s="712"/>
      <c r="Z33" s="712"/>
      <c r="AA33" s="712"/>
      <c r="AB33" s="713"/>
    </row>
    <row r="34" spans="8:28" ht="15" customHeight="1">
      <c r="H34" s="705"/>
      <c r="I34" s="706"/>
      <c r="J34" s="707"/>
      <c r="K34" s="714"/>
      <c r="L34" s="715"/>
      <c r="M34" s="715"/>
      <c r="N34" s="715"/>
      <c r="O34" s="715"/>
      <c r="P34" s="715"/>
      <c r="Q34" s="715"/>
      <c r="R34" s="715"/>
      <c r="S34" s="715"/>
      <c r="T34" s="715"/>
      <c r="U34" s="715"/>
      <c r="V34" s="715"/>
      <c r="W34" s="715"/>
      <c r="X34" s="715"/>
      <c r="Y34" s="715"/>
      <c r="Z34" s="715"/>
      <c r="AA34" s="715"/>
      <c r="AB34" s="716"/>
    </row>
    <row r="35" spans="8:28" ht="15" customHeight="1">
      <c r="H35" s="708"/>
      <c r="I35" s="709"/>
      <c r="J35" s="710"/>
      <c r="K35" s="717"/>
      <c r="L35" s="718"/>
      <c r="M35" s="718"/>
      <c r="N35" s="718"/>
      <c r="O35" s="718"/>
      <c r="P35" s="718"/>
      <c r="Q35" s="718"/>
      <c r="R35" s="718"/>
      <c r="S35" s="718"/>
      <c r="T35" s="718"/>
      <c r="U35" s="718"/>
      <c r="V35" s="718"/>
      <c r="W35" s="718"/>
      <c r="X35" s="718"/>
      <c r="Y35" s="718"/>
      <c r="Z35" s="718"/>
      <c r="AA35" s="718"/>
      <c r="AB35" s="719"/>
    </row>
    <row r="36" spans="8:28" ht="15" customHeight="1">
      <c r="H36" s="702">
        <v>6</v>
      </c>
      <c r="I36" s="703"/>
      <c r="J36" s="704"/>
      <c r="K36" s="711" t="s">
        <v>85</v>
      </c>
      <c r="L36" s="712"/>
      <c r="M36" s="712"/>
      <c r="N36" s="712"/>
      <c r="O36" s="712"/>
      <c r="P36" s="712"/>
      <c r="Q36" s="712"/>
      <c r="R36" s="712"/>
      <c r="S36" s="712"/>
      <c r="T36" s="712"/>
      <c r="U36" s="712"/>
      <c r="V36" s="712"/>
      <c r="W36" s="712"/>
      <c r="X36" s="712"/>
      <c r="Y36" s="712"/>
      <c r="Z36" s="712"/>
      <c r="AA36" s="712"/>
      <c r="AB36" s="713"/>
    </row>
    <row r="37" spans="8:28" ht="15" customHeight="1">
      <c r="H37" s="705"/>
      <c r="I37" s="706"/>
      <c r="J37" s="707"/>
      <c r="K37" s="714"/>
      <c r="L37" s="715"/>
      <c r="M37" s="715"/>
      <c r="N37" s="715"/>
      <c r="O37" s="715"/>
      <c r="P37" s="715"/>
      <c r="Q37" s="715"/>
      <c r="R37" s="715"/>
      <c r="S37" s="715"/>
      <c r="T37" s="715"/>
      <c r="U37" s="715"/>
      <c r="V37" s="715"/>
      <c r="W37" s="715"/>
      <c r="X37" s="715"/>
      <c r="Y37" s="715"/>
      <c r="Z37" s="715"/>
      <c r="AA37" s="715"/>
      <c r="AB37" s="716"/>
    </row>
    <row r="38" spans="8:28" ht="15" customHeight="1">
      <c r="H38" s="708"/>
      <c r="I38" s="709"/>
      <c r="J38" s="710"/>
      <c r="K38" s="717"/>
      <c r="L38" s="718"/>
      <c r="M38" s="718"/>
      <c r="N38" s="718"/>
      <c r="O38" s="718"/>
      <c r="P38" s="718"/>
      <c r="Q38" s="718"/>
      <c r="R38" s="718"/>
      <c r="S38" s="718"/>
      <c r="T38" s="718"/>
      <c r="U38" s="718"/>
      <c r="V38" s="718"/>
      <c r="W38" s="718"/>
      <c r="X38" s="718"/>
      <c r="Y38" s="718"/>
      <c r="Z38" s="718"/>
      <c r="AA38" s="718"/>
      <c r="AB38" s="719"/>
    </row>
    <row r="39" spans="8:28" ht="15" customHeight="1">
      <c r="H39" s="702">
        <v>7</v>
      </c>
      <c r="I39" s="703"/>
      <c r="J39" s="704"/>
      <c r="K39" s="711" t="s">
        <v>86</v>
      </c>
      <c r="L39" s="712"/>
      <c r="M39" s="712"/>
      <c r="N39" s="712"/>
      <c r="O39" s="712"/>
      <c r="P39" s="712"/>
      <c r="Q39" s="712"/>
      <c r="R39" s="712"/>
      <c r="S39" s="712"/>
      <c r="T39" s="712"/>
      <c r="U39" s="712"/>
      <c r="V39" s="712"/>
      <c r="W39" s="712"/>
      <c r="X39" s="712"/>
      <c r="Y39" s="712"/>
      <c r="Z39" s="712"/>
      <c r="AA39" s="712"/>
      <c r="AB39" s="713"/>
    </row>
    <row r="40" spans="8:28" ht="15" customHeight="1">
      <c r="H40" s="705"/>
      <c r="I40" s="706"/>
      <c r="J40" s="707"/>
      <c r="K40" s="714"/>
      <c r="L40" s="715"/>
      <c r="M40" s="715"/>
      <c r="N40" s="715"/>
      <c r="O40" s="715"/>
      <c r="P40" s="715"/>
      <c r="Q40" s="715"/>
      <c r="R40" s="715"/>
      <c r="S40" s="715"/>
      <c r="T40" s="715"/>
      <c r="U40" s="715"/>
      <c r="V40" s="715"/>
      <c r="W40" s="715"/>
      <c r="X40" s="715"/>
      <c r="Y40" s="715"/>
      <c r="Z40" s="715"/>
      <c r="AA40" s="715"/>
      <c r="AB40" s="716"/>
    </row>
    <row r="41" spans="8:28" ht="15" customHeight="1">
      <c r="H41" s="708"/>
      <c r="I41" s="709"/>
      <c r="J41" s="710"/>
      <c r="K41" s="717"/>
      <c r="L41" s="718"/>
      <c r="M41" s="718"/>
      <c r="N41" s="718"/>
      <c r="O41" s="718"/>
      <c r="P41" s="718"/>
      <c r="Q41" s="718"/>
      <c r="R41" s="718"/>
      <c r="S41" s="718"/>
      <c r="T41" s="718"/>
      <c r="U41" s="718"/>
      <c r="V41" s="718"/>
      <c r="W41" s="718"/>
      <c r="X41" s="718"/>
      <c r="Y41" s="718"/>
      <c r="Z41" s="718"/>
      <c r="AA41" s="718"/>
      <c r="AB41" s="719"/>
    </row>
    <row r="42" spans="8:28" ht="15" customHeight="1">
      <c r="H42" s="702">
        <v>8</v>
      </c>
      <c r="I42" s="703"/>
      <c r="J42" s="704"/>
      <c r="K42" s="711" t="s">
        <v>87</v>
      </c>
      <c r="L42" s="712"/>
      <c r="M42" s="712"/>
      <c r="N42" s="712"/>
      <c r="O42" s="712"/>
      <c r="P42" s="712"/>
      <c r="Q42" s="712"/>
      <c r="R42" s="712"/>
      <c r="S42" s="712"/>
      <c r="T42" s="712"/>
      <c r="U42" s="712"/>
      <c r="V42" s="712"/>
      <c r="W42" s="712"/>
      <c r="X42" s="712"/>
      <c r="Y42" s="712"/>
      <c r="Z42" s="712"/>
      <c r="AA42" s="712"/>
      <c r="AB42" s="713"/>
    </row>
    <row r="43" spans="8:28" ht="15" customHeight="1">
      <c r="H43" s="705"/>
      <c r="I43" s="706"/>
      <c r="J43" s="707"/>
      <c r="K43" s="714"/>
      <c r="L43" s="715"/>
      <c r="M43" s="715"/>
      <c r="N43" s="715"/>
      <c r="O43" s="715"/>
      <c r="P43" s="715"/>
      <c r="Q43" s="715"/>
      <c r="R43" s="715"/>
      <c r="S43" s="715"/>
      <c r="T43" s="715"/>
      <c r="U43" s="715"/>
      <c r="V43" s="715"/>
      <c r="W43" s="715"/>
      <c r="X43" s="715"/>
      <c r="Y43" s="715"/>
      <c r="Z43" s="715"/>
      <c r="AA43" s="715"/>
      <c r="AB43" s="716"/>
    </row>
    <row r="44" spans="8:28" ht="15" customHeight="1">
      <c r="H44" s="708"/>
      <c r="I44" s="709"/>
      <c r="J44" s="710"/>
      <c r="K44" s="717"/>
      <c r="L44" s="718"/>
      <c r="M44" s="718"/>
      <c r="N44" s="718"/>
      <c r="O44" s="718"/>
      <c r="P44" s="718"/>
      <c r="Q44" s="718"/>
      <c r="R44" s="718"/>
      <c r="S44" s="718"/>
      <c r="T44" s="718"/>
      <c r="U44" s="718"/>
      <c r="V44" s="718"/>
      <c r="W44" s="718"/>
      <c r="X44" s="718"/>
      <c r="Y44" s="718"/>
      <c r="Z44" s="718"/>
      <c r="AA44" s="718"/>
      <c r="AB44" s="719"/>
    </row>
    <row r="45" spans="8:28">
      <c r="H45" s="702">
        <v>9</v>
      </c>
      <c r="I45" s="703"/>
      <c r="J45" s="704"/>
      <c r="K45" s="711" t="s">
        <v>88</v>
      </c>
      <c r="L45" s="712"/>
      <c r="M45" s="712"/>
      <c r="N45" s="712"/>
      <c r="O45" s="712"/>
      <c r="P45" s="712"/>
      <c r="Q45" s="712"/>
      <c r="R45" s="712"/>
      <c r="S45" s="712"/>
      <c r="T45" s="712"/>
      <c r="U45" s="712"/>
      <c r="V45" s="712"/>
      <c r="W45" s="712"/>
      <c r="X45" s="712"/>
      <c r="Y45" s="712"/>
      <c r="Z45" s="712"/>
      <c r="AA45" s="712"/>
      <c r="AB45" s="713"/>
    </row>
    <row r="46" spans="8:28">
      <c r="H46" s="705"/>
      <c r="I46" s="706"/>
      <c r="J46" s="707"/>
      <c r="K46" s="714"/>
      <c r="L46" s="715"/>
      <c r="M46" s="715"/>
      <c r="N46" s="715"/>
      <c r="O46" s="715"/>
      <c r="P46" s="715"/>
      <c r="Q46" s="715"/>
      <c r="R46" s="715"/>
      <c r="S46" s="715"/>
      <c r="T46" s="715"/>
      <c r="U46" s="715"/>
      <c r="V46" s="715"/>
      <c r="W46" s="715"/>
      <c r="X46" s="715"/>
      <c r="Y46" s="715"/>
      <c r="Z46" s="715"/>
      <c r="AA46" s="715"/>
      <c r="AB46" s="716"/>
    </row>
    <row r="47" spans="8:28">
      <c r="H47" s="708"/>
      <c r="I47" s="709"/>
      <c r="J47" s="710"/>
      <c r="K47" s="717"/>
      <c r="L47" s="718"/>
      <c r="M47" s="718"/>
      <c r="N47" s="718"/>
      <c r="O47" s="718"/>
      <c r="P47" s="718"/>
      <c r="Q47" s="718"/>
      <c r="R47" s="718"/>
      <c r="S47" s="718"/>
      <c r="T47" s="718"/>
      <c r="U47" s="718"/>
      <c r="V47" s="718"/>
      <c r="W47" s="718"/>
      <c r="X47" s="718"/>
      <c r="Y47" s="718"/>
      <c r="Z47" s="718"/>
      <c r="AA47" s="718"/>
      <c r="AB47" s="719"/>
    </row>
    <row r="48" spans="8:28">
      <c r="H48" s="702">
        <v>10</v>
      </c>
      <c r="I48" s="703"/>
      <c r="J48" s="704"/>
      <c r="K48" s="711" t="s">
        <v>89</v>
      </c>
      <c r="L48" s="712"/>
      <c r="M48" s="712"/>
      <c r="N48" s="712"/>
      <c r="O48" s="712"/>
      <c r="P48" s="712"/>
      <c r="Q48" s="712"/>
      <c r="R48" s="712"/>
      <c r="S48" s="712"/>
      <c r="T48" s="712"/>
      <c r="U48" s="712"/>
      <c r="V48" s="712"/>
      <c r="W48" s="712"/>
      <c r="X48" s="712"/>
      <c r="Y48" s="712"/>
      <c r="Z48" s="712"/>
      <c r="AA48" s="712"/>
      <c r="AB48" s="713"/>
    </row>
    <row r="49" spans="8:28">
      <c r="H49" s="705"/>
      <c r="I49" s="706"/>
      <c r="J49" s="707"/>
      <c r="K49" s="714"/>
      <c r="L49" s="715"/>
      <c r="M49" s="715"/>
      <c r="N49" s="715"/>
      <c r="O49" s="715"/>
      <c r="P49" s="715"/>
      <c r="Q49" s="715"/>
      <c r="R49" s="715"/>
      <c r="S49" s="715"/>
      <c r="T49" s="715"/>
      <c r="U49" s="715"/>
      <c r="V49" s="715"/>
      <c r="W49" s="715"/>
      <c r="X49" s="715"/>
      <c r="Y49" s="715"/>
      <c r="Z49" s="715"/>
      <c r="AA49" s="715"/>
      <c r="AB49" s="716"/>
    </row>
    <row r="50" spans="8:28">
      <c r="H50" s="708"/>
      <c r="I50" s="709"/>
      <c r="J50" s="710"/>
      <c r="K50" s="717"/>
      <c r="L50" s="718"/>
      <c r="M50" s="718"/>
      <c r="N50" s="718"/>
      <c r="O50" s="718"/>
      <c r="P50" s="718"/>
      <c r="Q50" s="718"/>
      <c r="R50" s="718"/>
      <c r="S50" s="718"/>
      <c r="T50" s="718"/>
      <c r="U50" s="718"/>
      <c r="V50" s="718"/>
      <c r="W50" s="718"/>
      <c r="X50" s="718"/>
      <c r="Y50" s="718"/>
      <c r="Z50" s="718"/>
      <c r="AA50" s="718"/>
      <c r="AB50" s="719"/>
    </row>
  </sheetData>
  <mergeCells count="31">
    <mergeCell ref="H24:J26"/>
    <mergeCell ref="K24:AB26"/>
    <mergeCell ref="H45:J47"/>
    <mergeCell ref="K45:AB47"/>
    <mergeCell ref="H48:J50"/>
    <mergeCell ref="K48:AB50"/>
    <mergeCell ref="H36:J38"/>
    <mergeCell ref="K36:AB38"/>
    <mergeCell ref="H39:J41"/>
    <mergeCell ref="K39:AB41"/>
    <mergeCell ref="BC2:BG3"/>
    <mergeCell ref="AP5:AY5"/>
    <mergeCell ref="AP6:AY6"/>
    <mergeCell ref="AP7:AY7"/>
    <mergeCell ref="H42:J44"/>
    <mergeCell ref="K42:AB44"/>
    <mergeCell ref="H27:J29"/>
    <mergeCell ref="K27:AB29"/>
    <mergeCell ref="H30:J32"/>
    <mergeCell ref="K30:AB32"/>
    <mergeCell ref="H33:J35"/>
    <mergeCell ref="K33:AB35"/>
    <mergeCell ref="H19:AB20"/>
    <mergeCell ref="H21:J23"/>
    <mergeCell ref="K21:AB23"/>
    <mergeCell ref="H17:AB17"/>
    <mergeCell ref="AP8:AY8"/>
    <mergeCell ref="AP9:AY9"/>
    <mergeCell ref="AP10:AY10"/>
    <mergeCell ref="AP11:AY11"/>
    <mergeCell ref="AL2:AW3"/>
  </mergeCells>
  <hyperlinks>
    <hyperlink ref="H17:AB17" r:id="rId1" display="Pre Training Guide" xr:uid="{8A5BA441-5BDA-4A62-97E4-9E71D20E1268}"/>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tabColor theme="5" tint="-0.499984740745262"/>
  </sheetPr>
  <dimension ref="A1:W134"/>
  <sheetViews>
    <sheetView zoomScaleNormal="100" workbookViewId="0">
      <selection activeCell="D5" sqref="D5"/>
    </sheetView>
  </sheetViews>
  <sheetFormatPr defaultColWidth="9.140625" defaultRowHeight="14.45"/>
  <cols>
    <col min="1" max="1" width="5.5703125" customWidth="1"/>
    <col min="2" max="2" width="14" customWidth="1"/>
    <col min="3" max="3" width="60.28515625" customWidth="1"/>
    <col min="14" max="14" width="9.5703125" customWidth="1"/>
  </cols>
  <sheetData>
    <row r="1" spans="1:23" ht="15" thickBot="1">
      <c r="A1" s="288" t="s">
        <v>90</v>
      </c>
    </row>
    <row r="2" spans="1:23" ht="70.5" customHeight="1">
      <c r="A2" s="288"/>
      <c r="B2" s="204"/>
      <c r="C2" s="204" t="s">
        <v>91</v>
      </c>
      <c r="D2" s="731" t="s">
        <v>92</v>
      </c>
      <c r="E2" s="732"/>
      <c r="F2" s="732"/>
      <c r="G2" s="732"/>
      <c r="H2" s="733"/>
      <c r="I2" s="731" t="s">
        <v>93</v>
      </c>
      <c r="J2" s="732"/>
      <c r="K2" s="732"/>
      <c r="L2" s="732"/>
      <c r="M2" s="733"/>
      <c r="N2" s="731" t="s">
        <v>94</v>
      </c>
      <c r="O2" s="732"/>
      <c r="P2" s="732"/>
      <c r="Q2" s="732"/>
      <c r="R2" s="733"/>
      <c r="S2" s="731" t="s">
        <v>95</v>
      </c>
      <c r="T2" s="732"/>
      <c r="U2" s="732"/>
      <c r="V2" s="732"/>
      <c r="W2" s="733"/>
    </row>
    <row r="3" spans="1:23" ht="18.600000000000001" thickBot="1">
      <c r="A3" s="205"/>
      <c r="B3" s="95"/>
      <c r="C3" s="4"/>
      <c r="D3" s="734"/>
      <c r="E3" s="735"/>
      <c r="F3" s="735"/>
      <c r="G3" s="735"/>
      <c r="H3" s="736"/>
      <c r="I3" s="734"/>
      <c r="J3" s="735"/>
      <c r="K3" s="735"/>
      <c r="L3" s="735"/>
      <c r="M3" s="736"/>
      <c r="N3" s="734"/>
      <c r="O3" s="735"/>
      <c r="P3" s="735"/>
      <c r="Q3" s="735"/>
      <c r="R3" s="736"/>
      <c r="S3" s="734"/>
      <c r="T3" s="735"/>
      <c r="U3" s="735"/>
      <c r="V3" s="735"/>
      <c r="W3" s="736"/>
    </row>
    <row r="4" spans="1:23" ht="18.600000000000001" thickBot="1">
      <c r="A4" s="206"/>
      <c r="B4" s="94" t="s">
        <v>96</v>
      </c>
      <c r="C4" s="207"/>
      <c r="D4" s="208" t="s">
        <v>97</v>
      </c>
      <c r="E4" s="209" t="s">
        <v>98</v>
      </c>
      <c r="F4" s="209" t="s">
        <v>99</v>
      </c>
      <c r="G4" s="209" t="s">
        <v>100</v>
      </c>
      <c r="H4" s="210" t="s">
        <v>101</v>
      </c>
      <c r="I4" s="208" t="s">
        <v>97</v>
      </c>
      <c r="J4" s="209" t="s">
        <v>98</v>
      </c>
      <c r="K4" s="209" t="s">
        <v>99</v>
      </c>
      <c r="L4" s="209" t="s">
        <v>100</v>
      </c>
      <c r="M4" s="210" t="s">
        <v>101</v>
      </c>
      <c r="N4" s="208" t="s">
        <v>97</v>
      </c>
      <c r="O4" s="209" t="s">
        <v>98</v>
      </c>
      <c r="P4" s="209" t="s">
        <v>99</v>
      </c>
      <c r="Q4" s="209" t="s">
        <v>100</v>
      </c>
      <c r="R4" s="210" t="s">
        <v>101</v>
      </c>
      <c r="S4" s="208" t="s">
        <v>97</v>
      </c>
      <c r="T4" s="209" t="s">
        <v>98</v>
      </c>
      <c r="U4" s="209" t="s">
        <v>99</v>
      </c>
      <c r="V4" s="209" t="s">
        <v>100</v>
      </c>
      <c r="W4" s="210" t="s">
        <v>101</v>
      </c>
    </row>
    <row r="5" spans="1:23" ht="47.25" customHeight="1">
      <c r="A5" s="10"/>
      <c r="B5" s="737" t="s">
        <v>102</v>
      </c>
      <c r="C5" s="738"/>
      <c r="D5" s="203"/>
      <c r="E5" s="203"/>
      <c r="F5" s="203"/>
      <c r="G5" s="203"/>
      <c r="H5" s="218"/>
      <c r="I5" s="203"/>
      <c r="J5" s="203"/>
      <c r="K5" s="203"/>
      <c r="L5" s="203"/>
      <c r="M5" s="218"/>
      <c r="N5" s="203"/>
      <c r="O5" s="203"/>
      <c r="P5" s="203"/>
      <c r="Q5" s="203"/>
      <c r="R5" s="218"/>
      <c r="S5" s="203"/>
      <c r="T5" s="203"/>
      <c r="U5" s="203"/>
      <c r="V5" s="203"/>
      <c r="W5" s="218"/>
    </row>
    <row r="6" spans="1:23">
      <c r="A6" s="10"/>
      <c r="B6" s="729" t="s">
        <v>103</v>
      </c>
      <c r="C6" s="730"/>
      <c r="D6" s="203"/>
      <c r="E6" s="203"/>
      <c r="F6" s="203"/>
      <c r="G6" s="203"/>
      <c r="H6" s="218"/>
      <c r="I6" s="203"/>
      <c r="J6" s="203"/>
      <c r="K6" s="203"/>
      <c r="L6" s="203"/>
      <c r="M6" s="218"/>
      <c r="N6" s="203"/>
      <c r="O6" s="203"/>
      <c r="P6" s="203"/>
      <c r="Q6" s="203"/>
      <c r="R6" s="218"/>
      <c r="S6" s="203"/>
      <c r="T6" s="203"/>
      <c r="U6" s="203"/>
      <c r="V6" s="203"/>
      <c r="W6" s="218"/>
    </row>
    <row r="7" spans="1:23">
      <c r="A7" s="10"/>
      <c r="B7" s="278" t="s">
        <v>104</v>
      </c>
      <c r="C7" s="279"/>
      <c r="D7" s="203"/>
      <c r="E7" s="203"/>
      <c r="F7" s="203"/>
      <c r="G7" s="203"/>
      <c r="H7" s="218"/>
      <c r="I7" s="203"/>
      <c r="J7" s="203"/>
      <c r="K7" s="203"/>
      <c r="L7" s="203"/>
      <c r="M7" s="218"/>
      <c r="N7" s="203"/>
      <c r="O7" s="203"/>
      <c r="P7" s="203"/>
      <c r="Q7" s="203"/>
      <c r="R7" s="218"/>
      <c r="S7" s="203"/>
      <c r="T7" s="203"/>
      <c r="U7" s="203"/>
      <c r="V7" s="203"/>
      <c r="W7" s="218"/>
    </row>
    <row r="8" spans="1:23">
      <c r="A8" s="10"/>
      <c r="B8" s="729" t="s">
        <v>105</v>
      </c>
      <c r="C8" s="730"/>
      <c r="D8" s="203"/>
      <c r="E8" s="203"/>
      <c r="F8" s="203"/>
      <c r="G8" s="203"/>
      <c r="H8" s="218"/>
      <c r="I8" s="203"/>
      <c r="J8" s="203"/>
      <c r="K8" s="203"/>
      <c r="L8" s="203"/>
      <c r="M8" s="218"/>
      <c r="N8" s="203"/>
      <c r="O8" s="203"/>
      <c r="P8" s="203"/>
      <c r="Q8" s="203"/>
      <c r="R8" s="218"/>
      <c r="S8" s="203"/>
      <c r="T8" s="203"/>
      <c r="U8" s="203"/>
      <c r="V8" s="203"/>
      <c r="W8" s="218"/>
    </row>
    <row r="9" spans="1:23" ht="15" thickBot="1">
      <c r="A9" s="10"/>
      <c r="B9" s="745" t="s">
        <v>106</v>
      </c>
      <c r="C9" s="746"/>
      <c r="D9" s="203"/>
      <c r="E9" s="203"/>
      <c r="F9" s="203"/>
      <c r="G9" s="203"/>
      <c r="H9" s="218"/>
      <c r="I9" s="203"/>
      <c r="J9" s="203"/>
      <c r="K9" s="203"/>
      <c r="L9" s="203"/>
      <c r="M9" s="218"/>
      <c r="N9" s="203"/>
      <c r="O9" s="203"/>
      <c r="P9" s="203"/>
      <c r="Q9" s="203"/>
      <c r="R9" s="218"/>
      <c r="S9" s="203"/>
      <c r="T9" s="203"/>
      <c r="U9" s="203"/>
      <c r="V9" s="203"/>
      <c r="W9" s="218"/>
    </row>
    <row r="10" spans="1:23" ht="18.600000000000001" thickBot="1">
      <c r="A10" s="10"/>
      <c r="B10" s="94" t="s">
        <v>107</v>
      </c>
      <c r="C10" s="207"/>
      <c r="D10" s="211"/>
      <c r="E10" s="212"/>
      <c r="F10" s="212"/>
      <c r="G10" s="212"/>
      <c r="H10" s="213"/>
      <c r="I10" s="211"/>
      <c r="J10" s="212"/>
      <c r="K10" s="212"/>
      <c r="L10" s="212"/>
      <c r="M10" s="213"/>
      <c r="N10" s="211"/>
      <c r="O10" s="212"/>
      <c r="P10" s="212"/>
      <c r="Q10" s="212"/>
      <c r="R10" s="213"/>
      <c r="S10" s="211"/>
      <c r="T10" s="212"/>
      <c r="U10" s="212"/>
      <c r="V10" s="212"/>
      <c r="W10" s="213"/>
    </row>
    <row r="11" spans="1:23">
      <c r="A11" s="10"/>
      <c r="B11" s="747" t="s">
        <v>108</v>
      </c>
      <c r="C11" s="748"/>
      <c r="D11" s="203"/>
      <c r="E11" s="203"/>
      <c r="F11" s="203"/>
      <c r="G11" s="203"/>
      <c r="H11" s="218"/>
      <c r="I11" s="203"/>
      <c r="J11" s="203"/>
      <c r="K11" s="203"/>
      <c r="L11" s="203"/>
      <c r="M11" s="218"/>
      <c r="N11" s="203"/>
      <c r="O11" s="203"/>
      <c r="P11" s="203"/>
      <c r="Q11" s="203"/>
      <c r="R11" s="218"/>
      <c r="S11" s="203"/>
      <c r="T11" s="203"/>
      <c r="U11" s="203"/>
      <c r="V11" s="203"/>
      <c r="W11" s="218"/>
    </row>
    <row r="12" spans="1:23">
      <c r="A12" s="10"/>
      <c r="B12" s="749" t="s">
        <v>109</v>
      </c>
      <c r="C12" s="750"/>
      <c r="D12" s="203"/>
      <c r="E12" s="203"/>
      <c r="F12" s="203"/>
      <c r="G12" s="203"/>
      <c r="H12" s="218"/>
      <c r="I12" s="203"/>
      <c r="J12" s="203"/>
      <c r="K12" s="203"/>
      <c r="L12" s="203"/>
      <c r="M12" s="218"/>
      <c r="N12" s="203"/>
      <c r="O12" s="203"/>
      <c r="P12" s="203"/>
      <c r="Q12" s="203"/>
      <c r="R12" s="218"/>
      <c r="S12" s="203"/>
      <c r="T12" s="203"/>
      <c r="U12" s="203"/>
      <c r="V12" s="203"/>
      <c r="W12" s="218"/>
    </row>
    <row r="13" spans="1:23">
      <c r="A13" s="10"/>
      <c r="B13" s="739" t="s">
        <v>110</v>
      </c>
      <c r="C13" s="740"/>
      <c r="D13" s="203"/>
      <c r="E13" s="203"/>
      <c r="F13" s="203"/>
      <c r="G13" s="203"/>
      <c r="H13" s="218"/>
      <c r="I13" s="203"/>
      <c r="J13" s="203"/>
      <c r="K13" s="203"/>
      <c r="L13" s="203"/>
      <c r="M13" s="218"/>
      <c r="N13" s="203"/>
      <c r="O13" s="203"/>
      <c r="P13" s="203"/>
      <c r="Q13" s="203"/>
      <c r="R13" s="218"/>
      <c r="S13" s="203"/>
      <c r="T13" s="203"/>
      <c r="U13" s="203"/>
      <c r="V13" s="203"/>
      <c r="W13" s="218"/>
    </row>
    <row r="14" spans="1:23">
      <c r="A14" s="10"/>
      <c r="B14" s="739" t="s">
        <v>111</v>
      </c>
      <c r="C14" s="740"/>
      <c r="D14" s="203"/>
      <c r="E14" s="203"/>
      <c r="F14" s="203"/>
      <c r="G14" s="203"/>
      <c r="H14" s="218"/>
      <c r="I14" s="203"/>
      <c r="J14" s="203"/>
      <c r="K14" s="203"/>
      <c r="L14" s="203"/>
      <c r="M14" s="218"/>
      <c r="N14" s="203"/>
      <c r="O14" s="203"/>
      <c r="P14" s="203"/>
      <c r="Q14" s="203"/>
      <c r="R14" s="218"/>
      <c r="S14" s="203"/>
      <c r="T14" s="203"/>
      <c r="U14" s="203"/>
      <c r="V14" s="203"/>
      <c r="W14" s="218"/>
    </row>
    <row r="15" spans="1:23">
      <c r="A15" s="10"/>
      <c r="B15" s="739" t="s">
        <v>112</v>
      </c>
      <c r="C15" s="740"/>
      <c r="D15" s="203"/>
      <c r="E15" s="203"/>
      <c r="F15" s="203"/>
      <c r="G15" s="203"/>
      <c r="H15" s="218"/>
      <c r="I15" s="203"/>
      <c r="J15" s="203"/>
      <c r="K15" s="203"/>
      <c r="L15" s="203"/>
      <c r="M15" s="218"/>
      <c r="N15" s="203"/>
      <c r="O15" s="203"/>
      <c r="P15" s="203"/>
      <c r="Q15" s="203"/>
      <c r="R15" s="218"/>
      <c r="S15" s="203"/>
      <c r="T15" s="203"/>
      <c r="U15" s="203"/>
      <c r="V15" s="203"/>
      <c r="W15" s="218"/>
    </row>
    <row r="16" spans="1:23">
      <c r="A16" s="10"/>
      <c r="B16" s="739" t="s">
        <v>113</v>
      </c>
      <c r="C16" s="740"/>
      <c r="D16" s="203"/>
      <c r="E16" s="203"/>
      <c r="F16" s="203"/>
      <c r="G16" s="203"/>
      <c r="H16" s="218"/>
      <c r="I16" s="203"/>
      <c r="J16" s="203"/>
      <c r="K16" s="203"/>
      <c r="L16" s="203"/>
      <c r="M16" s="218"/>
      <c r="N16" s="203"/>
      <c r="O16" s="203"/>
      <c r="P16" s="203"/>
      <c r="Q16" s="203"/>
      <c r="R16" s="218"/>
      <c r="S16" s="203"/>
      <c r="T16" s="203"/>
      <c r="U16" s="203"/>
      <c r="V16" s="203"/>
      <c r="W16" s="218"/>
    </row>
    <row r="17" spans="1:23">
      <c r="A17" s="10"/>
      <c r="B17" s="741" t="s">
        <v>114</v>
      </c>
      <c r="C17" s="742"/>
      <c r="D17" s="203"/>
      <c r="E17" s="203"/>
      <c r="F17" s="203"/>
      <c r="G17" s="203"/>
      <c r="H17" s="218"/>
      <c r="I17" s="203"/>
      <c r="J17" s="203"/>
      <c r="K17" s="203"/>
      <c r="L17" s="203"/>
      <c r="M17" s="218"/>
      <c r="N17" s="203"/>
      <c r="O17" s="203"/>
      <c r="P17" s="203"/>
      <c r="Q17" s="203"/>
      <c r="R17" s="218"/>
      <c r="S17" s="203"/>
      <c r="T17" s="203"/>
      <c r="U17" s="203"/>
      <c r="V17" s="203"/>
      <c r="W17" s="218"/>
    </row>
    <row r="18" spans="1:23" ht="15" thickBot="1">
      <c r="A18" s="10"/>
      <c r="B18" s="743" t="s">
        <v>115</v>
      </c>
      <c r="C18" s="744"/>
      <c r="D18" s="280"/>
      <c r="E18" s="280"/>
      <c r="F18" s="280"/>
      <c r="G18" s="280"/>
      <c r="H18" s="277"/>
      <c r="I18" s="280"/>
      <c r="J18" s="280"/>
      <c r="K18" s="280"/>
      <c r="L18" s="280"/>
      <c r="M18" s="277"/>
      <c r="N18" s="280"/>
      <c r="O18" s="280"/>
      <c r="P18" s="280"/>
      <c r="Q18" s="280"/>
      <c r="R18" s="277"/>
      <c r="S18" s="280"/>
      <c r="T18" s="280"/>
      <c r="U18" s="280"/>
      <c r="V18" s="280"/>
      <c r="W18" s="277"/>
    </row>
    <row r="19" spans="1:23" ht="18.75" hidden="1" customHeight="1">
      <c r="A19" s="10" t="s">
        <v>116</v>
      </c>
    </row>
    <row r="20" spans="1:23" hidden="1">
      <c r="A20" s="10" t="s">
        <v>117</v>
      </c>
    </row>
    <row r="24" spans="1:23" ht="15" customHeight="1"/>
    <row r="39" ht="15" customHeight="1"/>
    <row r="41" hidden="1"/>
    <row r="42" hidden="1"/>
    <row r="43" ht="15" customHeight="1"/>
    <row r="44" ht="15" customHeight="1"/>
    <row r="49" ht="15" customHeight="1"/>
    <row r="53" ht="15" customHeight="1"/>
    <row r="54" ht="15.75" customHeight="1"/>
    <row r="64" ht="15" customHeight="1"/>
    <row r="65" ht="15" customHeight="1"/>
    <row r="66" ht="15.75" customHeight="1"/>
    <row r="68" ht="15" customHeight="1"/>
    <row r="75" ht="15.75" customHeight="1"/>
    <row r="89" spans="6:6">
      <c r="F89" s="10"/>
    </row>
    <row r="90" spans="6:6">
      <c r="F90" s="10"/>
    </row>
    <row r="91" spans="6:6">
      <c r="F91" s="10"/>
    </row>
    <row r="101" spans="1:1">
      <c r="A101" t="s">
        <v>118</v>
      </c>
    </row>
    <row r="102" spans="1:1">
      <c r="A102" t="s">
        <v>117</v>
      </c>
    </row>
    <row r="103" spans="1:1">
      <c r="A103" t="s">
        <v>119</v>
      </c>
    </row>
    <row r="104" spans="1:1">
      <c r="A104" t="s">
        <v>116</v>
      </c>
    </row>
    <row r="132" spans="7:7">
      <c r="G132" s="10"/>
    </row>
    <row r="133" spans="7:7">
      <c r="G133" s="10"/>
    </row>
    <row r="134" spans="7:7">
      <c r="G134" s="10"/>
    </row>
  </sheetData>
  <mergeCells count="16">
    <mergeCell ref="B15:C15"/>
    <mergeCell ref="B16:C16"/>
    <mergeCell ref="B17:C17"/>
    <mergeCell ref="B18:C18"/>
    <mergeCell ref="B8:C8"/>
    <mergeCell ref="B9:C9"/>
    <mergeCell ref="B11:C11"/>
    <mergeCell ref="B12:C12"/>
    <mergeCell ref="B13:C13"/>
    <mergeCell ref="B14:C14"/>
    <mergeCell ref="B6:C6"/>
    <mergeCell ref="D2:H3"/>
    <mergeCell ref="I2:M3"/>
    <mergeCell ref="N2:R3"/>
    <mergeCell ref="S2:W3"/>
    <mergeCell ref="B5:C5"/>
  </mergeCells>
  <conditionalFormatting sqref="D5:W9">
    <cfRule type="cellIs" dxfId="2150" priority="16" operator="equal">
      <formula>"Yes"</formula>
    </cfRule>
  </conditionalFormatting>
  <conditionalFormatting sqref="D8:E8">
    <cfRule type="cellIs" dxfId="2149" priority="15" operator="equal">
      <formula>"Yes"</formula>
    </cfRule>
  </conditionalFormatting>
  <conditionalFormatting sqref="D9:E9">
    <cfRule type="cellIs" dxfId="2148" priority="14" operator="equal">
      <formula>"Yes"</formula>
    </cfRule>
  </conditionalFormatting>
  <conditionalFormatting sqref="F5:H5 F6:F7 H6:H7 N6:N7 P6:P7 R6:R7 T6:T7 V6:V7 N5:W5">
    <cfRule type="cellIs" dxfId="2147" priority="9" operator="equal">
      <formula>"Yes"</formula>
    </cfRule>
  </conditionalFormatting>
  <conditionalFormatting sqref="F8:H8 N8:W8">
    <cfRule type="cellIs" dxfId="2146" priority="8" operator="equal">
      <formula>"Yes"</formula>
    </cfRule>
  </conditionalFormatting>
  <conditionalFormatting sqref="F9:H9 N9:W9">
    <cfRule type="cellIs" dxfId="2145" priority="7" operator="equal">
      <formula>"Yes"</formula>
    </cfRule>
  </conditionalFormatting>
  <conditionalFormatting sqref="I5:M9">
    <cfRule type="cellIs" dxfId="2144" priority="2" operator="equal">
      <formula>"Yes"</formula>
    </cfRule>
  </conditionalFormatting>
  <conditionalFormatting sqref="D11:W18">
    <cfRule type="cellIs" dxfId="2143" priority="1" operator="equal">
      <formula>"Yes"</formula>
    </cfRule>
  </conditionalFormatting>
  <dataValidations count="1">
    <dataValidation type="list" allowBlank="1" showInputMessage="1" showErrorMessage="1" sqref="D5:W9 D11:W18" xr:uid="{00000000-0002-0000-0200-000000000000}">
      <formula1>$A$102:$A$104</formula1>
    </dataValidation>
  </dataValidations>
  <hyperlinks>
    <hyperlink ref="A1" location="'Quick Links'!A1" display="Home" xr:uid="{B4F628D6-0E51-421C-8454-FAC8A14BBCF3}"/>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W153"/>
  <sheetViews>
    <sheetView showGridLines="0" topLeftCell="A2" zoomScale="85" zoomScaleNormal="85" workbookViewId="0">
      <selection activeCell="D13" sqref="D13"/>
    </sheetView>
  </sheetViews>
  <sheetFormatPr defaultColWidth="9.140625" defaultRowHeight="14.45"/>
  <cols>
    <col min="1" max="1" width="21.140625" style="443" customWidth="1"/>
    <col min="2" max="2" width="28.28515625" style="443" customWidth="1"/>
    <col min="3" max="3" width="17.7109375" style="443" customWidth="1"/>
    <col min="4" max="4" width="20.7109375" style="443" customWidth="1"/>
    <col min="5" max="5" width="8.42578125" style="443" customWidth="1"/>
    <col min="6" max="6" width="13.5703125" style="443" customWidth="1"/>
    <col min="7" max="7" width="14.5703125" style="443" customWidth="1"/>
    <col min="8" max="8" width="16.140625" style="443" customWidth="1"/>
    <col min="9" max="9" width="21.28515625" style="443" customWidth="1"/>
    <col min="10" max="10" width="7.140625" style="443" customWidth="1"/>
    <col min="11" max="11" width="6.5703125" style="443" customWidth="1"/>
    <col min="12" max="12" width="16.28515625" style="443" customWidth="1"/>
    <col min="13" max="13" width="14.5703125" style="443" customWidth="1"/>
    <col min="14" max="14" width="10.28515625" style="443" customWidth="1"/>
    <col min="15" max="15" width="11.140625" style="443" customWidth="1"/>
    <col min="16" max="16" width="9.5703125" style="443" customWidth="1"/>
    <col min="17" max="17" width="10.28515625" style="443" customWidth="1"/>
    <col min="18" max="18" width="10.7109375" style="443" customWidth="1"/>
    <col min="19" max="16384" width="9.140625" style="443"/>
  </cols>
  <sheetData>
    <row r="1" spans="1:19">
      <c r="A1" s="442"/>
    </row>
    <row r="2" spans="1:19" ht="54.75" customHeight="1">
      <c r="B2" s="441"/>
      <c r="C2" s="444"/>
      <c r="D2" s="444"/>
      <c r="E2" s="444"/>
      <c r="F2" s="444"/>
      <c r="G2" s="444"/>
      <c r="H2" s="444"/>
    </row>
    <row r="3" spans="1:19" ht="18">
      <c r="A3" s="781" t="s">
        <v>120</v>
      </c>
      <c r="B3" s="782"/>
      <c r="C3" s="782"/>
      <c r="D3" s="782"/>
      <c r="E3" s="782"/>
      <c r="F3" s="782"/>
      <c r="G3" s="783"/>
      <c r="H3" s="445"/>
      <c r="I3" s="446"/>
      <c r="J3" s="446"/>
      <c r="K3" s="447"/>
      <c r="M3" s="771"/>
      <c r="N3" s="772"/>
      <c r="O3" s="772"/>
      <c r="P3" s="772"/>
      <c r="Q3" s="772"/>
      <c r="R3" s="773"/>
    </row>
    <row r="4" spans="1:19">
      <c r="A4" s="512" t="s">
        <v>121</v>
      </c>
      <c r="B4" s="462">
        <v>46023</v>
      </c>
      <c r="C4" s="786" t="s">
        <v>122</v>
      </c>
      <c r="D4" s="786"/>
      <c r="E4" s="787">
        <f>WORKDAY(B7,1)</f>
        <v>46058</v>
      </c>
      <c r="F4" s="787"/>
      <c r="G4" s="788"/>
      <c r="H4" s="790" t="s">
        <v>123</v>
      </c>
      <c r="I4" s="791"/>
      <c r="J4" s="778"/>
      <c r="K4" s="789"/>
      <c r="M4" s="793" t="s">
        <v>124</v>
      </c>
      <c r="N4" s="774"/>
      <c r="O4" s="774"/>
      <c r="P4" s="794"/>
      <c r="Q4" s="774" t="s">
        <v>125</v>
      </c>
      <c r="R4" s="775"/>
    </row>
    <row r="5" spans="1:19">
      <c r="A5" s="512" t="s">
        <v>126</v>
      </c>
      <c r="B5" s="462">
        <f>WORKDAY(B4,8)</f>
        <v>46035</v>
      </c>
      <c r="C5" s="786" t="s">
        <v>127</v>
      </c>
      <c r="D5" s="786"/>
      <c r="E5" s="787">
        <f>WORKDAY(E4,6)</f>
        <v>46066</v>
      </c>
      <c r="F5" s="787"/>
      <c r="G5" s="788"/>
      <c r="H5" s="790" t="s">
        <v>128</v>
      </c>
      <c r="I5" s="791"/>
      <c r="J5" s="799"/>
      <c r="K5" s="800"/>
      <c r="L5" s="448" t="s">
        <v>129</v>
      </c>
      <c r="M5" s="776"/>
      <c r="N5" s="777"/>
      <c r="O5" s="777"/>
      <c r="P5" s="778"/>
      <c r="Q5" s="1072"/>
      <c r="R5" s="1073"/>
    </row>
    <row r="6" spans="1:19">
      <c r="A6" s="512" t="s">
        <v>130</v>
      </c>
      <c r="B6" s="463">
        <f>WORKDAY(B5,12)</f>
        <v>46051</v>
      </c>
      <c r="C6" s="786" t="s">
        <v>131</v>
      </c>
      <c r="D6" s="786"/>
      <c r="E6" s="787">
        <f>WORKDAY(E5,5)</f>
        <v>46073</v>
      </c>
      <c r="F6" s="787"/>
      <c r="G6" s="788"/>
      <c r="H6" s="790" t="s">
        <v>132</v>
      </c>
      <c r="I6" s="791"/>
      <c r="J6" s="799"/>
      <c r="K6" s="800"/>
      <c r="L6" s="448"/>
      <c r="M6" s="776"/>
      <c r="N6" s="777"/>
      <c r="O6" s="777"/>
      <c r="P6" s="778"/>
      <c r="Q6" s="449"/>
      <c r="R6" s="513"/>
    </row>
    <row r="7" spans="1:19">
      <c r="A7" s="512" t="s">
        <v>133</v>
      </c>
      <c r="B7" s="463">
        <f>WORKDAY(B6,4)</f>
        <v>46057</v>
      </c>
      <c r="C7" s="786" t="s">
        <v>134</v>
      </c>
      <c r="D7" s="786"/>
      <c r="E7" s="787">
        <f>WORKDAY(E6,1)</f>
        <v>46076</v>
      </c>
      <c r="F7" s="787"/>
      <c r="G7" s="788"/>
      <c r="H7" s="790" t="s">
        <v>135</v>
      </c>
      <c r="I7" s="791"/>
      <c r="J7" s="784">
        <f>'Student Data'!P160</f>
        <v>0</v>
      </c>
      <c r="K7" s="785"/>
      <c r="L7" s="448"/>
      <c r="M7" s="795"/>
      <c r="N7" s="796"/>
      <c r="O7" s="796"/>
      <c r="P7" s="796"/>
      <c r="Q7" s="796"/>
      <c r="R7" s="756"/>
    </row>
    <row r="8" spans="1:19">
      <c r="A8" s="512" t="s">
        <v>136</v>
      </c>
      <c r="B8" s="464"/>
      <c r="C8" s="779" t="s">
        <v>137</v>
      </c>
      <c r="D8" s="780"/>
      <c r="E8" s="804">
        <f>WORKDAY(E7,9)</f>
        <v>46087</v>
      </c>
      <c r="F8" s="805"/>
      <c r="G8" s="806"/>
      <c r="H8" s="790" t="s">
        <v>138</v>
      </c>
      <c r="I8" s="791"/>
      <c r="J8" s="784">
        <f>'Student Data'!P159</f>
        <v>0</v>
      </c>
      <c r="K8" s="785"/>
    </row>
    <row r="9" spans="1:19" ht="14.45" customHeight="1">
      <c r="A9" s="512" t="s">
        <v>139</v>
      </c>
      <c r="B9" s="464" t="s">
        <v>140</v>
      </c>
      <c r="C9" s="779" t="s">
        <v>141</v>
      </c>
      <c r="D9" s="780"/>
      <c r="E9" s="804">
        <f>WORKDAY(E8,1)</f>
        <v>46090</v>
      </c>
      <c r="F9" s="805"/>
      <c r="G9" s="806"/>
      <c r="H9" s="790" t="s">
        <v>142</v>
      </c>
      <c r="I9" s="791"/>
      <c r="J9" s="452" t="str">
        <f>IFERROR(J7/J5,"")</f>
        <v/>
      </c>
      <c r="K9" s="453"/>
    </row>
    <row r="10" spans="1:19">
      <c r="A10" s="512" t="s">
        <v>143</v>
      </c>
      <c r="B10" s="464"/>
      <c r="C10" s="819"/>
      <c r="D10" s="820"/>
      <c r="E10" s="816"/>
      <c r="F10" s="817"/>
      <c r="G10" s="818"/>
      <c r="H10" s="790" t="s">
        <v>144</v>
      </c>
      <c r="I10" s="791"/>
      <c r="J10" s="454" t="str">
        <f>IFERROR(J8/J6, "")</f>
        <v/>
      </c>
      <c r="K10" s="455"/>
    </row>
    <row r="11" spans="1:19">
      <c r="A11" s="512" t="s">
        <v>145</v>
      </c>
      <c r="B11" s="464"/>
      <c r="C11" s="456"/>
      <c r="D11" s="450"/>
      <c r="E11" s="450"/>
      <c r="F11" s="451"/>
      <c r="G11" s="451"/>
      <c r="H11" s="790" t="s">
        <v>146</v>
      </c>
      <c r="I11" s="791"/>
      <c r="J11" s="452" t="str">
        <f>IFERROR(SUM(COUNTIFS(Attendance!AC17:AC40,"&gt;0", Attendance!O17:O40, "English")/'Class Summary'!J7), "")</f>
        <v/>
      </c>
      <c r="K11" s="453"/>
    </row>
    <row r="12" spans="1:19">
      <c r="A12" s="814"/>
      <c r="B12" s="815"/>
      <c r="D12" s="450"/>
      <c r="E12" s="450"/>
      <c r="F12" s="451"/>
      <c r="G12" s="451"/>
      <c r="H12" s="790" t="s">
        <v>147</v>
      </c>
      <c r="I12" s="791"/>
      <c r="J12" s="797" t="str">
        <f>IFERROR(SUM(COUNTIFS(Attendance!AC17:AC40,"&gt;0", Attendance!O17:O40, "Bilingual")/'Class Summary'!J8), "")</f>
        <v/>
      </c>
      <c r="K12" s="798"/>
    </row>
    <row r="13" spans="1:19">
      <c r="A13" s="461"/>
      <c r="H13" s="457"/>
      <c r="I13" s="458"/>
      <c r="J13" s="459"/>
      <c r="K13" s="460"/>
    </row>
    <row r="14" spans="1:19">
      <c r="A14" s="461"/>
    </row>
    <row r="15" spans="1:19" ht="23.45">
      <c r="A15" s="461"/>
      <c r="L15" s="792" t="s">
        <v>148</v>
      </c>
      <c r="M15" s="792"/>
      <c r="N15" s="792"/>
      <c r="O15" s="792"/>
      <c r="P15" s="792"/>
      <c r="Q15" s="792"/>
      <c r="R15" s="792"/>
      <c r="S15" s="792"/>
    </row>
    <row r="16" spans="1:19" ht="31.15">
      <c r="A16" s="813" t="s">
        <v>149</v>
      </c>
      <c r="B16" s="813"/>
      <c r="C16" s="813"/>
      <c r="D16" s="813"/>
      <c r="E16" s="813"/>
      <c r="F16" s="813"/>
      <c r="G16" s="813"/>
      <c r="H16" s="813"/>
      <c r="I16" s="813"/>
      <c r="L16" s="769" t="s">
        <v>150</v>
      </c>
      <c r="M16" s="769"/>
      <c r="N16" s="769"/>
      <c r="O16" s="769"/>
      <c r="P16" s="769"/>
      <c r="Q16" s="769"/>
      <c r="R16" s="769"/>
      <c r="S16" s="769"/>
    </row>
    <row r="17" spans="1:23">
      <c r="A17" s="807" t="s">
        <v>151</v>
      </c>
      <c r="B17" s="808"/>
      <c r="C17" s="808"/>
      <c r="D17" s="808"/>
      <c r="E17" s="808"/>
      <c r="F17" s="808"/>
      <c r="G17" s="808"/>
      <c r="H17" s="808"/>
      <c r="I17" s="809"/>
      <c r="L17" s="751" t="s">
        <v>96</v>
      </c>
      <c r="M17" s="751"/>
      <c r="N17" s="751"/>
      <c r="O17" s="751"/>
      <c r="P17" s="751" t="s">
        <v>152</v>
      </c>
      <c r="Q17" s="751"/>
      <c r="R17" s="751"/>
      <c r="S17" s="751"/>
      <c r="T17" s="751" t="s">
        <v>153</v>
      </c>
      <c r="U17" s="751"/>
      <c r="V17" s="751"/>
      <c r="W17" s="751"/>
    </row>
    <row r="18" spans="1:23" ht="36.75" customHeight="1">
      <c r="A18" s="810" t="s">
        <v>154</v>
      </c>
      <c r="B18" s="811"/>
      <c r="C18" s="811"/>
      <c r="D18" s="811"/>
      <c r="E18" s="811"/>
      <c r="F18" s="811"/>
      <c r="G18" s="811"/>
      <c r="H18" s="811"/>
      <c r="I18" s="812"/>
      <c r="L18" s="514" t="s">
        <v>155</v>
      </c>
      <c r="M18" s="515" t="s">
        <v>156</v>
      </c>
      <c r="N18" s="515" t="s">
        <v>157</v>
      </c>
      <c r="O18" s="515" t="s">
        <v>158</v>
      </c>
      <c r="P18" s="514" t="s">
        <v>155</v>
      </c>
      <c r="Q18" s="515" t="s">
        <v>156</v>
      </c>
      <c r="R18" s="515" t="s">
        <v>157</v>
      </c>
      <c r="S18" s="515" t="s">
        <v>158</v>
      </c>
    </row>
    <row r="19" spans="1:23" ht="18">
      <c r="A19" s="501"/>
      <c r="B19" s="522" t="s">
        <v>159</v>
      </c>
      <c r="C19" s="522" t="s">
        <v>160</v>
      </c>
      <c r="D19" s="522" t="s">
        <v>161</v>
      </c>
      <c r="E19" s="522"/>
      <c r="F19" s="522" t="s">
        <v>162</v>
      </c>
      <c r="G19" s="522" t="s">
        <v>163</v>
      </c>
      <c r="H19" s="523" t="s">
        <v>164</v>
      </c>
      <c r="I19" s="524"/>
      <c r="L19" s="572">
        <f>COUNTIF(Attendance!T21:T40, "&gt;0")</f>
        <v>3</v>
      </c>
      <c r="M19" s="572">
        <f>COUNTIF('Student Data'!G5:G40,"Resigned Tier*")</f>
        <v>0</v>
      </c>
      <c r="N19" s="572" cm="1">
        <f t="array" ref="N19">SUMPRODUCT(COUNTIF('Student Data'!$G$5:$G$40,{"Terminated Tier*","Transferred"}))</f>
        <v>0</v>
      </c>
      <c r="O19" s="573">
        <f>IFERROR((M19+N19)/L19,"")</f>
        <v>0</v>
      </c>
      <c r="P19" s="572">
        <f>(L19-M19-N19)</f>
        <v>3</v>
      </c>
      <c r="Q19" s="572">
        <f>COUNTIF('Student Data'!G5:G40,"Resigned-Nesting*")</f>
        <v>0</v>
      </c>
      <c r="R19" s="572">
        <f>COUNTIF('Student Data'!G10:G40,"Terminated-Nesting*")</f>
        <v>0</v>
      </c>
      <c r="S19" s="573">
        <f>IFERROR((Q19+R19)/P19,"")</f>
        <v>0</v>
      </c>
    </row>
    <row r="20" spans="1:23">
      <c r="A20" s="503">
        <v>1</v>
      </c>
      <c r="B20" s="508" t="str">
        <f>IF('Student Data'!C5="","",'Student Data'!C5)</f>
        <v>Rnne</v>
      </c>
      <c r="C20" s="508" t="str">
        <f>IF('Student Data'!D5="","",'Student Data'!D5)</f>
        <v>Donna</v>
      </c>
      <c r="D20" s="536" t="str">
        <f>IF('Student Data'!G5="","",'Student Data'!G5)</f>
        <v>Resigned Pre-Process</v>
      </c>
      <c r="E20" s="537"/>
      <c r="F20" s="509"/>
      <c r="G20" s="510"/>
      <c r="H20" s="511"/>
      <c r="I20" s="502"/>
      <c r="L20" s="769" t="s">
        <v>165</v>
      </c>
      <c r="M20" s="769"/>
      <c r="N20" s="769"/>
      <c r="O20" s="769"/>
      <c r="P20" s="769"/>
      <c r="Q20" s="769"/>
      <c r="R20" s="769"/>
      <c r="S20" s="769"/>
    </row>
    <row r="21" spans="1:23">
      <c r="A21" s="503">
        <f>A20+1</f>
        <v>2</v>
      </c>
      <c r="B21" s="508" t="str">
        <f>IF('Student Data'!C6="","",'Student Data'!C6)</f>
        <v xml:space="preserve">Aquino </v>
      </c>
      <c r="C21" s="508" t="str">
        <f>IF('Student Data'!D6="","",'Student Data'!D6)</f>
        <v>Summer</v>
      </c>
      <c r="D21" s="536" t="str">
        <f>IF('Student Data'!G6="","",'Student Data'!G6)</f>
        <v>Tier 1A</v>
      </c>
      <c r="E21" s="537"/>
      <c r="F21" s="509"/>
      <c r="G21" s="510"/>
      <c r="H21" s="511"/>
      <c r="I21" s="502"/>
      <c r="L21" s="751" t="s">
        <v>96</v>
      </c>
      <c r="M21" s="751"/>
      <c r="N21" s="751" t="s">
        <v>152</v>
      </c>
      <c r="O21" s="751"/>
      <c r="P21" s="751"/>
      <c r="Q21" s="751"/>
      <c r="R21" s="751"/>
      <c r="S21" s="751"/>
    </row>
    <row r="22" spans="1:23">
      <c r="A22" s="503">
        <f t="shared" ref="A22:A59" si="0">A21+1</f>
        <v>3</v>
      </c>
      <c r="B22" s="508" t="str">
        <f>IF('Student Data'!C7="","",'Student Data'!C7)</f>
        <v xml:space="preserve">Reyes </v>
      </c>
      <c r="C22" s="508" t="str">
        <f>IF('Student Data'!D7="","",'Student Data'!D7)</f>
        <v>Joana</v>
      </c>
      <c r="D22" s="536" t="str">
        <f>IF('Student Data'!G7="","",'Student Data'!G7)</f>
        <v>Tier 1A</v>
      </c>
      <c r="E22" s="537"/>
      <c r="F22" s="509"/>
      <c r="G22" s="510"/>
      <c r="H22" s="511"/>
      <c r="I22" s="502"/>
      <c r="L22" s="515" t="s">
        <v>166</v>
      </c>
      <c r="M22" s="515" t="s">
        <v>167</v>
      </c>
      <c r="N22" s="767" t="s">
        <v>166</v>
      </c>
      <c r="O22" s="767"/>
      <c r="P22" s="767" t="s">
        <v>167</v>
      </c>
      <c r="Q22" s="767"/>
      <c r="R22" s="767" t="s">
        <v>168</v>
      </c>
      <c r="S22" s="767"/>
    </row>
    <row r="23" spans="1:23">
      <c r="A23" s="503">
        <f t="shared" si="0"/>
        <v>4</v>
      </c>
      <c r="B23" s="508" t="str">
        <f>IF('Student Data'!C8="","",'Student Data'!C8)</f>
        <v>Manuel</v>
      </c>
      <c r="C23" s="508" t="str">
        <f>IF('Student Data'!D8="","",'Student Data'!D8)</f>
        <v>Quezon</v>
      </c>
      <c r="D23" s="536" t="str">
        <f>IF('Student Data'!G8="","",'Student Data'!G8)</f>
        <v>Tier 1A</v>
      </c>
      <c r="E23" s="537"/>
      <c r="F23" s="509"/>
      <c r="G23" s="510"/>
      <c r="H23" s="511"/>
      <c r="I23" s="502"/>
      <c r="L23" s="572">
        <f>Reporting!J3</f>
        <v>0</v>
      </c>
      <c r="M23" s="574">
        <f>Reporting!J3/Reporting!G3</f>
        <v>0</v>
      </c>
      <c r="N23" s="770">
        <f>Reporting!K3</f>
        <v>0</v>
      </c>
      <c r="O23" s="770"/>
      <c r="P23" s="768">
        <f>Reporting!K3/Reporting!G3</f>
        <v>0</v>
      </c>
      <c r="Q23" s="768"/>
      <c r="R23" s="768">
        <f>Reporting!L3</f>
        <v>0</v>
      </c>
      <c r="S23" s="768"/>
    </row>
    <row r="24" spans="1:23">
      <c r="A24" s="503">
        <f t="shared" si="0"/>
        <v>5</v>
      </c>
      <c r="B24" s="508" t="str">
        <f>IF('Student Data'!C9="","",'Student Data'!C9)</f>
        <v/>
      </c>
      <c r="C24" s="508" t="str">
        <f>IF('Student Data'!D9="","",'Student Data'!D9)</f>
        <v/>
      </c>
      <c r="D24" s="536" t="str">
        <f>IF('Student Data'!G9="","",'Student Data'!G9)</f>
        <v/>
      </c>
      <c r="E24" s="537"/>
      <c r="F24" s="509"/>
      <c r="G24" s="510"/>
      <c r="H24" s="511"/>
      <c r="I24" s="502"/>
      <c r="L24" s="769" t="s">
        <v>25</v>
      </c>
      <c r="M24" s="769"/>
      <c r="N24" s="769"/>
      <c r="O24" s="769"/>
      <c r="P24" s="769"/>
      <c r="Q24" s="769"/>
      <c r="R24" s="769"/>
      <c r="S24" s="769"/>
    </row>
    <row r="25" spans="1:23">
      <c r="A25" s="503">
        <f t="shared" si="0"/>
        <v>6</v>
      </c>
      <c r="B25" s="508" t="str">
        <f>IF('Student Data'!C10="","",'Student Data'!C10)</f>
        <v/>
      </c>
      <c r="C25" s="508" t="str">
        <f>IF('Student Data'!D10="","",'Student Data'!D10)</f>
        <v/>
      </c>
      <c r="D25" s="536" t="str">
        <f>IF('Student Data'!G10="","",'Student Data'!G10)</f>
        <v/>
      </c>
      <c r="E25" s="537"/>
      <c r="F25" s="509"/>
      <c r="G25" s="510"/>
      <c r="H25" s="511"/>
      <c r="I25" s="502"/>
      <c r="L25" s="751" t="s">
        <v>169</v>
      </c>
      <c r="M25" s="751"/>
      <c r="N25" s="751"/>
      <c r="O25" s="751"/>
      <c r="P25" s="751"/>
      <c r="Q25" s="751"/>
      <c r="R25" s="751"/>
      <c r="S25" s="751"/>
    </row>
    <row r="26" spans="1:23" ht="15.75" customHeight="1">
      <c r="A26" s="503">
        <f t="shared" si="0"/>
        <v>7</v>
      </c>
      <c r="B26" s="508" t="str">
        <f>IF('Student Data'!C11="","",'Student Data'!C11)</f>
        <v/>
      </c>
      <c r="C26" s="508" t="str">
        <f>IF('Student Data'!D11="","",'Student Data'!D11)</f>
        <v/>
      </c>
      <c r="D26" s="536" t="str">
        <f>IF('Student Data'!G11="","",'Student Data'!G11)</f>
        <v/>
      </c>
      <c r="E26" s="537"/>
      <c r="F26" s="509"/>
      <c r="G26" s="510"/>
      <c r="H26" s="511"/>
      <c r="I26" s="502"/>
      <c r="L26" s="515" t="s">
        <v>170</v>
      </c>
      <c r="M26" s="515" t="s">
        <v>171</v>
      </c>
      <c r="N26" s="515" t="s">
        <v>172</v>
      </c>
      <c r="O26" s="515" t="s">
        <v>173</v>
      </c>
      <c r="P26" s="515" t="s">
        <v>174</v>
      </c>
      <c r="Q26" s="541" t="s">
        <v>175</v>
      </c>
      <c r="R26" s="546" t="s">
        <v>176</v>
      </c>
      <c r="S26" s="547" t="s">
        <v>177</v>
      </c>
    </row>
    <row r="27" spans="1:23" ht="14.45" customHeight="1">
      <c r="A27" s="503">
        <f t="shared" si="0"/>
        <v>8</v>
      </c>
      <c r="B27" s="508" t="str">
        <f>IF('Student Data'!C12="","",'Student Data'!C12)</f>
        <v/>
      </c>
      <c r="C27" s="508" t="str">
        <f>IF('Student Data'!D12="","",'Student Data'!D12)</f>
        <v/>
      </c>
      <c r="D27" s="536" t="str">
        <f>IF('Student Data'!G12="","",'Student Data'!G12)</f>
        <v/>
      </c>
      <c r="E27" s="537"/>
      <c r="F27" s="509"/>
      <c r="G27" s="510"/>
      <c r="H27" s="511"/>
      <c r="I27" s="502"/>
      <c r="L27" s="572">
        <f>Attendance!BO41</f>
        <v>0</v>
      </c>
      <c r="M27" s="572">
        <f>Attendance!BP41</f>
        <v>0</v>
      </c>
      <c r="N27" s="572">
        <f>Attendance!BQ41</f>
        <v>0</v>
      </c>
      <c r="O27" s="572">
        <f>Reporting!M3</f>
        <v>1</v>
      </c>
      <c r="P27" s="572">
        <f>Reporting!O3</f>
        <v>0</v>
      </c>
      <c r="Q27" s="572">
        <f>Reporting!O3</f>
        <v>0</v>
      </c>
      <c r="R27" s="572">
        <f>Attendance!K5</f>
        <v>1128</v>
      </c>
      <c r="S27" s="572">
        <f>Attendance!L5</f>
        <v>114</v>
      </c>
    </row>
    <row r="28" spans="1:23">
      <c r="A28" s="503">
        <f t="shared" si="0"/>
        <v>9</v>
      </c>
      <c r="B28" s="508" t="str">
        <f>IF('Student Data'!C13="","",'Student Data'!C13)</f>
        <v/>
      </c>
      <c r="C28" s="508" t="str">
        <f>IF('Student Data'!D13="","",'Student Data'!D13)</f>
        <v/>
      </c>
      <c r="D28" s="536" t="str">
        <f>IF('Student Data'!G13="","",'Student Data'!G13)</f>
        <v/>
      </c>
      <c r="E28" s="537"/>
      <c r="F28" s="509"/>
      <c r="G28" s="510"/>
      <c r="H28" s="511"/>
      <c r="I28" s="502"/>
      <c r="L28" s="766" t="s">
        <v>178</v>
      </c>
      <c r="M28" s="766"/>
      <c r="N28" s="766"/>
      <c r="O28" s="766"/>
      <c r="P28" s="766"/>
      <c r="Q28" s="766"/>
      <c r="R28" s="766"/>
      <c r="S28" s="766"/>
    </row>
    <row r="29" spans="1:23">
      <c r="A29" s="503">
        <f t="shared" si="0"/>
        <v>10</v>
      </c>
      <c r="B29" s="508" t="str">
        <f>IF('Student Data'!C14="","",'Student Data'!C14)</f>
        <v/>
      </c>
      <c r="C29" s="508" t="str">
        <f>IF('Student Data'!D14="","",'Student Data'!D14)</f>
        <v/>
      </c>
      <c r="D29" s="536" t="str">
        <f>IF('Student Data'!G14="","",'Student Data'!G14)</f>
        <v/>
      </c>
      <c r="E29" s="537"/>
      <c r="F29" s="509"/>
      <c r="G29" s="510"/>
      <c r="H29" s="511"/>
      <c r="I29" s="502"/>
      <c r="L29" s="751" t="s">
        <v>179</v>
      </c>
      <c r="M29" s="751"/>
      <c r="N29" s="751"/>
      <c r="O29" s="751"/>
      <c r="P29" s="751"/>
      <c r="Q29" s="751"/>
      <c r="R29" s="751"/>
      <c r="S29" s="751"/>
    </row>
    <row r="30" spans="1:23" ht="24">
      <c r="A30" s="503">
        <f t="shared" si="0"/>
        <v>11</v>
      </c>
      <c r="B30" s="508" t="str">
        <f>IF('Student Data'!C15="","",'Student Data'!C15)</f>
        <v/>
      </c>
      <c r="C30" s="508" t="str">
        <f>IF('Student Data'!D15="","",'Student Data'!D15)</f>
        <v/>
      </c>
      <c r="D30" s="536" t="str">
        <f>IF('Student Data'!G15="","",'Student Data'!G15)</f>
        <v/>
      </c>
      <c r="E30" s="537"/>
      <c r="F30" s="509"/>
      <c r="G30" s="510"/>
      <c r="H30" s="511"/>
      <c r="I30" s="502"/>
      <c r="L30" s="542" t="s">
        <v>180</v>
      </c>
      <c r="M30" s="542" t="s">
        <v>181</v>
      </c>
      <c r="N30" s="542" t="s">
        <v>182</v>
      </c>
      <c r="O30" s="542" t="s">
        <v>168</v>
      </c>
      <c r="P30" s="542" t="s">
        <v>183</v>
      </c>
      <c r="Q30" s="542" t="s">
        <v>184</v>
      </c>
      <c r="R30" s="542" t="s">
        <v>185</v>
      </c>
      <c r="S30" s="542"/>
    </row>
    <row r="31" spans="1:23">
      <c r="A31" s="503">
        <f t="shared" si="0"/>
        <v>12</v>
      </c>
      <c r="B31" s="508" t="str">
        <f>IF('Student Data'!C16="","",'Student Data'!C16)</f>
        <v/>
      </c>
      <c r="C31" s="508" t="str">
        <f>IF('Student Data'!D16="","",'Student Data'!D16)</f>
        <v/>
      </c>
      <c r="D31" s="536" t="str">
        <f>IF('Student Data'!G16="","",'Student Data'!G16)</f>
        <v/>
      </c>
      <c r="E31" s="537"/>
      <c r="F31" s="509"/>
      <c r="G31" s="510"/>
      <c r="H31" s="511"/>
      <c r="I31" s="502"/>
      <c r="L31" s="575" t="e">
        <f>Performance!AI45</f>
        <v>#DIV/0!</v>
      </c>
      <c r="M31" s="575" t="e">
        <f>'PCB Nesting QA'!P24</f>
        <v>#DIV/0!</v>
      </c>
      <c r="N31" s="576">
        <f>Performance!AJ45</f>
        <v>0</v>
      </c>
      <c r="O31" s="576">
        <f>Reporting!L3</f>
        <v>0</v>
      </c>
      <c r="P31" s="577" t="e">
        <f>'PCB Nesting QA'!S24</f>
        <v>#REF!</v>
      </c>
      <c r="Q31" s="577">
        <f>'PCB Nesting QA'!T24</f>
        <v>0</v>
      </c>
      <c r="R31" s="577">
        <f>'PCB Nesting QA'!U24</f>
        <v>0</v>
      </c>
      <c r="S31" s="578"/>
    </row>
    <row r="32" spans="1:23">
      <c r="A32" s="503">
        <f t="shared" si="0"/>
        <v>13</v>
      </c>
      <c r="B32" s="508" t="str">
        <f>IF('Student Data'!C17="","",'Student Data'!C17)</f>
        <v/>
      </c>
      <c r="C32" s="508" t="str">
        <f>IF('Student Data'!D17="","",'Student Data'!D17)</f>
        <v/>
      </c>
      <c r="D32" s="536" t="str">
        <f>IF('Student Data'!G17="","",'Student Data'!G17)</f>
        <v/>
      </c>
      <c r="E32" s="537"/>
      <c r="F32" s="509"/>
      <c r="G32" s="510"/>
      <c r="H32" s="511"/>
      <c r="I32" s="502"/>
    </row>
    <row r="33" spans="1:19">
      <c r="A33" s="503">
        <f t="shared" si="0"/>
        <v>14</v>
      </c>
      <c r="B33" s="508" t="str">
        <f>IF('Student Data'!C18="","",'Student Data'!C18)</f>
        <v/>
      </c>
      <c r="C33" s="508" t="str">
        <f>IF('Student Data'!D18="","",'Student Data'!D18)</f>
        <v/>
      </c>
      <c r="D33" s="536" t="str">
        <f>IF('Student Data'!G18="","",'Student Data'!G18)</f>
        <v/>
      </c>
      <c r="E33" s="537"/>
      <c r="F33" s="509"/>
      <c r="G33" s="510"/>
      <c r="H33" s="511"/>
      <c r="I33" s="502"/>
    </row>
    <row r="34" spans="1:19">
      <c r="A34" s="503">
        <f t="shared" si="0"/>
        <v>15</v>
      </c>
      <c r="B34" s="508" t="str">
        <f>IF('Student Data'!C19="","",'Student Data'!C19)</f>
        <v/>
      </c>
      <c r="C34" s="508" t="str">
        <f>IF('Student Data'!D19="","",'Student Data'!D19)</f>
        <v/>
      </c>
      <c r="D34" s="536" t="str">
        <f>IF('Student Data'!G19="","",'Student Data'!G19)</f>
        <v/>
      </c>
      <c r="E34" s="537"/>
      <c r="F34" s="509"/>
      <c r="G34" s="510"/>
      <c r="H34" s="511"/>
      <c r="I34" s="502"/>
      <c r="L34" s="752" t="s">
        <v>186</v>
      </c>
      <c r="M34" s="753"/>
      <c r="N34" s="753"/>
      <c r="O34" s="753"/>
      <c r="P34" s="753"/>
      <c r="Q34" s="753"/>
      <c r="R34" s="753"/>
      <c r="S34" s="754"/>
    </row>
    <row r="35" spans="1:19">
      <c r="A35" s="503">
        <f t="shared" si="0"/>
        <v>16</v>
      </c>
      <c r="B35" s="508" t="str">
        <f>IF('Student Data'!C20="","",'Student Data'!C20)</f>
        <v/>
      </c>
      <c r="C35" s="508" t="str">
        <f>IF('Student Data'!D20="","",'Student Data'!D20)</f>
        <v/>
      </c>
      <c r="D35" s="536" t="str">
        <f>IF('Student Data'!G20="","",'Student Data'!G20)</f>
        <v/>
      </c>
      <c r="E35" s="537"/>
      <c r="F35" s="509"/>
      <c r="G35" s="510"/>
      <c r="H35" s="511"/>
      <c r="I35" s="502"/>
      <c r="L35" s="760" t="s">
        <v>187</v>
      </c>
      <c r="M35" s="761"/>
      <c r="N35" s="757"/>
      <c r="O35" s="757"/>
      <c r="P35" s="757"/>
      <c r="Q35" s="757"/>
      <c r="R35" s="757"/>
      <c r="S35" s="755"/>
    </row>
    <row r="36" spans="1:19">
      <c r="A36" s="503">
        <f t="shared" si="0"/>
        <v>17</v>
      </c>
      <c r="B36" s="508" t="str">
        <f>IF('Student Data'!C21="","",'Student Data'!C21)</f>
        <v/>
      </c>
      <c r="C36" s="508" t="str">
        <f>IF('Student Data'!D21="","",'Student Data'!D21)</f>
        <v/>
      </c>
      <c r="D36" s="536" t="str">
        <f>IF('Student Data'!G21="","",'Student Data'!G21)</f>
        <v/>
      </c>
      <c r="E36" s="537"/>
      <c r="F36" s="509"/>
      <c r="G36" s="510"/>
      <c r="H36" s="511"/>
      <c r="I36" s="502"/>
      <c r="L36" s="517"/>
      <c r="M36" s="543"/>
      <c r="N36" s="543"/>
      <c r="O36" s="758"/>
      <c r="P36" s="758"/>
      <c r="Q36" s="758"/>
      <c r="R36" s="758"/>
      <c r="S36" s="755"/>
    </row>
    <row r="37" spans="1:19">
      <c r="A37" s="503">
        <f t="shared" si="0"/>
        <v>18</v>
      </c>
      <c r="B37" s="508" t="str">
        <f>IF('Student Data'!C22="","",'Student Data'!C22)</f>
        <v/>
      </c>
      <c r="C37" s="508" t="str">
        <f>IF('Student Data'!D22="","",'Student Data'!D22)</f>
        <v/>
      </c>
      <c r="D37" s="536" t="str">
        <f>IF('Student Data'!G22="","",'Student Data'!G22)</f>
        <v/>
      </c>
      <c r="E37" s="537"/>
      <c r="F37" s="509"/>
      <c r="G37" s="510"/>
      <c r="H37" s="511"/>
      <c r="I37" s="502"/>
      <c r="L37" s="518"/>
      <c r="M37" s="762"/>
      <c r="N37" s="762"/>
      <c r="O37" s="758"/>
      <c r="P37" s="758"/>
      <c r="Q37" s="758"/>
      <c r="R37" s="758"/>
      <c r="S37" s="755"/>
    </row>
    <row r="38" spans="1:19">
      <c r="A38" s="503">
        <f t="shared" si="0"/>
        <v>19</v>
      </c>
      <c r="B38" s="508" t="str">
        <f>IF('Student Data'!C23="","",'Student Data'!C23)</f>
        <v/>
      </c>
      <c r="C38" s="508" t="str">
        <f>IF('Student Data'!D23="","",'Student Data'!D23)</f>
        <v/>
      </c>
      <c r="D38" s="536" t="str">
        <f>IF('Student Data'!G23="","",'Student Data'!G23)</f>
        <v/>
      </c>
      <c r="E38" s="537"/>
      <c r="F38" s="509"/>
      <c r="G38" s="510"/>
      <c r="H38" s="511"/>
      <c r="I38" s="502"/>
      <c r="L38" s="764" t="s">
        <v>188</v>
      </c>
      <c r="M38" s="765"/>
      <c r="N38" s="757"/>
      <c r="O38" s="757"/>
      <c r="P38" s="757"/>
      <c r="Q38" s="757"/>
      <c r="R38" s="757"/>
      <c r="S38" s="755"/>
    </row>
    <row r="39" spans="1:19">
      <c r="A39" s="503">
        <f t="shared" si="0"/>
        <v>20</v>
      </c>
      <c r="B39" s="508" t="str">
        <f>IF('Student Data'!C24="","",'Student Data'!C24)</f>
        <v/>
      </c>
      <c r="C39" s="508" t="str">
        <f>IF('Student Data'!D24="","",'Student Data'!D24)</f>
        <v/>
      </c>
      <c r="D39" s="536" t="str">
        <f>IF('Student Data'!G24="","",'Student Data'!G24)</f>
        <v/>
      </c>
      <c r="E39" s="537"/>
      <c r="F39" s="509"/>
      <c r="G39" s="510"/>
      <c r="H39" s="511"/>
      <c r="I39" s="502"/>
      <c r="L39" s="764" t="s">
        <v>189</v>
      </c>
      <c r="M39" s="765"/>
      <c r="N39" s="757"/>
      <c r="O39" s="757"/>
      <c r="P39" s="757"/>
      <c r="Q39" s="757"/>
      <c r="R39" s="757"/>
      <c r="S39" s="755"/>
    </row>
    <row r="40" spans="1:19">
      <c r="A40" s="503">
        <f t="shared" si="0"/>
        <v>21</v>
      </c>
      <c r="B40" s="508" t="str">
        <f>IF('Student Data'!C25="","",'Student Data'!C25)</f>
        <v/>
      </c>
      <c r="C40" s="508" t="str">
        <f>IF('Student Data'!D25="","",'Student Data'!D25)</f>
        <v/>
      </c>
      <c r="D40" s="536" t="str">
        <f>IF('Student Data'!G25="","",'Student Data'!G25)</f>
        <v/>
      </c>
      <c r="E40" s="537"/>
      <c r="F40" s="509"/>
      <c r="G40" s="510"/>
      <c r="H40" s="511"/>
      <c r="I40" s="502"/>
      <c r="L40" s="517"/>
      <c r="M40" s="543"/>
      <c r="N40" s="543"/>
      <c r="O40" s="758"/>
      <c r="P40" s="758"/>
      <c r="Q40" s="758"/>
      <c r="R40" s="758"/>
      <c r="S40" s="755"/>
    </row>
    <row r="41" spans="1:19">
      <c r="A41" s="503">
        <f t="shared" si="0"/>
        <v>22</v>
      </c>
      <c r="B41" s="508" t="str">
        <f>IF('Student Data'!C26="","",'Student Data'!C26)</f>
        <v/>
      </c>
      <c r="C41" s="508" t="str">
        <f>IF('Student Data'!D26="","",'Student Data'!D26)</f>
        <v/>
      </c>
      <c r="D41" s="536" t="str">
        <f>IF('Student Data'!G26="","",'Student Data'!G26)</f>
        <v/>
      </c>
      <c r="E41" s="537"/>
      <c r="F41" s="509"/>
      <c r="G41" s="510"/>
      <c r="H41" s="511"/>
      <c r="I41" s="502"/>
      <c r="L41" s="519"/>
      <c r="M41" s="545"/>
      <c r="N41" s="545"/>
      <c r="O41" s="758"/>
      <c r="P41" s="758"/>
      <c r="Q41" s="758"/>
      <c r="R41" s="758"/>
      <c r="S41" s="755"/>
    </row>
    <row r="42" spans="1:19" ht="15.75" customHeight="1">
      <c r="A42" s="503">
        <f t="shared" si="0"/>
        <v>23</v>
      </c>
      <c r="B42" s="508" t="str">
        <f>IF('Student Data'!C27="","",'Student Data'!C27)</f>
        <v/>
      </c>
      <c r="C42" s="508" t="str">
        <f>IF('Student Data'!D27="","",'Student Data'!D27)</f>
        <v/>
      </c>
      <c r="D42" s="536" t="str">
        <f>IF('Student Data'!G27="","",'Student Data'!G27)</f>
        <v/>
      </c>
      <c r="E42" s="537"/>
      <c r="F42" s="509"/>
      <c r="G42" s="510"/>
      <c r="H42" s="511"/>
      <c r="I42" s="502"/>
      <c r="L42" s="764" t="s">
        <v>190</v>
      </c>
      <c r="M42" s="765"/>
      <c r="N42" s="757"/>
      <c r="O42" s="757"/>
      <c r="P42" s="757"/>
      <c r="Q42" s="757"/>
      <c r="R42" s="757"/>
      <c r="S42" s="755"/>
    </row>
    <row r="43" spans="1:19" ht="15.75" customHeight="1">
      <c r="A43" s="503">
        <f t="shared" si="0"/>
        <v>24</v>
      </c>
      <c r="B43" s="508" t="str">
        <f>IF('Student Data'!C28="","",'Student Data'!C28)</f>
        <v/>
      </c>
      <c r="C43" s="508" t="str">
        <f>IF('Student Data'!D28="","",'Student Data'!D28)</f>
        <v/>
      </c>
      <c r="D43" s="536" t="str">
        <f>IF('Student Data'!G28="","",'Student Data'!G28)</f>
        <v/>
      </c>
      <c r="E43" s="537"/>
      <c r="F43" s="509"/>
      <c r="G43" s="510"/>
      <c r="H43" s="511"/>
      <c r="I43" s="502"/>
      <c r="L43" s="764" t="s">
        <v>191</v>
      </c>
      <c r="M43" s="765"/>
      <c r="S43" s="755"/>
    </row>
    <row r="44" spans="1:19">
      <c r="A44" s="503">
        <f t="shared" si="0"/>
        <v>25</v>
      </c>
      <c r="B44" s="508" t="str">
        <f>IF('Student Data'!C29="","",'Student Data'!C29)</f>
        <v/>
      </c>
      <c r="C44" s="508" t="str">
        <f>IF('Student Data'!D29="","",'Student Data'!D29)</f>
        <v/>
      </c>
      <c r="D44" s="536" t="str">
        <f>IF('Student Data'!G29="","",'Student Data'!G29)</f>
        <v/>
      </c>
      <c r="E44" s="537"/>
      <c r="F44" s="509"/>
      <c r="G44" s="510"/>
      <c r="H44" s="511"/>
      <c r="I44" s="502"/>
      <c r="L44" s="518"/>
      <c r="M44" s="763" t="s">
        <v>192</v>
      </c>
      <c r="N44" s="763"/>
      <c r="O44" s="758"/>
      <c r="P44" s="758"/>
      <c r="Q44" s="758"/>
      <c r="R44" s="758"/>
      <c r="S44" s="756"/>
    </row>
    <row r="45" spans="1:19">
      <c r="A45" s="503">
        <f t="shared" si="0"/>
        <v>26</v>
      </c>
      <c r="B45" s="508" t="str">
        <f>IF('Student Data'!C30="","",'Student Data'!C30)</f>
        <v/>
      </c>
      <c r="C45" s="508" t="str">
        <f>IF('Student Data'!D30="","",'Student Data'!D30)</f>
        <v/>
      </c>
      <c r="D45" s="536" t="str">
        <f>IF('Student Data'!G30="","",'Student Data'!G30)</f>
        <v/>
      </c>
      <c r="E45" s="537"/>
      <c r="F45" s="509"/>
      <c r="G45" s="510"/>
      <c r="H45" s="511"/>
      <c r="I45" s="502"/>
      <c r="L45" s="544" t="s">
        <v>193</v>
      </c>
      <c r="M45" s="801"/>
      <c r="N45" s="801"/>
      <c r="O45" s="801"/>
      <c r="P45" s="801"/>
      <c r="Q45" s="801"/>
      <c r="R45" s="801"/>
      <c r="S45" s="755"/>
    </row>
    <row r="46" spans="1:19">
      <c r="A46" s="503">
        <f t="shared" si="0"/>
        <v>27</v>
      </c>
      <c r="B46" s="508" t="str">
        <f>IF('Student Data'!C31="","",'Student Data'!C31)</f>
        <v/>
      </c>
      <c r="C46" s="508" t="str">
        <f>IF('Student Data'!D31="","",'Student Data'!D31)</f>
        <v/>
      </c>
      <c r="D46" s="536" t="str">
        <f>IF('Student Data'!G31="","",'Student Data'!G31)</f>
        <v/>
      </c>
      <c r="E46" s="537"/>
      <c r="F46" s="509"/>
      <c r="G46" s="510"/>
      <c r="H46" s="511"/>
      <c r="I46" s="502"/>
      <c r="L46" s="520"/>
      <c r="M46" s="521"/>
      <c r="N46" s="521"/>
      <c r="O46" s="759"/>
      <c r="P46" s="759"/>
      <c r="Q46" s="759"/>
      <c r="R46" s="759"/>
      <c r="S46" s="756"/>
    </row>
    <row r="47" spans="1:19">
      <c r="A47" s="503">
        <f t="shared" si="0"/>
        <v>28</v>
      </c>
      <c r="B47" s="508" t="str">
        <f>IF('Student Data'!C32="","",'Student Data'!C32)</f>
        <v/>
      </c>
      <c r="C47" s="508" t="str">
        <f>IF('Student Data'!D32="","",'Student Data'!D32)</f>
        <v/>
      </c>
      <c r="D47" s="536" t="str">
        <f>IF('Student Data'!G32="","",'Student Data'!G32)</f>
        <v/>
      </c>
      <c r="E47" s="537"/>
      <c r="F47" s="509"/>
      <c r="G47" s="510"/>
      <c r="H47" s="511"/>
      <c r="I47" s="502"/>
    </row>
    <row r="48" spans="1:19">
      <c r="A48" s="503">
        <f t="shared" si="0"/>
        <v>29</v>
      </c>
      <c r="B48" s="508" t="str">
        <f>IF('Student Data'!C33="","",'Student Data'!C33)</f>
        <v/>
      </c>
      <c r="C48" s="508" t="str">
        <f>IF('Student Data'!D33="","",'Student Data'!D33)</f>
        <v/>
      </c>
      <c r="D48" s="536" t="str">
        <f>IF('Student Data'!G33="","",'Student Data'!G33)</f>
        <v/>
      </c>
      <c r="E48" s="537"/>
      <c r="F48" s="509"/>
      <c r="G48" s="510"/>
      <c r="H48" s="511"/>
      <c r="I48" s="502"/>
    </row>
    <row r="49" spans="1:9">
      <c r="A49" s="503">
        <f t="shared" si="0"/>
        <v>30</v>
      </c>
      <c r="B49" s="508" t="str">
        <f>IF('Student Data'!C34="","",'Student Data'!C34)</f>
        <v/>
      </c>
      <c r="C49" s="508" t="str">
        <f>IF('Student Data'!D34="","",'Student Data'!D34)</f>
        <v/>
      </c>
      <c r="D49" s="536" t="str">
        <f>IF('Student Data'!G34="","",'Student Data'!G34)</f>
        <v/>
      </c>
      <c r="E49" s="537"/>
      <c r="F49" s="509"/>
      <c r="G49" s="510"/>
      <c r="H49" s="511"/>
      <c r="I49" s="502"/>
    </row>
    <row r="50" spans="1:9">
      <c r="A50" s="503">
        <f t="shared" si="0"/>
        <v>31</v>
      </c>
      <c r="B50" s="508" t="str">
        <f>IF('Student Data'!C35="","",'Student Data'!C35)</f>
        <v/>
      </c>
      <c r="C50" s="508" t="str">
        <f>IF('Student Data'!D35="","",'Student Data'!D35)</f>
        <v/>
      </c>
      <c r="D50" s="536" t="str">
        <f>IF('Student Data'!G35="","",'Student Data'!G35)</f>
        <v/>
      </c>
      <c r="E50" s="537"/>
      <c r="F50" s="509"/>
      <c r="G50" s="510"/>
      <c r="H50" s="511"/>
      <c r="I50" s="502"/>
    </row>
    <row r="51" spans="1:9">
      <c r="A51" s="503">
        <f t="shared" si="0"/>
        <v>32</v>
      </c>
      <c r="B51" s="508" t="str">
        <f>IF('Student Data'!C36="","",'Student Data'!C36)</f>
        <v/>
      </c>
      <c r="C51" s="508" t="str">
        <f>IF('Student Data'!D36="","",'Student Data'!D36)</f>
        <v/>
      </c>
      <c r="D51" s="536" t="str">
        <f>IF('Student Data'!G36="","",'Student Data'!G36)</f>
        <v/>
      </c>
      <c r="E51" s="537"/>
      <c r="F51" s="509"/>
      <c r="G51" s="510"/>
      <c r="H51" s="511"/>
      <c r="I51" s="502"/>
    </row>
    <row r="52" spans="1:9">
      <c r="A52" s="503">
        <f t="shared" si="0"/>
        <v>33</v>
      </c>
      <c r="B52" s="508" t="str">
        <f>IF('Student Data'!C37="","",'Student Data'!C37)</f>
        <v/>
      </c>
      <c r="C52" s="508" t="str">
        <f>IF('Student Data'!D37="","",'Student Data'!D37)</f>
        <v/>
      </c>
      <c r="D52" s="536" t="str">
        <f>IF('Student Data'!G37="","",'Student Data'!G37)</f>
        <v/>
      </c>
      <c r="E52" s="537"/>
      <c r="F52" s="509"/>
      <c r="G52" s="510"/>
      <c r="H52" s="511"/>
      <c r="I52" s="502"/>
    </row>
    <row r="53" spans="1:9">
      <c r="A53" s="503">
        <f t="shared" si="0"/>
        <v>34</v>
      </c>
      <c r="B53" s="508" t="str">
        <f>IF('Student Data'!C38="","",'Student Data'!C38)</f>
        <v/>
      </c>
      <c r="C53" s="508" t="str">
        <f>IF('Student Data'!D38="","",'Student Data'!D38)</f>
        <v/>
      </c>
      <c r="D53" s="536" t="str">
        <f>IF('Student Data'!G38="","",'Student Data'!G38)</f>
        <v/>
      </c>
      <c r="E53" s="537"/>
      <c r="F53" s="509"/>
      <c r="G53" s="510"/>
      <c r="H53" s="511"/>
      <c r="I53" s="502"/>
    </row>
    <row r="54" spans="1:9">
      <c r="A54" s="503">
        <f t="shared" si="0"/>
        <v>35</v>
      </c>
      <c r="B54" s="508" t="str">
        <f>IF('Student Data'!C39="","",'Student Data'!C39)</f>
        <v/>
      </c>
      <c r="C54" s="508" t="str">
        <f>IF('Student Data'!D39="","",'Student Data'!D39)</f>
        <v/>
      </c>
      <c r="D54" s="802" t="str">
        <f>IF('Student Data'!G39="","",'Student Data'!G39)</f>
        <v/>
      </c>
      <c r="E54" s="803"/>
      <c r="F54" s="509"/>
      <c r="G54" s="510"/>
      <c r="H54" s="511"/>
      <c r="I54" s="502"/>
    </row>
    <row r="55" spans="1:9">
      <c r="A55" s="503">
        <f t="shared" si="0"/>
        <v>36</v>
      </c>
      <c r="B55" s="508" t="str">
        <f>IF('Student Data'!C40="","",'Student Data'!C40)</f>
        <v/>
      </c>
      <c r="C55" s="508" t="str">
        <f>IF('Student Data'!D40="","",'Student Data'!D40)</f>
        <v/>
      </c>
      <c r="D55" s="802" t="str">
        <f>IF('Student Data'!G40="","",'Student Data'!G40)</f>
        <v/>
      </c>
      <c r="E55" s="803"/>
      <c r="F55" s="509"/>
      <c r="G55" s="510"/>
      <c r="H55" s="511"/>
      <c r="I55" s="502"/>
    </row>
    <row r="56" spans="1:9">
      <c r="A56" s="503">
        <f t="shared" si="0"/>
        <v>37</v>
      </c>
      <c r="B56" s="508" t="str">
        <f>IF('Student Data'!C41="","",'Student Data'!C41)</f>
        <v/>
      </c>
      <c r="C56" s="508" t="str">
        <f>IF('Student Data'!D41="","",'Student Data'!D41)</f>
        <v/>
      </c>
      <c r="D56" s="802" t="str">
        <f>IF('Student Data'!G41="","",'Student Data'!G41)</f>
        <v/>
      </c>
      <c r="E56" s="803"/>
      <c r="F56" s="509"/>
      <c r="G56" s="510"/>
      <c r="H56" s="511"/>
      <c r="I56" s="502"/>
    </row>
    <row r="57" spans="1:9">
      <c r="A57" s="503">
        <f t="shared" si="0"/>
        <v>38</v>
      </c>
      <c r="B57" s="508" t="str">
        <f>IF('Student Data'!C42="","",'Student Data'!C42)</f>
        <v/>
      </c>
      <c r="C57" s="508" t="str">
        <f>IF('Student Data'!D42="","",'Student Data'!D42)</f>
        <v/>
      </c>
      <c r="D57" s="802" t="str">
        <f>IF('Student Data'!G42="","",'Student Data'!G42)</f>
        <v/>
      </c>
      <c r="E57" s="803"/>
      <c r="F57" s="509"/>
      <c r="G57" s="510"/>
      <c r="H57" s="511"/>
      <c r="I57" s="502"/>
    </row>
    <row r="58" spans="1:9">
      <c r="A58" s="503">
        <f t="shared" si="0"/>
        <v>39</v>
      </c>
      <c r="B58" s="508" t="str">
        <f>IF('Student Data'!C43="","",'Student Data'!C43)</f>
        <v/>
      </c>
      <c r="C58" s="508" t="str">
        <f>IF('Student Data'!D43="","",'Student Data'!D43)</f>
        <v/>
      </c>
      <c r="D58" s="802" t="str">
        <f>IF('Student Data'!G43="","",'Student Data'!G43)</f>
        <v/>
      </c>
      <c r="E58" s="803"/>
      <c r="F58" s="509"/>
      <c r="G58" s="510"/>
      <c r="H58" s="511"/>
      <c r="I58" s="502"/>
    </row>
    <row r="59" spans="1:9">
      <c r="A59" s="503">
        <f t="shared" si="0"/>
        <v>40</v>
      </c>
      <c r="B59" s="508" t="str">
        <f>IF('Student Data'!C44="","",'Student Data'!C44)</f>
        <v/>
      </c>
      <c r="C59" s="508" t="str">
        <f>IF('Student Data'!D44="","",'Student Data'!D44)</f>
        <v/>
      </c>
      <c r="D59" s="802" t="str">
        <f>IF('Student Data'!G44="","",'Student Data'!G44)</f>
        <v/>
      </c>
      <c r="E59" s="803"/>
      <c r="F59" s="509"/>
      <c r="G59" s="510"/>
      <c r="H59" s="511"/>
      <c r="I59" s="502"/>
    </row>
    <row r="60" spans="1:9">
      <c r="A60" s="505"/>
      <c r="B60" s="500"/>
      <c r="C60" s="500"/>
      <c r="D60" s="500"/>
      <c r="E60" s="500"/>
      <c r="F60" s="500"/>
      <c r="G60" s="500"/>
      <c r="H60" s="500"/>
      <c r="I60" s="502"/>
    </row>
    <row r="61" spans="1:9">
      <c r="A61" s="506"/>
      <c r="B61" s="507"/>
      <c r="C61" s="507"/>
      <c r="D61" s="507"/>
      <c r="E61" s="507"/>
      <c r="F61" s="507"/>
      <c r="G61" s="507"/>
      <c r="H61" s="507"/>
      <c r="I61" s="504"/>
    </row>
    <row r="75" ht="18" customHeight="1"/>
    <row r="118" spans="5:5">
      <c r="E118" s="461"/>
    </row>
    <row r="133" spans="1:1">
      <c r="A133" s="461"/>
    </row>
    <row r="134" spans="1:1">
      <c r="A134" s="461"/>
    </row>
    <row r="135" spans="1:1">
      <c r="A135" s="461"/>
    </row>
    <row r="136" spans="1:1">
      <c r="A136" s="461"/>
    </row>
    <row r="137" spans="1:1">
      <c r="A137" s="461"/>
    </row>
    <row r="138" spans="1:1">
      <c r="A138" s="461"/>
    </row>
    <row r="139" spans="1:1">
      <c r="A139" s="461"/>
    </row>
    <row r="140" spans="1:1">
      <c r="A140" s="461"/>
    </row>
    <row r="141" spans="1:1">
      <c r="A141" s="461"/>
    </row>
    <row r="142" spans="1:1">
      <c r="A142" s="461"/>
    </row>
    <row r="143" spans="1:1">
      <c r="A143" s="461"/>
    </row>
    <row r="144" spans="1:1">
      <c r="A144" s="461"/>
    </row>
    <row r="145" spans="1:1">
      <c r="A145" s="461"/>
    </row>
    <row r="146" spans="1:1">
      <c r="A146" s="461"/>
    </row>
    <row r="147" spans="1:1">
      <c r="A147" s="461"/>
    </row>
    <row r="148" spans="1:1">
      <c r="A148" s="461"/>
    </row>
    <row r="149" spans="1:1">
      <c r="A149" s="461"/>
    </row>
    <row r="150" spans="1:1">
      <c r="A150" s="461"/>
    </row>
    <row r="151" spans="1:1">
      <c r="A151" s="461"/>
    </row>
    <row r="152" spans="1:1">
      <c r="A152" s="461"/>
    </row>
    <row r="153" spans="1:1">
      <c r="A153" s="461"/>
    </row>
  </sheetData>
  <sheetProtection formatCells="0" selectLockedCells="1"/>
  <mergeCells count="85">
    <mergeCell ref="E8:G8"/>
    <mergeCell ref="H10:I10"/>
    <mergeCell ref="H9:I9"/>
    <mergeCell ref="J8:K8"/>
    <mergeCell ref="L20:S20"/>
    <mergeCell ref="H12:I12"/>
    <mergeCell ref="A17:I17"/>
    <mergeCell ref="A18:I18"/>
    <mergeCell ref="A16:I16"/>
    <mergeCell ref="A12:B12"/>
    <mergeCell ref="E10:G10"/>
    <mergeCell ref="C10:D10"/>
    <mergeCell ref="E9:G9"/>
    <mergeCell ref="C9:D9"/>
    <mergeCell ref="P17:S17"/>
    <mergeCell ref="L16:S16"/>
    <mergeCell ref="D57:E57"/>
    <mergeCell ref="D58:E58"/>
    <mergeCell ref="D59:E59"/>
    <mergeCell ref="D54:E54"/>
    <mergeCell ref="D55:E55"/>
    <mergeCell ref="L39:M39"/>
    <mergeCell ref="L42:M42"/>
    <mergeCell ref="L43:M43"/>
    <mergeCell ref="M45:R45"/>
    <mergeCell ref="D56:E56"/>
    <mergeCell ref="L17:O17"/>
    <mergeCell ref="H4:I4"/>
    <mergeCell ref="H5:I5"/>
    <mergeCell ref="L15:S15"/>
    <mergeCell ref="H11:I11"/>
    <mergeCell ref="M6:P6"/>
    <mergeCell ref="M4:P4"/>
    <mergeCell ref="M7:R7"/>
    <mergeCell ref="H8:I8"/>
    <mergeCell ref="H7:I7"/>
    <mergeCell ref="H6:I6"/>
    <mergeCell ref="J12:K12"/>
    <mergeCell ref="J6:K6"/>
    <mergeCell ref="J5:K5"/>
    <mergeCell ref="M3:R3"/>
    <mergeCell ref="Q4:R4"/>
    <mergeCell ref="M5:P5"/>
    <mergeCell ref="Q5:R5"/>
    <mergeCell ref="C8:D8"/>
    <mergeCell ref="A3:G3"/>
    <mergeCell ref="J7:K7"/>
    <mergeCell ref="C6:D6"/>
    <mergeCell ref="E6:G6"/>
    <mergeCell ref="C7:D7"/>
    <mergeCell ref="E7:G7"/>
    <mergeCell ref="J4:K4"/>
    <mergeCell ref="C4:D4"/>
    <mergeCell ref="E4:G4"/>
    <mergeCell ref="C5:D5"/>
    <mergeCell ref="E5:G5"/>
    <mergeCell ref="L38:M38"/>
    <mergeCell ref="L25:S25"/>
    <mergeCell ref="N21:S21"/>
    <mergeCell ref="L28:S28"/>
    <mergeCell ref="L29:S29"/>
    <mergeCell ref="L21:M21"/>
    <mergeCell ref="R22:S22"/>
    <mergeCell ref="R23:S23"/>
    <mergeCell ref="P22:Q22"/>
    <mergeCell ref="P23:Q23"/>
    <mergeCell ref="L24:S24"/>
    <mergeCell ref="N23:O23"/>
    <mergeCell ref="N22:O22"/>
    <mergeCell ref="T17:W17"/>
    <mergeCell ref="L34:S34"/>
    <mergeCell ref="S35:S46"/>
    <mergeCell ref="N38:R38"/>
    <mergeCell ref="O37:R37"/>
    <mergeCell ref="O36:R36"/>
    <mergeCell ref="O40:R40"/>
    <mergeCell ref="O41:R41"/>
    <mergeCell ref="O46:R46"/>
    <mergeCell ref="O44:R44"/>
    <mergeCell ref="L35:M35"/>
    <mergeCell ref="N35:R35"/>
    <mergeCell ref="N39:R39"/>
    <mergeCell ref="N42:R42"/>
    <mergeCell ref="M37:N37"/>
    <mergeCell ref="M44:N44"/>
  </mergeCells>
  <conditionalFormatting sqref="F20:H52 F57:H59 B20:D52 B57:D59">
    <cfRule type="expression" dxfId="2142" priority="13">
      <formula>IF($S32="Moved-Joining Alternate Class/Program",TRUE)</formula>
    </cfRule>
    <cfRule type="expression" dxfId="2141" priority="14">
      <formula>IF($S32="Transferred out of program",TRUE)</formula>
    </cfRule>
    <cfRule type="expression" dxfId="2140" priority="15">
      <formula>IF($S32="Remained at Previous Level",TRUE)</formula>
    </cfRule>
    <cfRule type="expression" dxfId="2139" priority="16">
      <formula>IF($S32="Terminated-Nesting",TRUE)</formula>
    </cfRule>
    <cfRule type="expression" dxfId="2138" priority="17">
      <formula>IF($S32="Resigned-Nesting",TRUE)</formula>
    </cfRule>
    <cfRule type="expression" dxfId="2137" priority="18">
      <formula>IF($S32="Terminated-Training ",TRUE)</formula>
    </cfRule>
    <cfRule type="expression" dxfId="2136" priority="19">
      <formula>IF($S32="Resigned-Training",TRUE)</formula>
    </cfRule>
    <cfRule type="expression" dxfId="2135" priority="20">
      <formula>IF($S32="Did not Start",TRUE)</formula>
    </cfRule>
  </conditionalFormatting>
  <conditionalFormatting sqref="G20:G59">
    <cfRule type="containsText" dxfId="2134" priority="21" operator="containsText" text="Yes">
      <formula>NOT(ISERROR(SEARCH("Yes",G20)))</formula>
    </cfRule>
    <cfRule type="containsText" dxfId="2133" priority="23" operator="containsText" text="No">
      <formula>NOT(ISERROR(SEARCH("No",G20)))</formula>
    </cfRule>
  </conditionalFormatting>
  <conditionalFormatting sqref="B20:D59">
    <cfRule type="beginsWith" dxfId="2132" priority="22" operator="beginsWith" text="0">
      <formula>LEFT(B20,LEN("0"))="0"</formula>
    </cfRule>
  </conditionalFormatting>
  <conditionalFormatting sqref="H20:H59">
    <cfRule type="containsText" dxfId="2131" priority="10" operator="containsText" text="Yes">
      <formula>NOT(ISERROR(SEARCH("Yes",H20)))</formula>
    </cfRule>
    <cfRule type="containsText" dxfId="2130" priority="11" operator="containsText" text="No">
      <formula>NOT(ISERROR(SEARCH("No",H20)))</formula>
    </cfRule>
  </conditionalFormatting>
  <conditionalFormatting sqref="F20:F59">
    <cfRule type="notContainsBlanks" dxfId="2129" priority="12">
      <formula>LEN(TRIM(F20))&gt;0</formula>
    </cfRule>
  </conditionalFormatting>
  <conditionalFormatting sqref="F53:H56 B53:D56">
    <cfRule type="expression" dxfId="2128" priority="1944">
      <formula>IF(#REF!="Moved-Joining Alternate Class/Program",TRUE)</formula>
    </cfRule>
    <cfRule type="expression" dxfId="2127" priority="1945">
      <formula>IF(#REF!="Transferred out of program",TRUE)</formula>
    </cfRule>
    <cfRule type="expression" dxfId="2126" priority="1946">
      <formula>IF(#REF!="Remained at Previous Level",TRUE)</formula>
    </cfRule>
    <cfRule type="expression" dxfId="2125" priority="1947">
      <formula>IF(#REF!="Terminated-Nesting",TRUE)</formula>
    </cfRule>
    <cfRule type="expression" dxfId="2124" priority="1948">
      <formula>IF(#REF!="Resigned-Nesting",TRUE)</formula>
    </cfRule>
    <cfRule type="expression" dxfId="2123" priority="1949">
      <formula>IF(#REF!="Terminated-Training ",TRUE)</formula>
    </cfRule>
    <cfRule type="expression" dxfId="2122" priority="1950">
      <formula>IF(#REF!="Resigned-Training",TRUE)</formula>
    </cfRule>
    <cfRule type="expression" dxfId="2121" priority="1951">
      <formula>IF(#REF!="Did not Start",TRUE)</formula>
    </cfRule>
  </conditionalFormatting>
  <dataValidations count="1">
    <dataValidation type="list" allowBlank="1" showInputMessage="1" showErrorMessage="1" sqref="H20:H59 M36:N36 N38" xr:uid="{00000000-0002-0000-0300-000001000000}">
      <formula1>#REF!</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AF186"/>
  <sheetViews>
    <sheetView zoomScale="85" zoomScaleNormal="85" workbookViewId="0">
      <pane xSplit="4" topLeftCell="E1" activePane="topRight" state="frozen"/>
      <selection pane="topRight" activeCell="G5" sqref="G5"/>
      <selection activeCell="H9" sqref="H9"/>
    </sheetView>
  </sheetViews>
  <sheetFormatPr defaultColWidth="9.140625" defaultRowHeight="15" customHeight="1"/>
  <cols>
    <col min="1" max="1" width="3" style="1" bestFit="1" customWidth="1"/>
    <col min="2" max="2" width="9.28515625" style="1" customWidth="1"/>
    <col min="3" max="3" width="23.140625" style="1" customWidth="1"/>
    <col min="4" max="4" width="19.5703125" style="1" bestFit="1" customWidth="1"/>
    <col min="5" max="5" width="19.5703125" style="1" customWidth="1"/>
    <col min="6" max="6" width="6.7109375" style="1" customWidth="1"/>
    <col min="7" max="7" width="37.28515625" style="1" bestFit="1" customWidth="1"/>
    <col min="8" max="8" width="25.28515625" style="1" customWidth="1"/>
    <col min="9" max="9" width="25.28515625" style="593" customWidth="1"/>
    <col min="10" max="10" width="25.28515625" style="1" customWidth="1"/>
    <col min="11" max="11" width="22.42578125" style="1" customWidth="1"/>
    <col min="12" max="12" width="13.140625" style="1" customWidth="1"/>
    <col min="13" max="13" width="33.28515625" style="1" bestFit="1" customWidth="1"/>
    <col min="14" max="14" width="12.5703125" style="1" customWidth="1"/>
    <col min="15" max="15" width="9.5703125" style="1" customWidth="1"/>
    <col min="16" max="16" width="15" style="1" bestFit="1" customWidth="1"/>
    <col min="17" max="17" width="48.85546875" style="1" bestFit="1" customWidth="1"/>
    <col min="18" max="18" width="12.140625" style="1" customWidth="1"/>
    <col min="19" max="19" width="23.85546875" style="1" customWidth="1"/>
    <col min="20" max="20" width="49.5703125" style="1" customWidth="1"/>
    <col min="21" max="24" width="10.7109375" style="1" customWidth="1"/>
    <col min="25" max="25" width="37.28515625" style="1" bestFit="1" customWidth="1"/>
    <col min="26" max="26" width="18.140625" style="1" customWidth="1"/>
    <col min="27" max="27" width="9.140625" style="1"/>
    <col min="28" max="28" width="18.5703125" style="1" customWidth="1"/>
    <col min="29" max="29" width="10.85546875" style="1" bestFit="1" customWidth="1"/>
    <col min="30" max="16384" width="9.140625" style="1"/>
  </cols>
  <sheetData>
    <row r="1" spans="1:32" ht="14.45">
      <c r="B1" s="288" t="s">
        <v>90</v>
      </c>
      <c r="E1" s="181"/>
      <c r="I1" s="1"/>
    </row>
    <row r="2" spans="1:32" ht="51" customHeight="1">
      <c r="H2" s="821" t="s">
        <v>194</v>
      </c>
      <c r="I2" s="821"/>
      <c r="J2" s="821"/>
    </row>
    <row r="3" spans="1:32" ht="15" customHeight="1">
      <c r="H3" s="822"/>
      <c r="I3" s="822"/>
      <c r="J3" s="822"/>
      <c r="Z3" s="7"/>
    </row>
    <row r="4" spans="1:32" s="28" customFormat="1" ht="33" customHeight="1">
      <c r="B4" s="586" t="s">
        <v>195</v>
      </c>
      <c r="C4" s="586" t="s">
        <v>196</v>
      </c>
      <c r="D4" s="586" t="s">
        <v>197</v>
      </c>
      <c r="E4" s="586" t="s">
        <v>198</v>
      </c>
      <c r="F4" s="586" t="s">
        <v>199</v>
      </c>
      <c r="G4" s="586" t="s">
        <v>200</v>
      </c>
      <c r="H4" s="587" t="s">
        <v>201</v>
      </c>
      <c r="I4" s="587" t="s">
        <v>202</v>
      </c>
      <c r="J4" s="587" t="s">
        <v>203</v>
      </c>
      <c r="K4" s="586" t="s">
        <v>204</v>
      </c>
      <c r="L4" s="586" t="s">
        <v>205</v>
      </c>
      <c r="M4" s="587" t="s">
        <v>206</v>
      </c>
      <c r="N4" s="587" t="s">
        <v>207</v>
      </c>
      <c r="O4" s="588" t="s">
        <v>208</v>
      </c>
      <c r="P4" s="587" t="s">
        <v>209</v>
      </c>
      <c r="Q4" s="589" t="s">
        <v>210</v>
      </c>
      <c r="R4" s="589" t="s">
        <v>211</v>
      </c>
      <c r="S4" s="588" t="s">
        <v>212</v>
      </c>
      <c r="T4" s="588" t="s">
        <v>213</v>
      </c>
      <c r="U4" s="590" t="s">
        <v>214</v>
      </c>
      <c r="V4" s="590" t="s">
        <v>215</v>
      </c>
      <c r="W4" s="590" t="s">
        <v>216</v>
      </c>
      <c r="X4" s="590" t="s">
        <v>217</v>
      </c>
      <c r="Y4" s="44" t="s">
        <v>218</v>
      </c>
      <c r="Z4" s="29" t="s">
        <v>219</v>
      </c>
      <c r="AB4" s="30" t="s">
        <v>220</v>
      </c>
      <c r="AF4" s="1"/>
    </row>
    <row r="5" spans="1:32">
      <c r="A5" s="1">
        <v>1</v>
      </c>
      <c r="B5" s="197"/>
      <c r="C5" s="396" t="s">
        <v>221</v>
      </c>
      <c r="D5" s="396" t="s">
        <v>222</v>
      </c>
      <c r="E5" s="197"/>
      <c r="F5" s="197"/>
      <c r="G5" s="198" t="s">
        <v>223</v>
      </c>
      <c r="H5" s="591" t="s">
        <v>224</v>
      </c>
      <c r="I5" s="592" t="s">
        <v>225</v>
      </c>
      <c r="J5" s="591" t="s">
        <v>226</v>
      </c>
      <c r="K5" s="197"/>
      <c r="L5" s="197"/>
      <c r="M5" s="197"/>
      <c r="N5" s="386"/>
      <c r="O5" s="388"/>
      <c r="P5" s="387"/>
      <c r="Q5" s="202"/>
      <c r="R5" s="392"/>
      <c r="S5" s="394"/>
      <c r="T5" s="393"/>
      <c r="U5" s="387"/>
      <c r="V5" s="31"/>
      <c r="W5" s="31"/>
      <c r="X5" s="31"/>
      <c r="Y5" s="31"/>
      <c r="Z5" s="8" t="s">
        <v>227</v>
      </c>
      <c r="AB5" s="7" t="s">
        <v>228</v>
      </c>
    </row>
    <row r="6" spans="1:32">
      <c r="B6" s="197"/>
      <c r="C6" s="396" t="s">
        <v>229</v>
      </c>
      <c r="D6" s="396" t="s">
        <v>230</v>
      </c>
      <c r="E6" s="197"/>
      <c r="F6" s="197"/>
      <c r="G6" s="198" t="s">
        <v>231</v>
      </c>
      <c r="H6" s="591"/>
      <c r="I6" s="592"/>
      <c r="J6" s="591"/>
      <c r="K6" s="197"/>
      <c r="L6" s="197"/>
      <c r="M6" s="197"/>
      <c r="N6" s="386"/>
      <c r="O6" s="388"/>
      <c r="P6" s="387"/>
      <c r="Q6" s="202"/>
      <c r="R6" s="392"/>
      <c r="S6" s="394"/>
      <c r="T6" s="393"/>
      <c r="U6" s="387"/>
      <c r="V6" s="31"/>
      <c r="W6" s="31"/>
      <c r="X6" s="31"/>
      <c r="Y6" s="31"/>
      <c r="Z6" s="8"/>
      <c r="AB6" s="7"/>
      <c r="AD6" s="7"/>
    </row>
    <row r="7" spans="1:32">
      <c r="B7" s="197"/>
      <c r="C7" s="396" t="s">
        <v>232</v>
      </c>
      <c r="D7" s="396" t="s">
        <v>233</v>
      </c>
      <c r="E7" s="197"/>
      <c r="F7" s="197"/>
      <c r="G7" s="198" t="s">
        <v>231</v>
      </c>
      <c r="H7" s="591"/>
      <c r="I7" s="592"/>
      <c r="J7" s="591"/>
      <c r="K7" s="197"/>
      <c r="L7" s="197"/>
      <c r="M7" s="197"/>
      <c r="N7" s="386"/>
      <c r="O7" s="388"/>
      <c r="P7" s="387"/>
      <c r="Q7" s="202"/>
      <c r="R7" s="392"/>
      <c r="S7" s="394"/>
      <c r="T7" s="393"/>
      <c r="U7" s="387"/>
      <c r="V7" s="31"/>
      <c r="W7" s="31"/>
      <c r="X7" s="31"/>
      <c r="Y7" s="31"/>
      <c r="Z7" s="8"/>
      <c r="AD7" s="7"/>
    </row>
    <row r="8" spans="1:32">
      <c r="B8" s="197"/>
      <c r="C8" s="396" t="s">
        <v>234</v>
      </c>
      <c r="D8" s="396" t="s">
        <v>235</v>
      </c>
      <c r="E8" s="197"/>
      <c r="F8" s="197"/>
      <c r="G8" s="198" t="s">
        <v>231</v>
      </c>
      <c r="H8" s="591"/>
      <c r="I8" s="592"/>
      <c r="J8" s="591"/>
      <c r="K8" s="197"/>
      <c r="L8" s="197"/>
      <c r="M8" s="197"/>
      <c r="N8" s="386"/>
      <c r="O8" s="388"/>
      <c r="P8" s="387"/>
      <c r="Q8" s="202"/>
      <c r="R8" s="392"/>
      <c r="S8" s="394"/>
      <c r="T8" s="393"/>
      <c r="U8" s="387"/>
      <c r="V8" s="31"/>
      <c r="W8" s="31"/>
      <c r="X8" s="31"/>
      <c r="Y8" s="31"/>
    </row>
    <row r="9" spans="1:32" ht="14.45">
      <c r="B9" s="197"/>
      <c r="C9" s="396"/>
      <c r="D9" s="396"/>
      <c r="E9" s="197"/>
      <c r="F9" s="197"/>
      <c r="G9" s="198"/>
      <c r="H9" s="591"/>
      <c r="I9" s="592"/>
      <c r="J9" s="591"/>
      <c r="K9" s="197"/>
      <c r="L9" s="197"/>
      <c r="M9" s="197"/>
      <c r="N9" s="386"/>
      <c r="O9" s="388"/>
      <c r="P9" s="387"/>
      <c r="Q9" s="202"/>
      <c r="R9" s="392"/>
      <c r="S9" s="394"/>
      <c r="T9" s="393"/>
      <c r="U9" s="387"/>
      <c r="V9" s="31"/>
      <c r="W9" s="31"/>
      <c r="X9" s="31"/>
      <c r="Y9" s="31"/>
    </row>
    <row r="10" spans="1:32" ht="14.45">
      <c r="B10" s="197"/>
      <c r="C10" s="396"/>
      <c r="D10" s="396"/>
      <c r="E10" s="197"/>
      <c r="F10" s="197"/>
      <c r="G10" s="198"/>
      <c r="H10" s="591"/>
      <c r="I10" s="592"/>
      <c r="J10" s="591"/>
      <c r="K10" s="197"/>
      <c r="L10" s="197"/>
      <c r="M10" s="197"/>
      <c r="N10" s="386"/>
      <c r="O10" s="388"/>
      <c r="P10" s="387"/>
      <c r="Q10" s="202"/>
      <c r="R10" s="392"/>
      <c r="S10" s="394"/>
      <c r="T10" s="393"/>
      <c r="U10" s="387"/>
      <c r="V10" s="31"/>
      <c r="W10" s="31"/>
      <c r="X10" s="31"/>
      <c r="Y10" s="31"/>
    </row>
    <row r="11" spans="1:32" ht="14.45">
      <c r="B11" s="197"/>
      <c r="C11" s="396"/>
      <c r="D11" s="396"/>
      <c r="E11" s="197"/>
      <c r="F11" s="197"/>
      <c r="G11" s="198"/>
      <c r="H11" s="591"/>
      <c r="I11" s="592"/>
      <c r="J11" s="591"/>
      <c r="K11" s="197"/>
      <c r="L11" s="197"/>
      <c r="M11" s="197"/>
      <c r="N11" s="386"/>
      <c r="O11" s="388"/>
      <c r="P11" s="387"/>
      <c r="Q11" s="202"/>
      <c r="R11" s="390"/>
      <c r="S11" s="394"/>
      <c r="T11" s="393"/>
      <c r="U11" s="387"/>
      <c r="V11" s="31"/>
      <c r="W11" s="31"/>
      <c r="X11" s="31"/>
      <c r="Y11" s="31"/>
    </row>
    <row r="12" spans="1:32" ht="14.45">
      <c r="B12" s="197"/>
      <c r="C12" s="396"/>
      <c r="D12" s="396"/>
      <c r="E12" s="197"/>
      <c r="F12" s="197"/>
      <c r="G12" s="198"/>
      <c r="H12" s="591"/>
      <c r="I12" s="592"/>
      <c r="J12" s="591"/>
      <c r="K12" s="197"/>
      <c r="L12" s="197"/>
      <c r="M12" s="197"/>
      <c r="N12" s="386"/>
      <c r="O12" s="388"/>
      <c r="P12" s="387"/>
      <c r="Q12" s="202"/>
      <c r="R12" s="390"/>
      <c r="S12" s="394"/>
      <c r="T12" s="393"/>
      <c r="U12" s="387"/>
      <c r="V12" s="31"/>
      <c r="W12" s="31"/>
      <c r="X12" s="31"/>
      <c r="Y12" s="31"/>
    </row>
    <row r="13" spans="1:32" ht="14.45">
      <c r="B13" s="197"/>
      <c r="C13" s="396"/>
      <c r="D13" s="396"/>
      <c r="E13" s="197"/>
      <c r="F13" s="197"/>
      <c r="G13" s="198"/>
      <c r="H13" s="31"/>
      <c r="I13" s="592"/>
      <c r="J13" s="31"/>
      <c r="K13" s="197"/>
      <c r="L13" s="197"/>
      <c r="M13" s="197"/>
      <c r="N13" s="386"/>
      <c r="O13" s="388"/>
      <c r="P13" s="387"/>
      <c r="Q13" s="31"/>
      <c r="R13" s="390"/>
      <c r="S13" s="394"/>
      <c r="T13" s="393"/>
      <c r="U13" s="387"/>
      <c r="V13" s="31"/>
      <c r="W13" s="31"/>
      <c r="X13" s="31"/>
      <c r="Y13" s="31"/>
    </row>
    <row r="14" spans="1:32" ht="14.45">
      <c r="B14" s="197"/>
      <c r="C14" s="396"/>
      <c r="D14" s="396"/>
      <c r="E14" s="197"/>
      <c r="F14" s="197"/>
      <c r="G14" s="198"/>
      <c r="H14" s="31"/>
      <c r="I14" s="592"/>
      <c r="J14" s="31"/>
      <c r="K14" s="197"/>
      <c r="L14" s="197"/>
      <c r="M14" s="197"/>
      <c r="N14" s="386"/>
      <c r="O14" s="388"/>
      <c r="P14" s="387"/>
      <c r="Q14" s="31"/>
      <c r="R14" s="390"/>
      <c r="S14" s="394"/>
      <c r="T14" s="393"/>
      <c r="U14" s="387"/>
      <c r="V14" s="31"/>
      <c r="W14" s="31"/>
      <c r="X14" s="31"/>
      <c r="Y14" s="31"/>
    </row>
    <row r="15" spans="1:32" ht="14.45">
      <c r="B15" s="197"/>
      <c r="C15" s="396"/>
      <c r="D15" s="396"/>
      <c r="E15" s="197"/>
      <c r="F15" s="197"/>
      <c r="G15" s="198"/>
      <c r="H15" s="31"/>
      <c r="I15" s="592"/>
      <c r="J15" s="31"/>
      <c r="K15" s="197"/>
      <c r="L15" s="197"/>
      <c r="M15" s="197"/>
      <c r="N15" s="386"/>
      <c r="O15" s="388"/>
      <c r="P15" s="387"/>
      <c r="Q15" s="31"/>
      <c r="R15" s="390"/>
      <c r="S15" s="394"/>
      <c r="T15" s="393"/>
      <c r="U15" s="387"/>
      <c r="V15" s="31"/>
      <c r="W15" s="31"/>
      <c r="X15" s="31"/>
      <c r="Y15" s="31"/>
    </row>
    <row r="16" spans="1:32" ht="14.45">
      <c r="B16" s="197"/>
      <c r="C16" s="396"/>
      <c r="D16" s="396"/>
      <c r="E16" s="197"/>
      <c r="F16" s="197"/>
      <c r="G16" s="198"/>
      <c r="H16" s="31"/>
      <c r="I16" s="592"/>
      <c r="J16" s="31"/>
      <c r="K16" s="197"/>
      <c r="L16" s="197"/>
      <c r="M16" s="197"/>
      <c r="N16" s="386"/>
      <c r="O16" s="388"/>
      <c r="P16" s="387"/>
      <c r="Q16" s="31"/>
      <c r="R16" s="390"/>
      <c r="S16" s="394"/>
      <c r="T16" s="393"/>
      <c r="U16" s="387"/>
      <c r="V16" s="31"/>
      <c r="W16" s="31"/>
      <c r="X16" s="31"/>
      <c r="Y16" s="31"/>
    </row>
    <row r="17" spans="1:25" ht="14.45">
      <c r="B17" s="197"/>
      <c r="C17" s="397"/>
      <c r="D17" s="397"/>
      <c r="E17" s="197"/>
      <c r="F17" s="197"/>
      <c r="G17" s="198"/>
      <c r="H17" s="31"/>
      <c r="I17" s="592"/>
      <c r="J17" s="31"/>
      <c r="K17" s="197"/>
      <c r="L17" s="197"/>
      <c r="M17" s="197"/>
      <c r="N17" s="386"/>
      <c r="O17" s="391"/>
      <c r="P17" s="387"/>
      <c r="Q17" s="31"/>
      <c r="R17" s="390"/>
      <c r="S17" s="394"/>
      <c r="T17" s="398"/>
      <c r="U17" s="387"/>
      <c r="V17" s="31"/>
      <c r="W17" s="31"/>
      <c r="X17" s="31"/>
      <c r="Y17" s="31"/>
    </row>
    <row r="18" spans="1:25" ht="14.45">
      <c r="B18" s="197"/>
      <c r="C18" s="397"/>
      <c r="D18" s="397"/>
      <c r="E18" s="197"/>
      <c r="F18" s="197"/>
      <c r="G18" s="198"/>
      <c r="H18" s="31"/>
      <c r="I18" s="592"/>
      <c r="J18" s="31"/>
      <c r="K18" s="197"/>
      <c r="L18" s="197"/>
      <c r="M18" s="197"/>
      <c r="N18" s="386"/>
      <c r="O18" s="389"/>
      <c r="P18" s="387"/>
      <c r="Q18" s="31"/>
      <c r="R18" s="390"/>
      <c r="S18" s="394"/>
      <c r="T18" s="399"/>
      <c r="U18" s="31"/>
      <c r="V18" s="31"/>
      <c r="W18" s="31"/>
      <c r="X18" s="31"/>
      <c r="Y18" s="31"/>
    </row>
    <row r="19" spans="1:25" ht="14.45">
      <c r="B19" s="197"/>
      <c r="C19" s="397"/>
      <c r="D19" s="397"/>
      <c r="E19" s="197"/>
      <c r="F19" s="197"/>
      <c r="G19" s="198"/>
      <c r="H19" s="31"/>
      <c r="I19" s="592"/>
      <c r="J19" s="31"/>
      <c r="K19" s="197"/>
      <c r="L19" s="197"/>
      <c r="M19" s="197"/>
      <c r="N19" s="386"/>
      <c r="O19" s="389"/>
      <c r="P19" s="387"/>
      <c r="Q19" s="31"/>
      <c r="R19" s="390"/>
      <c r="S19" s="394"/>
      <c r="T19" s="399"/>
      <c r="U19" s="31"/>
      <c r="V19" s="31"/>
      <c r="W19" s="31"/>
      <c r="X19" s="31"/>
      <c r="Y19" s="31"/>
    </row>
    <row r="20" spans="1:25" ht="14.45">
      <c r="B20" s="197"/>
      <c r="C20" s="397"/>
      <c r="D20" s="397"/>
      <c r="E20" s="197"/>
      <c r="F20" s="197"/>
      <c r="G20" s="198"/>
      <c r="H20" s="31"/>
      <c r="I20" s="592"/>
      <c r="J20" s="31"/>
      <c r="K20" s="197"/>
      <c r="L20" s="197"/>
      <c r="M20" s="197"/>
      <c r="N20" s="386"/>
      <c r="O20" s="389"/>
      <c r="P20" s="387"/>
      <c r="Q20" s="31"/>
      <c r="R20" s="390"/>
      <c r="S20" s="394"/>
      <c r="T20" s="399"/>
      <c r="U20" s="31"/>
      <c r="V20" s="31"/>
      <c r="W20" s="31"/>
      <c r="X20" s="31"/>
      <c r="Y20" s="31"/>
    </row>
    <row r="21" spans="1:25" ht="14.45">
      <c r="B21" s="197"/>
      <c r="C21" s="397"/>
      <c r="D21" s="397"/>
      <c r="E21" s="197"/>
      <c r="F21" s="197"/>
      <c r="G21" s="198"/>
      <c r="H21" s="31"/>
      <c r="I21" s="592"/>
      <c r="J21" s="31"/>
      <c r="K21" s="197"/>
      <c r="L21" s="197"/>
      <c r="M21" s="197"/>
      <c r="N21" s="386"/>
      <c r="O21" s="389"/>
      <c r="P21" s="387"/>
      <c r="Q21" s="31"/>
      <c r="R21" s="390"/>
      <c r="S21" s="394"/>
      <c r="T21" s="399"/>
      <c r="U21" s="31"/>
      <c r="V21" s="31"/>
      <c r="W21" s="31"/>
      <c r="X21" s="31"/>
      <c r="Y21" s="31"/>
    </row>
    <row r="22" spans="1:25" ht="14.45">
      <c r="A22" s="1">
        <f t="shared" ref="A22:A44" si="0">A21+1</f>
        <v>1</v>
      </c>
      <c r="B22" s="197"/>
      <c r="C22" s="397"/>
      <c r="D22" s="397"/>
      <c r="E22" s="197"/>
      <c r="F22" s="197"/>
      <c r="G22" s="198"/>
      <c r="H22" s="31"/>
      <c r="I22" s="592"/>
      <c r="J22" s="31"/>
      <c r="K22" s="197"/>
      <c r="L22" s="197"/>
      <c r="M22" s="197"/>
      <c r="N22" s="386"/>
      <c r="O22" s="389"/>
      <c r="P22" s="387"/>
      <c r="Q22" s="31"/>
      <c r="R22" s="390"/>
      <c r="S22" s="394"/>
      <c r="T22" s="399"/>
      <c r="U22" s="31"/>
      <c r="V22" s="31"/>
      <c r="W22" s="31"/>
      <c r="X22" s="31"/>
      <c r="Y22" s="31"/>
    </row>
    <row r="23" spans="1:25" ht="14.45">
      <c r="A23" s="1">
        <f t="shared" si="0"/>
        <v>2</v>
      </c>
      <c r="B23" s="197"/>
      <c r="C23" s="197"/>
      <c r="D23" s="197"/>
      <c r="E23" s="197"/>
      <c r="F23" s="197"/>
      <c r="G23" s="198"/>
      <c r="H23" s="31"/>
      <c r="I23" s="592"/>
      <c r="J23" s="31"/>
      <c r="K23" s="197"/>
      <c r="L23" s="197"/>
      <c r="M23" s="31"/>
      <c r="N23" s="31"/>
      <c r="O23" s="31"/>
      <c r="P23" s="31"/>
      <c r="Q23" s="31"/>
      <c r="R23" s="31"/>
      <c r="S23" s="31"/>
      <c r="T23" s="31"/>
      <c r="U23" s="31"/>
      <c r="V23" s="31"/>
      <c r="W23" s="31"/>
      <c r="X23" s="31"/>
      <c r="Y23" s="31"/>
    </row>
    <row r="24" spans="1:25" ht="14.45">
      <c r="A24" s="1">
        <f t="shared" si="0"/>
        <v>3</v>
      </c>
      <c r="B24" s="197"/>
      <c r="C24" s="197"/>
      <c r="D24" s="197"/>
      <c r="E24" s="197"/>
      <c r="F24" s="197"/>
      <c r="G24" s="198"/>
      <c r="H24" s="31"/>
      <c r="I24" s="592"/>
      <c r="J24" s="31"/>
      <c r="K24" s="197"/>
      <c r="L24" s="197"/>
      <c r="M24" s="31"/>
      <c r="N24" s="31"/>
      <c r="O24" s="31"/>
      <c r="P24" s="31"/>
      <c r="Q24" s="31"/>
      <c r="R24" s="31"/>
      <c r="S24" s="31"/>
      <c r="T24" s="31"/>
      <c r="U24" s="31"/>
      <c r="V24" s="31"/>
      <c r="W24" s="31"/>
      <c r="X24" s="31"/>
      <c r="Y24" s="31"/>
    </row>
    <row r="25" spans="1:25" ht="14.45">
      <c r="A25" s="1">
        <f t="shared" si="0"/>
        <v>4</v>
      </c>
      <c r="B25" s="197"/>
      <c r="C25" s="197"/>
      <c r="D25" s="197"/>
      <c r="E25" s="197"/>
      <c r="F25" s="197"/>
      <c r="G25" s="198"/>
      <c r="H25" s="31"/>
      <c r="I25" s="592"/>
      <c r="J25" s="31"/>
      <c r="K25" s="197"/>
      <c r="L25" s="197"/>
      <c r="M25" s="31"/>
      <c r="N25" s="31"/>
      <c r="O25" s="31"/>
      <c r="P25" s="31"/>
      <c r="Q25" s="31"/>
      <c r="R25" s="31"/>
      <c r="S25" s="31"/>
      <c r="T25" s="31"/>
      <c r="U25" s="31"/>
      <c r="V25" s="31"/>
      <c r="W25" s="31"/>
      <c r="X25" s="31"/>
      <c r="Y25" s="31"/>
    </row>
    <row r="26" spans="1:25" ht="14.45">
      <c r="A26" s="1">
        <f t="shared" si="0"/>
        <v>5</v>
      </c>
      <c r="B26" s="197"/>
      <c r="C26" s="197"/>
      <c r="D26" s="197"/>
      <c r="E26" s="197"/>
      <c r="F26" s="197"/>
      <c r="G26" s="198"/>
      <c r="H26" s="31"/>
      <c r="I26" s="592"/>
      <c r="J26" s="31"/>
      <c r="K26" s="197"/>
      <c r="L26" s="197"/>
      <c r="M26" s="31"/>
      <c r="N26" s="31"/>
      <c r="O26" s="31"/>
      <c r="P26" s="31"/>
      <c r="Q26" s="31"/>
      <c r="R26" s="31"/>
      <c r="S26" s="31"/>
      <c r="T26" s="31"/>
      <c r="U26" s="31"/>
      <c r="V26" s="31"/>
      <c r="W26" s="31"/>
      <c r="X26" s="31"/>
      <c r="Y26" s="31"/>
    </row>
    <row r="27" spans="1:25" ht="14.45">
      <c r="A27" s="1">
        <f t="shared" si="0"/>
        <v>6</v>
      </c>
      <c r="B27" s="197"/>
      <c r="C27" s="197"/>
      <c r="D27" s="197"/>
      <c r="E27" s="197"/>
      <c r="F27" s="197"/>
      <c r="G27" s="198"/>
      <c r="H27" s="31"/>
      <c r="I27" s="592"/>
      <c r="J27" s="31"/>
      <c r="K27" s="197"/>
      <c r="L27" s="197"/>
      <c r="M27" s="31"/>
      <c r="N27" s="31"/>
      <c r="O27" s="31"/>
      <c r="P27" s="31"/>
      <c r="Q27" s="31"/>
      <c r="R27" s="31"/>
      <c r="S27" s="31"/>
      <c r="T27" s="31"/>
      <c r="U27" s="31"/>
      <c r="V27" s="31"/>
      <c r="W27" s="31"/>
      <c r="X27" s="31"/>
      <c r="Y27" s="31"/>
    </row>
    <row r="28" spans="1:25" ht="14.45">
      <c r="A28" s="1">
        <f t="shared" si="0"/>
        <v>7</v>
      </c>
      <c r="B28" s="197"/>
      <c r="C28" s="197"/>
      <c r="D28" s="197"/>
      <c r="E28" s="197"/>
      <c r="F28" s="197"/>
      <c r="G28" s="198"/>
      <c r="H28" s="31"/>
      <c r="I28" s="592"/>
      <c r="J28" s="31"/>
      <c r="K28" s="197"/>
      <c r="L28" s="197"/>
      <c r="M28" s="31"/>
      <c r="N28" s="31"/>
      <c r="O28" s="31"/>
      <c r="P28" s="31"/>
      <c r="Q28" s="31"/>
      <c r="R28" s="31"/>
      <c r="S28" s="31"/>
      <c r="T28" s="31"/>
      <c r="U28" s="31"/>
      <c r="V28" s="31"/>
      <c r="W28" s="31"/>
      <c r="X28" s="31"/>
      <c r="Y28" s="31"/>
    </row>
    <row r="29" spans="1:25" ht="14.45">
      <c r="A29" s="1">
        <f t="shared" si="0"/>
        <v>8</v>
      </c>
      <c r="B29" s="197"/>
      <c r="C29" s="197"/>
      <c r="D29" s="197"/>
      <c r="E29" s="197"/>
      <c r="F29" s="197"/>
      <c r="G29" s="198"/>
      <c r="H29" s="31"/>
      <c r="I29" s="592"/>
      <c r="J29" s="31"/>
      <c r="K29" s="197"/>
      <c r="L29" s="197"/>
      <c r="M29" s="31"/>
      <c r="N29" s="31"/>
      <c r="O29" s="31"/>
      <c r="P29" s="31"/>
      <c r="Q29" s="31"/>
      <c r="R29" s="31"/>
      <c r="S29" s="31"/>
      <c r="T29" s="31"/>
      <c r="U29" s="31"/>
      <c r="V29" s="31"/>
      <c r="W29" s="31"/>
      <c r="X29" s="31"/>
      <c r="Y29" s="31"/>
    </row>
    <row r="30" spans="1:25" ht="14.45">
      <c r="A30" s="1">
        <f t="shared" si="0"/>
        <v>9</v>
      </c>
      <c r="B30" s="197"/>
      <c r="C30" s="197"/>
      <c r="D30" s="197"/>
      <c r="E30" s="197"/>
      <c r="F30" s="197"/>
      <c r="G30" s="198"/>
      <c r="H30" s="31"/>
      <c r="I30" s="592"/>
      <c r="J30" s="31"/>
      <c r="K30" s="197"/>
      <c r="L30" s="197"/>
      <c r="M30" s="31"/>
      <c r="N30" s="31"/>
      <c r="O30" s="31"/>
      <c r="P30" s="31"/>
      <c r="Q30" s="31"/>
      <c r="R30" s="31"/>
      <c r="S30" s="31"/>
      <c r="T30" s="31"/>
      <c r="U30" s="31"/>
      <c r="V30" s="31"/>
      <c r="W30" s="31"/>
      <c r="X30" s="31"/>
      <c r="Y30" s="31"/>
    </row>
    <row r="31" spans="1:25" ht="14.45">
      <c r="A31" s="1">
        <f t="shared" si="0"/>
        <v>10</v>
      </c>
      <c r="B31" s="197"/>
      <c r="C31" s="197"/>
      <c r="D31" s="197"/>
      <c r="E31" s="197"/>
      <c r="F31" s="197"/>
      <c r="G31" s="198"/>
      <c r="H31" s="31"/>
      <c r="I31" s="592"/>
      <c r="J31" s="31"/>
      <c r="K31" s="197"/>
      <c r="L31" s="197"/>
      <c r="M31" s="31"/>
      <c r="N31" s="31"/>
      <c r="O31" s="31"/>
      <c r="P31" s="31"/>
      <c r="Q31" s="31"/>
      <c r="R31" s="31"/>
      <c r="S31" s="31"/>
      <c r="T31" s="31"/>
      <c r="U31" s="31"/>
      <c r="V31" s="31"/>
      <c r="W31" s="31"/>
      <c r="X31" s="31"/>
      <c r="Y31" s="31"/>
    </row>
    <row r="32" spans="1:25" ht="14.45">
      <c r="A32" s="1">
        <f t="shared" si="0"/>
        <v>11</v>
      </c>
      <c r="B32" s="197"/>
      <c r="C32" s="197"/>
      <c r="D32" s="197"/>
      <c r="E32" s="197"/>
      <c r="F32" s="197"/>
      <c r="G32" s="198"/>
      <c r="H32" s="31"/>
      <c r="I32" s="592"/>
      <c r="J32" s="31"/>
      <c r="K32" s="197"/>
      <c r="L32" s="197"/>
      <c r="M32" s="31"/>
      <c r="N32" s="31"/>
      <c r="O32" s="31"/>
      <c r="P32" s="31"/>
      <c r="Q32" s="31"/>
      <c r="R32" s="31"/>
      <c r="S32" s="31"/>
      <c r="T32" s="31"/>
      <c r="U32" s="31"/>
      <c r="V32" s="31"/>
      <c r="W32" s="31"/>
      <c r="X32" s="31"/>
      <c r="Y32" s="31"/>
    </row>
    <row r="33" spans="1:25" ht="14.45">
      <c r="A33" s="1">
        <f t="shared" si="0"/>
        <v>12</v>
      </c>
      <c r="B33" s="197"/>
      <c r="C33" s="197"/>
      <c r="D33" s="197"/>
      <c r="E33" s="197"/>
      <c r="F33" s="197"/>
      <c r="G33" s="198"/>
      <c r="H33" s="31"/>
      <c r="I33" s="592"/>
      <c r="J33" s="31"/>
      <c r="K33" s="197"/>
      <c r="L33" s="197"/>
      <c r="M33" s="31"/>
      <c r="N33" s="31"/>
      <c r="O33" s="31"/>
      <c r="P33" s="31"/>
      <c r="Q33" s="31"/>
      <c r="R33" s="31"/>
      <c r="S33" s="31"/>
      <c r="T33" s="31"/>
      <c r="U33" s="31"/>
      <c r="V33" s="31"/>
      <c r="W33" s="31"/>
      <c r="X33" s="31"/>
      <c r="Y33" s="31"/>
    </row>
    <row r="34" spans="1:25" ht="14.45">
      <c r="A34" s="1">
        <f t="shared" si="0"/>
        <v>13</v>
      </c>
      <c r="B34" s="197"/>
      <c r="C34" s="197"/>
      <c r="D34" s="197"/>
      <c r="E34" s="197"/>
      <c r="F34" s="197"/>
      <c r="G34" s="198"/>
      <c r="H34" s="31"/>
      <c r="I34" s="592"/>
      <c r="J34" s="31"/>
      <c r="K34" s="197"/>
      <c r="L34" s="197"/>
      <c r="M34" s="31"/>
      <c r="N34" s="31"/>
      <c r="O34" s="31"/>
      <c r="P34" s="31"/>
      <c r="Q34" s="31"/>
      <c r="R34" s="31"/>
      <c r="S34" s="31"/>
      <c r="T34" s="31"/>
      <c r="U34" s="31"/>
      <c r="V34" s="31"/>
      <c r="W34" s="31"/>
      <c r="X34" s="31"/>
      <c r="Y34" s="31"/>
    </row>
    <row r="35" spans="1:25" ht="14.45">
      <c r="A35" s="1">
        <f t="shared" si="0"/>
        <v>14</v>
      </c>
      <c r="B35" s="197"/>
      <c r="C35" s="197"/>
      <c r="D35" s="197"/>
      <c r="E35" s="197"/>
      <c r="F35" s="197"/>
      <c r="G35" s="198"/>
      <c r="H35" s="31"/>
      <c r="I35" s="592"/>
      <c r="J35" s="31"/>
      <c r="K35" s="197"/>
      <c r="L35" s="197"/>
      <c r="M35" s="31"/>
      <c r="N35" s="31"/>
      <c r="O35" s="31"/>
      <c r="P35" s="31"/>
      <c r="Q35" s="31"/>
      <c r="R35" s="31"/>
      <c r="S35" s="31"/>
      <c r="T35" s="31"/>
      <c r="U35" s="31"/>
      <c r="V35" s="31"/>
      <c r="W35" s="31"/>
      <c r="X35" s="31"/>
      <c r="Y35" s="31"/>
    </row>
    <row r="36" spans="1:25" ht="14.45">
      <c r="A36" s="1">
        <f t="shared" si="0"/>
        <v>15</v>
      </c>
      <c r="B36" s="197"/>
      <c r="C36" s="197"/>
      <c r="D36" s="197"/>
      <c r="E36" s="197"/>
      <c r="F36" s="197"/>
      <c r="G36" s="198"/>
      <c r="H36" s="31"/>
      <c r="I36" s="592"/>
      <c r="J36" s="31"/>
      <c r="K36" s="197"/>
      <c r="L36" s="197"/>
      <c r="M36" s="31"/>
      <c r="N36" s="31"/>
      <c r="O36" s="31"/>
      <c r="P36" s="31"/>
      <c r="Q36" s="31"/>
      <c r="R36" s="31"/>
      <c r="S36" s="31"/>
      <c r="T36" s="31"/>
      <c r="U36" s="31"/>
      <c r="V36" s="31"/>
      <c r="W36" s="31"/>
      <c r="X36" s="31"/>
      <c r="Y36" s="31"/>
    </row>
    <row r="37" spans="1:25" ht="14.45">
      <c r="A37" s="1">
        <f t="shared" si="0"/>
        <v>16</v>
      </c>
      <c r="B37" s="197"/>
      <c r="C37" s="197"/>
      <c r="D37" s="197"/>
      <c r="E37" s="197"/>
      <c r="F37" s="197"/>
      <c r="G37" s="198"/>
      <c r="H37" s="31"/>
      <c r="I37" s="592"/>
      <c r="J37" s="31"/>
      <c r="K37" s="197"/>
      <c r="L37" s="197"/>
      <c r="M37" s="31"/>
      <c r="N37" s="31"/>
      <c r="O37" s="31"/>
      <c r="P37" s="31"/>
      <c r="Q37" s="31"/>
      <c r="R37" s="31"/>
      <c r="S37" s="31"/>
      <c r="T37" s="31"/>
      <c r="U37" s="31"/>
      <c r="V37" s="31"/>
      <c r="W37" s="31"/>
      <c r="X37" s="31"/>
      <c r="Y37" s="31"/>
    </row>
    <row r="38" spans="1:25" ht="14.45">
      <c r="A38" s="1">
        <f t="shared" si="0"/>
        <v>17</v>
      </c>
      <c r="B38" s="197"/>
      <c r="C38" s="197"/>
      <c r="D38" s="197"/>
      <c r="E38" s="197"/>
      <c r="F38" s="197"/>
      <c r="G38" s="198"/>
      <c r="H38" s="31"/>
      <c r="I38" s="592"/>
      <c r="J38" s="31"/>
      <c r="K38" s="197"/>
      <c r="L38" s="197"/>
      <c r="M38" s="31"/>
      <c r="N38" s="31"/>
      <c r="O38" s="31"/>
      <c r="P38" s="31"/>
      <c r="Q38" s="31"/>
      <c r="R38" s="31"/>
      <c r="S38" s="31"/>
      <c r="T38" s="31"/>
      <c r="U38" s="31"/>
      <c r="V38" s="31"/>
      <c r="W38" s="31"/>
      <c r="X38" s="31"/>
      <c r="Y38" s="31"/>
    </row>
    <row r="39" spans="1:25" ht="14.45">
      <c r="A39" s="1">
        <f t="shared" si="0"/>
        <v>18</v>
      </c>
      <c r="B39" s="197"/>
      <c r="C39" s="197"/>
      <c r="D39" s="197"/>
      <c r="E39" s="197"/>
      <c r="F39" s="197"/>
      <c r="G39" s="198"/>
      <c r="H39" s="31"/>
      <c r="I39" s="592"/>
      <c r="J39" s="31"/>
      <c r="K39" s="197"/>
      <c r="L39" s="197"/>
      <c r="M39" s="31"/>
      <c r="N39" s="31"/>
      <c r="O39" s="31"/>
      <c r="P39" s="31"/>
      <c r="Q39" s="31"/>
      <c r="R39" s="31"/>
      <c r="S39" s="31"/>
      <c r="T39" s="31"/>
      <c r="U39" s="31"/>
      <c r="V39" s="31"/>
      <c r="W39" s="31"/>
      <c r="X39" s="31"/>
      <c r="Y39" s="31"/>
    </row>
    <row r="40" spans="1:25" ht="14.45">
      <c r="A40" s="1">
        <f t="shared" si="0"/>
        <v>19</v>
      </c>
      <c r="B40" s="197"/>
      <c r="C40" s="197"/>
      <c r="D40" s="197"/>
      <c r="E40" s="197"/>
      <c r="F40" s="197"/>
      <c r="G40" s="198"/>
      <c r="H40" s="31"/>
      <c r="I40" s="592"/>
      <c r="J40" s="31"/>
      <c r="K40" s="197"/>
      <c r="L40" s="197"/>
      <c r="M40" s="31"/>
      <c r="N40" s="31"/>
      <c r="O40" s="31"/>
      <c r="P40" s="31"/>
      <c r="Q40" s="31"/>
      <c r="R40" s="31"/>
      <c r="S40" s="31"/>
      <c r="T40" s="31"/>
      <c r="U40" s="31"/>
      <c r="V40" s="31"/>
      <c r="W40" s="31"/>
      <c r="X40" s="31"/>
      <c r="Y40" s="31"/>
    </row>
    <row r="41" spans="1:25" ht="14.45">
      <c r="A41" s="1">
        <f t="shared" si="0"/>
        <v>20</v>
      </c>
      <c r="B41" s="197"/>
      <c r="C41" s="197"/>
      <c r="D41" s="197"/>
      <c r="E41" s="197"/>
      <c r="F41" s="197"/>
      <c r="G41" s="198"/>
      <c r="H41" s="31"/>
      <c r="I41" s="592"/>
      <c r="J41" s="31"/>
      <c r="K41" s="197"/>
      <c r="L41" s="197"/>
      <c r="M41" s="31"/>
      <c r="N41" s="31"/>
      <c r="O41" s="31"/>
      <c r="P41" s="31"/>
      <c r="Q41" s="31"/>
      <c r="R41" s="31"/>
      <c r="S41" s="31"/>
      <c r="T41" s="31"/>
      <c r="U41" s="31"/>
      <c r="V41" s="31"/>
      <c r="W41" s="31"/>
      <c r="X41" s="31"/>
      <c r="Y41" s="31"/>
    </row>
    <row r="42" spans="1:25" ht="14.45">
      <c r="A42" s="1">
        <f t="shared" si="0"/>
        <v>21</v>
      </c>
      <c r="B42" s="197"/>
      <c r="C42" s="197"/>
      <c r="D42" s="197"/>
      <c r="E42" s="197"/>
      <c r="F42" s="197"/>
      <c r="G42" s="198"/>
      <c r="H42" s="31"/>
      <c r="I42" s="592"/>
      <c r="J42" s="31"/>
      <c r="K42" s="197"/>
      <c r="L42" s="197"/>
      <c r="M42" s="31"/>
      <c r="N42" s="31"/>
      <c r="O42" s="31"/>
      <c r="P42" s="31"/>
      <c r="Q42" s="31"/>
      <c r="R42" s="31"/>
      <c r="S42" s="31"/>
      <c r="T42" s="31"/>
      <c r="U42" s="31"/>
      <c r="V42" s="31"/>
      <c r="W42" s="31"/>
      <c r="X42" s="31"/>
      <c r="Y42" s="31"/>
    </row>
    <row r="43" spans="1:25" ht="14.45">
      <c r="A43" s="1">
        <f t="shared" si="0"/>
        <v>22</v>
      </c>
      <c r="B43" s="197"/>
      <c r="C43" s="197"/>
      <c r="D43" s="197"/>
      <c r="E43" s="197"/>
      <c r="F43" s="197"/>
      <c r="G43" s="198"/>
      <c r="H43" s="31"/>
      <c r="I43" s="592"/>
      <c r="J43" s="31"/>
      <c r="K43" s="197"/>
      <c r="L43" s="197"/>
      <c r="M43" s="31"/>
      <c r="N43" s="31"/>
      <c r="O43" s="31"/>
      <c r="P43" s="31"/>
      <c r="Q43" s="31"/>
      <c r="R43" s="31"/>
      <c r="S43" s="31"/>
      <c r="T43" s="31"/>
      <c r="U43" s="31"/>
      <c r="V43" s="31"/>
      <c r="W43" s="31"/>
      <c r="X43" s="31"/>
      <c r="Y43" s="31"/>
    </row>
    <row r="44" spans="1:25" ht="14.45">
      <c r="A44" s="1">
        <f t="shared" si="0"/>
        <v>23</v>
      </c>
      <c r="B44" s="197"/>
      <c r="C44" s="197"/>
      <c r="D44" s="197"/>
      <c r="E44" s="197"/>
      <c r="F44" s="197"/>
      <c r="G44" s="198"/>
      <c r="H44" s="31"/>
      <c r="I44" s="592"/>
      <c r="J44" s="31"/>
      <c r="K44" s="197"/>
      <c r="L44" s="197"/>
      <c r="M44" s="31"/>
      <c r="N44" s="31"/>
      <c r="O44" s="31"/>
      <c r="P44" s="31"/>
      <c r="Q44" s="31"/>
      <c r="R44" s="31"/>
      <c r="S44" s="31"/>
      <c r="T44" s="31"/>
      <c r="U44" s="31"/>
      <c r="V44" s="31"/>
      <c r="W44" s="31"/>
      <c r="X44" s="31"/>
      <c r="Y44" s="31"/>
    </row>
    <row r="45" spans="1:25" ht="14.45">
      <c r="C45" s="1">
        <f>COUNTA(C5:C44)</f>
        <v>4</v>
      </c>
    </row>
    <row r="56" spans="2:2" ht="15" customHeight="1">
      <c r="B56" s="594" t="s">
        <v>236</v>
      </c>
    </row>
    <row r="57" spans="2:2" ht="15" customHeight="1">
      <c r="B57" s="594" t="s">
        <v>237</v>
      </c>
    </row>
    <row r="58" spans="2:2" ht="15" customHeight="1">
      <c r="B58" s="594" t="s">
        <v>238</v>
      </c>
    </row>
    <row r="59" spans="2:2" ht="15" customHeight="1">
      <c r="B59" s="594" t="s">
        <v>224</v>
      </c>
    </row>
    <row r="60" spans="2:2" ht="15" customHeight="1">
      <c r="B60" s="594" t="s">
        <v>239</v>
      </c>
    </row>
    <row r="61" spans="2:2" ht="15" customHeight="1">
      <c r="B61" s="594" t="s">
        <v>240</v>
      </c>
    </row>
    <row r="62" spans="2:2" ht="15" customHeight="1">
      <c r="B62" s="594" t="s">
        <v>241</v>
      </c>
    </row>
    <row r="63" spans="2:2" ht="15" customHeight="1">
      <c r="B63" s="594" t="s">
        <v>242</v>
      </c>
    </row>
    <row r="64" spans="2:2" ht="15" customHeight="1">
      <c r="B64" s="594" t="s">
        <v>243</v>
      </c>
    </row>
    <row r="65" spans="2:2" ht="15" customHeight="1">
      <c r="B65" s="594" t="s">
        <v>244</v>
      </c>
    </row>
    <row r="66" spans="2:2" ht="15" customHeight="1">
      <c r="B66" s="594" t="s">
        <v>245</v>
      </c>
    </row>
    <row r="67" spans="2:2" ht="15" customHeight="1">
      <c r="B67" s="594"/>
    </row>
    <row r="68" spans="2:2" ht="15" customHeight="1">
      <c r="B68" s="594" t="s">
        <v>246</v>
      </c>
    </row>
    <row r="69" spans="2:2" ht="15" customHeight="1">
      <c r="B69" s="594" t="s">
        <v>25</v>
      </c>
    </row>
    <row r="70" spans="2:2" ht="15" customHeight="1">
      <c r="B70" s="594" t="s">
        <v>247</v>
      </c>
    </row>
    <row r="71" spans="2:2" ht="15" customHeight="1">
      <c r="B71" s="594" t="s">
        <v>225</v>
      </c>
    </row>
    <row r="72" spans="2:2" ht="15" customHeight="1">
      <c r="B72" s="594" t="s">
        <v>248</v>
      </c>
    </row>
    <row r="73" spans="2:2" ht="15" customHeight="1">
      <c r="B73" s="594" t="s">
        <v>249</v>
      </c>
    </row>
    <row r="74" spans="2:2" ht="15" customHeight="1">
      <c r="B74" s="594" t="s">
        <v>250</v>
      </c>
    </row>
    <row r="75" spans="2:2" ht="15" customHeight="1">
      <c r="B75" s="594" t="s">
        <v>251</v>
      </c>
    </row>
    <row r="76" spans="2:2" ht="15" customHeight="1">
      <c r="B76" s="594" t="s">
        <v>252</v>
      </c>
    </row>
    <row r="77" spans="2:2" ht="15" customHeight="1">
      <c r="B77" s="594" t="s">
        <v>253</v>
      </c>
    </row>
    <row r="78" spans="2:2" ht="15" customHeight="1">
      <c r="B78" s="594" t="s">
        <v>254</v>
      </c>
    </row>
    <row r="79" spans="2:2" ht="15" customHeight="1">
      <c r="B79" s="594" t="s">
        <v>255</v>
      </c>
    </row>
    <row r="80" spans="2:2" ht="15" customHeight="1">
      <c r="B80" s="594" t="s">
        <v>256</v>
      </c>
    </row>
    <row r="81" spans="2:12" ht="15" customHeight="1">
      <c r="B81" s="594" t="s">
        <v>257</v>
      </c>
    </row>
    <row r="82" spans="2:12" ht="15" customHeight="1">
      <c r="B82" s="594" t="s">
        <v>258</v>
      </c>
    </row>
    <row r="83" spans="2:12" ht="15" customHeight="1">
      <c r="B83" s="594" t="s">
        <v>259</v>
      </c>
    </row>
    <row r="84" spans="2:12" ht="15" customHeight="1">
      <c r="B84" s="594" t="s">
        <v>260</v>
      </c>
    </row>
    <row r="85" spans="2:12" ht="15" customHeight="1">
      <c r="B85" s="594" t="s">
        <v>261</v>
      </c>
    </row>
    <row r="86" spans="2:12" ht="15" customHeight="1">
      <c r="B86" s="594" t="s">
        <v>262</v>
      </c>
    </row>
    <row r="87" spans="2:12" ht="15" customHeight="1">
      <c r="B87" s="594" t="s">
        <v>226</v>
      </c>
    </row>
    <row r="88" spans="2:12" ht="15" customHeight="1">
      <c r="B88" s="594" t="s">
        <v>263</v>
      </c>
    </row>
    <row r="89" spans="2:12" ht="15" customHeight="1">
      <c r="B89" s="594" t="s">
        <v>264</v>
      </c>
    </row>
    <row r="90" spans="2:12" ht="15" customHeight="1">
      <c r="B90" s="594" t="s">
        <v>265</v>
      </c>
    </row>
    <row r="91" spans="2:12" ht="15" customHeight="1">
      <c r="B91" s="594" t="s">
        <v>266</v>
      </c>
    </row>
    <row r="92" spans="2:12" ht="14.45">
      <c r="B92" s="594" t="s">
        <v>267</v>
      </c>
      <c r="K92" s="105"/>
      <c r="L92" s="105"/>
    </row>
    <row r="93" spans="2:12" ht="14.45">
      <c r="B93" s="594" t="s">
        <v>268</v>
      </c>
      <c r="K93" s="105"/>
      <c r="L93" s="105"/>
    </row>
    <row r="94" spans="2:12" ht="15" customHeight="1">
      <c r="B94" s="594" t="s">
        <v>269</v>
      </c>
    </row>
    <row r="95" spans="2:12" ht="14.45">
      <c r="B95" s="594" t="s">
        <v>270</v>
      </c>
      <c r="K95" s="41"/>
      <c r="L95" s="41"/>
    </row>
    <row r="96" spans="2:12" ht="14.45">
      <c r="B96" s="594" t="s">
        <v>271</v>
      </c>
      <c r="K96" s="41"/>
      <c r="L96" s="41"/>
    </row>
    <row r="97" spans="2:12" ht="14.45">
      <c r="B97" s="594" t="s">
        <v>272</v>
      </c>
      <c r="K97" s="41"/>
      <c r="L97" s="41"/>
    </row>
    <row r="98" spans="2:12" ht="14.45">
      <c r="B98" s="594" t="s">
        <v>271</v>
      </c>
      <c r="K98" s="41"/>
      <c r="L98" s="41"/>
    </row>
    <row r="99" spans="2:12" ht="14.45">
      <c r="B99" s="594" t="s">
        <v>273</v>
      </c>
      <c r="K99" s="41"/>
      <c r="L99" s="41"/>
    </row>
    <row r="100" spans="2:12" ht="14.45">
      <c r="B100" s="594" t="s">
        <v>274</v>
      </c>
      <c r="K100" s="41"/>
      <c r="L100" s="41"/>
    </row>
    <row r="101" spans="2:12" ht="14.45">
      <c r="B101" s="594" t="s">
        <v>275</v>
      </c>
      <c r="K101" s="41"/>
      <c r="L101" s="41"/>
    </row>
    <row r="102" spans="2:12" ht="14.45">
      <c r="B102" s="594" t="s">
        <v>276</v>
      </c>
      <c r="K102" s="41"/>
      <c r="L102" s="41"/>
    </row>
    <row r="103" spans="2:12" ht="14.45">
      <c r="B103" s="594" t="s">
        <v>277</v>
      </c>
      <c r="K103" s="41"/>
      <c r="L103" s="41"/>
    </row>
    <row r="104" spans="2:12" ht="14.45">
      <c r="B104" s="594"/>
      <c r="K104" s="41"/>
      <c r="L104" s="41"/>
    </row>
    <row r="105" spans="2:12" ht="14.45">
      <c r="B105" s="41"/>
      <c r="K105" s="41"/>
      <c r="L105" s="41"/>
    </row>
    <row r="106" spans="2:12" ht="14.45">
      <c r="B106" s="41"/>
      <c r="K106" s="41"/>
      <c r="L106" s="41"/>
    </row>
    <row r="107" spans="2:12" ht="14.45">
      <c r="B107" s="41"/>
      <c r="K107" s="41"/>
      <c r="L107" s="41"/>
    </row>
    <row r="108" spans="2:12" ht="14.45">
      <c r="B108" s="41"/>
      <c r="K108" s="41"/>
      <c r="L108" s="41"/>
    </row>
    <row r="109" spans="2:12" ht="14.45">
      <c r="B109" s="41"/>
      <c r="K109" s="41"/>
      <c r="L109" s="41"/>
    </row>
    <row r="110" spans="2:12" ht="14.45">
      <c r="B110" s="41"/>
      <c r="K110" s="41"/>
      <c r="L110" s="41"/>
    </row>
    <row r="111" spans="2:12" ht="14.45">
      <c r="B111" s="41"/>
      <c r="K111" s="41"/>
      <c r="L111" s="41"/>
    </row>
    <row r="112" spans="2:12" ht="14.45">
      <c r="B112" s="41"/>
      <c r="K112" s="41"/>
      <c r="L112" s="41"/>
    </row>
    <row r="113" spans="2:12" ht="14.45">
      <c r="B113" s="41"/>
      <c r="K113" s="41"/>
      <c r="L113" s="41"/>
    </row>
    <row r="114" spans="2:12" ht="14.45">
      <c r="B114" s="41"/>
      <c r="K114" s="41"/>
      <c r="L114" s="41"/>
    </row>
    <row r="115" spans="2:12" ht="14.45">
      <c r="B115" s="41"/>
      <c r="K115" s="41"/>
      <c r="L115" s="41"/>
    </row>
    <row r="116" spans="2:12" ht="14.45">
      <c r="B116" s="41"/>
      <c r="K116" s="41"/>
      <c r="L116" s="41"/>
    </row>
    <row r="117" spans="2:12" ht="14.45">
      <c r="B117" s="41"/>
      <c r="K117" s="41"/>
      <c r="L117" s="41"/>
    </row>
    <row r="118" spans="2:12" ht="14.45">
      <c r="B118" s="41"/>
      <c r="K118" s="41"/>
      <c r="L118" s="41"/>
    </row>
    <row r="119" spans="2:12" ht="14.45">
      <c r="B119" s="41"/>
      <c r="K119" s="41"/>
      <c r="L119" s="41"/>
    </row>
    <row r="120" spans="2:12" ht="14.45">
      <c r="B120" s="41"/>
      <c r="K120" s="41"/>
      <c r="L120" s="41"/>
    </row>
    <row r="121" spans="2:12" ht="14.45">
      <c r="B121" s="41"/>
      <c r="K121" s="41"/>
      <c r="L121" s="41"/>
    </row>
    <row r="122" spans="2:12" ht="14.45">
      <c r="B122" s="41"/>
      <c r="K122" s="41"/>
      <c r="L122" s="41"/>
    </row>
    <row r="123" spans="2:12" ht="14.45">
      <c r="B123" s="41"/>
      <c r="K123" s="41"/>
      <c r="L123" s="41"/>
    </row>
    <row r="124" spans="2:12" ht="14.45">
      <c r="B124" s="41"/>
      <c r="K124" s="41"/>
      <c r="L124" s="41"/>
    </row>
    <row r="126" spans="2:12" ht="14.45">
      <c r="B126" s="41" t="s">
        <v>278</v>
      </c>
    </row>
    <row r="127" spans="2:12" ht="14.45">
      <c r="B127" s="41" t="s">
        <v>279</v>
      </c>
      <c r="K127" s="41"/>
      <c r="L127" s="41"/>
    </row>
    <row r="128" spans="2:12" ht="14.45">
      <c r="B128" s="41" t="s">
        <v>231</v>
      </c>
      <c r="K128" s="41"/>
      <c r="L128" s="41"/>
    </row>
    <row r="129" spans="2:12" ht="14.45">
      <c r="B129" s="41" t="s">
        <v>280</v>
      </c>
      <c r="K129" s="41"/>
      <c r="L129" s="41"/>
    </row>
    <row r="130" spans="2:12" ht="14.45">
      <c r="B130" s="41" t="s">
        <v>281</v>
      </c>
      <c r="K130" s="41"/>
      <c r="L130" s="41"/>
    </row>
    <row r="131" spans="2:12" ht="14.45">
      <c r="B131" s="41" t="s">
        <v>282</v>
      </c>
      <c r="K131" s="41"/>
      <c r="L131" s="41"/>
    </row>
    <row r="132" spans="2:12" ht="14.45">
      <c r="B132" s="41" t="s">
        <v>283</v>
      </c>
      <c r="K132" s="41"/>
      <c r="L132" s="41"/>
    </row>
    <row r="133" spans="2:12" ht="14.45">
      <c r="B133" s="41" t="s">
        <v>284</v>
      </c>
      <c r="K133" s="41"/>
      <c r="L133" s="41"/>
    </row>
    <row r="134" spans="2:12" ht="14.45">
      <c r="B134" s="41" t="s">
        <v>285</v>
      </c>
      <c r="K134" s="41"/>
      <c r="L134" s="41"/>
    </row>
    <row r="135" spans="2:12" ht="14.45">
      <c r="B135" s="41" t="s">
        <v>286</v>
      </c>
      <c r="K135" s="41"/>
      <c r="L135" s="41"/>
    </row>
    <row r="136" spans="2:12" ht="14.45">
      <c r="B136" s="41" t="s">
        <v>287</v>
      </c>
      <c r="K136" s="41"/>
      <c r="L136" s="41"/>
    </row>
    <row r="137" spans="2:12" ht="14.45">
      <c r="B137" s="41" t="s">
        <v>223</v>
      </c>
      <c r="K137" s="41"/>
      <c r="L137" s="41"/>
    </row>
    <row r="138" spans="2:12" ht="14.45">
      <c r="B138" s="41" t="s">
        <v>288</v>
      </c>
      <c r="K138" s="41"/>
      <c r="L138" s="41"/>
    </row>
    <row r="139" spans="2:12" ht="14.45">
      <c r="B139" s="41" t="s">
        <v>289</v>
      </c>
      <c r="K139" s="41"/>
      <c r="L139" s="41"/>
    </row>
    <row r="140" spans="2:12" ht="14.45">
      <c r="B140" s="41" t="s">
        <v>290</v>
      </c>
      <c r="K140" s="41"/>
      <c r="L140" s="41"/>
    </row>
    <row r="141" spans="2:12" ht="14.45">
      <c r="B141" s="41" t="s">
        <v>291</v>
      </c>
      <c r="K141" s="41"/>
      <c r="L141" s="41"/>
    </row>
    <row r="142" spans="2:12" ht="14.45">
      <c r="B142" s="41" t="s">
        <v>292</v>
      </c>
      <c r="K142" s="41"/>
      <c r="L142" s="41"/>
    </row>
    <row r="143" spans="2:12" ht="14.45">
      <c r="B143" s="41" t="s">
        <v>293</v>
      </c>
      <c r="K143" s="40"/>
      <c r="L143" s="40"/>
    </row>
    <row r="144" spans="2:12" ht="14.45">
      <c r="B144" s="41" t="s">
        <v>294</v>
      </c>
      <c r="K144" s="40"/>
      <c r="L144" s="40"/>
    </row>
    <row r="145" spans="2:12" ht="14.45">
      <c r="B145" s="41" t="s">
        <v>295</v>
      </c>
      <c r="K145" s="40"/>
      <c r="L145" s="40"/>
    </row>
    <row r="146" spans="2:12" ht="14.45">
      <c r="B146" s="41" t="s">
        <v>141</v>
      </c>
      <c r="K146" s="41"/>
      <c r="L146" s="41"/>
    </row>
    <row r="147" spans="2:12" ht="14.45">
      <c r="B147" s="41" t="s">
        <v>296</v>
      </c>
      <c r="K147" s="41"/>
      <c r="L147" s="41"/>
    </row>
    <row r="148" spans="2:12" ht="14.45">
      <c r="B148" s="41" t="s">
        <v>297</v>
      </c>
      <c r="K148" s="41"/>
      <c r="L148" s="41"/>
    </row>
    <row r="149" spans="2:12" ht="14.45">
      <c r="B149" s="41" t="s">
        <v>298</v>
      </c>
      <c r="K149" s="41"/>
      <c r="L149" s="41"/>
    </row>
    <row r="150" spans="2:12" ht="14.45">
      <c r="B150" s="41" t="s">
        <v>299</v>
      </c>
      <c r="K150" s="41"/>
      <c r="L150" s="41"/>
    </row>
    <row r="151" spans="2:12" ht="14.45">
      <c r="B151" s="41" t="s">
        <v>300</v>
      </c>
      <c r="K151" s="41"/>
      <c r="L151" s="41"/>
    </row>
    <row r="152" spans="2:12" ht="14.45">
      <c r="B152" s="40" t="s">
        <v>301</v>
      </c>
    </row>
    <row r="153" spans="2:12" ht="14.45">
      <c r="B153" s="40" t="s">
        <v>302</v>
      </c>
    </row>
    <row r="154" spans="2:12" ht="14.45">
      <c r="B154" s="40"/>
      <c r="K154" s="107"/>
      <c r="L154" s="107"/>
    </row>
    <row r="155" spans="2:12" ht="14.45">
      <c r="B155" s="40" t="s">
        <v>303</v>
      </c>
      <c r="K155" s="107"/>
      <c r="L155" s="107"/>
    </row>
    <row r="156" spans="2:12" ht="14.45">
      <c r="B156" s="41" t="s">
        <v>304</v>
      </c>
    </row>
    <row r="157" spans="2:12" ht="14.45">
      <c r="B157" s="41" t="s">
        <v>305</v>
      </c>
    </row>
    <row r="158" spans="2:12" ht="14.45">
      <c r="B158" s="41" t="s">
        <v>306</v>
      </c>
    </row>
    <row r="159" spans="2:12" ht="14.45">
      <c r="B159" s="41" t="s">
        <v>307</v>
      </c>
    </row>
    <row r="160" spans="2:12" ht="14.45">
      <c r="B160" s="41" t="s">
        <v>308</v>
      </c>
    </row>
    <row r="161" spans="2:22" ht="14.45">
      <c r="B161" s="41" t="s">
        <v>309</v>
      </c>
    </row>
    <row r="163" spans="2:22" ht="14.45">
      <c r="B163" s="107" t="s">
        <v>310</v>
      </c>
    </row>
    <row r="164" spans="2:22" ht="14.45">
      <c r="B164" s="107" t="s">
        <v>311</v>
      </c>
    </row>
    <row r="167" spans="2:22" ht="14.45">
      <c r="V167" s="1" t="s">
        <v>312</v>
      </c>
    </row>
    <row r="168" spans="2:22" ht="14.45">
      <c r="B168" s="1">
        <f>COUNTIF(N5:N29, "Bilingual")</f>
        <v>0</v>
      </c>
    </row>
    <row r="169" spans="2:22" ht="14.45">
      <c r="B169" s="1">
        <f>COUNTIF(N5:N29, "English")</f>
        <v>0</v>
      </c>
    </row>
    <row r="171" spans="2:22" ht="14.45">
      <c r="B171" s="1" t="s">
        <v>313</v>
      </c>
    </row>
    <row r="172" spans="2:22" ht="14.45">
      <c r="B172" s="1" t="s">
        <v>314</v>
      </c>
    </row>
    <row r="173" spans="2:22" ht="14.45">
      <c r="B173" s="1" t="s">
        <v>315</v>
      </c>
    </row>
    <row r="174" spans="2:22" ht="14.45">
      <c r="B174" s="1" t="s">
        <v>316</v>
      </c>
    </row>
    <row r="175" spans="2:22" ht="14.45">
      <c r="B175" s="1" t="s">
        <v>317</v>
      </c>
    </row>
    <row r="176" spans="2:22" ht="14.45">
      <c r="B176" s="1" t="s">
        <v>318</v>
      </c>
    </row>
    <row r="177" spans="2:2" ht="14.45">
      <c r="B177" s="1" t="s">
        <v>319</v>
      </c>
    </row>
    <row r="178" spans="2:2" ht="14.45">
      <c r="B178" s="1" t="s">
        <v>320</v>
      </c>
    </row>
    <row r="179" spans="2:2" ht="14.45">
      <c r="B179" s="1" t="s">
        <v>321</v>
      </c>
    </row>
    <row r="180" spans="2:2" ht="14.45">
      <c r="B180" s="1" t="s">
        <v>206</v>
      </c>
    </row>
    <row r="182" spans="2:2" ht="14.45">
      <c r="B182" s="1" t="s">
        <v>322</v>
      </c>
    </row>
    <row r="183" spans="2:2" ht="14.45">
      <c r="B183" s="1" t="s">
        <v>323</v>
      </c>
    </row>
    <row r="185" spans="2:2" ht="14.45">
      <c r="B185" s="1" t="s">
        <v>117</v>
      </c>
    </row>
    <row r="186" spans="2:2" ht="14.45">
      <c r="B186" s="1" t="s">
        <v>119</v>
      </c>
    </row>
  </sheetData>
  <sheetProtection formatCells="0" selectLockedCells="1"/>
  <mergeCells count="1">
    <mergeCell ref="H2:J3"/>
  </mergeCells>
  <conditionalFormatting sqref="B5:Y44">
    <cfRule type="expression" dxfId="2120" priority="1">
      <formula>IF($G5:$G48="Resigned Pre-Process", TRUE)</formula>
    </cfRule>
    <cfRule type="expression" dxfId="2119" priority="2">
      <formula>IF($G5:$G48="Terminated- Tier 1B", TRUE)</formula>
    </cfRule>
    <cfRule type="expression" dxfId="2118" priority="3">
      <formula>IF($G5:$G48="Terminated- Tier 1A", TRUE)</formula>
    </cfRule>
    <cfRule type="expression" dxfId="2117" priority="4">
      <formula>IF($G5:$G48 ="Terminated-Nesting 1A", TRUE)</formula>
    </cfRule>
    <cfRule type="expression" dxfId="2116" priority="5">
      <formula>IF($G5:$G48="Terminated-Nesting 1B", TRUE)</formula>
    </cfRule>
    <cfRule type="expression" dxfId="2115" priority="6">
      <formula>IF($G5:$G48="Terminated-Nesting 3", TRUE)</formula>
    </cfRule>
    <cfRule type="expression" dxfId="2114" priority="7">
      <formula>IF($G5:$G48="Resigned-Nesting 3", TRUE)</formula>
    </cfRule>
    <cfRule type="expression" dxfId="2113" priority="8">
      <formula>IF($G5:$G48 ="Resigned-Nesting 1A", TRUE)</formula>
    </cfRule>
    <cfRule type="expression" dxfId="2112" priority="9">
      <formula>IF($G5:$G48 ="Resigned-Nesting 1B", TRUE)</formula>
    </cfRule>
    <cfRule type="expression" dxfId="2111" priority="10">
      <formula>IF($G5:$G48="Resigned Tier 1B", TRUE)</formula>
    </cfRule>
    <cfRule type="expression" dxfId="2110" priority="11">
      <formula>IF($G5:$G48="Resigned Tier 1A", TRUE)</formula>
    </cfRule>
    <cfRule type="expression" dxfId="2109" priority="12">
      <formula>IF($G5:$G48 ="Did Not Start", TRUE)</formula>
    </cfRule>
    <cfRule type="expression" dxfId="2108" priority="13">
      <formula>IF($G5:$G48 ="Terminated Pre-Process", TRUE)</formula>
    </cfRule>
    <cfRule type="expression" dxfId="2107" priority="14">
      <formula>IF($G5:$G48="Transition to Production", TRUE)</formula>
    </cfRule>
    <cfRule type="expression" dxfId="2106" priority="15">
      <formula>IF($G5:$G48 ="Transition to Production with SMART Plan", TRUE)</formula>
    </cfRule>
  </conditionalFormatting>
  <dataValidations count="16">
    <dataValidation type="list" allowBlank="1" showInputMessage="1" showErrorMessage="1" sqref="B21:B44" xr:uid="{00000000-0002-0000-0500-000000000000}">
      <formula1>$B$146:$B$152</formula1>
    </dataValidation>
    <dataValidation type="list" allowBlank="1" showInputMessage="1" showErrorMessage="1" sqref="N5:N44" xr:uid="{00000000-0002-0000-0500-000001000000}">
      <formula1>$B$92:$B$93</formula1>
    </dataValidation>
    <dataValidation type="list" allowBlank="1" showInputMessage="1" showErrorMessage="1" sqref="K17:K44" xr:uid="{00000000-0002-0000-0500-000004000000}">
      <formula1>$B$162:$B$171</formula1>
    </dataValidation>
    <dataValidation type="list" allowBlank="1" showInputMessage="1" showErrorMessage="1" sqref="L17:L44" xr:uid="{00000000-0002-0000-0500-000005000000}">
      <formula1>$B$173:$B$174</formula1>
    </dataValidation>
    <dataValidation type="list" allowBlank="1" showInputMessage="1" showErrorMessage="1" sqref="F17:F44" xr:uid="{FF769CFD-BB2B-44A4-B822-A46464C03F31}">
      <formula1>$B$176:$B$177</formula1>
    </dataValidation>
    <dataValidation type="list" allowBlank="1" showInputMessage="1" showErrorMessage="1" sqref="K5:K16" xr:uid="{B072ECAF-2752-4910-B0CD-BF37A61248A9}">
      <formula1>$B$171:$B$180</formula1>
    </dataValidation>
    <dataValidation type="list" allowBlank="1" showInputMessage="1" showErrorMessage="1" sqref="L5:L16" xr:uid="{D626A9AD-FFF4-413C-85FD-6AB71B7E17BF}">
      <formula1>$B$182:$B$183</formula1>
    </dataValidation>
    <dataValidation type="list" allowBlank="1" showInputMessage="1" showErrorMessage="1" sqref="F5:F16" xr:uid="{3D59E1B0-B8AD-4DD9-9861-5E3DFF679EF0}">
      <formula1>$B$185:$B$186</formula1>
    </dataValidation>
    <dataValidation type="list" allowBlank="1" showInputMessage="1" showErrorMessage="1" sqref="B5:B20" xr:uid="{29FE0B8E-1517-4BEB-A072-01513F30FBB4}">
      <formula1>$B$156:$B$161</formula1>
    </dataValidation>
    <dataValidation type="list" allowBlank="1" showInputMessage="1" showErrorMessage="1" sqref="G5:G44" xr:uid="{5B0496E6-D684-42B6-B1ED-4DBA26BB12E6}">
      <formula1>$B$127:$B$153</formula1>
    </dataValidation>
    <dataValidation type="list" allowBlank="1" showInputMessage="1" showErrorMessage="1" sqref="H45:H1048576" xr:uid="{B9BEEC72-B99A-4820-9595-510CABD469C9}">
      <formula1>"Failed PP, Failed PST, Failed Nesting, Better Opportunity, Health, Requirements, Family, Education, Relocation, Others"</formula1>
    </dataValidation>
    <dataValidation type="list" allowBlank="1" showInputMessage="1" showErrorMessage="1" sqref="I45:I1048576" xr:uid="{E4724787-4D5C-4D4F-889C-2B4695CC9745}">
      <formula1>"Attendance, Assessment, Nesting Performance, Behaviour, ZTP, Higher Pay, Proximity, Failed BC, Kin Care, Going back to School, Prolonged sickness, HR Did not Inform"</formula1>
    </dataValidation>
    <dataValidation type="list" allowBlank="1" showInputMessage="1" showErrorMessage="1" sqref="J45:J1048576" xr:uid="{A64F7C8B-F9CF-4C3B-8555-4F550EDE5843}">
      <formula1>"Sickness, Pregnancy, Comprehension, Communication Skills, Rudeness, Unfit to Work, Conflict w/ schedule, Commuting Issues, Job Abadonment, Dissatisfied with the Role, No longer responsive,Workload, Cultural Misfit, Bullying, Burnout, Not meeting OPS KPIs"</formula1>
    </dataValidation>
    <dataValidation type="list" allowBlank="1" showInputMessage="1" showErrorMessage="1" sqref="H5:H44" xr:uid="{DC164024-A336-42FE-A389-E51D6478D0DB}">
      <formula1>$B$57:$B$66</formula1>
    </dataValidation>
    <dataValidation type="list" allowBlank="1" showInputMessage="1" showErrorMessage="1" sqref="I5:I44" xr:uid="{5D3B265D-CAFF-42B1-9BF7-4903F1BE6E97}">
      <formula1>$B$69:$B$81</formula1>
    </dataValidation>
    <dataValidation type="list" allowBlank="1" showInputMessage="1" showErrorMessage="1" sqref="J5:J44" xr:uid="{F50C2C2F-778C-4911-AC35-E3AF1562B6D0}">
      <formula1>$B$83:$B$104</formula1>
    </dataValidation>
  </dataValidations>
  <hyperlinks>
    <hyperlink ref="Z4" location="'Class Summary'!A1" display="Class Summary" xr:uid="{00000000-0004-0000-0500-000000000000}"/>
    <hyperlink ref="AB5" location="'Quick Links'!I3" display="Report Cards" xr:uid="{00000000-0004-0000-0500-000003000000}"/>
    <hyperlink ref="AB4" location="'Nesting QA'!A1" display="Nesting QA" xr:uid="{00000000-0004-0000-0500-000004000000}"/>
    <hyperlink ref="Z5" location="'Student Data'!A1" display="Student Data" xr:uid="{00000000-0004-0000-0500-000005000000}"/>
    <hyperlink ref="B1" location="'Quick Links'!A1" display="Home" xr:uid="{2B501312-CE78-4A90-9B79-BDAE6F440A3A}"/>
  </hyperlinks>
  <pageMargins left="0.70866141732283472" right="0.70866141732283472" top="0.74803149606299213" bottom="0.74803149606299213" header="0.31496062992125984" footer="0.31496062992125984"/>
  <pageSetup scale="55"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tabColor theme="7" tint="0.39997558519241921"/>
  </sheetPr>
  <dimension ref="A1:AW95"/>
  <sheetViews>
    <sheetView workbookViewId="0">
      <selection activeCell="A2" sqref="A2:I3"/>
    </sheetView>
  </sheetViews>
  <sheetFormatPr defaultColWidth="9.140625" defaultRowHeight="14.45"/>
  <cols>
    <col min="1" max="1" width="3" bestFit="1" customWidth="1"/>
    <col min="2" max="4" width="27.85546875" customWidth="1"/>
    <col min="5" max="6" width="15.140625" customWidth="1"/>
    <col min="7" max="7" width="18.140625" customWidth="1"/>
    <col min="8" max="8" width="15.85546875" customWidth="1"/>
    <col min="9" max="9" width="20.5703125" customWidth="1"/>
    <col min="11" max="49" width="9.140625" style="1"/>
  </cols>
  <sheetData>
    <row r="1" spans="1:49">
      <c r="B1" s="288" t="s">
        <v>90</v>
      </c>
    </row>
    <row r="2" spans="1:49">
      <c r="A2" s="823" t="s">
        <v>324</v>
      </c>
      <c r="B2" s="824"/>
      <c r="C2" s="824"/>
      <c r="D2" s="824"/>
      <c r="E2" s="824"/>
      <c r="F2" s="824"/>
      <c r="G2" s="824"/>
      <c r="H2" s="824"/>
      <c r="I2" s="825"/>
      <c r="J2" s="3"/>
    </row>
    <row r="3" spans="1:49" ht="15" thickBot="1">
      <c r="A3" s="826"/>
      <c r="B3" s="827"/>
      <c r="C3" s="827"/>
      <c r="D3" s="827"/>
      <c r="E3" s="827"/>
      <c r="F3" s="827"/>
      <c r="G3" s="827"/>
      <c r="H3" s="827"/>
      <c r="I3" s="828"/>
      <c r="J3" s="3"/>
    </row>
    <row r="4" spans="1:49" s="182" customFormat="1" ht="16.149999999999999" thickTop="1">
      <c r="A4" s="178"/>
      <c r="B4" s="179" t="s">
        <v>325</v>
      </c>
      <c r="C4" s="179" t="s">
        <v>326</v>
      </c>
      <c r="D4" s="179" t="s">
        <v>327</v>
      </c>
      <c r="E4" s="179" t="s">
        <v>328</v>
      </c>
      <c r="F4" s="179" t="s">
        <v>329</v>
      </c>
      <c r="G4" s="179" t="s">
        <v>330</v>
      </c>
      <c r="H4" s="179" t="s">
        <v>331</v>
      </c>
      <c r="I4" s="179" t="s">
        <v>332</v>
      </c>
      <c r="J4" s="180"/>
      <c r="K4" s="181"/>
      <c r="L4" s="181"/>
      <c r="M4" s="181"/>
      <c r="N4" s="181"/>
      <c r="O4" s="181"/>
      <c r="P4" s="181"/>
      <c r="Q4" s="181"/>
      <c r="R4" s="181"/>
      <c r="S4" s="181"/>
      <c r="T4" s="181"/>
      <c r="U4" s="181"/>
      <c r="V4" s="181"/>
      <c r="W4" s="181"/>
      <c r="X4" s="181"/>
      <c r="Y4" s="181"/>
      <c r="Z4" s="181"/>
      <c r="AA4" s="181"/>
      <c r="AB4" s="181"/>
      <c r="AC4" s="181"/>
      <c r="AD4" s="181"/>
      <c r="AE4" s="181"/>
      <c r="AF4" s="181"/>
      <c r="AG4" s="181"/>
      <c r="AH4" s="181"/>
      <c r="AI4" s="181"/>
      <c r="AJ4" s="181"/>
      <c r="AK4" s="181"/>
      <c r="AL4" s="181"/>
      <c r="AM4" s="181"/>
      <c r="AN4" s="181"/>
      <c r="AO4" s="181"/>
      <c r="AP4" s="181"/>
      <c r="AQ4" s="181"/>
      <c r="AR4" s="181"/>
      <c r="AS4" s="181"/>
      <c r="AT4" s="181"/>
      <c r="AU4" s="181"/>
      <c r="AV4" s="181"/>
      <c r="AW4" s="181"/>
    </row>
    <row r="5" spans="1:49">
      <c r="A5" s="183">
        <v>1</v>
      </c>
      <c r="B5" s="184">
        <v>0</v>
      </c>
      <c r="C5" s="184">
        <v>0</v>
      </c>
      <c r="D5" s="185">
        <v>0</v>
      </c>
      <c r="E5" s="186"/>
      <c r="F5" s="186"/>
      <c r="G5" s="186"/>
      <c r="H5" s="186"/>
      <c r="I5" s="186"/>
      <c r="J5" s="3"/>
    </row>
    <row r="6" spans="1:49">
      <c r="A6" s="183">
        <v>2</v>
      </c>
      <c r="B6" s="184">
        <v>0</v>
      </c>
      <c r="C6" s="184">
        <v>0</v>
      </c>
      <c r="D6" s="185">
        <v>0</v>
      </c>
      <c r="E6" s="187"/>
      <c r="F6" s="186"/>
      <c r="G6" s="186"/>
      <c r="H6" s="186"/>
      <c r="I6" s="186"/>
      <c r="J6" s="3"/>
    </row>
    <row r="7" spans="1:49">
      <c r="A7" s="183">
        <v>3</v>
      </c>
      <c r="B7" s="184">
        <v>0</v>
      </c>
      <c r="C7" s="184">
        <v>0</v>
      </c>
      <c r="D7" s="185">
        <v>0</v>
      </c>
      <c r="E7" s="187"/>
      <c r="F7" s="186"/>
      <c r="G7" s="186"/>
      <c r="H7" s="186"/>
      <c r="I7" s="186"/>
      <c r="J7" s="3"/>
    </row>
    <row r="8" spans="1:49">
      <c r="A8" s="183">
        <v>4</v>
      </c>
      <c r="B8" s="184">
        <v>0</v>
      </c>
      <c r="C8" s="184">
        <v>0</v>
      </c>
      <c r="D8" s="185">
        <v>0</v>
      </c>
      <c r="E8" s="186"/>
      <c r="F8" s="186"/>
      <c r="G8" s="186"/>
      <c r="H8" s="186"/>
      <c r="I8" s="186"/>
      <c r="J8" s="3"/>
    </row>
    <row r="9" spans="1:49">
      <c r="A9" s="183">
        <v>5</v>
      </c>
      <c r="B9" s="184">
        <v>0</v>
      </c>
      <c r="C9" s="184">
        <v>0</v>
      </c>
      <c r="D9" s="185">
        <v>0</v>
      </c>
      <c r="E9" s="188"/>
      <c r="F9" s="186"/>
      <c r="G9" s="186"/>
      <c r="H9" s="186"/>
      <c r="I9" s="186"/>
      <c r="J9" s="3"/>
    </row>
    <row r="10" spans="1:49">
      <c r="A10" s="183">
        <v>6</v>
      </c>
      <c r="B10" s="184">
        <v>0</v>
      </c>
      <c r="C10" s="184">
        <v>0</v>
      </c>
      <c r="D10" s="185">
        <v>0</v>
      </c>
      <c r="E10" s="187"/>
      <c r="F10" s="186"/>
      <c r="G10" s="186"/>
      <c r="H10" s="186"/>
      <c r="I10" s="186"/>
      <c r="J10" s="3"/>
    </row>
    <row r="11" spans="1:49">
      <c r="A11" s="183">
        <v>7</v>
      </c>
      <c r="B11" s="184">
        <v>0</v>
      </c>
      <c r="C11" s="184">
        <v>0</v>
      </c>
      <c r="D11" s="185">
        <v>0</v>
      </c>
      <c r="E11" s="187"/>
      <c r="F11" s="186"/>
      <c r="G11" s="186"/>
      <c r="H11" s="186"/>
      <c r="I11" s="186"/>
      <c r="J11" s="3"/>
    </row>
    <row r="12" spans="1:49">
      <c r="A12" s="183">
        <v>8</v>
      </c>
      <c r="B12" s="184">
        <v>0</v>
      </c>
      <c r="C12" s="184">
        <v>0</v>
      </c>
      <c r="D12" s="185">
        <v>0</v>
      </c>
      <c r="E12" s="187"/>
      <c r="F12" s="186"/>
      <c r="G12" s="186"/>
      <c r="H12" s="186"/>
      <c r="I12" s="186"/>
      <c r="J12" s="3"/>
    </row>
    <row r="13" spans="1:49">
      <c r="A13" s="183">
        <v>9</v>
      </c>
      <c r="B13" s="184">
        <v>0</v>
      </c>
      <c r="C13" s="184">
        <v>0</v>
      </c>
      <c r="D13" s="185">
        <v>0</v>
      </c>
      <c r="E13" s="187"/>
      <c r="F13" s="186"/>
      <c r="G13" s="186"/>
      <c r="H13" s="186"/>
      <c r="I13" s="186"/>
      <c r="J13" s="3"/>
    </row>
    <row r="14" spans="1:49">
      <c r="A14" s="183">
        <v>10</v>
      </c>
      <c r="B14" s="184">
        <v>0</v>
      </c>
      <c r="C14" s="184">
        <v>0</v>
      </c>
      <c r="D14" s="185">
        <v>0</v>
      </c>
      <c r="E14" s="187"/>
      <c r="F14" s="186"/>
      <c r="G14" s="186"/>
      <c r="H14" s="186"/>
      <c r="I14" s="186"/>
      <c r="J14" s="3"/>
    </row>
    <row r="15" spans="1:49">
      <c r="A15" s="183">
        <v>11</v>
      </c>
      <c r="B15" s="184">
        <v>0</v>
      </c>
      <c r="C15" s="184">
        <v>0</v>
      </c>
      <c r="D15" s="185">
        <v>0</v>
      </c>
      <c r="E15" s="187"/>
      <c r="F15" s="186"/>
      <c r="G15" s="186"/>
      <c r="H15" s="186"/>
      <c r="I15" s="186"/>
      <c r="J15" s="3"/>
    </row>
    <row r="16" spans="1:49">
      <c r="A16" s="183">
        <v>12</v>
      </c>
      <c r="B16" s="184">
        <v>0</v>
      </c>
      <c r="C16" s="184">
        <v>0</v>
      </c>
      <c r="D16" s="185">
        <v>0</v>
      </c>
      <c r="E16" s="187"/>
      <c r="F16" s="186"/>
      <c r="G16" s="186"/>
      <c r="H16" s="186"/>
      <c r="I16" s="186"/>
      <c r="J16" s="3"/>
    </row>
    <row r="17" spans="1:10">
      <c r="A17" s="189">
        <v>13</v>
      </c>
      <c r="B17" s="184">
        <v>0</v>
      </c>
      <c r="C17" s="184">
        <v>0</v>
      </c>
      <c r="D17" s="185">
        <v>0</v>
      </c>
      <c r="E17" s="187"/>
      <c r="F17" s="186"/>
      <c r="G17" s="186"/>
      <c r="H17" s="186"/>
      <c r="I17" s="186"/>
      <c r="J17" s="3"/>
    </row>
    <row r="18" spans="1:10">
      <c r="A18" s="183">
        <v>14</v>
      </c>
      <c r="B18" s="184">
        <v>0</v>
      </c>
      <c r="C18" s="184">
        <v>0</v>
      </c>
      <c r="D18" s="185">
        <v>0</v>
      </c>
      <c r="E18" s="187"/>
      <c r="F18" s="186"/>
      <c r="G18" s="186"/>
      <c r="H18" s="186"/>
      <c r="I18" s="186"/>
      <c r="J18" s="3"/>
    </row>
    <row r="19" spans="1:10">
      <c r="A19" s="183">
        <v>15</v>
      </c>
      <c r="B19" s="184">
        <v>0</v>
      </c>
      <c r="C19" s="184">
        <v>0</v>
      </c>
      <c r="D19" s="185">
        <v>0</v>
      </c>
      <c r="E19" s="187"/>
      <c r="F19" s="186"/>
      <c r="G19" s="186"/>
      <c r="H19" s="186"/>
      <c r="I19" s="186"/>
      <c r="J19" s="3"/>
    </row>
    <row r="20" spans="1:10">
      <c r="A20" s="183">
        <v>16</v>
      </c>
      <c r="B20" s="184">
        <v>0</v>
      </c>
      <c r="C20" s="184">
        <v>0</v>
      </c>
      <c r="D20" s="185">
        <v>0</v>
      </c>
      <c r="E20" s="187"/>
      <c r="F20" s="186"/>
      <c r="G20" s="186"/>
      <c r="H20" s="186"/>
      <c r="I20" s="186"/>
      <c r="J20" s="3"/>
    </row>
    <row r="21" spans="1:10">
      <c r="A21" s="183">
        <v>17</v>
      </c>
      <c r="B21" s="184">
        <v>0</v>
      </c>
      <c r="C21" s="184">
        <v>0</v>
      </c>
      <c r="D21" s="185">
        <v>0</v>
      </c>
      <c r="E21" s="187"/>
      <c r="F21" s="186"/>
      <c r="G21" s="186"/>
      <c r="H21" s="186"/>
      <c r="I21" s="186"/>
      <c r="J21" s="3"/>
    </row>
    <row r="22" spans="1:10">
      <c r="A22" s="183">
        <v>18</v>
      </c>
      <c r="B22" s="184">
        <v>0</v>
      </c>
      <c r="C22" s="184">
        <v>0</v>
      </c>
      <c r="D22" s="185">
        <v>0</v>
      </c>
      <c r="E22" s="187"/>
      <c r="F22" s="186"/>
      <c r="G22" s="186"/>
      <c r="H22" s="186"/>
      <c r="I22" s="186"/>
      <c r="J22" s="3"/>
    </row>
    <row r="23" spans="1:10">
      <c r="A23" s="183">
        <v>19</v>
      </c>
      <c r="B23" s="184">
        <v>0</v>
      </c>
      <c r="C23" s="184">
        <v>0</v>
      </c>
      <c r="D23" s="185">
        <v>0</v>
      </c>
      <c r="E23" s="187"/>
      <c r="F23" s="186"/>
      <c r="G23" s="186"/>
      <c r="H23" s="186"/>
      <c r="I23" s="186"/>
      <c r="J23" s="3"/>
    </row>
    <row r="24" spans="1:10">
      <c r="A24" s="183">
        <v>20</v>
      </c>
      <c r="B24" s="184">
        <v>0</v>
      </c>
      <c r="C24" s="184">
        <v>0</v>
      </c>
      <c r="D24" s="185">
        <v>0</v>
      </c>
      <c r="E24" s="187"/>
      <c r="F24" s="186"/>
      <c r="G24" s="186"/>
      <c r="H24" s="186"/>
      <c r="I24" s="186"/>
      <c r="J24" s="3"/>
    </row>
    <row r="25" spans="1:10">
      <c r="A25" s="183">
        <v>21</v>
      </c>
      <c r="B25" s="184">
        <v>0</v>
      </c>
      <c r="C25" s="184">
        <v>0</v>
      </c>
      <c r="D25" s="185">
        <v>0</v>
      </c>
      <c r="E25" s="187"/>
      <c r="F25" s="186"/>
      <c r="G25" s="186"/>
      <c r="H25" s="186"/>
      <c r="I25" s="186"/>
      <c r="J25" s="3"/>
    </row>
    <row r="26" spans="1:10">
      <c r="A26" s="183">
        <v>22</v>
      </c>
      <c r="B26" s="184">
        <v>0</v>
      </c>
      <c r="C26" s="184">
        <v>0</v>
      </c>
      <c r="D26" s="185">
        <v>0</v>
      </c>
      <c r="E26" s="187"/>
      <c r="F26" s="186"/>
      <c r="G26" s="186"/>
      <c r="H26" s="186"/>
      <c r="I26" s="186"/>
      <c r="J26" s="3"/>
    </row>
    <row r="27" spans="1:10">
      <c r="A27" s="183">
        <v>23</v>
      </c>
      <c r="B27" s="184">
        <v>0</v>
      </c>
      <c r="C27" s="184">
        <v>0</v>
      </c>
      <c r="D27" s="185">
        <v>0</v>
      </c>
      <c r="E27" s="187"/>
      <c r="F27" s="186"/>
      <c r="G27" s="186"/>
      <c r="H27" s="186"/>
      <c r="I27" s="186"/>
      <c r="J27" s="3"/>
    </row>
    <row r="28" spans="1:10">
      <c r="A28" s="183">
        <v>24</v>
      </c>
      <c r="B28" s="184">
        <v>0</v>
      </c>
      <c r="C28" s="184">
        <v>0</v>
      </c>
      <c r="D28" s="185">
        <v>0</v>
      </c>
      <c r="E28" s="187"/>
      <c r="F28" s="186"/>
      <c r="G28" s="186"/>
      <c r="H28" s="186"/>
      <c r="I28" s="186"/>
      <c r="J28" s="3"/>
    </row>
    <row r="29" spans="1:10">
      <c r="A29" s="183">
        <v>25</v>
      </c>
      <c r="B29" s="184">
        <v>0</v>
      </c>
      <c r="C29" s="184">
        <v>0</v>
      </c>
      <c r="D29" s="185">
        <v>0</v>
      </c>
      <c r="E29" s="187"/>
      <c r="F29" s="186"/>
      <c r="G29" s="186"/>
      <c r="H29" s="186"/>
      <c r="I29" s="186"/>
      <c r="J29" s="3"/>
    </row>
    <row r="30" spans="1:10">
      <c r="A30" s="183">
        <v>26</v>
      </c>
      <c r="B30" s="184">
        <v>0</v>
      </c>
      <c r="C30" s="184">
        <v>0</v>
      </c>
      <c r="D30" s="185">
        <v>0</v>
      </c>
      <c r="E30" s="187"/>
      <c r="F30" s="186"/>
      <c r="G30" s="186"/>
      <c r="H30" s="186"/>
      <c r="I30" s="186"/>
      <c r="J30" s="3"/>
    </row>
    <row r="31" spans="1:10">
      <c r="A31" s="183">
        <v>27</v>
      </c>
      <c r="B31" s="184">
        <v>0</v>
      </c>
      <c r="C31" s="184">
        <v>0</v>
      </c>
      <c r="D31" s="185">
        <v>0</v>
      </c>
      <c r="E31" s="187"/>
      <c r="F31" s="186"/>
      <c r="G31" s="186"/>
      <c r="H31" s="186"/>
      <c r="I31" s="186"/>
      <c r="J31" s="3"/>
    </row>
    <row r="32" spans="1:10">
      <c r="A32" s="183">
        <v>28</v>
      </c>
      <c r="B32" s="184">
        <v>0</v>
      </c>
      <c r="C32" s="184">
        <v>0</v>
      </c>
      <c r="D32" s="185">
        <v>0</v>
      </c>
      <c r="E32" s="187"/>
      <c r="F32" s="186"/>
      <c r="G32" s="186"/>
      <c r="H32" s="186"/>
      <c r="I32" s="186"/>
      <c r="J32" s="3"/>
    </row>
    <row r="33" spans="1:10">
      <c r="A33" s="183">
        <v>29</v>
      </c>
      <c r="B33" s="184">
        <v>0</v>
      </c>
      <c r="C33" s="184">
        <v>0</v>
      </c>
      <c r="D33" s="185">
        <v>0</v>
      </c>
      <c r="E33" s="187"/>
      <c r="F33" s="186"/>
      <c r="G33" s="186"/>
      <c r="H33" s="186"/>
      <c r="I33" s="186"/>
      <c r="J33" s="3"/>
    </row>
    <row r="34" spans="1:10">
      <c r="A34" s="183">
        <v>30</v>
      </c>
      <c r="B34" s="184">
        <v>0</v>
      </c>
      <c r="C34" s="184">
        <v>0</v>
      </c>
      <c r="D34" s="185">
        <v>0</v>
      </c>
      <c r="E34" s="187"/>
      <c r="F34" s="186"/>
      <c r="G34" s="186"/>
      <c r="H34" s="186"/>
      <c r="I34" s="186"/>
      <c r="J34" s="3"/>
    </row>
    <row r="35" spans="1:10">
      <c r="A35" s="3"/>
      <c r="B35" s="3"/>
      <c r="C35" s="3"/>
      <c r="D35" s="3"/>
      <c r="E35" s="3"/>
      <c r="F35" s="3"/>
      <c r="G35" s="3"/>
      <c r="H35" s="3"/>
      <c r="I35" s="3"/>
      <c r="J35" s="3"/>
    </row>
    <row r="36" spans="1:10" s="1" customFormat="1"/>
    <row r="37" spans="1:10" s="1" customFormat="1"/>
    <row r="38" spans="1:10" s="1" customFormat="1"/>
    <row r="39" spans="1:10" s="1" customFormat="1"/>
    <row r="40" spans="1:10" s="1" customFormat="1"/>
    <row r="41" spans="1:10" s="1" customFormat="1"/>
    <row r="42" spans="1:10" s="1" customFormat="1"/>
    <row r="43" spans="1:10" s="1" customFormat="1"/>
    <row r="44" spans="1:10" s="1" customFormat="1"/>
    <row r="45" spans="1:10" s="1" customFormat="1"/>
    <row r="46" spans="1:10" s="1" customFormat="1"/>
    <row r="47" spans="1:10" s="1" customFormat="1"/>
    <row r="48" spans="1:10" s="1" customFormat="1"/>
    <row r="49" s="1" customFormat="1"/>
    <row r="50" s="1" customFormat="1"/>
    <row r="51" s="1" customFormat="1"/>
    <row r="52" s="1" customFormat="1"/>
    <row r="53" s="1" customFormat="1"/>
    <row r="54" s="1" customFormat="1"/>
    <row r="55" s="1" customFormat="1"/>
    <row r="56" s="1" customFormat="1"/>
    <row r="57" s="1" customFormat="1"/>
    <row r="58" s="1" customFormat="1"/>
    <row r="59" s="1" customFormat="1"/>
    <row r="60" s="1" customFormat="1"/>
    <row r="61" s="1" customFormat="1"/>
    <row r="62" s="1" customFormat="1"/>
    <row r="63" s="1" customFormat="1"/>
    <row r="64" s="1" customFormat="1"/>
    <row r="65" s="1" customFormat="1"/>
    <row r="66" s="1" customFormat="1"/>
    <row r="67" s="1" customFormat="1"/>
    <row r="68" s="1" customFormat="1"/>
    <row r="69" s="1" customFormat="1"/>
    <row r="70" s="1" customFormat="1"/>
    <row r="71" s="1" customFormat="1"/>
    <row r="72" s="1" customFormat="1"/>
    <row r="73" s="1" customFormat="1"/>
    <row r="74" s="1" customFormat="1"/>
    <row r="75" s="1" customFormat="1"/>
    <row r="76" s="1" customFormat="1"/>
    <row r="77" s="1" customFormat="1"/>
    <row r="78" s="1" customFormat="1"/>
    <row r="79" s="1" customFormat="1"/>
    <row r="80" s="1" customFormat="1"/>
    <row r="81" s="1" customFormat="1"/>
    <row r="82" s="1" customFormat="1"/>
    <row r="83" s="1" customFormat="1"/>
    <row r="84" s="1" customFormat="1"/>
    <row r="85" s="1" customFormat="1"/>
    <row r="86" s="1" customFormat="1"/>
    <row r="87" s="1" customFormat="1"/>
    <row r="88" s="1" customFormat="1"/>
    <row r="89" s="1" customFormat="1"/>
    <row r="90" s="1" customFormat="1"/>
    <row r="91" s="1" customFormat="1"/>
    <row r="92" s="1" customFormat="1"/>
    <row r="93" s="1" customFormat="1"/>
    <row r="94" s="1" customFormat="1"/>
    <row r="95" s="1" customFormat="1"/>
  </sheetData>
  <mergeCells count="1">
    <mergeCell ref="A2:I3"/>
  </mergeCells>
  <hyperlinks>
    <hyperlink ref="B1" location="'Quick Links'!A1" display="Home" xr:uid="{9165FB8E-3821-4FD0-BDF3-51130264CBBA}"/>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M160"/>
  <sheetViews>
    <sheetView zoomScale="90" zoomScaleNormal="90" workbookViewId="0">
      <pane xSplit="7" topLeftCell="AJ17" activePane="topRight" state="frozen"/>
      <selection pane="topRight" activeCell="AJ17" sqref="AJ17"/>
      <selection activeCell="D2" sqref="D2"/>
    </sheetView>
  </sheetViews>
  <sheetFormatPr defaultColWidth="9.140625" defaultRowHeight="15" customHeight="1"/>
  <cols>
    <col min="1" max="1" width="11.28515625" style="11" bestFit="1" customWidth="1"/>
    <col min="2" max="2" width="14.5703125" style="11" bestFit="1" customWidth="1"/>
    <col min="3" max="3" width="17.85546875" style="11" customWidth="1"/>
    <col min="4" max="4" width="13.28515625" style="11" customWidth="1"/>
    <col min="5" max="6" width="21" style="11" customWidth="1"/>
    <col min="7" max="14" width="19.85546875" style="11" customWidth="1"/>
    <col min="15" max="15" width="21.85546875" style="11" customWidth="1"/>
    <col min="16" max="16" width="17.5703125" style="11" customWidth="1"/>
    <col min="17" max="17" width="15.5703125" style="11" customWidth="1"/>
    <col min="18" max="18" width="19.7109375" style="11" customWidth="1"/>
    <col min="19" max="19" width="20" style="11" customWidth="1"/>
    <col min="20" max="21" width="23.28515625" style="11" customWidth="1"/>
    <col min="22" max="23" width="19.5703125" style="11" customWidth="1"/>
    <col min="24" max="26" width="17.7109375" style="11" customWidth="1"/>
    <col min="27" max="27" width="19.85546875" style="11" customWidth="1"/>
    <col min="28" max="28" width="14.5703125" style="11" bestFit="1" customWidth="1"/>
    <col min="29" max="29" width="17.28515625" style="11" customWidth="1"/>
    <col min="30" max="30" width="18" style="11" bestFit="1" customWidth="1"/>
    <col min="31" max="31" width="18" style="11" customWidth="1"/>
    <col min="32" max="34" width="15.5703125" style="11" customWidth="1"/>
    <col min="35" max="36" width="19.85546875" style="11" customWidth="1"/>
    <col min="37" max="37" width="14.28515625" style="11" customWidth="1"/>
    <col min="38" max="38" width="21.5703125" style="11" customWidth="1"/>
    <col min="39" max="39" width="44" style="11" customWidth="1"/>
    <col min="40" max="40" width="34.28515625" style="11" customWidth="1"/>
    <col min="41" max="16384" width="9.140625" style="11"/>
  </cols>
  <sheetData>
    <row r="1" spans="1:39" ht="44.25" customHeight="1">
      <c r="A1" s="261"/>
      <c r="B1" s="259"/>
      <c r="C1" s="262" t="s">
        <v>333</v>
      </c>
      <c r="D1" s="263" t="e">
        <f>'Class Summary'!#REF!</f>
        <v>#REF!</v>
      </c>
      <c r="E1" s="837"/>
      <c r="F1" s="837"/>
      <c r="G1" s="838"/>
      <c r="H1" s="494"/>
      <c r="I1" s="48" t="s">
        <v>334</v>
      </c>
      <c r="J1" s="321">
        <v>0.8</v>
      </c>
      <c r="K1" s="494"/>
      <c r="L1" s="494"/>
      <c r="M1" s="494"/>
      <c r="N1" s="494"/>
      <c r="O1" s="48" t="s">
        <v>334</v>
      </c>
      <c r="P1" s="321">
        <v>0.8</v>
      </c>
      <c r="Q1" s="314"/>
      <c r="R1" s="315"/>
      <c r="S1" s="104" t="s">
        <v>335</v>
      </c>
      <c r="T1" s="56" t="s">
        <v>336</v>
      </c>
      <c r="U1" s="318"/>
      <c r="V1" s="314"/>
      <c r="W1" s="314"/>
      <c r="Y1" s="55" t="s">
        <v>337</v>
      </c>
      <c r="Z1" s="55"/>
      <c r="AA1" s="199" t="s">
        <v>338</v>
      </c>
      <c r="AB1" s="200">
        <v>0.85</v>
      </c>
    </row>
    <row r="2" spans="1:39" ht="72" customHeight="1">
      <c r="A2" s="288" t="s">
        <v>90</v>
      </c>
      <c r="E2" s="839"/>
      <c r="F2" s="839"/>
      <c r="G2" s="839"/>
      <c r="H2" s="619" t="s">
        <v>339</v>
      </c>
      <c r="I2" s="845" t="s">
        <v>340</v>
      </c>
      <c r="J2" s="845"/>
      <c r="K2" s="845"/>
      <c r="L2" s="845"/>
      <c r="M2" s="845"/>
      <c r="N2" s="845"/>
      <c r="O2" s="844" t="s">
        <v>341</v>
      </c>
      <c r="P2" s="844"/>
      <c r="Q2" s="844"/>
      <c r="R2" s="844"/>
      <c r="S2" s="844"/>
      <c r="T2" s="844"/>
      <c r="U2" s="844"/>
      <c r="V2" s="844"/>
      <c r="W2" s="597"/>
      <c r="X2" s="842" t="s">
        <v>342</v>
      </c>
      <c r="Y2" s="843"/>
      <c r="Z2" s="843"/>
      <c r="AA2" s="843"/>
      <c r="AB2" s="843"/>
      <c r="AC2" s="843"/>
      <c r="AD2" s="614" t="s">
        <v>343</v>
      </c>
      <c r="AE2" s="615"/>
      <c r="AI2" s="616" t="s">
        <v>344</v>
      </c>
      <c r="AJ2" s="617"/>
    </row>
    <row r="3" spans="1:39" ht="37.5" customHeight="1">
      <c r="A3" s="216"/>
      <c r="B3" s="217" t="s">
        <v>159</v>
      </c>
      <c r="C3" s="217" t="s">
        <v>160</v>
      </c>
      <c r="D3" s="217" t="s">
        <v>161</v>
      </c>
      <c r="E3" s="831" t="s">
        <v>345</v>
      </c>
      <c r="F3" s="833" t="s">
        <v>161</v>
      </c>
      <c r="G3" s="831" t="s">
        <v>346</v>
      </c>
      <c r="H3" s="601" t="s">
        <v>347</v>
      </c>
      <c r="I3" s="620" t="s">
        <v>348</v>
      </c>
      <c r="J3" s="621" t="s">
        <v>349</v>
      </c>
      <c r="K3" s="622" t="s">
        <v>350</v>
      </c>
      <c r="L3" s="620" t="s">
        <v>351</v>
      </c>
      <c r="M3" s="620" t="s">
        <v>352</v>
      </c>
      <c r="N3" s="623" t="s">
        <v>353</v>
      </c>
      <c r="O3" s="602" t="s">
        <v>354</v>
      </c>
      <c r="P3" s="602" t="s">
        <v>355</v>
      </c>
      <c r="Q3" s="602" t="s">
        <v>356</v>
      </c>
      <c r="R3" s="602" t="s">
        <v>357</v>
      </c>
      <c r="S3" s="602" t="s">
        <v>358</v>
      </c>
      <c r="T3" s="602" t="s">
        <v>359</v>
      </c>
      <c r="U3" s="602" t="s">
        <v>360</v>
      </c>
      <c r="V3" s="602" t="s">
        <v>361</v>
      </c>
      <c r="W3" s="602" t="s">
        <v>362</v>
      </c>
      <c r="X3" s="603" t="s">
        <v>363</v>
      </c>
      <c r="Y3" s="603" t="s">
        <v>364</v>
      </c>
      <c r="Z3" s="603" t="s">
        <v>365</v>
      </c>
      <c r="AA3" s="603" t="s">
        <v>366</v>
      </c>
      <c r="AB3" s="604" t="s">
        <v>367</v>
      </c>
      <c r="AC3" s="612" t="s">
        <v>368</v>
      </c>
      <c r="AD3" s="609" t="s">
        <v>369</v>
      </c>
      <c r="AE3" s="610" t="s">
        <v>370</v>
      </c>
      <c r="AF3" s="610" t="s">
        <v>371</v>
      </c>
      <c r="AG3" s="610" t="s">
        <v>371</v>
      </c>
      <c r="AH3" s="610" t="s">
        <v>371</v>
      </c>
      <c r="AI3" s="835" t="s">
        <v>372</v>
      </c>
      <c r="AJ3" s="836" t="s">
        <v>373</v>
      </c>
      <c r="AK3" s="840" t="s">
        <v>374</v>
      </c>
      <c r="AL3" s="829" t="s">
        <v>375</v>
      </c>
      <c r="AM3" s="829" t="s">
        <v>376</v>
      </c>
    </row>
    <row r="4" spans="1:39" ht="18">
      <c r="A4" s="96"/>
      <c r="B4" s="106"/>
      <c r="C4" s="106"/>
      <c r="D4" s="106"/>
      <c r="E4" s="832"/>
      <c r="F4" s="834"/>
      <c r="G4" s="832"/>
      <c r="H4" s="605" t="s">
        <v>377</v>
      </c>
      <c r="I4" s="606" t="s">
        <v>377</v>
      </c>
      <c r="J4" s="606" t="s">
        <v>377</v>
      </c>
      <c r="K4" s="606" t="s">
        <v>377</v>
      </c>
      <c r="L4" s="606" t="s">
        <v>377</v>
      </c>
      <c r="M4" s="606" t="s">
        <v>377</v>
      </c>
      <c r="N4" s="606" t="s">
        <v>377</v>
      </c>
      <c r="O4" s="606" t="s">
        <v>377</v>
      </c>
      <c r="P4" s="606" t="s">
        <v>377</v>
      </c>
      <c r="Q4" s="606" t="s">
        <v>377</v>
      </c>
      <c r="R4" s="606" t="s">
        <v>377</v>
      </c>
      <c r="S4" s="606" t="s">
        <v>377</v>
      </c>
      <c r="T4" s="606" t="s">
        <v>377</v>
      </c>
      <c r="U4" s="606" t="s">
        <v>377</v>
      </c>
      <c r="V4" s="606" t="s">
        <v>377</v>
      </c>
      <c r="W4" s="606" t="s">
        <v>377</v>
      </c>
      <c r="X4" s="607" t="s">
        <v>377</v>
      </c>
      <c r="Y4" s="607" t="s">
        <v>377</v>
      </c>
      <c r="Z4" s="607" t="s">
        <v>377</v>
      </c>
      <c r="AA4" s="607" t="s">
        <v>377</v>
      </c>
      <c r="AB4" s="608" t="s">
        <v>377</v>
      </c>
      <c r="AC4" s="613" t="s">
        <v>377</v>
      </c>
      <c r="AD4" s="611" t="s">
        <v>377</v>
      </c>
      <c r="AE4" s="611" t="s">
        <v>377</v>
      </c>
      <c r="AF4" s="611" t="s">
        <v>377</v>
      </c>
      <c r="AG4" s="611" t="s">
        <v>377</v>
      </c>
      <c r="AH4" s="611" t="s">
        <v>377</v>
      </c>
      <c r="AI4" s="835"/>
      <c r="AJ4" s="836"/>
      <c r="AK4" s="841"/>
      <c r="AL4" s="830"/>
      <c r="AM4" s="830"/>
    </row>
    <row r="5" spans="1:39" ht="14.45">
      <c r="A5" s="2">
        <v>1</v>
      </c>
      <c r="B5" s="2" t="str">
        <f>IF('Student Data'!C5="","",'Student Data'!C5)</f>
        <v>Rnne</v>
      </c>
      <c r="C5" s="2" t="str">
        <f>IF('Student Data'!D5="","",'Student Data'!D5)</f>
        <v>Donna</v>
      </c>
      <c r="D5" s="2" t="str">
        <f>IF('Student Data'!G5="","",'Student Data'!G5)</f>
        <v>Resigned Pre-Process</v>
      </c>
      <c r="E5" s="319">
        <f t="shared" ref="E5:E16" si="0">IF(C5="","",(COUNTIF(O5:AC5, "&gt;79%")/15))</f>
        <v>0</v>
      </c>
      <c r="F5" s="320" t="str">
        <f>'Student Data'!G5</f>
        <v>Resigned Pre-Process</v>
      </c>
      <c r="G5" s="319">
        <f t="shared" ref="G5:G44" si="1">IF(C5="","",(COUNTIF(AA5, "&gt;79%")))</f>
        <v>0</v>
      </c>
      <c r="H5" s="598"/>
      <c r="I5" s="599"/>
      <c r="J5" s="599"/>
      <c r="K5" s="599"/>
      <c r="L5" s="599"/>
      <c r="M5" s="599"/>
      <c r="N5" s="599"/>
      <c r="O5" s="599"/>
      <c r="P5" s="599"/>
      <c r="Q5" s="599"/>
      <c r="R5" s="599"/>
      <c r="S5" s="599"/>
      <c r="T5" s="599"/>
      <c r="U5" s="599"/>
      <c r="V5" s="599"/>
      <c r="W5" s="599"/>
      <c r="X5" s="599"/>
      <c r="Y5" s="599"/>
      <c r="Z5" s="599"/>
      <c r="AA5" s="599"/>
      <c r="AB5" s="599"/>
      <c r="AC5" s="600"/>
      <c r="AD5" s="599"/>
      <c r="AE5" s="599"/>
      <c r="AF5" s="599"/>
      <c r="AG5" s="599"/>
      <c r="AH5" s="599"/>
      <c r="AI5" s="618" t="str">
        <f t="shared" ref="AI5:AI44" si="2">IF(C5="","",(IFERROR(AVERAGE(P5:X5),"0%")))</f>
        <v>0%</v>
      </c>
      <c r="AJ5" s="618" t="str">
        <f t="shared" ref="AJ5:AJ44" si="3">IF(C5="","",(IFERROR(AVERAGE(AC5:AH5),"0")))</f>
        <v>0</v>
      </c>
      <c r="AK5" s="12"/>
      <c r="AL5" s="12"/>
      <c r="AM5" s="12"/>
    </row>
    <row r="6" spans="1:39" ht="14.45">
      <c r="A6" s="2">
        <f>A5+1</f>
        <v>2</v>
      </c>
      <c r="B6" s="2" t="str">
        <f>IF('Student Data'!C6="","",'Student Data'!C6)</f>
        <v xml:space="preserve">Aquino </v>
      </c>
      <c r="C6" s="2" t="str">
        <f>IF('Student Data'!D6="","",'Student Data'!D6)</f>
        <v>Summer</v>
      </c>
      <c r="D6" s="2" t="str">
        <f>IF('Student Data'!G6="","",'Student Data'!G6)</f>
        <v>Tier 1A</v>
      </c>
      <c r="E6" s="319">
        <f t="shared" si="0"/>
        <v>0</v>
      </c>
      <c r="F6" s="320" t="str">
        <f>'Student Data'!G6</f>
        <v>Tier 1A</v>
      </c>
      <c r="G6" s="319">
        <f t="shared" si="1"/>
        <v>0</v>
      </c>
      <c r="H6" s="319"/>
      <c r="I6" s="599"/>
      <c r="J6" s="599"/>
      <c r="K6" s="599"/>
      <c r="L6" s="599"/>
      <c r="M6" s="599"/>
      <c r="N6" s="599"/>
      <c r="O6" s="34"/>
      <c r="P6" s="34"/>
      <c r="Q6" s="34"/>
      <c r="R6" s="34"/>
      <c r="S6" s="34"/>
      <c r="T6" s="34"/>
      <c r="U6" s="34"/>
      <c r="V6" s="34"/>
      <c r="W6" s="34"/>
      <c r="X6" s="34"/>
      <c r="Y6" s="34"/>
      <c r="Z6" s="34"/>
      <c r="AA6" s="34"/>
      <c r="AB6" s="34"/>
      <c r="AC6" s="339"/>
      <c r="AD6" s="34"/>
      <c r="AE6" s="34"/>
      <c r="AF6" s="34"/>
      <c r="AG6" s="34"/>
      <c r="AH6" s="34"/>
      <c r="AI6" s="341" t="str">
        <f t="shared" si="2"/>
        <v>0%</v>
      </c>
      <c r="AJ6" s="341" t="str">
        <f t="shared" si="3"/>
        <v>0</v>
      </c>
      <c r="AK6" s="12"/>
      <c r="AL6" s="12"/>
      <c r="AM6" s="12"/>
    </row>
    <row r="7" spans="1:39" ht="14.45">
      <c r="A7" s="2">
        <f t="shared" ref="A7:A44" si="4">A6+1</f>
        <v>3</v>
      </c>
      <c r="B7" s="2" t="str">
        <f>IF('Student Data'!C7="","",'Student Data'!C7)</f>
        <v xml:space="preserve">Reyes </v>
      </c>
      <c r="C7" s="2" t="str">
        <f>IF('Student Data'!D7="","",'Student Data'!D7)</f>
        <v>Joana</v>
      </c>
      <c r="D7" s="2" t="str">
        <f>IF('Student Data'!G7="","",'Student Data'!G7)</f>
        <v>Tier 1A</v>
      </c>
      <c r="E7" s="319">
        <f t="shared" si="0"/>
        <v>0</v>
      </c>
      <c r="F7" s="320" t="str">
        <f>'Student Data'!G7</f>
        <v>Tier 1A</v>
      </c>
      <c r="G7" s="319">
        <f t="shared" si="1"/>
        <v>0</v>
      </c>
      <c r="H7" s="319"/>
      <c r="I7" s="599"/>
      <c r="J7" s="599"/>
      <c r="K7" s="599"/>
      <c r="L7" s="599"/>
      <c r="M7" s="599"/>
      <c r="N7" s="599"/>
      <c r="O7" s="34"/>
      <c r="P7" s="34"/>
      <c r="Q7" s="34"/>
      <c r="R7" s="34"/>
      <c r="S7" s="34"/>
      <c r="T7" s="34"/>
      <c r="U7" s="34"/>
      <c r="V7" s="34"/>
      <c r="W7" s="34"/>
      <c r="X7" s="34"/>
      <c r="Y7" s="34"/>
      <c r="Z7" s="34"/>
      <c r="AA7" s="34"/>
      <c r="AB7" s="34"/>
      <c r="AC7" s="339"/>
      <c r="AD7" s="34"/>
      <c r="AE7" s="34"/>
      <c r="AF7" s="34"/>
      <c r="AG7" s="34"/>
      <c r="AH7" s="34"/>
      <c r="AI7" s="341" t="str">
        <f t="shared" si="2"/>
        <v>0%</v>
      </c>
      <c r="AJ7" s="341" t="str">
        <f t="shared" si="3"/>
        <v>0</v>
      </c>
      <c r="AK7" s="12"/>
      <c r="AL7" s="12"/>
      <c r="AM7" s="12"/>
    </row>
    <row r="8" spans="1:39" ht="14.45">
      <c r="A8" s="2">
        <f t="shared" si="4"/>
        <v>4</v>
      </c>
      <c r="B8" s="2" t="str">
        <f>IF('Student Data'!C8="","",'Student Data'!C8)</f>
        <v>Manuel</v>
      </c>
      <c r="C8" s="2" t="str">
        <f>IF('Student Data'!D8="","",'Student Data'!D8)</f>
        <v>Quezon</v>
      </c>
      <c r="D8" s="2" t="str">
        <f>IF('Student Data'!G8="","",'Student Data'!G8)</f>
        <v>Tier 1A</v>
      </c>
      <c r="E8" s="319">
        <f t="shared" si="0"/>
        <v>0</v>
      </c>
      <c r="F8" s="320" t="str">
        <f>'Student Data'!G8</f>
        <v>Tier 1A</v>
      </c>
      <c r="G8" s="319">
        <f t="shared" si="1"/>
        <v>0</v>
      </c>
      <c r="H8" s="319"/>
      <c r="I8" s="599"/>
      <c r="J8" s="599"/>
      <c r="K8" s="599"/>
      <c r="L8" s="599"/>
      <c r="M8" s="599"/>
      <c r="N8" s="599"/>
      <c r="O8" s="34"/>
      <c r="P8" s="34"/>
      <c r="Q8" s="34"/>
      <c r="R8" s="34"/>
      <c r="S8" s="34"/>
      <c r="T8" s="34"/>
      <c r="U8" s="34"/>
      <c r="V8" s="34"/>
      <c r="W8" s="34"/>
      <c r="X8" s="34"/>
      <c r="Y8" s="34"/>
      <c r="Z8" s="34"/>
      <c r="AA8" s="34"/>
      <c r="AB8" s="34"/>
      <c r="AC8" s="339">
        <f>'Day 1 WFH Audit'!F9</f>
        <v>0</v>
      </c>
      <c r="AD8" s="34"/>
      <c r="AE8" s="34"/>
      <c r="AF8" s="34"/>
      <c r="AG8" s="34"/>
      <c r="AH8" s="34"/>
      <c r="AI8" s="341" t="str">
        <f t="shared" si="2"/>
        <v>0%</v>
      </c>
      <c r="AJ8" s="341">
        <f t="shared" si="3"/>
        <v>0</v>
      </c>
      <c r="AK8" s="12"/>
      <c r="AL8" s="12"/>
      <c r="AM8" s="12"/>
    </row>
    <row r="9" spans="1:39" ht="14.45">
      <c r="A9" s="2">
        <f t="shared" si="4"/>
        <v>5</v>
      </c>
      <c r="B9" s="2" t="str">
        <f>IF('Student Data'!C9="","",'Student Data'!C9)</f>
        <v/>
      </c>
      <c r="C9" s="2" t="str">
        <f>IF('Student Data'!D9="","",'Student Data'!D9)</f>
        <v/>
      </c>
      <c r="D9" s="2" t="str">
        <f>IF('Student Data'!G9="","",'Student Data'!G9)</f>
        <v/>
      </c>
      <c r="E9" s="319" t="str">
        <f t="shared" si="0"/>
        <v/>
      </c>
      <c r="F9" s="320">
        <f>'Student Data'!G9</f>
        <v>0</v>
      </c>
      <c r="G9" s="319" t="str">
        <f t="shared" si="1"/>
        <v/>
      </c>
      <c r="H9" s="319"/>
      <c r="I9" s="599"/>
      <c r="J9" s="599"/>
      <c r="K9" s="599"/>
      <c r="L9" s="599"/>
      <c r="M9" s="599"/>
      <c r="N9" s="599"/>
      <c r="O9" s="34"/>
      <c r="P9" s="34"/>
      <c r="Q9" s="34"/>
      <c r="R9" s="34"/>
      <c r="S9" s="34"/>
      <c r="T9" s="34"/>
      <c r="U9" s="34"/>
      <c r="V9" s="34"/>
      <c r="W9" s="34"/>
      <c r="X9" s="34"/>
      <c r="Y9" s="34"/>
      <c r="Z9" s="34"/>
      <c r="AA9" s="34"/>
      <c r="AB9" s="34"/>
      <c r="AC9" s="339" t="str">
        <f>'Day 1 WFH Audit'!F10</f>
        <v/>
      </c>
      <c r="AD9" s="34"/>
      <c r="AE9" s="34"/>
      <c r="AF9" s="34"/>
      <c r="AG9" s="34"/>
      <c r="AH9" s="34"/>
      <c r="AI9" s="341" t="str">
        <f t="shared" si="2"/>
        <v/>
      </c>
      <c r="AJ9" s="341" t="str">
        <f t="shared" si="3"/>
        <v/>
      </c>
      <c r="AK9" s="12"/>
      <c r="AL9" s="12"/>
      <c r="AM9" s="12"/>
    </row>
    <row r="10" spans="1:39" ht="14.45">
      <c r="A10" s="2">
        <f t="shared" si="4"/>
        <v>6</v>
      </c>
      <c r="B10" s="2" t="str">
        <f>IF('Student Data'!C10="","",'Student Data'!C10)</f>
        <v/>
      </c>
      <c r="C10" s="2" t="str">
        <f>IF('Student Data'!D10="","",'Student Data'!D10)</f>
        <v/>
      </c>
      <c r="D10" s="2" t="str">
        <f>IF('Student Data'!G10="","",'Student Data'!G10)</f>
        <v/>
      </c>
      <c r="E10" s="319" t="str">
        <f t="shared" si="0"/>
        <v/>
      </c>
      <c r="F10" s="320">
        <f>'Student Data'!G10</f>
        <v>0</v>
      </c>
      <c r="G10" s="319" t="str">
        <f t="shared" si="1"/>
        <v/>
      </c>
      <c r="H10" s="319"/>
      <c r="I10" s="599"/>
      <c r="J10" s="599"/>
      <c r="K10" s="599"/>
      <c r="L10" s="599"/>
      <c r="M10" s="599"/>
      <c r="N10" s="599"/>
      <c r="O10" s="34"/>
      <c r="P10" s="34"/>
      <c r="Q10" s="34"/>
      <c r="R10" s="34"/>
      <c r="S10" s="34"/>
      <c r="T10" s="34"/>
      <c r="U10" s="34"/>
      <c r="V10" s="34"/>
      <c r="W10" s="34"/>
      <c r="X10" s="34"/>
      <c r="Y10" s="34"/>
      <c r="Z10" s="34"/>
      <c r="AA10" s="34"/>
      <c r="AB10" s="34"/>
      <c r="AC10" s="339" t="str">
        <f>'Day 1 WFH Audit'!F11</f>
        <v/>
      </c>
      <c r="AD10" s="34"/>
      <c r="AE10" s="34"/>
      <c r="AF10" s="34"/>
      <c r="AG10" s="34"/>
      <c r="AH10" s="34"/>
      <c r="AI10" s="341" t="str">
        <f t="shared" si="2"/>
        <v/>
      </c>
      <c r="AJ10" s="341" t="str">
        <f t="shared" si="3"/>
        <v/>
      </c>
      <c r="AK10" s="12"/>
      <c r="AL10" s="12"/>
      <c r="AM10" s="12"/>
    </row>
    <row r="11" spans="1:39" ht="14.45">
      <c r="A11" s="2">
        <f t="shared" si="4"/>
        <v>7</v>
      </c>
      <c r="B11" s="2" t="str">
        <f>IF('Student Data'!C11="","",'Student Data'!C11)</f>
        <v/>
      </c>
      <c r="C11" s="2" t="str">
        <f>IF('Student Data'!D11="","",'Student Data'!D11)</f>
        <v/>
      </c>
      <c r="D11" s="2" t="str">
        <f>IF('Student Data'!G11="","",'Student Data'!G11)</f>
        <v/>
      </c>
      <c r="E11" s="319" t="str">
        <f t="shared" si="0"/>
        <v/>
      </c>
      <c r="F11" s="320">
        <f>'Student Data'!G11</f>
        <v>0</v>
      </c>
      <c r="G11" s="319" t="str">
        <f t="shared" si="1"/>
        <v/>
      </c>
      <c r="H11" s="319"/>
      <c r="I11" s="599"/>
      <c r="J11" s="599"/>
      <c r="K11" s="599"/>
      <c r="L11" s="599"/>
      <c r="M11" s="599"/>
      <c r="N11" s="599"/>
      <c r="O11" s="34"/>
      <c r="P11" s="34"/>
      <c r="Q11" s="34"/>
      <c r="R11" s="34"/>
      <c r="S11" s="34"/>
      <c r="T11" s="34"/>
      <c r="U11" s="34"/>
      <c r="V11" s="34"/>
      <c r="W11" s="34"/>
      <c r="X11" s="34"/>
      <c r="Y11" s="34"/>
      <c r="Z11" s="34"/>
      <c r="AA11" s="34"/>
      <c r="AB11" s="34"/>
      <c r="AC11" s="339" t="str">
        <f>'Day 1 WFH Audit'!F12</f>
        <v/>
      </c>
      <c r="AD11" s="34"/>
      <c r="AE11" s="34"/>
      <c r="AF11" s="34"/>
      <c r="AG11" s="34"/>
      <c r="AH11" s="34"/>
      <c r="AI11" s="341" t="str">
        <f t="shared" si="2"/>
        <v/>
      </c>
      <c r="AJ11" s="341" t="str">
        <f t="shared" si="3"/>
        <v/>
      </c>
      <c r="AK11" s="12"/>
      <c r="AL11" s="12"/>
      <c r="AM11" s="12"/>
    </row>
    <row r="12" spans="1:39" ht="14.45">
      <c r="A12" s="2">
        <f t="shared" si="4"/>
        <v>8</v>
      </c>
      <c r="B12" s="2" t="str">
        <f>IF('Student Data'!C12="","",'Student Data'!C12)</f>
        <v/>
      </c>
      <c r="C12" s="2" t="str">
        <f>IF('Student Data'!D12="","",'Student Data'!D12)</f>
        <v/>
      </c>
      <c r="D12" s="2" t="str">
        <f>IF('Student Data'!G12="","",'Student Data'!G12)</f>
        <v/>
      </c>
      <c r="E12" s="319" t="str">
        <f t="shared" si="0"/>
        <v/>
      </c>
      <c r="F12" s="320">
        <f>'Student Data'!G12</f>
        <v>0</v>
      </c>
      <c r="G12" s="319" t="str">
        <f t="shared" si="1"/>
        <v/>
      </c>
      <c r="H12" s="319"/>
      <c r="I12" s="599"/>
      <c r="J12" s="599"/>
      <c r="K12" s="599"/>
      <c r="L12" s="599"/>
      <c r="M12" s="599"/>
      <c r="N12" s="599"/>
      <c r="O12" s="34"/>
      <c r="P12" s="34"/>
      <c r="Q12" s="34"/>
      <c r="R12" s="34"/>
      <c r="S12" s="34"/>
      <c r="T12" s="34"/>
      <c r="U12" s="34"/>
      <c r="V12" s="34"/>
      <c r="W12" s="34"/>
      <c r="X12" s="34"/>
      <c r="Y12" s="34"/>
      <c r="Z12" s="34"/>
      <c r="AA12" s="34"/>
      <c r="AB12" s="34"/>
      <c r="AC12" s="339" t="str">
        <f>'Day 1 WFH Audit'!F13</f>
        <v/>
      </c>
      <c r="AD12" s="34"/>
      <c r="AE12" s="34"/>
      <c r="AF12" s="34"/>
      <c r="AG12" s="34"/>
      <c r="AH12" s="34"/>
      <c r="AI12" s="341" t="str">
        <f t="shared" si="2"/>
        <v/>
      </c>
      <c r="AJ12" s="341" t="str">
        <f t="shared" si="3"/>
        <v/>
      </c>
      <c r="AK12" s="12"/>
      <c r="AL12" s="12"/>
      <c r="AM12" s="12"/>
    </row>
    <row r="13" spans="1:39" ht="14.45">
      <c r="A13" s="2">
        <f t="shared" si="4"/>
        <v>9</v>
      </c>
      <c r="B13" s="2" t="str">
        <f>IF('Student Data'!C13="","",'Student Data'!C13)</f>
        <v/>
      </c>
      <c r="C13" s="2" t="str">
        <f>IF('Student Data'!D13="","",'Student Data'!D13)</f>
        <v/>
      </c>
      <c r="D13" s="2" t="str">
        <f>IF('Student Data'!G13="","",'Student Data'!G13)</f>
        <v/>
      </c>
      <c r="E13" s="319" t="str">
        <f t="shared" si="0"/>
        <v/>
      </c>
      <c r="F13" s="320">
        <f>'Student Data'!G13</f>
        <v>0</v>
      </c>
      <c r="G13" s="319" t="str">
        <f t="shared" si="1"/>
        <v/>
      </c>
      <c r="H13" s="319"/>
      <c r="I13" s="599"/>
      <c r="J13" s="599"/>
      <c r="K13" s="599"/>
      <c r="L13" s="599"/>
      <c r="M13" s="599"/>
      <c r="N13" s="599"/>
      <c r="O13" s="34"/>
      <c r="P13" s="34"/>
      <c r="Q13" s="34"/>
      <c r="R13" s="34"/>
      <c r="S13" s="34"/>
      <c r="T13" s="34"/>
      <c r="U13" s="34"/>
      <c r="V13" s="34"/>
      <c r="W13" s="34"/>
      <c r="X13" s="34"/>
      <c r="Y13" s="34"/>
      <c r="Z13" s="34"/>
      <c r="AA13" s="34"/>
      <c r="AB13" s="34"/>
      <c r="AC13" s="339" t="str">
        <f>'Day 1 WFH Audit'!F14</f>
        <v/>
      </c>
      <c r="AD13" s="34"/>
      <c r="AE13" s="34"/>
      <c r="AF13" s="34"/>
      <c r="AG13" s="34"/>
      <c r="AH13" s="34"/>
      <c r="AI13" s="341" t="str">
        <f t="shared" si="2"/>
        <v/>
      </c>
      <c r="AJ13" s="341" t="str">
        <f t="shared" si="3"/>
        <v/>
      </c>
      <c r="AK13" s="12"/>
      <c r="AL13" s="12"/>
      <c r="AM13" s="12"/>
    </row>
    <row r="14" spans="1:39" ht="14.45">
      <c r="A14" s="2">
        <f t="shared" si="4"/>
        <v>10</v>
      </c>
      <c r="B14" s="2" t="str">
        <f>IF('Student Data'!C14="","",'Student Data'!C14)</f>
        <v/>
      </c>
      <c r="C14" s="2" t="str">
        <f>IF('Student Data'!D14="","",'Student Data'!D14)</f>
        <v/>
      </c>
      <c r="D14" s="2" t="str">
        <f>IF('Student Data'!G14="","",'Student Data'!G14)</f>
        <v/>
      </c>
      <c r="E14" s="319" t="str">
        <f t="shared" si="0"/>
        <v/>
      </c>
      <c r="F14" s="320">
        <f>'Student Data'!G14</f>
        <v>0</v>
      </c>
      <c r="G14" s="319" t="str">
        <f t="shared" si="1"/>
        <v/>
      </c>
      <c r="H14" s="319"/>
      <c r="I14" s="599"/>
      <c r="J14" s="599"/>
      <c r="K14" s="599"/>
      <c r="L14" s="599"/>
      <c r="M14" s="599"/>
      <c r="N14" s="599"/>
      <c r="O14" s="23"/>
      <c r="P14" s="34"/>
      <c r="Q14" s="23"/>
      <c r="R14" s="23"/>
      <c r="S14" s="23"/>
      <c r="T14" s="23"/>
      <c r="U14" s="23"/>
      <c r="V14" s="23"/>
      <c r="W14" s="23"/>
      <c r="X14" s="34"/>
      <c r="Y14" s="34"/>
      <c r="Z14" s="34"/>
      <c r="AA14" s="34"/>
      <c r="AB14" s="34"/>
      <c r="AC14" s="339" t="str">
        <f>'Day 1 WFH Audit'!F15</f>
        <v/>
      </c>
      <c r="AD14" s="34"/>
      <c r="AE14" s="34"/>
      <c r="AF14" s="34"/>
      <c r="AG14" s="34"/>
      <c r="AH14" s="34"/>
      <c r="AI14" s="341" t="str">
        <f t="shared" si="2"/>
        <v/>
      </c>
      <c r="AJ14" s="341" t="str">
        <f t="shared" si="3"/>
        <v/>
      </c>
      <c r="AK14" s="12"/>
      <c r="AL14" s="12"/>
      <c r="AM14" s="12"/>
    </row>
    <row r="15" spans="1:39" ht="14.45">
      <c r="A15" s="2">
        <f t="shared" si="4"/>
        <v>11</v>
      </c>
      <c r="B15" s="2" t="str">
        <f>IF('Student Data'!C15="","",'Student Data'!C15)</f>
        <v/>
      </c>
      <c r="C15" s="2" t="str">
        <f>IF('Student Data'!D15="","",'Student Data'!D15)</f>
        <v/>
      </c>
      <c r="D15" s="2" t="str">
        <f>IF('Student Data'!G15="","",'Student Data'!G15)</f>
        <v/>
      </c>
      <c r="E15" s="319" t="str">
        <f t="shared" si="0"/>
        <v/>
      </c>
      <c r="F15" s="320">
        <f>'Student Data'!G15</f>
        <v>0</v>
      </c>
      <c r="G15" s="319" t="str">
        <f t="shared" si="1"/>
        <v/>
      </c>
      <c r="H15" s="319"/>
      <c r="I15" s="599"/>
      <c r="J15" s="599"/>
      <c r="K15" s="599"/>
      <c r="L15" s="599"/>
      <c r="M15" s="599"/>
      <c r="N15" s="599"/>
      <c r="O15" s="23"/>
      <c r="P15" s="34"/>
      <c r="Q15" s="23"/>
      <c r="R15" s="23"/>
      <c r="S15" s="23"/>
      <c r="T15" s="23"/>
      <c r="U15" s="23"/>
      <c r="V15" s="23"/>
      <c r="W15" s="23"/>
      <c r="X15" s="34"/>
      <c r="Y15" s="34"/>
      <c r="Z15" s="34"/>
      <c r="AA15" s="34"/>
      <c r="AB15" s="34"/>
      <c r="AC15" s="339" t="str">
        <f>'Day 1 WFH Audit'!F16</f>
        <v/>
      </c>
      <c r="AD15" s="34"/>
      <c r="AE15" s="34"/>
      <c r="AF15" s="34"/>
      <c r="AG15" s="34"/>
      <c r="AH15" s="34"/>
      <c r="AI15" s="341" t="str">
        <f t="shared" si="2"/>
        <v/>
      </c>
      <c r="AJ15" s="341" t="str">
        <f t="shared" si="3"/>
        <v/>
      </c>
      <c r="AK15" s="12"/>
      <c r="AL15" s="12"/>
      <c r="AM15" s="12"/>
    </row>
    <row r="16" spans="1:39" ht="14.45">
      <c r="A16" s="2">
        <f t="shared" si="4"/>
        <v>12</v>
      </c>
      <c r="B16" s="2" t="str">
        <f>IF('Student Data'!C16="","",'Student Data'!C16)</f>
        <v/>
      </c>
      <c r="C16" s="2" t="str">
        <f>IF('Student Data'!D16="","",'Student Data'!D16)</f>
        <v/>
      </c>
      <c r="D16" s="2" t="str">
        <f>IF('Student Data'!G16="","",'Student Data'!G16)</f>
        <v/>
      </c>
      <c r="E16" s="319" t="str">
        <f t="shared" si="0"/>
        <v/>
      </c>
      <c r="F16" s="320">
        <f>'Student Data'!G16</f>
        <v>0</v>
      </c>
      <c r="G16" s="319" t="str">
        <f t="shared" si="1"/>
        <v/>
      </c>
      <c r="H16" s="319"/>
      <c r="I16" s="599"/>
      <c r="J16" s="599"/>
      <c r="K16" s="599"/>
      <c r="L16" s="599"/>
      <c r="M16" s="599"/>
      <c r="N16" s="599"/>
      <c r="O16" s="34"/>
      <c r="P16" s="34"/>
      <c r="Q16" s="34"/>
      <c r="R16" s="34"/>
      <c r="S16" s="34"/>
      <c r="T16" s="34"/>
      <c r="U16" s="34"/>
      <c r="V16" s="34"/>
      <c r="W16" s="34"/>
      <c r="X16" s="34"/>
      <c r="Y16" s="34"/>
      <c r="Z16" s="34"/>
      <c r="AA16" s="34"/>
      <c r="AB16" s="34"/>
      <c r="AC16" s="339" t="str">
        <f>'Day 1 WFH Audit'!F17</f>
        <v/>
      </c>
      <c r="AD16" s="34"/>
      <c r="AE16" s="34"/>
      <c r="AF16" s="34"/>
      <c r="AG16" s="34"/>
      <c r="AH16" s="34"/>
      <c r="AI16" s="341" t="str">
        <f t="shared" si="2"/>
        <v/>
      </c>
      <c r="AJ16" s="341" t="str">
        <f t="shared" si="3"/>
        <v/>
      </c>
      <c r="AK16" s="12"/>
      <c r="AL16" s="12"/>
      <c r="AM16" s="12"/>
    </row>
    <row r="17" spans="1:39" ht="14.45">
      <c r="A17" s="2">
        <f t="shared" si="4"/>
        <v>13</v>
      </c>
      <c r="B17" s="2" t="str">
        <f>IF('Student Data'!C17="","",'Student Data'!C17)</f>
        <v/>
      </c>
      <c r="C17" s="2" t="str">
        <f>IF('Student Data'!D17="","",'Student Data'!D17)</f>
        <v/>
      </c>
      <c r="D17" s="2" t="str">
        <f>IF('Student Data'!G17="","",'Student Data'!G17)</f>
        <v/>
      </c>
      <c r="E17" s="319" t="str">
        <f t="shared" ref="E17:E44" si="5">IF(C17="","",(COUNTIF(O17:AC17, "&gt;79%")/14))</f>
        <v/>
      </c>
      <c r="F17" s="320">
        <f>'Student Data'!G17</f>
        <v>0</v>
      </c>
      <c r="G17" s="319" t="str">
        <f t="shared" si="1"/>
        <v/>
      </c>
      <c r="H17" s="319"/>
      <c r="I17" s="599"/>
      <c r="J17" s="599"/>
      <c r="K17" s="599"/>
      <c r="L17" s="599"/>
      <c r="M17" s="599"/>
      <c r="N17" s="599"/>
      <c r="O17" s="23"/>
      <c r="P17" s="34"/>
      <c r="Q17" s="23"/>
      <c r="R17" s="23"/>
      <c r="S17" s="23"/>
      <c r="T17" s="23"/>
      <c r="U17" s="23"/>
      <c r="V17" s="23"/>
      <c r="W17" s="23"/>
      <c r="X17" s="34"/>
      <c r="Y17" s="34"/>
      <c r="Z17" s="34"/>
      <c r="AA17" s="34"/>
      <c r="AB17" s="34"/>
      <c r="AC17" s="339" t="str">
        <f>'Day 1 WFH Audit'!F18</f>
        <v/>
      </c>
      <c r="AD17" s="34"/>
      <c r="AE17" s="34"/>
      <c r="AF17" s="34"/>
      <c r="AG17" s="34"/>
      <c r="AH17" s="34"/>
      <c r="AI17" s="341" t="str">
        <f t="shared" si="2"/>
        <v/>
      </c>
      <c r="AJ17" s="341" t="str">
        <f t="shared" si="3"/>
        <v/>
      </c>
      <c r="AK17" s="12"/>
      <c r="AL17" s="12"/>
      <c r="AM17" s="12"/>
    </row>
    <row r="18" spans="1:39" ht="14.45">
      <c r="A18" s="2">
        <f t="shared" si="4"/>
        <v>14</v>
      </c>
      <c r="B18" s="2" t="str">
        <f>IF('Student Data'!C18="","",'Student Data'!C18)</f>
        <v/>
      </c>
      <c r="C18" s="2" t="str">
        <f>IF('Student Data'!D18="","",'Student Data'!D18)</f>
        <v/>
      </c>
      <c r="D18" s="2" t="str">
        <f>IF('Student Data'!G18="","",'Student Data'!G18)</f>
        <v/>
      </c>
      <c r="E18" s="319" t="str">
        <f t="shared" si="5"/>
        <v/>
      </c>
      <c r="F18" s="320">
        <f>'Student Data'!G18</f>
        <v>0</v>
      </c>
      <c r="G18" s="319" t="str">
        <f t="shared" si="1"/>
        <v/>
      </c>
      <c r="H18" s="319"/>
      <c r="I18" s="599"/>
      <c r="J18" s="599"/>
      <c r="K18" s="599"/>
      <c r="L18" s="599"/>
      <c r="M18" s="599"/>
      <c r="N18" s="599"/>
      <c r="O18" s="23"/>
      <c r="P18" s="34"/>
      <c r="Q18" s="23"/>
      <c r="R18" s="23"/>
      <c r="S18" s="23"/>
      <c r="T18" s="23"/>
      <c r="U18" s="23"/>
      <c r="V18" s="23"/>
      <c r="W18" s="23"/>
      <c r="X18" s="34"/>
      <c r="Y18" s="34"/>
      <c r="Z18" s="34"/>
      <c r="AA18" s="34"/>
      <c r="AB18" s="34"/>
      <c r="AC18" s="339" t="str">
        <f>'Day 1 WFH Audit'!F19</f>
        <v/>
      </c>
      <c r="AD18" s="34"/>
      <c r="AE18" s="34"/>
      <c r="AF18" s="34"/>
      <c r="AG18" s="34"/>
      <c r="AH18" s="34"/>
      <c r="AI18" s="341" t="str">
        <f t="shared" si="2"/>
        <v/>
      </c>
      <c r="AJ18" s="341" t="str">
        <f t="shared" si="3"/>
        <v/>
      </c>
      <c r="AK18" s="12"/>
      <c r="AL18" s="12"/>
      <c r="AM18" s="12"/>
    </row>
    <row r="19" spans="1:39" ht="14.45">
      <c r="A19" s="2">
        <f t="shared" si="4"/>
        <v>15</v>
      </c>
      <c r="B19" s="2" t="str">
        <f>IF('Student Data'!C19="","",'Student Data'!C19)</f>
        <v/>
      </c>
      <c r="C19" s="2" t="str">
        <f>IF('Student Data'!D19="","",'Student Data'!D19)</f>
        <v/>
      </c>
      <c r="D19" s="2" t="str">
        <f>IF('Student Data'!G19="","",'Student Data'!G19)</f>
        <v/>
      </c>
      <c r="E19" s="319" t="str">
        <f t="shared" si="5"/>
        <v/>
      </c>
      <c r="F19" s="320">
        <f>'Student Data'!G19</f>
        <v>0</v>
      </c>
      <c r="G19" s="319" t="str">
        <f t="shared" si="1"/>
        <v/>
      </c>
      <c r="H19" s="319"/>
      <c r="I19" s="599"/>
      <c r="J19" s="599"/>
      <c r="K19" s="599"/>
      <c r="L19" s="599"/>
      <c r="M19" s="599"/>
      <c r="N19" s="599"/>
      <c r="O19" s="23"/>
      <c r="P19" s="34"/>
      <c r="Q19" s="23"/>
      <c r="R19" s="23"/>
      <c r="S19" s="23"/>
      <c r="T19" s="23"/>
      <c r="U19" s="23"/>
      <c r="V19" s="23"/>
      <c r="W19" s="23"/>
      <c r="X19" s="34"/>
      <c r="Y19" s="34"/>
      <c r="Z19" s="34"/>
      <c r="AA19" s="34"/>
      <c r="AB19" s="34"/>
      <c r="AC19" s="339" t="str">
        <f>'Day 1 WFH Audit'!F20</f>
        <v/>
      </c>
      <c r="AD19" s="34"/>
      <c r="AE19" s="34"/>
      <c r="AF19" s="34"/>
      <c r="AG19" s="34"/>
      <c r="AH19" s="34"/>
      <c r="AI19" s="341" t="str">
        <f t="shared" si="2"/>
        <v/>
      </c>
      <c r="AJ19" s="341" t="str">
        <f t="shared" si="3"/>
        <v/>
      </c>
      <c r="AK19" s="12"/>
      <c r="AL19" s="12"/>
      <c r="AM19" s="12"/>
    </row>
    <row r="20" spans="1:39" ht="14.45">
      <c r="A20" s="2">
        <f t="shared" si="4"/>
        <v>16</v>
      </c>
      <c r="B20" s="2" t="str">
        <f>IF('Student Data'!C20="","",'Student Data'!C20)</f>
        <v/>
      </c>
      <c r="C20" s="2" t="str">
        <f>IF('Student Data'!D20="","",'Student Data'!D20)</f>
        <v/>
      </c>
      <c r="D20" s="2" t="str">
        <f>IF('Student Data'!G20="","",'Student Data'!G20)</f>
        <v/>
      </c>
      <c r="E20" s="319" t="str">
        <f t="shared" si="5"/>
        <v/>
      </c>
      <c r="F20" s="320">
        <f>'Student Data'!G20</f>
        <v>0</v>
      </c>
      <c r="G20" s="319" t="str">
        <f t="shared" si="1"/>
        <v/>
      </c>
      <c r="H20" s="319"/>
      <c r="I20" s="599"/>
      <c r="J20" s="599"/>
      <c r="K20" s="599"/>
      <c r="L20" s="599"/>
      <c r="M20" s="599"/>
      <c r="N20" s="599"/>
      <c r="O20" s="23"/>
      <c r="P20" s="34"/>
      <c r="Q20" s="23"/>
      <c r="R20" s="23"/>
      <c r="S20" s="23"/>
      <c r="T20" s="23"/>
      <c r="U20" s="23"/>
      <c r="V20" s="23"/>
      <c r="W20" s="23"/>
      <c r="X20" s="34"/>
      <c r="Y20" s="34"/>
      <c r="Z20" s="34"/>
      <c r="AA20" s="34"/>
      <c r="AB20" s="34"/>
      <c r="AC20" s="339" t="str">
        <f>'Day 1 WFH Audit'!F21</f>
        <v/>
      </c>
      <c r="AD20" s="34"/>
      <c r="AE20" s="34"/>
      <c r="AF20" s="34"/>
      <c r="AG20" s="34"/>
      <c r="AH20" s="34"/>
      <c r="AI20" s="341" t="str">
        <f t="shared" si="2"/>
        <v/>
      </c>
      <c r="AJ20" s="341" t="str">
        <f t="shared" si="3"/>
        <v/>
      </c>
      <c r="AK20" s="12"/>
      <c r="AL20" s="12"/>
      <c r="AM20" s="12"/>
    </row>
    <row r="21" spans="1:39" ht="14.45">
      <c r="A21" s="2">
        <f t="shared" si="4"/>
        <v>17</v>
      </c>
      <c r="B21" s="2" t="str">
        <f>IF('Student Data'!C21="","",'Student Data'!C21)</f>
        <v/>
      </c>
      <c r="C21" s="2" t="str">
        <f>IF('Student Data'!D21="","",'Student Data'!D21)</f>
        <v/>
      </c>
      <c r="D21" s="2" t="str">
        <f>IF('Student Data'!G21="","",'Student Data'!G21)</f>
        <v/>
      </c>
      <c r="E21" s="319" t="str">
        <f t="shared" si="5"/>
        <v/>
      </c>
      <c r="F21" s="320">
        <f>'Student Data'!G21</f>
        <v>0</v>
      </c>
      <c r="G21" s="319" t="str">
        <f t="shared" si="1"/>
        <v/>
      </c>
      <c r="H21" s="319"/>
      <c r="I21" s="599"/>
      <c r="J21" s="599"/>
      <c r="K21" s="599"/>
      <c r="L21" s="599"/>
      <c r="M21" s="599"/>
      <c r="N21" s="599"/>
      <c r="O21" s="23"/>
      <c r="P21" s="34"/>
      <c r="Q21" s="23"/>
      <c r="R21" s="23"/>
      <c r="S21" s="23"/>
      <c r="T21" s="23"/>
      <c r="U21" s="23"/>
      <c r="V21" s="23"/>
      <c r="W21" s="23"/>
      <c r="X21" s="34"/>
      <c r="Y21" s="34"/>
      <c r="Z21" s="34"/>
      <c r="AA21" s="34"/>
      <c r="AB21" s="34"/>
      <c r="AC21" s="339" t="str">
        <f>'Day 1 WFH Audit'!F22</f>
        <v/>
      </c>
      <c r="AD21" s="34"/>
      <c r="AE21" s="34"/>
      <c r="AF21" s="34"/>
      <c r="AG21" s="34"/>
      <c r="AH21" s="34"/>
      <c r="AI21" s="341" t="str">
        <f t="shared" si="2"/>
        <v/>
      </c>
      <c r="AJ21" s="341" t="str">
        <f t="shared" si="3"/>
        <v/>
      </c>
      <c r="AK21" s="12"/>
      <c r="AL21" s="12"/>
      <c r="AM21" s="12"/>
    </row>
    <row r="22" spans="1:39" ht="14.45">
      <c r="A22" s="2">
        <f t="shared" si="4"/>
        <v>18</v>
      </c>
      <c r="B22" s="2" t="str">
        <f>IF('Student Data'!C22="","",'Student Data'!C22)</f>
        <v/>
      </c>
      <c r="C22" s="2" t="str">
        <f>IF('Student Data'!D22="","",'Student Data'!D22)</f>
        <v/>
      </c>
      <c r="D22" s="2" t="str">
        <f>IF('Student Data'!G22="","",'Student Data'!G22)</f>
        <v/>
      </c>
      <c r="E22" s="319" t="str">
        <f t="shared" si="5"/>
        <v/>
      </c>
      <c r="F22" s="320">
        <f>'Student Data'!G22</f>
        <v>0</v>
      </c>
      <c r="G22" s="319" t="str">
        <f t="shared" si="1"/>
        <v/>
      </c>
      <c r="H22" s="319"/>
      <c r="I22" s="599"/>
      <c r="J22" s="599"/>
      <c r="K22" s="599"/>
      <c r="L22" s="599"/>
      <c r="M22" s="599"/>
      <c r="N22" s="599"/>
      <c r="O22" s="23"/>
      <c r="P22" s="34"/>
      <c r="Q22" s="23"/>
      <c r="R22" s="23"/>
      <c r="S22" s="23"/>
      <c r="T22" s="23"/>
      <c r="U22" s="23"/>
      <c r="V22" s="23"/>
      <c r="W22" s="23"/>
      <c r="X22" s="34"/>
      <c r="Y22" s="34"/>
      <c r="Z22" s="34"/>
      <c r="AA22" s="34"/>
      <c r="AB22" s="34"/>
      <c r="AC22" s="339" t="str">
        <f>'Day 1 WFH Audit'!F23</f>
        <v/>
      </c>
      <c r="AD22" s="34"/>
      <c r="AE22" s="34"/>
      <c r="AF22" s="34"/>
      <c r="AG22" s="34"/>
      <c r="AH22" s="34"/>
      <c r="AI22" s="341" t="str">
        <f t="shared" si="2"/>
        <v/>
      </c>
      <c r="AJ22" s="341" t="str">
        <f t="shared" si="3"/>
        <v/>
      </c>
      <c r="AK22" s="12"/>
      <c r="AL22" s="12"/>
      <c r="AM22" s="12"/>
    </row>
    <row r="23" spans="1:39" ht="14.45">
      <c r="A23" s="2">
        <f t="shared" si="4"/>
        <v>19</v>
      </c>
      <c r="B23" s="2" t="str">
        <f>IF('Student Data'!C23="","",'Student Data'!C23)</f>
        <v/>
      </c>
      <c r="C23" s="2" t="str">
        <f>IF('Student Data'!D23="","",'Student Data'!D23)</f>
        <v/>
      </c>
      <c r="D23" s="2" t="str">
        <f>IF('Student Data'!G23="","",'Student Data'!G23)</f>
        <v/>
      </c>
      <c r="E23" s="319" t="str">
        <f t="shared" si="5"/>
        <v/>
      </c>
      <c r="F23" s="320">
        <f>'Student Data'!G23</f>
        <v>0</v>
      </c>
      <c r="G23" s="319" t="str">
        <f t="shared" si="1"/>
        <v/>
      </c>
      <c r="H23" s="319"/>
      <c r="I23" s="599"/>
      <c r="J23" s="599"/>
      <c r="K23" s="599"/>
      <c r="L23" s="599"/>
      <c r="M23" s="599"/>
      <c r="N23" s="599"/>
      <c r="O23" s="34"/>
      <c r="P23" s="34"/>
      <c r="Q23" s="34"/>
      <c r="R23" s="34"/>
      <c r="S23" s="34"/>
      <c r="T23" s="34"/>
      <c r="U23" s="34"/>
      <c r="V23" s="34"/>
      <c r="W23" s="34"/>
      <c r="X23" s="34"/>
      <c r="Y23" s="34"/>
      <c r="Z23" s="34"/>
      <c r="AA23" s="34"/>
      <c r="AB23" s="34"/>
      <c r="AC23" s="339" t="str">
        <f>'Day 1 WFH Audit'!F24</f>
        <v/>
      </c>
      <c r="AD23" s="34"/>
      <c r="AE23" s="34"/>
      <c r="AF23" s="34"/>
      <c r="AG23" s="34"/>
      <c r="AH23" s="34"/>
      <c r="AI23" s="341" t="str">
        <f t="shared" si="2"/>
        <v/>
      </c>
      <c r="AJ23" s="341" t="str">
        <f t="shared" si="3"/>
        <v/>
      </c>
      <c r="AK23" s="12"/>
      <c r="AL23" s="12"/>
      <c r="AM23" s="12"/>
    </row>
    <row r="24" spans="1:39" ht="14.45">
      <c r="A24" s="2">
        <f t="shared" si="4"/>
        <v>20</v>
      </c>
      <c r="B24" s="2" t="str">
        <f>IF('Student Data'!C24="","",'Student Data'!C24)</f>
        <v/>
      </c>
      <c r="C24" s="2" t="str">
        <f>IF('Student Data'!D24="","",'Student Data'!D24)</f>
        <v/>
      </c>
      <c r="D24" s="2" t="str">
        <f>IF('Student Data'!G24="","",'Student Data'!G24)</f>
        <v/>
      </c>
      <c r="E24" s="319" t="str">
        <f t="shared" si="5"/>
        <v/>
      </c>
      <c r="F24" s="320">
        <f>'Student Data'!G24</f>
        <v>0</v>
      </c>
      <c r="G24" s="319" t="str">
        <f t="shared" si="1"/>
        <v/>
      </c>
      <c r="H24" s="319"/>
      <c r="I24" s="599"/>
      <c r="J24" s="599"/>
      <c r="K24" s="599"/>
      <c r="L24" s="599"/>
      <c r="M24" s="599"/>
      <c r="N24" s="599"/>
      <c r="O24" s="23"/>
      <c r="P24" s="34"/>
      <c r="Q24" s="23"/>
      <c r="R24" s="23"/>
      <c r="S24" s="23"/>
      <c r="T24" s="23"/>
      <c r="U24" s="23"/>
      <c r="V24" s="23"/>
      <c r="W24" s="23"/>
      <c r="X24" s="34"/>
      <c r="Y24" s="34"/>
      <c r="Z24" s="34"/>
      <c r="AA24" s="34"/>
      <c r="AB24" s="34"/>
      <c r="AC24" s="339" t="str">
        <f>'Day 1 WFH Audit'!F25</f>
        <v/>
      </c>
      <c r="AD24" s="34"/>
      <c r="AE24" s="34"/>
      <c r="AF24" s="34"/>
      <c r="AG24" s="34"/>
      <c r="AH24" s="34"/>
      <c r="AI24" s="341" t="str">
        <f t="shared" si="2"/>
        <v/>
      </c>
      <c r="AJ24" s="341" t="str">
        <f t="shared" si="3"/>
        <v/>
      </c>
      <c r="AK24" s="12"/>
      <c r="AL24" s="12"/>
      <c r="AM24" s="12"/>
    </row>
    <row r="25" spans="1:39" ht="14.45">
      <c r="A25" s="2">
        <f t="shared" si="4"/>
        <v>21</v>
      </c>
      <c r="B25" s="2" t="str">
        <f>IF('Student Data'!C25="","",'Student Data'!C25)</f>
        <v/>
      </c>
      <c r="C25" s="2" t="str">
        <f>IF('Student Data'!D25="","",'Student Data'!D25)</f>
        <v/>
      </c>
      <c r="D25" s="2" t="str">
        <f>IF('Student Data'!G25="","",'Student Data'!G25)</f>
        <v/>
      </c>
      <c r="E25" s="319" t="str">
        <f t="shared" si="5"/>
        <v/>
      </c>
      <c r="F25" s="320">
        <f>'Student Data'!G25</f>
        <v>0</v>
      </c>
      <c r="G25" s="319" t="str">
        <f t="shared" si="1"/>
        <v/>
      </c>
      <c r="H25" s="319"/>
      <c r="I25" s="599"/>
      <c r="J25" s="599"/>
      <c r="K25" s="599"/>
      <c r="L25" s="599"/>
      <c r="M25" s="599"/>
      <c r="N25" s="599"/>
      <c r="O25" s="23"/>
      <c r="P25" s="34"/>
      <c r="Q25" s="23"/>
      <c r="R25" s="23"/>
      <c r="S25" s="23"/>
      <c r="T25" s="23"/>
      <c r="U25" s="23"/>
      <c r="V25" s="23"/>
      <c r="W25" s="23"/>
      <c r="X25" s="34"/>
      <c r="Y25" s="34"/>
      <c r="Z25" s="34"/>
      <c r="AA25" s="34"/>
      <c r="AB25" s="34"/>
      <c r="AC25" s="339" t="str">
        <f>'Day 1 WFH Audit'!F26</f>
        <v/>
      </c>
      <c r="AD25" s="34"/>
      <c r="AE25" s="34"/>
      <c r="AF25" s="34"/>
      <c r="AG25" s="34"/>
      <c r="AH25" s="34"/>
      <c r="AI25" s="341" t="str">
        <f t="shared" si="2"/>
        <v/>
      </c>
      <c r="AJ25" s="341" t="str">
        <f t="shared" si="3"/>
        <v/>
      </c>
      <c r="AK25" s="12"/>
      <c r="AL25" s="12"/>
      <c r="AM25" s="12"/>
    </row>
    <row r="26" spans="1:39" ht="14.45">
      <c r="A26" s="2">
        <f t="shared" si="4"/>
        <v>22</v>
      </c>
      <c r="B26" s="2" t="str">
        <f>IF('Student Data'!C26="","",'Student Data'!C26)</f>
        <v/>
      </c>
      <c r="C26" s="2" t="str">
        <f>IF('Student Data'!D26="","",'Student Data'!D26)</f>
        <v/>
      </c>
      <c r="D26" s="2" t="str">
        <f>IF('Student Data'!G26="","",'Student Data'!G26)</f>
        <v/>
      </c>
      <c r="E26" s="319" t="str">
        <f t="shared" si="5"/>
        <v/>
      </c>
      <c r="F26" s="320">
        <f>'Student Data'!G26</f>
        <v>0</v>
      </c>
      <c r="G26" s="319" t="str">
        <f t="shared" si="1"/>
        <v/>
      </c>
      <c r="H26" s="319"/>
      <c r="I26" s="599"/>
      <c r="J26" s="599"/>
      <c r="K26" s="599"/>
      <c r="L26" s="599"/>
      <c r="M26" s="599"/>
      <c r="N26" s="599"/>
      <c r="O26" s="23"/>
      <c r="P26" s="34"/>
      <c r="Q26" s="23"/>
      <c r="R26" s="23"/>
      <c r="S26" s="23"/>
      <c r="T26" s="23"/>
      <c r="U26" s="23"/>
      <c r="V26" s="23"/>
      <c r="W26" s="23"/>
      <c r="X26" s="34"/>
      <c r="Y26" s="34"/>
      <c r="Z26" s="34"/>
      <c r="AA26" s="34"/>
      <c r="AB26" s="34"/>
      <c r="AC26" s="339" t="str">
        <f>'Day 1 WFH Audit'!F27</f>
        <v/>
      </c>
      <c r="AD26" s="34"/>
      <c r="AE26" s="34"/>
      <c r="AF26" s="34"/>
      <c r="AG26" s="34"/>
      <c r="AH26" s="34"/>
      <c r="AI26" s="341" t="str">
        <f t="shared" si="2"/>
        <v/>
      </c>
      <c r="AJ26" s="341" t="str">
        <f t="shared" si="3"/>
        <v/>
      </c>
      <c r="AK26" s="12"/>
      <c r="AL26" s="12"/>
      <c r="AM26" s="12"/>
    </row>
    <row r="27" spans="1:39" ht="14.45">
      <c r="A27" s="2">
        <f t="shared" si="4"/>
        <v>23</v>
      </c>
      <c r="B27" s="2" t="str">
        <f>IF('Student Data'!C27="","",'Student Data'!C27)</f>
        <v/>
      </c>
      <c r="C27" s="2" t="str">
        <f>IF('Student Data'!D27="","",'Student Data'!D27)</f>
        <v/>
      </c>
      <c r="D27" s="2" t="str">
        <f>IF('Student Data'!G27="","",'Student Data'!G27)</f>
        <v/>
      </c>
      <c r="E27" s="319" t="str">
        <f t="shared" si="5"/>
        <v/>
      </c>
      <c r="F27" s="320">
        <f>'Student Data'!G27</f>
        <v>0</v>
      </c>
      <c r="G27" s="319" t="str">
        <f t="shared" si="1"/>
        <v/>
      </c>
      <c r="H27" s="319"/>
      <c r="I27" s="599"/>
      <c r="J27" s="599"/>
      <c r="K27" s="599"/>
      <c r="L27" s="599"/>
      <c r="M27" s="599"/>
      <c r="N27" s="599"/>
      <c r="O27" s="23"/>
      <c r="P27" s="34"/>
      <c r="Q27" s="23"/>
      <c r="R27" s="23"/>
      <c r="S27" s="23"/>
      <c r="T27" s="23"/>
      <c r="U27" s="23"/>
      <c r="V27" s="23"/>
      <c r="W27" s="23"/>
      <c r="X27" s="34"/>
      <c r="Y27" s="34"/>
      <c r="Z27" s="34"/>
      <c r="AA27" s="34"/>
      <c r="AB27" s="34"/>
      <c r="AC27" s="339" t="str">
        <f>'Day 1 WFH Audit'!F28</f>
        <v/>
      </c>
      <c r="AD27" s="34"/>
      <c r="AE27" s="34"/>
      <c r="AF27" s="34"/>
      <c r="AG27" s="34"/>
      <c r="AH27" s="34"/>
      <c r="AI27" s="341" t="str">
        <f t="shared" si="2"/>
        <v/>
      </c>
      <c r="AJ27" s="341" t="str">
        <f t="shared" si="3"/>
        <v/>
      </c>
      <c r="AK27" s="12"/>
      <c r="AL27" s="12"/>
      <c r="AM27" s="12"/>
    </row>
    <row r="28" spans="1:39" ht="14.45">
      <c r="A28" s="2">
        <f t="shared" si="4"/>
        <v>24</v>
      </c>
      <c r="B28" s="2" t="str">
        <f>IF('Student Data'!C28="","",'Student Data'!C28)</f>
        <v/>
      </c>
      <c r="C28" s="2" t="str">
        <f>IF('Student Data'!D28="","",'Student Data'!D28)</f>
        <v/>
      </c>
      <c r="D28" s="2" t="str">
        <f>IF('Student Data'!G28="","",'Student Data'!G28)</f>
        <v/>
      </c>
      <c r="E28" s="319" t="str">
        <f t="shared" si="5"/>
        <v/>
      </c>
      <c r="F28" s="320">
        <f>'Student Data'!G28</f>
        <v>0</v>
      </c>
      <c r="G28" s="319" t="str">
        <f t="shared" si="1"/>
        <v/>
      </c>
      <c r="H28" s="319"/>
      <c r="I28" s="599"/>
      <c r="J28" s="599"/>
      <c r="K28" s="599"/>
      <c r="L28" s="599"/>
      <c r="M28" s="599"/>
      <c r="N28" s="599"/>
      <c r="O28" s="23"/>
      <c r="P28" s="34"/>
      <c r="Q28" s="23"/>
      <c r="R28" s="23"/>
      <c r="S28" s="23"/>
      <c r="T28" s="23"/>
      <c r="U28" s="23"/>
      <c r="V28" s="23"/>
      <c r="W28" s="23"/>
      <c r="X28" s="34"/>
      <c r="Y28" s="34"/>
      <c r="Z28" s="34"/>
      <c r="AA28" s="34"/>
      <c r="AB28" s="34"/>
      <c r="AC28" s="339" t="str">
        <f>'Day 1 WFH Audit'!F29</f>
        <v/>
      </c>
      <c r="AD28" s="34"/>
      <c r="AE28" s="34"/>
      <c r="AF28" s="34"/>
      <c r="AG28" s="34"/>
      <c r="AH28" s="34"/>
      <c r="AI28" s="341" t="str">
        <f t="shared" si="2"/>
        <v/>
      </c>
      <c r="AJ28" s="341" t="str">
        <f t="shared" si="3"/>
        <v/>
      </c>
      <c r="AK28" s="12"/>
      <c r="AL28" s="12"/>
      <c r="AM28" s="12"/>
    </row>
    <row r="29" spans="1:39" ht="14.45">
      <c r="A29" s="2">
        <f t="shared" si="4"/>
        <v>25</v>
      </c>
      <c r="B29" s="2" t="str">
        <f>IF('Student Data'!C29="","",'Student Data'!C29)</f>
        <v/>
      </c>
      <c r="C29" s="2" t="str">
        <f>IF('Student Data'!D29="","",'Student Data'!D29)</f>
        <v/>
      </c>
      <c r="D29" s="2" t="str">
        <f>IF('Student Data'!G29="","",'Student Data'!G29)</f>
        <v/>
      </c>
      <c r="E29" s="319" t="str">
        <f t="shared" si="5"/>
        <v/>
      </c>
      <c r="F29" s="320">
        <f>'Student Data'!G29</f>
        <v>0</v>
      </c>
      <c r="G29" s="319" t="str">
        <f t="shared" si="1"/>
        <v/>
      </c>
      <c r="H29" s="319"/>
      <c r="I29" s="599"/>
      <c r="J29" s="599"/>
      <c r="K29" s="599"/>
      <c r="L29" s="599"/>
      <c r="M29" s="599"/>
      <c r="N29" s="599"/>
      <c r="O29" s="23"/>
      <c r="P29" s="34"/>
      <c r="Q29" s="23"/>
      <c r="R29" s="23"/>
      <c r="S29" s="23"/>
      <c r="T29" s="23"/>
      <c r="U29" s="23"/>
      <c r="V29" s="23"/>
      <c r="W29" s="23"/>
      <c r="X29" s="34"/>
      <c r="Y29" s="34"/>
      <c r="Z29" s="34"/>
      <c r="AA29" s="34"/>
      <c r="AB29" s="34"/>
      <c r="AC29" s="339" t="str">
        <f>'Day 1 WFH Audit'!F30</f>
        <v/>
      </c>
      <c r="AD29" s="34"/>
      <c r="AE29" s="34"/>
      <c r="AF29" s="34"/>
      <c r="AG29" s="34"/>
      <c r="AH29" s="34"/>
      <c r="AI29" s="341" t="str">
        <f t="shared" si="2"/>
        <v/>
      </c>
      <c r="AJ29" s="341" t="str">
        <f t="shared" si="3"/>
        <v/>
      </c>
      <c r="AK29" s="12"/>
      <c r="AL29" s="12"/>
      <c r="AM29" s="12"/>
    </row>
    <row r="30" spans="1:39" ht="14.45">
      <c r="A30" s="2">
        <f t="shared" si="4"/>
        <v>26</v>
      </c>
      <c r="B30" s="2" t="str">
        <f>IF('Student Data'!C30="","",'Student Data'!C30)</f>
        <v/>
      </c>
      <c r="C30" s="2" t="str">
        <f>IF('Student Data'!D30="","",'Student Data'!D30)</f>
        <v/>
      </c>
      <c r="D30" s="2" t="str">
        <f>IF('Student Data'!G30="","",'Student Data'!G30)</f>
        <v/>
      </c>
      <c r="E30" s="319" t="str">
        <f t="shared" si="5"/>
        <v/>
      </c>
      <c r="F30" s="320">
        <f>'Student Data'!G30</f>
        <v>0</v>
      </c>
      <c r="G30" s="319" t="str">
        <f t="shared" si="1"/>
        <v/>
      </c>
      <c r="H30" s="319"/>
      <c r="I30" s="599"/>
      <c r="J30" s="599"/>
      <c r="K30" s="599"/>
      <c r="L30" s="599"/>
      <c r="M30" s="599"/>
      <c r="N30" s="599"/>
      <c r="O30" s="23"/>
      <c r="P30" s="34"/>
      <c r="Q30" s="23"/>
      <c r="R30" s="23"/>
      <c r="S30" s="23"/>
      <c r="T30" s="23"/>
      <c r="U30" s="23"/>
      <c r="V30" s="23"/>
      <c r="W30" s="23"/>
      <c r="X30" s="34"/>
      <c r="Y30" s="34"/>
      <c r="Z30" s="34"/>
      <c r="AA30" s="34"/>
      <c r="AB30" s="34"/>
      <c r="AC30" s="339" t="str">
        <f>'Day 1 WFH Audit'!F31</f>
        <v/>
      </c>
      <c r="AD30" s="34"/>
      <c r="AE30" s="34"/>
      <c r="AF30" s="34"/>
      <c r="AG30" s="34"/>
      <c r="AH30" s="34"/>
      <c r="AI30" s="341" t="str">
        <f t="shared" si="2"/>
        <v/>
      </c>
      <c r="AJ30" s="341" t="str">
        <f t="shared" si="3"/>
        <v/>
      </c>
      <c r="AK30" s="12"/>
      <c r="AL30" s="12"/>
      <c r="AM30" s="12"/>
    </row>
    <row r="31" spans="1:39" ht="14.45">
      <c r="A31" s="2">
        <f t="shared" si="4"/>
        <v>27</v>
      </c>
      <c r="B31" s="2" t="str">
        <f>IF('Student Data'!C31="","",'Student Data'!C31)</f>
        <v/>
      </c>
      <c r="C31" s="2" t="str">
        <f>IF('Student Data'!D31="","",'Student Data'!D31)</f>
        <v/>
      </c>
      <c r="D31" s="2" t="str">
        <f>IF('Student Data'!G31="","",'Student Data'!G31)</f>
        <v/>
      </c>
      <c r="E31" s="319" t="str">
        <f t="shared" si="5"/>
        <v/>
      </c>
      <c r="F31" s="320">
        <f>'Student Data'!G31</f>
        <v>0</v>
      </c>
      <c r="G31" s="319" t="str">
        <f t="shared" si="1"/>
        <v/>
      </c>
      <c r="H31" s="319"/>
      <c r="I31" s="599"/>
      <c r="J31" s="599"/>
      <c r="K31" s="599"/>
      <c r="L31" s="599"/>
      <c r="M31" s="599"/>
      <c r="N31" s="599"/>
      <c r="O31" s="23"/>
      <c r="P31" s="34"/>
      <c r="Q31" s="23"/>
      <c r="R31" s="23"/>
      <c r="S31" s="23"/>
      <c r="T31" s="23"/>
      <c r="U31" s="23"/>
      <c r="V31" s="23"/>
      <c r="W31" s="23"/>
      <c r="X31" s="34"/>
      <c r="Y31" s="34"/>
      <c r="Z31" s="34"/>
      <c r="AA31" s="34"/>
      <c r="AB31" s="34"/>
      <c r="AC31" s="339" t="str">
        <f>'Day 1 WFH Audit'!F32</f>
        <v/>
      </c>
      <c r="AD31" s="34"/>
      <c r="AE31" s="34"/>
      <c r="AF31" s="34"/>
      <c r="AG31" s="34"/>
      <c r="AH31" s="34"/>
      <c r="AI31" s="341" t="str">
        <f t="shared" si="2"/>
        <v/>
      </c>
      <c r="AJ31" s="341" t="str">
        <f t="shared" si="3"/>
        <v/>
      </c>
      <c r="AK31" s="12"/>
      <c r="AL31" s="12"/>
      <c r="AM31" s="12"/>
    </row>
    <row r="32" spans="1:39" ht="14.45">
      <c r="A32" s="2">
        <f t="shared" si="4"/>
        <v>28</v>
      </c>
      <c r="B32" s="2" t="str">
        <f>IF('Student Data'!C32="","",'Student Data'!C32)</f>
        <v/>
      </c>
      <c r="C32" s="2" t="str">
        <f>IF('Student Data'!D32="","",'Student Data'!D32)</f>
        <v/>
      </c>
      <c r="D32" s="2" t="str">
        <f>IF('Student Data'!G32="","",'Student Data'!G32)</f>
        <v/>
      </c>
      <c r="E32" s="319" t="str">
        <f t="shared" si="5"/>
        <v/>
      </c>
      <c r="F32" s="320">
        <f>'Student Data'!G32</f>
        <v>0</v>
      </c>
      <c r="G32" s="319" t="str">
        <f t="shared" si="1"/>
        <v/>
      </c>
      <c r="H32" s="319"/>
      <c r="I32" s="599"/>
      <c r="J32" s="599"/>
      <c r="K32" s="599"/>
      <c r="L32" s="599"/>
      <c r="M32" s="599"/>
      <c r="N32" s="599"/>
      <c r="O32" s="23"/>
      <c r="P32" s="34"/>
      <c r="Q32" s="23"/>
      <c r="R32" s="23"/>
      <c r="S32" s="23"/>
      <c r="T32" s="23"/>
      <c r="U32" s="23"/>
      <c r="V32" s="23"/>
      <c r="W32" s="23"/>
      <c r="X32" s="34"/>
      <c r="Y32" s="34"/>
      <c r="Z32" s="34"/>
      <c r="AA32" s="34"/>
      <c r="AB32" s="34"/>
      <c r="AC32" s="339" t="str">
        <f>'Day 1 WFH Audit'!F33</f>
        <v/>
      </c>
      <c r="AD32" s="34"/>
      <c r="AE32" s="34"/>
      <c r="AF32" s="34"/>
      <c r="AG32" s="34"/>
      <c r="AH32" s="34"/>
      <c r="AI32" s="341" t="str">
        <f t="shared" si="2"/>
        <v/>
      </c>
      <c r="AJ32" s="341" t="str">
        <f t="shared" si="3"/>
        <v/>
      </c>
      <c r="AK32" s="12"/>
      <c r="AL32" s="12"/>
      <c r="AM32" s="12"/>
    </row>
    <row r="33" spans="1:39" ht="14.45">
      <c r="A33" s="2">
        <f t="shared" si="4"/>
        <v>29</v>
      </c>
      <c r="B33" s="2" t="str">
        <f>IF('Student Data'!C33="","",'Student Data'!C33)</f>
        <v/>
      </c>
      <c r="C33" s="2" t="str">
        <f>IF('Student Data'!D33="","",'Student Data'!D33)</f>
        <v/>
      </c>
      <c r="D33" s="2" t="str">
        <f>IF('Student Data'!G33="","",'Student Data'!G33)</f>
        <v/>
      </c>
      <c r="E33" s="319" t="str">
        <f t="shared" si="5"/>
        <v/>
      </c>
      <c r="F33" s="320">
        <f>'Student Data'!G33</f>
        <v>0</v>
      </c>
      <c r="G33" s="319" t="str">
        <f t="shared" si="1"/>
        <v/>
      </c>
      <c r="H33" s="319"/>
      <c r="I33" s="599"/>
      <c r="J33" s="599"/>
      <c r="K33" s="599"/>
      <c r="L33" s="599"/>
      <c r="M33" s="599"/>
      <c r="N33" s="599"/>
      <c r="O33" s="23"/>
      <c r="P33" s="34"/>
      <c r="Q33" s="23"/>
      <c r="R33" s="23"/>
      <c r="S33" s="23"/>
      <c r="T33" s="23"/>
      <c r="U33" s="23"/>
      <c r="V33" s="23"/>
      <c r="W33" s="23"/>
      <c r="X33" s="34"/>
      <c r="Y33" s="34"/>
      <c r="Z33" s="34"/>
      <c r="AA33" s="34"/>
      <c r="AB33" s="34"/>
      <c r="AC33" s="339" t="str">
        <f>'Day 1 WFH Audit'!F34</f>
        <v/>
      </c>
      <c r="AD33" s="34"/>
      <c r="AE33" s="34"/>
      <c r="AF33" s="34"/>
      <c r="AG33" s="34"/>
      <c r="AH33" s="34"/>
      <c r="AI33" s="341" t="str">
        <f t="shared" si="2"/>
        <v/>
      </c>
      <c r="AJ33" s="341" t="str">
        <f t="shared" si="3"/>
        <v/>
      </c>
      <c r="AK33" s="12"/>
      <c r="AL33" s="12"/>
      <c r="AM33" s="12"/>
    </row>
    <row r="34" spans="1:39" ht="14.45">
      <c r="A34" s="2">
        <f t="shared" si="4"/>
        <v>30</v>
      </c>
      <c r="B34" s="2" t="str">
        <f>IF('Student Data'!C34="","",'Student Data'!C34)</f>
        <v/>
      </c>
      <c r="C34" s="2" t="str">
        <f>IF('Student Data'!D34="","",'Student Data'!D34)</f>
        <v/>
      </c>
      <c r="D34" s="2" t="str">
        <f>IF('Student Data'!E34="","",'Student Data'!E34)</f>
        <v/>
      </c>
      <c r="E34" s="319" t="str">
        <f t="shared" si="5"/>
        <v/>
      </c>
      <c r="F34" s="320">
        <f>'Student Data'!G34</f>
        <v>0</v>
      </c>
      <c r="G34" s="319" t="str">
        <f t="shared" si="1"/>
        <v/>
      </c>
      <c r="H34" s="319"/>
      <c r="I34" s="599"/>
      <c r="J34" s="599"/>
      <c r="K34" s="599"/>
      <c r="L34" s="599"/>
      <c r="M34" s="599"/>
      <c r="N34" s="599"/>
      <c r="O34" s="23"/>
      <c r="P34" s="34"/>
      <c r="Q34" s="23"/>
      <c r="R34" s="23"/>
      <c r="S34" s="23"/>
      <c r="T34" s="23"/>
      <c r="U34" s="23"/>
      <c r="V34" s="23"/>
      <c r="W34" s="23"/>
      <c r="X34" s="34"/>
      <c r="Y34" s="34"/>
      <c r="Z34" s="34"/>
      <c r="AA34" s="34"/>
      <c r="AB34" s="34"/>
      <c r="AC34" s="339" t="str">
        <f>'Day 1 WFH Audit'!F35</f>
        <v/>
      </c>
      <c r="AD34" s="34"/>
      <c r="AE34" s="34"/>
      <c r="AF34" s="34"/>
      <c r="AG34" s="34"/>
      <c r="AH34" s="34"/>
      <c r="AI34" s="341" t="str">
        <f t="shared" si="2"/>
        <v/>
      </c>
      <c r="AJ34" s="341" t="str">
        <f t="shared" si="3"/>
        <v/>
      </c>
      <c r="AK34" s="12"/>
      <c r="AL34" s="12"/>
      <c r="AM34" s="12"/>
    </row>
    <row r="35" spans="1:39" ht="14.45">
      <c r="A35" s="2">
        <f t="shared" si="4"/>
        <v>31</v>
      </c>
      <c r="B35" s="2" t="str">
        <f>IF('Student Data'!C35="","",'Student Data'!C35)</f>
        <v/>
      </c>
      <c r="C35" s="2" t="str">
        <f>IF('Student Data'!D35="","",'Student Data'!D35)</f>
        <v/>
      </c>
      <c r="D35" s="2" t="str">
        <f>IF('Student Data'!E35="","",'Student Data'!E35)</f>
        <v/>
      </c>
      <c r="E35" s="319" t="str">
        <f t="shared" si="5"/>
        <v/>
      </c>
      <c r="F35" s="320">
        <f>'Student Data'!G35</f>
        <v>0</v>
      </c>
      <c r="G35" s="319" t="str">
        <f t="shared" si="1"/>
        <v/>
      </c>
      <c r="H35" s="319"/>
      <c r="I35" s="599"/>
      <c r="J35" s="599"/>
      <c r="K35" s="599"/>
      <c r="L35" s="599"/>
      <c r="M35" s="599"/>
      <c r="N35" s="599"/>
      <c r="O35" s="23"/>
      <c r="P35" s="34"/>
      <c r="Q35" s="23"/>
      <c r="R35" s="23"/>
      <c r="S35" s="23"/>
      <c r="T35" s="23"/>
      <c r="U35" s="23"/>
      <c r="V35" s="23"/>
      <c r="W35" s="23"/>
      <c r="X35" s="34"/>
      <c r="Y35" s="34"/>
      <c r="Z35" s="34"/>
      <c r="AA35" s="34"/>
      <c r="AB35" s="34"/>
      <c r="AC35" s="339" t="str">
        <f>'Day 1 WFH Audit'!F36</f>
        <v/>
      </c>
      <c r="AD35" s="34"/>
      <c r="AE35" s="34"/>
      <c r="AF35" s="34"/>
      <c r="AG35" s="34"/>
      <c r="AH35" s="34"/>
      <c r="AI35" s="341" t="str">
        <f t="shared" si="2"/>
        <v/>
      </c>
      <c r="AJ35" s="341" t="str">
        <f t="shared" si="3"/>
        <v/>
      </c>
      <c r="AK35" s="12"/>
      <c r="AL35" s="12"/>
      <c r="AM35" s="12"/>
    </row>
    <row r="36" spans="1:39" ht="14.45">
      <c r="A36" s="2">
        <f t="shared" si="4"/>
        <v>32</v>
      </c>
      <c r="B36" s="2" t="str">
        <f>IF('Student Data'!C36="","",'Student Data'!C36)</f>
        <v/>
      </c>
      <c r="C36" s="2" t="str">
        <f>IF('Student Data'!D36="","",'Student Data'!D36)</f>
        <v/>
      </c>
      <c r="D36" s="2" t="str">
        <f>IF('Student Data'!E36="","",'Student Data'!E36)</f>
        <v/>
      </c>
      <c r="E36" s="319" t="str">
        <f t="shared" si="5"/>
        <v/>
      </c>
      <c r="F36" s="320">
        <f>'Student Data'!G36</f>
        <v>0</v>
      </c>
      <c r="G36" s="319" t="str">
        <f t="shared" si="1"/>
        <v/>
      </c>
      <c r="H36" s="319"/>
      <c r="I36" s="599"/>
      <c r="J36" s="599"/>
      <c r="K36" s="599"/>
      <c r="L36" s="599"/>
      <c r="M36" s="599"/>
      <c r="N36" s="599"/>
      <c r="O36" s="23"/>
      <c r="P36" s="34"/>
      <c r="Q36" s="23"/>
      <c r="R36" s="23"/>
      <c r="S36" s="23"/>
      <c r="T36" s="23"/>
      <c r="U36" s="23"/>
      <c r="V36" s="23"/>
      <c r="W36" s="23"/>
      <c r="X36" s="34"/>
      <c r="Y36" s="34"/>
      <c r="Z36" s="34"/>
      <c r="AA36" s="34"/>
      <c r="AB36" s="34"/>
      <c r="AC36" s="339" t="str">
        <f>'Day 1 WFH Audit'!F37</f>
        <v/>
      </c>
      <c r="AD36" s="34"/>
      <c r="AE36" s="34"/>
      <c r="AF36" s="34"/>
      <c r="AG36" s="34"/>
      <c r="AH36" s="34"/>
      <c r="AI36" s="341" t="str">
        <f t="shared" si="2"/>
        <v/>
      </c>
      <c r="AJ36" s="341" t="str">
        <f t="shared" si="3"/>
        <v/>
      </c>
      <c r="AK36" s="12"/>
      <c r="AL36" s="12"/>
      <c r="AM36" s="12"/>
    </row>
    <row r="37" spans="1:39" ht="14.45">
      <c r="A37" s="2">
        <f t="shared" si="4"/>
        <v>33</v>
      </c>
      <c r="B37" s="2" t="str">
        <f>IF('Student Data'!C37="","",'Student Data'!C37)</f>
        <v/>
      </c>
      <c r="C37" s="2" t="str">
        <f>IF('Student Data'!D37="","",'Student Data'!D37)</f>
        <v/>
      </c>
      <c r="D37" s="2" t="str">
        <f>IF('Student Data'!E37="","",'Student Data'!E37)</f>
        <v/>
      </c>
      <c r="E37" s="319" t="str">
        <f t="shared" si="5"/>
        <v/>
      </c>
      <c r="F37" s="320">
        <f>'Student Data'!G37</f>
        <v>0</v>
      </c>
      <c r="G37" s="319" t="str">
        <f t="shared" si="1"/>
        <v/>
      </c>
      <c r="H37" s="319"/>
      <c r="I37" s="599"/>
      <c r="J37" s="599"/>
      <c r="K37" s="599"/>
      <c r="L37" s="599"/>
      <c r="M37" s="599"/>
      <c r="N37" s="599"/>
      <c r="O37" s="23"/>
      <c r="P37" s="34"/>
      <c r="Q37" s="23"/>
      <c r="R37" s="23"/>
      <c r="S37" s="23"/>
      <c r="T37" s="23"/>
      <c r="U37" s="23"/>
      <c r="V37" s="23"/>
      <c r="W37" s="23"/>
      <c r="X37" s="34"/>
      <c r="Y37" s="34"/>
      <c r="Z37" s="34"/>
      <c r="AA37" s="34"/>
      <c r="AB37" s="34"/>
      <c r="AC37" s="339" t="str">
        <f>'Day 1 WFH Audit'!F38</f>
        <v/>
      </c>
      <c r="AD37" s="34"/>
      <c r="AE37" s="34"/>
      <c r="AF37" s="34"/>
      <c r="AG37" s="34"/>
      <c r="AH37" s="34"/>
      <c r="AI37" s="341" t="str">
        <f t="shared" si="2"/>
        <v/>
      </c>
      <c r="AJ37" s="341" t="str">
        <f t="shared" si="3"/>
        <v/>
      </c>
      <c r="AK37" s="12"/>
      <c r="AL37" s="12"/>
      <c r="AM37" s="12"/>
    </row>
    <row r="38" spans="1:39" ht="14.45">
      <c r="A38" s="2">
        <f t="shared" si="4"/>
        <v>34</v>
      </c>
      <c r="B38" s="2" t="str">
        <f>IF('Student Data'!C38="","",'Student Data'!C38)</f>
        <v/>
      </c>
      <c r="C38" s="2" t="str">
        <f>IF('Student Data'!D38="","",'Student Data'!D38)</f>
        <v/>
      </c>
      <c r="D38" s="2" t="str">
        <f>IF('Student Data'!E38="","",'Student Data'!E38)</f>
        <v/>
      </c>
      <c r="E38" s="319" t="str">
        <f t="shared" si="5"/>
        <v/>
      </c>
      <c r="F38" s="320">
        <f>'Student Data'!G38</f>
        <v>0</v>
      </c>
      <c r="G38" s="319" t="str">
        <f t="shared" si="1"/>
        <v/>
      </c>
      <c r="H38" s="319"/>
      <c r="I38" s="599"/>
      <c r="J38" s="599"/>
      <c r="K38" s="599"/>
      <c r="L38" s="599"/>
      <c r="M38" s="599"/>
      <c r="N38" s="599"/>
      <c r="O38" s="23"/>
      <c r="P38" s="34"/>
      <c r="Q38" s="23"/>
      <c r="R38" s="23"/>
      <c r="S38" s="23"/>
      <c r="T38" s="23"/>
      <c r="U38" s="23"/>
      <c r="V38" s="23"/>
      <c r="W38" s="23"/>
      <c r="X38" s="34"/>
      <c r="Y38" s="34"/>
      <c r="Z38" s="34"/>
      <c r="AA38" s="34"/>
      <c r="AB38" s="34"/>
      <c r="AC38" s="339" t="str">
        <f>'Day 1 WFH Audit'!F39</f>
        <v/>
      </c>
      <c r="AD38" s="34"/>
      <c r="AE38" s="34"/>
      <c r="AF38" s="34"/>
      <c r="AG38" s="34"/>
      <c r="AH38" s="34"/>
      <c r="AI38" s="341" t="str">
        <f t="shared" si="2"/>
        <v/>
      </c>
      <c r="AJ38" s="341" t="str">
        <f t="shared" si="3"/>
        <v/>
      </c>
      <c r="AK38" s="12"/>
      <c r="AL38" s="12"/>
      <c r="AM38" s="12"/>
    </row>
    <row r="39" spans="1:39" ht="14.45">
      <c r="A39" s="2">
        <f t="shared" si="4"/>
        <v>35</v>
      </c>
      <c r="B39" s="2" t="str">
        <f>IF('Student Data'!C39="","",'Student Data'!C39)</f>
        <v/>
      </c>
      <c r="C39" s="2" t="str">
        <f>IF('Student Data'!D39="","",'Student Data'!D39)</f>
        <v/>
      </c>
      <c r="D39" s="2" t="str">
        <f>IF('Student Data'!E39="","",'Student Data'!E39)</f>
        <v/>
      </c>
      <c r="E39" s="319" t="str">
        <f t="shared" si="5"/>
        <v/>
      </c>
      <c r="F39" s="320">
        <f>'Student Data'!G39</f>
        <v>0</v>
      </c>
      <c r="G39" s="319" t="str">
        <f t="shared" si="1"/>
        <v/>
      </c>
      <c r="H39" s="319"/>
      <c r="I39" s="599"/>
      <c r="J39" s="599"/>
      <c r="K39" s="599"/>
      <c r="L39" s="599"/>
      <c r="M39" s="599"/>
      <c r="N39" s="599"/>
      <c r="O39" s="23"/>
      <c r="P39" s="34"/>
      <c r="Q39" s="23"/>
      <c r="R39" s="23"/>
      <c r="S39" s="23"/>
      <c r="T39" s="23"/>
      <c r="U39" s="23"/>
      <c r="V39" s="23"/>
      <c r="W39" s="23"/>
      <c r="X39" s="34"/>
      <c r="Y39" s="34"/>
      <c r="Z39" s="34"/>
      <c r="AA39" s="34"/>
      <c r="AB39" s="34"/>
      <c r="AC39" s="339" t="str">
        <f>'Day 1 WFH Audit'!F40</f>
        <v/>
      </c>
      <c r="AD39" s="34"/>
      <c r="AE39" s="34"/>
      <c r="AF39" s="34"/>
      <c r="AG39" s="34"/>
      <c r="AH39" s="34"/>
      <c r="AI39" s="341" t="str">
        <f t="shared" si="2"/>
        <v/>
      </c>
      <c r="AJ39" s="341" t="str">
        <f t="shared" si="3"/>
        <v/>
      </c>
      <c r="AK39" s="12"/>
      <c r="AL39" s="12"/>
      <c r="AM39" s="12"/>
    </row>
    <row r="40" spans="1:39" ht="14.45">
      <c r="A40" s="2">
        <f t="shared" si="4"/>
        <v>36</v>
      </c>
      <c r="B40" s="2" t="str">
        <f>IF('Student Data'!C40="","",'Student Data'!C40)</f>
        <v/>
      </c>
      <c r="C40" s="2" t="str">
        <f>IF('Student Data'!D40="","",'Student Data'!D40)</f>
        <v/>
      </c>
      <c r="D40" s="2" t="str">
        <f>IF('Student Data'!E40="","",'Student Data'!E40)</f>
        <v/>
      </c>
      <c r="E40" s="319" t="str">
        <f t="shared" si="5"/>
        <v/>
      </c>
      <c r="F40" s="320">
        <f>'Student Data'!G40</f>
        <v>0</v>
      </c>
      <c r="G40" s="319" t="str">
        <f t="shared" si="1"/>
        <v/>
      </c>
      <c r="H40" s="319"/>
      <c r="I40" s="599"/>
      <c r="J40" s="599"/>
      <c r="K40" s="599"/>
      <c r="L40" s="599"/>
      <c r="M40" s="599"/>
      <c r="N40" s="599"/>
      <c r="O40" s="23"/>
      <c r="P40" s="34"/>
      <c r="Q40" s="23"/>
      <c r="R40" s="23"/>
      <c r="S40" s="23"/>
      <c r="T40" s="23"/>
      <c r="U40" s="23"/>
      <c r="V40" s="23"/>
      <c r="W40" s="23"/>
      <c r="X40" s="34"/>
      <c r="Y40" s="34"/>
      <c r="Z40" s="34"/>
      <c r="AA40" s="34"/>
      <c r="AB40" s="34"/>
      <c r="AC40" s="339" t="str">
        <f>'Day 1 WFH Audit'!F41</f>
        <v/>
      </c>
      <c r="AD40" s="34"/>
      <c r="AE40" s="34"/>
      <c r="AF40" s="34"/>
      <c r="AG40" s="34"/>
      <c r="AH40" s="34"/>
      <c r="AI40" s="341" t="str">
        <f t="shared" si="2"/>
        <v/>
      </c>
      <c r="AJ40" s="341" t="str">
        <f t="shared" si="3"/>
        <v/>
      </c>
      <c r="AK40" s="12"/>
      <c r="AL40" s="12"/>
      <c r="AM40" s="12"/>
    </row>
    <row r="41" spans="1:39" ht="14.45">
      <c r="A41" s="2">
        <f t="shared" si="4"/>
        <v>37</v>
      </c>
      <c r="B41" s="2" t="str">
        <f>IF('Student Data'!C41="","",'Student Data'!C41)</f>
        <v/>
      </c>
      <c r="C41" s="2" t="str">
        <f>IF('Student Data'!D41="","",'Student Data'!D41)</f>
        <v/>
      </c>
      <c r="D41" s="2" t="str">
        <f>IF('Student Data'!E41="","",'Student Data'!E41)</f>
        <v/>
      </c>
      <c r="E41" s="319" t="str">
        <f t="shared" si="5"/>
        <v/>
      </c>
      <c r="F41" s="320">
        <f>'Student Data'!G41</f>
        <v>0</v>
      </c>
      <c r="G41" s="319" t="str">
        <f t="shared" si="1"/>
        <v/>
      </c>
      <c r="H41" s="319"/>
      <c r="I41" s="599"/>
      <c r="J41" s="599"/>
      <c r="K41" s="599"/>
      <c r="L41" s="599"/>
      <c r="M41" s="599"/>
      <c r="N41" s="599"/>
      <c r="O41" s="23"/>
      <c r="P41" s="34"/>
      <c r="Q41" s="23"/>
      <c r="R41" s="23"/>
      <c r="S41" s="23"/>
      <c r="T41" s="23"/>
      <c r="U41" s="23"/>
      <c r="V41" s="23"/>
      <c r="W41" s="23"/>
      <c r="X41" s="34"/>
      <c r="Y41" s="34"/>
      <c r="Z41" s="34"/>
      <c r="AA41" s="34"/>
      <c r="AB41" s="34"/>
      <c r="AC41" s="339" t="str">
        <f>'Day 1 WFH Audit'!F42</f>
        <v/>
      </c>
      <c r="AD41" s="34"/>
      <c r="AE41" s="34"/>
      <c r="AF41" s="34"/>
      <c r="AG41" s="34"/>
      <c r="AH41" s="34"/>
      <c r="AI41" s="341" t="str">
        <f t="shared" si="2"/>
        <v/>
      </c>
      <c r="AJ41" s="341" t="str">
        <f t="shared" si="3"/>
        <v/>
      </c>
      <c r="AK41" s="12"/>
      <c r="AL41" s="12"/>
      <c r="AM41" s="12"/>
    </row>
    <row r="42" spans="1:39" ht="14.45">
      <c r="A42" s="2">
        <f t="shared" si="4"/>
        <v>38</v>
      </c>
      <c r="B42" s="2" t="str">
        <f>IF('Student Data'!C42="","",'Student Data'!C42)</f>
        <v/>
      </c>
      <c r="C42" s="2" t="str">
        <f>IF('Student Data'!D42="","",'Student Data'!D42)</f>
        <v/>
      </c>
      <c r="D42" s="2" t="str">
        <f>IF('Student Data'!E42="","",'Student Data'!E42)</f>
        <v/>
      </c>
      <c r="E42" s="319" t="str">
        <f t="shared" si="5"/>
        <v/>
      </c>
      <c r="F42" s="320">
        <f>'Student Data'!G42</f>
        <v>0</v>
      </c>
      <c r="G42" s="319" t="str">
        <f t="shared" si="1"/>
        <v/>
      </c>
      <c r="H42" s="319"/>
      <c r="I42" s="599"/>
      <c r="J42" s="599"/>
      <c r="K42" s="599"/>
      <c r="L42" s="599"/>
      <c r="M42" s="599"/>
      <c r="N42" s="599"/>
      <c r="O42" s="23"/>
      <c r="P42" s="34"/>
      <c r="Q42" s="23"/>
      <c r="R42" s="23"/>
      <c r="S42" s="23"/>
      <c r="T42" s="23"/>
      <c r="U42" s="23"/>
      <c r="V42" s="23"/>
      <c r="W42" s="23"/>
      <c r="X42" s="34"/>
      <c r="Y42" s="34"/>
      <c r="Z42" s="34"/>
      <c r="AA42" s="34"/>
      <c r="AB42" s="34"/>
      <c r="AC42" s="339" t="str">
        <f>'Day 1 WFH Audit'!F43</f>
        <v/>
      </c>
      <c r="AD42" s="34"/>
      <c r="AE42" s="34"/>
      <c r="AF42" s="34"/>
      <c r="AG42" s="34"/>
      <c r="AH42" s="34"/>
      <c r="AI42" s="341" t="str">
        <f t="shared" si="2"/>
        <v/>
      </c>
      <c r="AJ42" s="341" t="str">
        <f t="shared" si="3"/>
        <v/>
      </c>
      <c r="AK42" s="12"/>
      <c r="AL42" s="12"/>
      <c r="AM42" s="12"/>
    </row>
    <row r="43" spans="1:39" ht="14.45">
      <c r="A43" s="2">
        <f t="shared" si="4"/>
        <v>39</v>
      </c>
      <c r="B43" s="2" t="str">
        <f>IF('Student Data'!C43="","",'Student Data'!C43)</f>
        <v/>
      </c>
      <c r="C43" s="2" t="str">
        <f>IF('Student Data'!D43="","",'Student Data'!D43)</f>
        <v/>
      </c>
      <c r="D43" s="2" t="str">
        <f>IF('Student Data'!E43="","",'Student Data'!E43)</f>
        <v/>
      </c>
      <c r="E43" s="319" t="str">
        <f t="shared" si="5"/>
        <v/>
      </c>
      <c r="F43" s="320">
        <f>'Student Data'!G43</f>
        <v>0</v>
      </c>
      <c r="G43" s="319" t="str">
        <f t="shared" si="1"/>
        <v/>
      </c>
      <c r="H43" s="319"/>
      <c r="I43" s="599"/>
      <c r="J43" s="599"/>
      <c r="K43" s="599"/>
      <c r="L43" s="599"/>
      <c r="M43" s="599"/>
      <c r="N43" s="599"/>
      <c r="O43" s="23"/>
      <c r="P43" s="34"/>
      <c r="Q43" s="23"/>
      <c r="R43" s="23"/>
      <c r="S43" s="23"/>
      <c r="T43" s="23"/>
      <c r="U43" s="23"/>
      <c r="V43" s="23"/>
      <c r="W43" s="23"/>
      <c r="X43" s="34"/>
      <c r="Y43" s="34"/>
      <c r="Z43" s="34"/>
      <c r="AA43" s="34"/>
      <c r="AB43" s="34"/>
      <c r="AC43" s="339" t="str">
        <f>'Day 1 WFH Audit'!F44</f>
        <v/>
      </c>
      <c r="AD43" s="34"/>
      <c r="AE43" s="34"/>
      <c r="AF43" s="34"/>
      <c r="AG43" s="34"/>
      <c r="AH43" s="34"/>
      <c r="AI43" s="341" t="str">
        <f t="shared" si="2"/>
        <v/>
      </c>
      <c r="AJ43" s="341" t="str">
        <f t="shared" si="3"/>
        <v/>
      </c>
      <c r="AK43" s="12"/>
      <c r="AL43" s="12"/>
      <c r="AM43" s="12"/>
    </row>
    <row r="44" spans="1:39" ht="14.45">
      <c r="A44" s="2">
        <f t="shared" si="4"/>
        <v>40</v>
      </c>
      <c r="B44" s="2" t="str">
        <f>IF('Student Data'!C44="","",'Student Data'!C44)</f>
        <v/>
      </c>
      <c r="C44" s="2" t="str">
        <f>IF('Student Data'!D44="","",'Student Data'!D44)</f>
        <v/>
      </c>
      <c r="D44" s="2" t="str">
        <f>IF('Student Data'!E44="","",'Student Data'!E44)</f>
        <v/>
      </c>
      <c r="E44" s="319" t="str">
        <f t="shared" si="5"/>
        <v/>
      </c>
      <c r="F44" s="320">
        <f>'Student Data'!G44</f>
        <v>0</v>
      </c>
      <c r="G44" s="319" t="str">
        <f t="shared" si="1"/>
        <v/>
      </c>
      <c r="H44" s="319"/>
      <c r="I44" s="599"/>
      <c r="J44" s="599"/>
      <c r="K44" s="599"/>
      <c r="L44" s="599"/>
      <c r="M44" s="599"/>
      <c r="N44" s="599"/>
      <c r="O44" s="23"/>
      <c r="P44" s="34"/>
      <c r="Q44" s="23"/>
      <c r="R44" s="23"/>
      <c r="S44" s="23"/>
      <c r="T44" s="23"/>
      <c r="U44" s="23"/>
      <c r="V44" s="23"/>
      <c r="W44" s="23"/>
      <c r="X44" s="34"/>
      <c r="Y44" s="34"/>
      <c r="Z44" s="34"/>
      <c r="AA44" s="34"/>
      <c r="AB44" s="34"/>
      <c r="AC44" s="339" t="str">
        <f>'Day 1 WFH Audit'!F45</f>
        <v/>
      </c>
      <c r="AD44" s="34"/>
      <c r="AE44" s="34"/>
      <c r="AF44" s="34"/>
      <c r="AG44" s="34"/>
      <c r="AH44" s="34"/>
      <c r="AI44" s="341" t="str">
        <f t="shared" si="2"/>
        <v/>
      </c>
      <c r="AJ44" s="341" t="str">
        <f t="shared" si="3"/>
        <v/>
      </c>
      <c r="AK44" s="12"/>
      <c r="AL44" s="12"/>
      <c r="AM44" s="12"/>
    </row>
    <row r="45" spans="1:39" ht="14.45">
      <c r="H45" s="335" t="e">
        <f>AVERAGE(H5:H44)</f>
        <v>#DIV/0!</v>
      </c>
      <c r="I45" s="335"/>
      <c r="J45" s="335"/>
      <c r="K45" s="335"/>
      <c r="L45" s="335"/>
      <c r="M45" s="335"/>
      <c r="N45" s="335"/>
      <c r="AD45" s="335" t="e">
        <f>AVERAGE(AD5:AD44)</f>
        <v>#DIV/0!</v>
      </c>
      <c r="AE45" s="335" t="e">
        <f t="shared" ref="AE45:AJ45" si="6">AVERAGE(AE5:AE44)</f>
        <v>#DIV/0!</v>
      </c>
      <c r="AF45" s="335" t="e">
        <f t="shared" si="6"/>
        <v>#DIV/0!</v>
      </c>
      <c r="AG45" s="335" t="e">
        <f t="shared" si="6"/>
        <v>#DIV/0!</v>
      </c>
      <c r="AH45" s="335" t="e">
        <f t="shared" si="6"/>
        <v>#DIV/0!</v>
      </c>
      <c r="AI45" s="335" t="e">
        <f t="shared" si="6"/>
        <v>#DIV/0!</v>
      </c>
      <c r="AJ45" s="335">
        <f t="shared" si="6"/>
        <v>0</v>
      </c>
    </row>
    <row r="47" spans="1:39" ht="16.5" customHeight="1">
      <c r="A47" s="11" t="s">
        <v>117</v>
      </c>
      <c r="X47" s="336"/>
      <c r="Y47" s="336"/>
      <c r="Z47" s="336"/>
      <c r="AA47" s="336"/>
    </row>
    <row r="48" spans="1:39" ht="15" customHeight="1">
      <c r="A48" s="11" t="s">
        <v>119</v>
      </c>
    </row>
    <row r="49" spans="24:27" ht="15" customHeight="1">
      <c r="X49" s="337"/>
      <c r="Y49" s="337"/>
      <c r="Z49" s="337"/>
      <c r="AA49" s="337"/>
    </row>
    <row r="75" spans="1:1" ht="15.75" customHeight="1"/>
    <row r="77" spans="1:1" ht="14.45" hidden="1">
      <c r="A77" s="11" t="s">
        <v>378</v>
      </c>
    </row>
    <row r="78" spans="1:1" ht="14.45" hidden="1">
      <c r="A78" s="338" t="s">
        <v>379</v>
      </c>
    </row>
    <row r="79" spans="1:1" ht="14.45" hidden="1">
      <c r="A79" s="338" t="s">
        <v>380</v>
      </c>
    </row>
    <row r="80" spans="1:1" ht="14.45" hidden="1">
      <c r="A80" s="338" t="s">
        <v>381</v>
      </c>
    </row>
    <row r="81" spans="1:1" ht="14.45" hidden="1">
      <c r="A81" s="338" t="s">
        <v>382</v>
      </c>
    </row>
    <row r="82" spans="1:1" ht="14.45" hidden="1">
      <c r="A82" s="338" t="s">
        <v>383</v>
      </c>
    </row>
    <row r="83" spans="1:1" ht="14.45" hidden="1">
      <c r="A83" s="338" t="s">
        <v>384</v>
      </c>
    </row>
    <row r="84" spans="1:1" ht="14.45" hidden="1">
      <c r="A84" s="338" t="s">
        <v>385</v>
      </c>
    </row>
    <row r="85" spans="1:1" ht="14.45" hidden="1">
      <c r="A85" s="338" t="s">
        <v>386</v>
      </c>
    </row>
    <row r="86" spans="1:1" ht="14.45" hidden="1">
      <c r="A86" s="338" t="s">
        <v>387</v>
      </c>
    </row>
    <row r="87" spans="1:1" ht="14.45" hidden="1">
      <c r="A87" s="338" t="s">
        <v>388</v>
      </c>
    </row>
    <row r="88" spans="1:1" ht="14.45" hidden="1">
      <c r="A88" s="338" t="s">
        <v>389</v>
      </c>
    </row>
    <row r="89" spans="1:1" ht="14.45" hidden="1"/>
    <row r="90" spans="1:1" ht="14.45" hidden="1"/>
    <row r="91" spans="1:1" ht="14.45" hidden="1"/>
    <row r="92" spans="1:1" ht="14.45" hidden="1"/>
    <row r="93" spans="1:1" ht="14.45" hidden="1"/>
    <row r="94" spans="1:1" ht="14.45" hidden="1"/>
    <row r="95" spans="1:1" ht="14.45" hidden="1"/>
    <row r="96" spans="1:1" ht="14.45" hidden="1"/>
    <row r="97" ht="14.45" hidden="1"/>
    <row r="98" ht="14.45" hidden="1"/>
    <row r="99" ht="14.45" hidden="1"/>
    <row r="160" spans="2:2" ht="14.45">
      <c r="B160" s="11" t="s">
        <v>315</v>
      </c>
    </row>
  </sheetData>
  <sheetProtection formatCells="0" formatColumns="0"/>
  <mergeCells count="12">
    <mergeCell ref="E1:G2"/>
    <mergeCell ref="AK3:AK4"/>
    <mergeCell ref="AL3:AL4"/>
    <mergeCell ref="X2:AC2"/>
    <mergeCell ref="O2:V2"/>
    <mergeCell ref="I2:N2"/>
    <mergeCell ref="AM3:AM4"/>
    <mergeCell ref="E3:E4"/>
    <mergeCell ref="F3:F4"/>
    <mergeCell ref="AI3:AI4"/>
    <mergeCell ref="AJ3:AJ4"/>
    <mergeCell ref="G3:G4"/>
  </mergeCells>
  <conditionalFormatting sqref="O5:O44 Y5:Y44 AC5:AC44 R5:R44 T5:T44">
    <cfRule type="cellIs" dxfId="2105" priority="25" operator="equal">
      <formula>1</formula>
    </cfRule>
    <cfRule type="cellIs" dxfId="2104" priority="25" operator="lessThanOrEqual">
      <formula>0.99</formula>
    </cfRule>
  </conditionalFormatting>
  <conditionalFormatting sqref="P5:Q44 S5:S44 U5:X44 Z5:AB44">
    <cfRule type="cellIs" dxfId="2103" priority="24" operator="greaterThanOrEqual">
      <formula>0.8</formula>
    </cfRule>
  </conditionalFormatting>
  <conditionalFormatting sqref="P5:Q44 S5:S44 U5:X44 Z5:AB44">
    <cfRule type="cellIs" dxfId="2102" priority="23" operator="lessThanOrEqual">
      <formula>0.79</formula>
    </cfRule>
  </conditionalFormatting>
  <conditionalFormatting sqref="O5:AC44">
    <cfRule type="containsBlanks" dxfId="2101" priority="22" stopIfTrue="1">
      <formula>LEN(TRIM(O5))=0</formula>
    </cfRule>
  </conditionalFormatting>
  <conditionalFormatting sqref="AD5:AE44">
    <cfRule type="containsBlanks" dxfId="2100" priority="18" stopIfTrue="1">
      <formula>LEN(TRIM(AD5))=0</formula>
    </cfRule>
    <cfRule type="cellIs" dxfId="2099" priority="19" operator="lessThanOrEqual">
      <formula>0.79</formula>
    </cfRule>
    <cfRule type="cellIs" dxfId="2098" priority="20" operator="greaterThanOrEqual">
      <formula>0.8</formula>
    </cfRule>
  </conditionalFormatting>
  <conditionalFormatting sqref="P5">
    <cfRule type="cellIs" dxfId="2097" priority="16" operator="equal">
      <formula>1</formula>
    </cfRule>
  </conditionalFormatting>
  <conditionalFormatting sqref="Q5">
    <cfRule type="cellIs" dxfId="2096" priority="14" operator="equal">
      <formula>1</formula>
    </cfRule>
  </conditionalFormatting>
  <conditionalFormatting sqref="S5">
    <cfRule type="cellIs" dxfId="2095" priority="12" operator="equal">
      <formula>1</formula>
    </cfRule>
  </conditionalFormatting>
  <conditionalFormatting sqref="U5">
    <cfRule type="cellIs" dxfId="2094" priority="10" operator="equal">
      <formula>1</formula>
    </cfRule>
  </conditionalFormatting>
  <conditionalFormatting sqref="I5:N5">
    <cfRule type="cellIs" dxfId="2093" priority="8" operator="equal">
      <formula>1</formula>
    </cfRule>
  </conditionalFormatting>
  <conditionalFormatting sqref="I5:N5">
    <cfRule type="containsBlanks" dxfId="2092" priority="7" stopIfTrue="1">
      <formula>LEN(TRIM(I5))=0</formula>
    </cfRule>
  </conditionalFormatting>
  <conditionalFormatting sqref="I6:N44">
    <cfRule type="cellIs" dxfId="2091" priority="2" operator="lessThanOrEqual">
      <formula>0.99</formula>
    </cfRule>
    <cfRule type="cellIs" dxfId="2090" priority="2" operator="equal">
      <formula>1</formula>
    </cfRule>
  </conditionalFormatting>
  <conditionalFormatting sqref="I6:N44">
    <cfRule type="containsBlanks" dxfId="2089" priority="1" stopIfTrue="1">
      <formula>LEN(TRIM(I6))=0</formula>
    </cfRule>
  </conditionalFormatting>
  <dataValidations count="3">
    <dataValidation type="list" allowBlank="1" showInputMessage="1" showErrorMessage="1" sqref="P1 AB1 R1 J1" xr:uid="{00000000-0002-0000-0900-000000000000}">
      <formula1>$O$40:$O$43</formula1>
    </dataValidation>
    <dataValidation type="list" allowBlank="1" showInputMessage="1" showErrorMessage="1" sqref="AK5:AK44" xr:uid="{00000000-0002-0000-0900-000001000000}">
      <formula1>$A$46:$A$48</formula1>
    </dataValidation>
    <dataValidation type="list" allowBlank="1" showInputMessage="1" showErrorMessage="1" sqref="AL5:AL44" xr:uid="{00000000-0002-0000-0900-000002000000}">
      <formula1>$A$47:$A$49</formula1>
    </dataValidation>
  </dataValidations>
  <hyperlinks>
    <hyperlink ref="A2" location="'Quick Links'!A1" display="Home" xr:uid="{CD2C3D39-B181-492D-A822-EDA04B86E7CD}"/>
  </hyperlink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BR146"/>
  <sheetViews>
    <sheetView zoomScale="75" zoomScaleNormal="75" workbookViewId="0">
      <pane xSplit="7" topLeftCell="H10" activePane="topRight" state="frozen"/>
      <selection pane="topRight" activeCell="I24" sqref="I24"/>
      <selection activeCell="H9" sqref="H9"/>
    </sheetView>
  </sheetViews>
  <sheetFormatPr defaultColWidth="9.140625" defaultRowHeight="15" customHeight="1"/>
  <cols>
    <col min="1" max="1" width="3.7109375" style="11" bestFit="1" customWidth="1"/>
    <col min="2" max="2" width="20.85546875" style="11" customWidth="1"/>
    <col min="3" max="3" width="10.42578125" style="11" customWidth="1"/>
    <col min="4" max="4" width="12.28515625" style="11" customWidth="1"/>
    <col min="5" max="5" width="25.140625" style="11" customWidth="1"/>
    <col min="6" max="6" width="18.85546875" style="11" bestFit="1" customWidth="1"/>
    <col min="7" max="7" width="29" style="11" customWidth="1"/>
    <col min="8" max="8" width="16.85546875" style="11" hidden="1" customWidth="1"/>
    <col min="9" max="9" width="14.5703125" style="11" hidden="1" customWidth="1"/>
    <col min="10" max="10" width="3.28515625" style="11" customWidth="1"/>
    <col min="11" max="11" width="9.140625" style="11" hidden="1" customWidth="1"/>
    <col min="12" max="12" width="9" style="11" customWidth="1"/>
    <col min="13" max="15" width="9.140625" style="11" customWidth="1"/>
    <col min="16" max="28" width="9.140625" style="11"/>
    <col min="29" max="29" width="9" style="11" bestFit="1" customWidth="1"/>
    <col min="30" max="31" width="9.140625" style="11"/>
    <col min="32" max="33" width="9.5703125" style="11" bestFit="1" customWidth="1"/>
    <col min="34" max="34" width="9.5703125" style="11" customWidth="1"/>
    <col min="35" max="35" width="9.85546875" style="11" bestFit="1" customWidth="1"/>
    <col min="36" max="37" width="9.5703125" style="11" bestFit="1" customWidth="1"/>
    <col min="38" max="38" width="9.140625" style="11"/>
    <col min="39" max="40" width="9.5703125" style="11" customWidth="1"/>
    <col min="41" max="41" width="9.85546875" style="11" bestFit="1" customWidth="1"/>
    <col min="42" max="44" width="9.85546875" style="11" customWidth="1"/>
    <col min="45" max="66" width="9.140625" style="323"/>
    <col min="67" max="68" width="11.140625" style="323" customWidth="1"/>
    <col min="69" max="69" width="12.5703125" style="323" customWidth="1"/>
    <col min="70" max="16384" width="9.140625" style="323"/>
  </cols>
  <sheetData>
    <row r="1" spans="1:66" ht="14.45" customHeight="1">
      <c r="B1" s="288" t="s">
        <v>90</v>
      </c>
      <c r="E1" s="97"/>
    </row>
    <row r="2" spans="1:66" s="11" customFormat="1" ht="55.5" customHeight="1">
      <c r="L2" s="16"/>
      <c r="M2" s="17"/>
    </row>
    <row r="3" spans="1:66" s="1" customFormat="1" ht="11.25" customHeight="1">
      <c r="A3" s="879"/>
      <c r="B3" s="879"/>
      <c r="C3" s="879"/>
      <c r="D3" s="879"/>
      <c r="E3" s="879"/>
      <c r="F3" s="879"/>
      <c r="G3" s="879"/>
      <c r="H3" s="879"/>
      <c r="I3" s="879"/>
      <c r="J3" s="880"/>
      <c r="K3" s="886" t="s">
        <v>390</v>
      </c>
      <c r="L3" s="886" t="s">
        <v>391</v>
      </c>
      <c r="M3" s="886" t="s">
        <v>392</v>
      </c>
      <c r="W3" s="343"/>
      <c r="X3" s="343"/>
      <c r="Y3" s="343"/>
      <c r="Z3" s="343"/>
      <c r="AA3" s="343"/>
      <c r="AB3" s="343"/>
      <c r="AC3" s="343"/>
      <c r="AD3" s="343"/>
      <c r="AE3" s="343"/>
      <c r="AF3" s="343"/>
      <c r="AG3" s="343"/>
      <c r="AH3" s="343"/>
      <c r="AI3" s="343"/>
      <c r="AJ3" s="343"/>
      <c r="AK3" s="343"/>
      <c r="AL3" s="343"/>
      <c r="AM3" s="343"/>
      <c r="AN3" s="343"/>
      <c r="AO3" s="343"/>
      <c r="AP3" s="343"/>
      <c r="AQ3" s="343"/>
      <c r="AR3" s="343"/>
    </row>
    <row r="4" spans="1:66" s="1" customFormat="1" ht="14.25" customHeight="1">
      <c r="A4" s="853" t="s">
        <v>393</v>
      </c>
      <c r="B4" s="853"/>
      <c r="C4" s="881" t="s">
        <v>394</v>
      </c>
      <c r="D4" s="881"/>
      <c r="E4" s="881"/>
      <c r="F4" s="438" t="s">
        <v>395</v>
      </c>
      <c r="G4" s="438">
        <f>'Class Summary'!L19</f>
        <v>3</v>
      </c>
      <c r="H4" s="438"/>
      <c r="I4" s="438"/>
      <c r="J4" s="571"/>
      <c r="K4" s="886"/>
      <c r="L4" s="886"/>
      <c r="M4" s="886"/>
    </row>
    <row r="5" spans="1:66" s="1" customFormat="1" ht="14.25" customHeight="1">
      <c r="A5" s="853" t="s">
        <v>396</v>
      </c>
      <c r="B5" s="853"/>
      <c r="C5" s="882">
        <f>'Class Summary'!B4</f>
        <v>46023</v>
      </c>
      <c r="D5" s="882"/>
      <c r="E5" s="882"/>
      <c r="F5" s="438" t="s">
        <v>397</v>
      </c>
      <c r="G5" s="438">
        <f>SUM(G6:G7)</f>
        <v>0</v>
      </c>
      <c r="H5" s="438"/>
      <c r="I5" s="438"/>
      <c r="J5" s="571"/>
      <c r="K5" s="437">
        <f>8*G4*47</f>
        <v>1128</v>
      </c>
      <c r="L5" s="569">
        <f>BR41</f>
        <v>114</v>
      </c>
      <c r="M5" s="570">
        <f>(K5-L5)/K5</f>
        <v>0.89893617021276595</v>
      </c>
    </row>
    <row r="6" spans="1:66" s="1" customFormat="1" ht="14.25" customHeight="1">
      <c r="A6" s="853" t="str">
        <f>'Class Summary'!A5</f>
        <v>Training Start Date T1A</v>
      </c>
      <c r="B6" s="853"/>
      <c r="C6" s="854">
        <f>'Class Summary'!B6</f>
        <v>46051</v>
      </c>
      <c r="D6" s="854"/>
      <c r="E6" s="854"/>
      <c r="F6" s="438" t="s">
        <v>310</v>
      </c>
      <c r="G6" s="438" cm="1">
        <f t="array" ref="G6">SUM(COUNTIFS(Attendance!G21:G42,{"Tier*","Nesting*","*transition*"}, Attendance!D21:D42, "English"))</f>
        <v>0</v>
      </c>
      <c r="H6" s="438"/>
      <c r="I6" s="438"/>
      <c r="J6" s="438"/>
      <c r="L6" s="28"/>
      <c r="M6" s="344"/>
    </row>
    <row r="7" spans="1:66" s="1" customFormat="1" ht="14.25" customHeight="1">
      <c r="A7" s="853" t="str">
        <f>'Class Summary'!C4</f>
        <v>Training Start Date  T1B</v>
      </c>
      <c r="B7" s="853"/>
      <c r="C7" s="854">
        <f>'Class Summary'!E4</f>
        <v>46058</v>
      </c>
      <c r="D7" s="854"/>
      <c r="E7" s="854"/>
      <c r="F7" s="438" t="s">
        <v>398</v>
      </c>
      <c r="G7" s="439" cm="1">
        <f t="array" ref="G7">SUM(COUNTIFS(Attendance!G21:G42,{"Tier*","Nesting*","*transition*"},Attendance!D21:D42, "Bilingual"))</f>
        <v>0</v>
      </c>
      <c r="H7" s="438"/>
      <c r="I7" s="438"/>
      <c r="J7" s="438"/>
      <c r="L7" s="28"/>
      <c r="M7" s="344"/>
    </row>
    <row r="8" spans="1:66" s="1" customFormat="1" ht="14.25" customHeight="1">
      <c r="A8" s="853" t="str">
        <f>'Class Summary'!C5</f>
        <v>Nesting Start Date T1B</v>
      </c>
      <c r="B8" s="853"/>
      <c r="C8" s="854">
        <f>'Class Summary'!E5</f>
        <v>46066</v>
      </c>
      <c r="D8" s="854"/>
      <c r="E8" s="854"/>
      <c r="F8" s="438"/>
      <c r="G8" s="438"/>
      <c r="H8" s="438"/>
      <c r="I8" s="438"/>
      <c r="J8" s="438"/>
      <c r="L8" s="28"/>
      <c r="M8" s="344"/>
    </row>
    <row r="9" spans="1:66" s="1" customFormat="1" ht="14.25" customHeight="1">
      <c r="A9" s="877" t="s">
        <v>399</v>
      </c>
      <c r="B9" s="878"/>
      <c r="C9" s="854">
        <f>'Class Summary'!E9</f>
        <v>46090</v>
      </c>
      <c r="D9" s="854"/>
      <c r="E9" s="854"/>
      <c r="F9" s="438"/>
      <c r="G9" s="438"/>
      <c r="H9" s="438"/>
      <c r="I9" s="438"/>
      <c r="J9" s="438"/>
      <c r="L9" s="28"/>
      <c r="M9" s="344"/>
    </row>
    <row r="10" spans="1:66" s="1" customFormat="1" ht="14.25" customHeight="1">
      <c r="A10" s="877" t="s">
        <v>400</v>
      </c>
      <c r="B10" s="878"/>
      <c r="C10" s="854">
        <f>'Class Summary'!E10</f>
        <v>0</v>
      </c>
      <c r="D10" s="854"/>
      <c r="E10" s="854"/>
      <c r="F10" s="438"/>
      <c r="G10" s="438"/>
      <c r="H10" s="438"/>
      <c r="I10" s="438"/>
      <c r="J10" s="438"/>
      <c r="L10" s="28"/>
      <c r="M10" s="344"/>
    </row>
    <row r="11" spans="1:66" s="1" customFormat="1" ht="14.25" customHeight="1">
      <c r="A11" s="853" t="s">
        <v>401</v>
      </c>
      <c r="B11" s="853"/>
      <c r="C11" s="854">
        <f>'Class Summary'!B10</f>
        <v>0</v>
      </c>
      <c r="D11" s="853"/>
      <c r="E11" s="853"/>
      <c r="F11" s="595" t="s">
        <v>145</v>
      </c>
      <c r="G11" s="596">
        <f>'Class Summary'!B11</f>
        <v>0</v>
      </c>
      <c r="H11" s="438"/>
      <c r="I11" s="438"/>
      <c r="J11" s="438"/>
      <c r="L11" s="28"/>
      <c r="M11" s="344"/>
    </row>
    <row r="12" spans="1:66" s="11" customFormat="1" ht="19.5" customHeight="1">
      <c r="A12" s="855" t="s">
        <v>402</v>
      </c>
      <c r="B12" s="855"/>
      <c r="C12" s="855"/>
      <c r="D12" s="855"/>
      <c r="E12" s="855"/>
      <c r="F12" s="568"/>
      <c r="G12" s="568"/>
      <c r="H12" s="568"/>
      <c r="I12" s="568"/>
      <c r="J12" s="568"/>
      <c r="L12" s="16"/>
      <c r="M12" s="17"/>
      <c r="Q12" s="425"/>
    </row>
    <row r="13" spans="1:66" s="11" customFormat="1" ht="19.5" customHeight="1">
      <c r="A13" s="856" t="s">
        <v>403</v>
      </c>
      <c r="B13" s="856"/>
      <c r="C13" s="856"/>
      <c r="D13" s="856"/>
      <c r="E13" s="440">
        <v>0</v>
      </c>
      <c r="F13" s="440">
        <v>0</v>
      </c>
      <c r="H13" s="425"/>
      <c r="I13" s="425"/>
      <c r="J13" s="425"/>
    </row>
    <row r="14" spans="1:66" s="11" customFormat="1" ht="19.5" customHeight="1">
      <c r="A14" s="856" t="s">
        <v>404</v>
      </c>
      <c r="B14" s="856"/>
      <c r="C14" s="856"/>
      <c r="D14" s="856"/>
      <c r="E14" s="440">
        <f>7.5-(1/60*E13)</f>
        <v>7.5</v>
      </c>
      <c r="F14" s="440">
        <f>8-(1/60*F13)</f>
        <v>8</v>
      </c>
      <c r="H14" s="425"/>
      <c r="I14" s="425"/>
      <c r="J14" s="425"/>
      <c r="L14" s="342"/>
      <c r="M14" s="214"/>
      <c r="N14" s="214"/>
      <c r="O14" s="214"/>
    </row>
    <row r="15" spans="1:66" s="11" customFormat="1" ht="59.25" customHeight="1">
      <c r="B15" s="18"/>
      <c r="C15" s="18"/>
      <c r="D15" s="18"/>
      <c r="E15" s="419" t="s">
        <v>405</v>
      </c>
      <c r="F15" s="419" t="s">
        <v>406</v>
      </c>
      <c r="G15" s="18"/>
      <c r="H15" s="18"/>
      <c r="I15" s="19"/>
      <c r="J15" s="20"/>
      <c r="K15" s="20"/>
      <c r="L15" s="422"/>
      <c r="M15" s="859" t="s">
        <v>407</v>
      </c>
      <c r="N15" s="859" t="s">
        <v>408</v>
      </c>
      <c r="O15" s="859" t="s">
        <v>408</v>
      </c>
      <c r="P15" s="859" t="s">
        <v>408</v>
      </c>
      <c r="Q15" s="421"/>
      <c r="R15" s="421"/>
      <c r="S15" s="859" t="s">
        <v>409</v>
      </c>
      <c r="T15" s="345"/>
      <c r="U15" s="345"/>
      <c r="V15" s="345"/>
      <c r="W15" s="345"/>
      <c r="X15" s="345"/>
      <c r="Y15" s="345"/>
      <c r="Z15" s="345"/>
      <c r="AA15" s="345"/>
      <c r="AB15" s="345"/>
      <c r="AC15" s="345"/>
      <c r="AD15" s="345"/>
      <c r="AE15" s="345"/>
      <c r="AF15" s="884" t="s">
        <v>408</v>
      </c>
      <c r="AG15" s="884" t="s">
        <v>408</v>
      </c>
      <c r="AH15" s="345"/>
      <c r="AI15" s="345"/>
      <c r="AJ15" s="345"/>
      <c r="AK15" s="345"/>
      <c r="AL15" s="345"/>
      <c r="AM15" s="345"/>
      <c r="AN15" s="345"/>
      <c r="AO15" s="345"/>
      <c r="AP15" s="345"/>
      <c r="AQ15" s="345"/>
      <c r="AR15" s="345"/>
      <c r="AS15" s="345"/>
      <c r="AT15" s="345"/>
      <c r="AU15" s="345"/>
      <c r="AV15" s="345"/>
      <c r="AW15" s="345"/>
      <c r="AX15" s="345"/>
      <c r="AY15" s="345"/>
      <c r="AZ15" s="345"/>
      <c r="BA15" s="345"/>
      <c r="BB15" s="345"/>
      <c r="BC15" s="345"/>
      <c r="BD15" s="1"/>
      <c r="BE15" s="345"/>
      <c r="BF15" s="345"/>
      <c r="BG15" s="345"/>
      <c r="BH15" s="345"/>
      <c r="BI15" s="345"/>
      <c r="BJ15" s="345"/>
      <c r="BK15" s="345"/>
      <c r="BL15" s="345"/>
      <c r="BM15" s="345"/>
      <c r="BN15" s="1"/>
    </row>
    <row r="16" spans="1:66" s="11" customFormat="1" ht="14.45" customHeight="1">
      <c r="J16" s="20"/>
      <c r="K16" s="420" t="s">
        <v>410</v>
      </c>
      <c r="L16" s="420"/>
      <c r="M16" s="859"/>
      <c r="N16" s="859"/>
      <c r="O16" s="859"/>
      <c r="P16" s="859"/>
      <c r="Q16" s="660"/>
      <c r="R16" s="660"/>
      <c r="S16" s="859"/>
      <c r="T16" s="420"/>
      <c r="U16" s="420"/>
      <c r="V16" s="420"/>
      <c r="W16" s="99"/>
      <c r="X16" s="99"/>
      <c r="Y16" s="420"/>
      <c r="Z16" s="420"/>
      <c r="AA16" s="420"/>
      <c r="AB16" s="420"/>
      <c r="AC16" s="420"/>
      <c r="AD16" s="99"/>
      <c r="AE16" s="99"/>
      <c r="AF16" s="885"/>
      <c r="AG16" s="885"/>
      <c r="AH16" s="420"/>
      <c r="AJ16" s="420"/>
      <c r="AK16" s="420"/>
      <c r="AL16" s="420"/>
      <c r="AM16" s="420"/>
      <c r="AN16" s="420"/>
      <c r="AR16" s="21"/>
    </row>
    <row r="17" spans="1:70" s="11" customFormat="1" ht="15" customHeight="1">
      <c r="J17" s="20"/>
      <c r="K17" s="401" t="s">
        <v>411</v>
      </c>
      <c r="L17" s="866" t="s">
        <v>302</v>
      </c>
      <c r="M17" s="866"/>
      <c r="N17" s="866"/>
      <c r="O17" s="866"/>
      <c r="P17" s="866"/>
      <c r="Q17" s="866"/>
      <c r="R17" s="866"/>
      <c r="S17" s="866"/>
      <c r="T17" s="867"/>
      <c r="U17" s="883" t="s">
        <v>231</v>
      </c>
      <c r="V17" s="883"/>
      <c r="W17" s="883"/>
      <c r="X17" s="883"/>
      <c r="Y17" s="883"/>
      <c r="Z17" s="883"/>
      <c r="AA17" s="883"/>
      <c r="AB17" s="883"/>
      <c r="AC17" s="883"/>
      <c r="AD17" s="883"/>
      <c r="AE17" s="883"/>
      <c r="AF17" s="883"/>
      <c r="AG17" s="883"/>
      <c r="AH17" s="883"/>
      <c r="AI17" s="857" t="s">
        <v>412</v>
      </c>
      <c r="AJ17" s="857"/>
      <c r="AK17" s="857"/>
      <c r="AL17" s="857"/>
      <c r="AM17" s="858"/>
      <c r="AN17" s="632"/>
      <c r="AO17" s="874" t="s">
        <v>281</v>
      </c>
      <c r="AP17" s="875"/>
      <c r="AQ17" s="875"/>
      <c r="AR17" s="875"/>
      <c r="AS17" s="875"/>
      <c r="AT17" s="875"/>
      <c r="AU17" s="876"/>
      <c r="AV17" s="861" t="s">
        <v>282</v>
      </c>
      <c r="AW17" s="857"/>
      <c r="AX17" s="857"/>
      <c r="AY17" s="857"/>
      <c r="AZ17" s="858"/>
      <c r="BA17" s="633"/>
      <c r="BB17" s="633"/>
      <c r="BC17" s="868" t="s">
        <v>413</v>
      </c>
      <c r="BD17" s="869"/>
      <c r="BE17" s="847" t="s">
        <v>414</v>
      </c>
      <c r="BF17" s="848"/>
      <c r="BG17" s="848"/>
      <c r="BH17" s="848"/>
      <c r="BI17" s="848"/>
      <c r="BJ17" s="848"/>
      <c r="BK17" s="848"/>
      <c r="BL17" s="848"/>
      <c r="BM17" s="848"/>
      <c r="BN17" s="848"/>
      <c r="BO17" s="849" t="s">
        <v>415</v>
      </c>
      <c r="BP17" s="850"/>
      <c r="BQ17" s="850"/>
      <c r="BR17" s="850"/>
    </row>
    <row r="18" spans="1:70" s="11" customFormat="1" ht="14.25" customHeight="1">
      <c r="J18" s="20"/>
      <c r="K18" s="428"/>
      <c r="L18" s="639"/>
      <c r="M18" s="639"/>
      <c r="N18" s="639"/>
      <c r="O18" s="639"/>
      <c r="P18" s="639"/>
      <c r="Q18" s="639"/>
      <c r="R18" s="640"/>
      <c r="S18" s="641"/>
      <c r="T18" s="862" t="s">
        <v>416</v>
      </c>
      <c r="U18" s="641"/>
      <c r="V18" s="641"/>
      <c r="W18" s="641"/>
      <c r="X18" s="641"/>
      <c r="Y18" s="641"/>
      <c r="Z18" s="661"/>
      <c r="AA18" s="864" t="s">
        <v>416</v>
      </c>
      <c r="AB18" s="640"/>
      <c r="AC18" s="641"/>
      <c r="AD18" s="641"/>
      <c r="AE18" s="641"/>
      <c r="AF18" s="641"/>
      <c r="AG18" s="641"/>
      <c r="AH18" s="864" t="s">
        <v>416</v>
      </c>
      <c r="AI18" s="423"/>
      <c r="AJ18" s="423"/>
      <c r="AK18" s="423"/>
      <c r="AL18" s="423"/>
      <c r="AM18" s="423"/>
      <c r="AN18" s="870" t="s">
        <v>417</v>
      </c>
      <c r="AO18" s="423"/>
      <c r="AP18" s="423"/>
      <c r="AQ18" s="423"/>
      <c r="AR18" s="423"/>
      <c r="AS18" s="423"/>
      <c r="AT18" s="423"/>
      <c r="AU18" s="871" t="s">
        <v>416</v>
      </c>
      <c r="AV18" s="423"/>
      <c r="AW18" s="423"/>
      <c r="AX18" s="423"/>
      <c r="AY18" s="423"/>
      <c r="AZ18" s="423"/>
      <c r="BA18" s="636"/>
      <c r="BB18" s="870" t="s">
        <v>417</v>
      </c>
      <c r="BC18" s="423"/>
      <c r="BD18" s="860" t="s">
        <v>417</v>
      </c>
      <c r="BE18" s="423"/>
      <c r="BF18" s="423"/>
      <c r="BG18" s="423"/>
      <c r="BH18" s="423"/>
      <c r="BI18" s="423"/>
      <c r="BJ18" s="423"/>
      <c r="BK18" s="423"/>
      <c r="BL18" s="423"/>
      <c r="BM18" s="423"/>
      <c r="BN18" s="846" t="s">
        <v>417</v>
      </c>
      <c r="BO18" s="849"/>
      <c r="BP18" s="850"/>
      <c r="BQ18" s="850"/>
      <c r="BR18" s="850"/>
    </row>
    <row r="19" spans="1:70" s="11" customFormat="1" ht="14.25" customHeight="1">
      <c r="B19" s="887" t="s">
        <v>418</v>
      </c>
      <c r="C19" s="887" t="s">
        <v>419</v>
      </c>
      <c r="D19" s="887" t="s">
        <v>420</v>
      </c>
      <c r="E19" s="887" t="s">
        <v>196</v>
      </c>
      <c r="F19" s="887" t="s">
        <v>197</v>
      </c>
      <c r="G19" s="887" t="s">
        <v>200</v>
      </c>
      <c r="J19" s="20"/>
      <c r="K19" s="428"/>
      <c r="L19" s="430" t="s">
        <v>421</v>
      </c>
      <c r="M19" s="430" t="s">
        <v>422</v>
      </c>
      <c r="N19" s="430" t="s">
        <v>423</v>
      </c>
      <c r="O19" s="430" t="s">
        <v>424</v>
      </c>
      <c r="P19" s="430" t="s">
        <v>425</v>
      </c>
      <c r="Q19" s="430" t="s">
        <v>426</v>
      </c>
      <c r="R19" s="431" t="s">
        <v>427</v>
      </c>
      <c r="S19" s="423" t="s">
        <v>428</v>
      </c>
      <c r="T19" s="862"/>
      <c r="U19" s="423" t="s">
        <v>429</v>
      </c>
      <c r="V19" s="423" t="s">
        <v>430</v>
      </c>
      <c r="W19" s="423" t="s">
        <v>431</v>
      </c>
      <c r="X19" s="423" t="s">
        <v>432</v>
      </c>
      <c r="Y19" s="423" t="s">
        <v>433</v>
      </c>
      <c r="Z19" s="636" t="s">
        <v>434</v>
      </c>
      <c r="AA19" s="864"/>
      <c r="AB19" s="431" t="s">
        <v>435</v>
      </c>
      <c r="AC19" s="423" t="s">
        <v>436</v>
      </c>
      <c r="AD19" s="423" t="s">
        <v>437</v>
      </c>
      <c r="AE19" s="423" t="s">
        <v>438</v>
      </c>
      <c r="AF19" s="423" t="s">
        <v>439</v>
      </c>
      <c r="AG19" s="423" t="s">
        <v>440</v>
      </c>
      <c r="AH19" s="864"/>
      <c r="AI19" s="423" t="s">
        <v>441</v>
      </c>
      <c r="AJ19" s="423" t="s">
        <v>442</v>
      </c>
      <c r="AK19" s="423" t="s">
        <v>443</v>
      </c>
      <c r="AL19" s="423" t="s">
        <v>444</v>
      </c>
      <c r="AM19" s="423" t="s">
        <v>445</v>
      </c>
      <c r="AN19" s="870"/>
      <c r="AO19" s="423" t="s">
        <v>446</v>
      </c>
      <c r="AP19" s="423" t="s">
        <v>447</v>
      </c>
      <c r="AQ19" s="423" t="s">
        <v>448</v>
      </c>
      <c r="AR19" s="423" t="s">
        <v>449</v>
      </c>
      <c r="AS19" s="423" t="s">
        <v>450</v>
      </c>
      <c r="AT19" s="423" t="s">
        <v>451</v>
      </c>
      <c r="AU19" s="872"/>
      <c r="AV19" s="423" t="s">
        <v>452</v>
      </c>
      <c r="AW19" s="423" t="s">
        <v>453</v>
      </c>
      <c r="AX19" s="423" t="s">
        <v>454</v>
      </c>
      <c r="AY19" s="423" t="s">
        <v>455</v>
      </c>
      <c r="AZ19" s="423" t="s">
        <v>456</v>
      </c>
      <c r="BA19" s="423" t="s">
        <v>457</v>
      </c>
      <c r="BB19" s="870"/>
      <c r="BC19" s="423" t="s">
        <v>458</v>
      </c>
      <c r="BD19" s="860"/>
      <c r="BE19" s="423" t="s">
        <v>459</v>
      </c>
      <c r="BF19" s="423" t="s">
        <v>460</v>
      </c>
      <c r="BG19" s="423" t="s">
        <v>461</v>
      </c>
      <c r="BH19" s="423" t="s">
        <v>462</v>
      </c>
      <c r="BI19" s="423" t="s">
        <v>463</v>
      </c>
      <c r="BJ19" s="423" t="s">
        <v>464</v>
      </c>
      <c r="BK19" s="423" t="s">
        <v>465</v>
      </c>
      <c r="BL19" s="423" t="s">
        <v>466</v>
      </c>
      <c r="BM19" s="423" t="s">
        <v>467</v>
      </c>
      <c r="BN19" s="846"/>
      <c r="BO19" s="851"/>
      <c r="BP19" s="852"/>
      <c r="BQ19" s="852"/>
      <c r="BR19" s="852"/>
    </row>
    <row r="20" spans="1:70" s="11" customFormat="1" ht="34.5" customHeight="1">
      <c r="B20" s="887"/>
      <c r="C20" s="887"/>
      <c r="D20" s="887"/>
      <c r="E20" s="887"/>
      <c r="F20" s="887"/>
      <c r="G20" s="887"/>
      <c r="H20" s="691" t="s">
        <v>468</v>
      </c>
      <c r="I20" s="130" t="s">
        <v>469</v>
      </c>
      <c r="J20" s="274"/>
      <c r="K20" s="427" t="s">
        <v>470</v>
      </c>
      <c r="L20" s="649">
        <f>'Class Summary'!B4</f>
        <v>46023</v>
      </c>
      <c r="M20" s="650">
        <f>WORKDAY(L20,1)</f>
        <v>46024</v>
      </c>
      <c r="N20" s="650">
        <f t="shared" ref="N20:S20" si="0">WORKDAY(M20,1)</f>
        <v>46027</v>
      </c>
      <c r="O20" s="650">
        <f t="shared" si="0"/>
        <v>46028</v>
      </c>
      <c r="P20" s="650">
        <f t="shared" si="0"/>
        <v>46029</v>
      </c>
      <c r="Q20" s="650">
        <f t="shared" si="0"/>
        <v>46030</v>
      </c>
      <c r="R20" s="650">
        <f t="shared" si="0"/>
        <v>46031</v>
      </c>
      <c r="S20" s="650">
        <f t="shared" si="0"/>
        <v>46034</v>
      </c>
      <c r="T20" s="863"/>
      <c r="U20" s="424"/>
      <c r="V20" s="424"/>
      <c r="W20" s="424"/>
      <c r="X20" s="424"/>
      <c r="Y20" s="424"/>
      <c r="Z20" s="637"/>
      <c r="AA20" s="865"/>
      <c r="AB20" s="432"/>
      <c r="AC20" s="424"/>
      <c r="AD20" s="424"/>
      <c r="AE20" s="424"/>
      <c r="AF20" s="424"/>
      <c r="AG20" s="424"/>
      <c r="AH20" s="865"/>
      <c r="AI20" s="424"/>
      <c r="AJ20" s="424"/>
      <c r="AK20" s="424"/>
      <c r="AL20" s="424"/>
      <c r="AM20" s="424"/>
      <c r="AN20" s="870"/>
      <c r="AO20" s="424"/>
      <c r="AP20" s="424"/>
      <c r="AQ20" s="424"/>
      <c r="AR20" s="424"/>
      <c r="AS20" s="424"/>
      <c r="AT20" s="658"/>
      <c r="AU20" s="873"/>
      <c r="AV20" s="424"/>
      <c r="AW20" s="424"/>
      <c r="AX20" s="424"/>
      <c r="AY20" s="424"/>
      <c r="AZ20" s="424"/>
      <c r="BA20" s="637"/>
      <c r="BB20" s="870"/>
      <c r="BC20" s="424"/>
      <c r="BD20" s="860"/>
      <c r="BE20" s="424"/>
      <c r="BF20" s="424"/>
      <c r="BG20" s="424"/>
      <c r="BH20" s="424"/>
      <c r="BI20" s="424"/>
      <c r="BJ20" s="424"/>
      <c r="BK20" s="424"/>
      <c r="BL20" s="424"/>
      <c r="BM20" s="424"/>
      <c r="BN20" s="846"/>
      <c r="BO20" s="436" t="s">
        <v>471</v>
      </c>
      <c r="BP20" s="436" t="s">
        <v>472</v>
      </c>
      <c r="BQ20" s="436" t="s">
        <v>473</v>
      </c>
      <c r="BR20" s="643" t="s">
        <v>474</v>
      </c>
    </row>
    <row r="21" spans="1:70" s="11" customFormat="1" ht="14.45" customHeight="1">
      <c r="A21" s="11">
        <v>1</v>
      </c>
      <c r="B21" s="692" t="str">
        <f>IF('Student Data'!B5=0,"",'Student Data'!B5)</f>
        <v/>
      </c>
      <c r="C21" s="693" t="str">
        <f>IF('Student Data'!O5=0,"",'Student Data'!O5)</f>
        <v/>
      </c>
      <c r="D21" s="692" t="str">
        <f>IF('Student Data'!N5=0,"",'Student Data'!N5)</f>
        <v/>
      </c>
      <c r="E21" s="692" t="str">
        <f>IF('Student Data'!C5=0,"",'Student Data'!C5)</f>
        <v>Rnne</v>
      </c>
      <c r="F21" s="692" t="str">
        <f>IF('Student Data'!D5=0,"",'Student Data'!D5)</f>
        <v>Donna</v>
      </c>
      <c r="G21" s="692" t="str">
        <f>IF('Student Data'!G5=0,"",'Student Data'!G5)</f>
        <v>Resigned Pre-Process</v>
      </c>
      <c r="H21" s="12" t="str">
        <f t="array" aca="1" ref="H21" ca="1">IF(G21="Terminated",OFFSET($O$16:$AO21,0, MATCH(TRUE, OFFSET($O$16:$AO21,ROWS($O$16:$AO21)-1,0,1,COLUMNS($O$16:$AO21))="",0)-1,1,1),IF(G21="Resigned",OFFSET($O$16:$AO21,0, MATCH(TRUE, OFFSET($O$16:$AO21,ROWS($O$16:$AO21)-1,0,1,COLUMNS($O$16:$AO21))="",0)-1,1,1),""))</f>
        <v/>
      </c>
      <c r="I21" s="12" t="str">
        <f t="array" aca="1" ref="I21" ca="1">IF(G21="Terminated-Nesting",OFFSET(#REF!,0, MATCH(TRUE, OFFSET(#REF!,ROWS(#REF!)-1,0,1,COLUMNS(#REF!))="",0)-1,1,1),IF(G21="Resigned-Nesting",OFFSET(#REF!,0, MATCH(TRUE, OFFSET(#REF!,ROWS(#REF!)-1,0,1,COLUMNS(#REF!))="",0)-1,1,1),""))</f>
        <v/>
      </c>
      <c r="J21" s="215"/>
      <c r="K21" s="322"/>
      <c r="L21" s="426">
        <v>8</v>
      </c>
      <c r="M21" s="426">
        <v>8</v>
      </c>
      <c r="N21" s="426">
        <v>8</v>
      </c>
      <c r="O21" s="426">
        <v>8</v>
      </c>
      <c r="P21" s="426">
        <v>8</v>
      </c>
      <c r="Q21" s="426"/>
      <c r="R21" s="426"/>
      <c r="S21" s="426"/>
      <c r="T21" s="634">
        <f>SUM(L21:S21)</f>
        <v>40</v>
      </c>
      <c r="U21" s="426"/>
      <c r="V21" s="426"/>
      <c r="W21" s="426"/>
      <c r="X21" s="426"/>
      <c r="Y21" s="426"/>
      <c r="Z21" s="426"/>
      <c r="AA21" s="638">
        <f>SUM(U21:Z21)</f>
        <v>0</v>
      </c>
      <c r="AB21" s="426"/>
      <c r="AC21" s="426"/>
      <c r="AD21" s="426"/>
      <c r="AE21" s="426"/>
      <c r="AF21" s="426"/>
      <c r="AG21" s="426"/>
      <c r="AH21" s="638">
        <f>SUM(AB21:AG21)</f>
        <v>0</v>
      </c>
      <c r="AI21" s="426"/>
      <c r="AJ21" s="426"/>
      <c r="AK21" s="426"/>
      <c r="AL21" s="426"/>
      <c r="AM21" s="426"/>
      <c r="AN21" s="429">
        <f>SUM(AI21:AM21)</f>
        <v>0</v>
      </c>
      <c r="AO21" s="426"/>
      <c r="AP21" s="426"/>
      <c r="AQ21" s="426"/>
      <c r="AR21" s="426"/>
      <c r="AS21" s="426"/>
      <c r="AT21" s="426"/>
      <c r="AU21" s="635">
        <f>SUM(AO21:AT21)</f>
        <v>0</v>
      </c>
      <c r="AV21" s="426"/>
      <c r="AW21" s="426"/>
      <c r="AX21" s="426"/>
      <c r="AY21" s="426"/>
      <c r="AZ21" s="426"/>
      <c r="BA21" s="659"/>
      <c r="BB21" s="429">
        <f>SUM(AV21:BA21)</f>
        <v>0</v>
      </c>
      <c r="BC21" s="426"/>
      <c r="BD21" s="434">
        <f>BC21</f>
        <v>0</v>
      </c>
      <c r="BE21" s="426"/>
      <c r="BF21" s="426"/>
      <c r="BG21" s="426"/>
      <c r="BH21" s="426"/>
      <c r="BI21" s="426"/>
      <c r="BJ21" s="426"/>
      <c r="BK21" s="426"/>
      <c r="BL21" s="426"/>
      <c r="BM21" s="426"/>
      <c r="BN21" s="435">
        <f>SUM(BE21:BM21)</f>
        <v>0</v>
      </c>
      <c r="BO21" s="437">
        <f>COUNTIF(L21:S21,"=0")+COUNTIF(U21:Z21,"=0")+COUNTIF(AB21:AG21,"=0")+COUNTIF(AI21:AM21,"=0")+COUNTIF(AO21:AT21,"=0")+COUNTIF(AV21:BA21,"=0")+COUNTIF(BC21, "=0")+COUNTIF(BE21:BM21,"=0")+BQ21</f>
        <v>0</v>
      </c>
      <c r="BP21" s="437">
        <f>COUNTIFS(L21:S21,"&lt;8", L21:S21,"&gt;0")+COUNTIFS(U21:Z21,"&lt;8", U21:Z21,"&gt;0")+COUNTIFS(AB21:AG21,"&lt;8", AB21:AG21,"&gt;0")+COUNTIFS(AI21:AM21,"&lt;8", AI21:AM21,"&gt;0")+COUNTIFS(AO21:AT21,"&lt;7.5",AO21:AT21,"&gt;0")+COUNTIFS(AV21:BA21,"&lt;8", AV21:BA21,"&gt;0")+COUNTIFS(BC21,"&lt;4",BC21,"&gt;0")+COUNTIFS(BE21:BM21,"&lt;8", BE21:BM21,"&gt;0")</f>
        <v>0</v>
      </c>
      <c r="BQ21" s="642">
        <f>COUNTIF(L21:S21,"NCNS")+COUNTIF(U21:Z21,"NCNS")+COUNTIF(AB21:AG21,"NCNS")+COUNTIF(AI21:AM21,"NCNS")+COUNTIF(AO21:AT21,"NCNS")+COUNTIF(AV21:BA21,"NCNS")+COUNTIF(BC21,"NCNS")+COUNTIF(BE21:BM21,"NCNS")</f>
        <v>0</v>
      </c>
      <c r="BR21" s="426">
        <f>SUM(T21,AA21,AH21,AN21,AU21,BB21,BD21,BN21)</f>
        <v>40</v>
      </c>
    </row>
    <row r="22" spans="1:70" s="11" customFormat="1" ht="14.45" customHeight="1">
      <c r="B22" s="2" t="str">
        <f>IF('Student Data'!B6=0,"",'Student Data'!B6)</f>
        <v/>
      </c>
      <c r="C22" s="15" t="str">
        <f>IF('Student Data'!O6=0,"",'Student Data'!O6)</f>
        <v/>
      </c>
      <c r="D22" s="2" t="str">
        <f>IF('Student Data'!N6=0,"",'Student Data'!N6)</f>
        <v/>
      </c>
      <c r="E22" s="2" t="str">
        <f>IF('Student Data'!C6=0,"",'Student Data'!C6)</f>
        <v xml:space="preserve">Aquino </v>
      </c>
      <c r="F22" s="2" t="str">
        <f>IF('Student Data'!D6=0,"",'Student Data'!D6)</f>
        <v>Summer</v>
      </c>
      <c r="G22" s="2" t="str">
        <f>IF('Student Data'!G6=0,"",'Student Data'!G6)</f>
        <v>Tier 1A</v>
      </c>
      <c r="H22" s="12"/>
      <c r="I22" s="12"/>
      <c r="J22" s="215"/>
      <c r="K22" s="322"/>
      <c r="L22" s="426">
        <v>5</v>
      </c>
      <c r="M22" s="426">
        <v>8</v>
      </c>
      <c r="N22" s="426">
        <v>8</v>
      </c>
      <c r="O22" s="426">
        <v>8</v>
      </c>
      <c r="P22" s="426">
        <v>5</v>
      </c>
      <c r="Q22" s="426"/>
      <c r="R22" s="426"/>
      <c r="S22" s="426"/>
      <c r="T22" s="634">
        <f t="shared" ref="T22:T40" si="1">SUM(L22:S22)</f>
        <v>34</v>
      </c>
      <c r="U22" s="426"/>
      <c r="V22" s="426"/>
      <c r="W22" s="426"/>
      <c r="X22" s="426"/>
      <c r="Y22" s="426"/>
      <c r="Z22" s="426"/>
      <c r="AA22" s="638">
        <f t="shared" ref="AA22:AA40" si="2">SUM(U22:Z22)</f>
        <v>0</v>
      </c>
      <c r="AB22" s="426"/>
      <c r="AC22" s="426"/>
      <c r="AD22" s="426"/>
      <c r="AE22" s="426"/>
      <c r="AF22" s="426"/>
      <c r="AG22" s="426"/>
      <c r="AH22" s="638">
        <f t="shared" ref="AH22:AH40" si="3">SUM(AB22:AG22)</f>
        <v>0</v>
      </c>
      <c r="AI22" s="426"/>
      <c r="AJ22" s="426"/>
      <c r="AK22" s="426"/>
      <c r="AL22" s="426"/>
      <c r="AM22" s="426"/>
      <c r="AN22" s="429">
        <f t="shared" ref="AN22:AN40" si="4">SUM(AI22:AM22)</f>
        <v>0</v>
      </c>
      <c r="AO22" s="426"/>
      <c r="AP22" s="426"/>
      <c r="AQ22" s="426"/>
      <c r="AR22" s="426"/>
      <c r="AS22" s="426"/>
      <c r="AT22" s="426"/>
      <c r="AU22" s="635">
        <f t="shared" ref="AU22:AU40" si="5">SUM(AO22:AT22)</f>
        <v>0</v>
      </c>
      <c r="AV22" s="426"/>
      <c r="AW22" s="426"/>
      <c r="AX22" s="426"/>
      <c r="AY22" s="426"/>
      <c r="AZ22" s="426"/>
      <c r="BA22" s="659"/>
      <c r="BB22" s="429">
        <f t="shared" ref="BB22:BB41" si="6">SUM(AV22:BA22)</f>
        <v>0</v>
      </c>
      <c r="BC22" s="426"/>
      <c r="BD22" s="434">
        <f t="shared" ref="BD22:BD40" si="7">BC22</f>
        <v>0</v>
      </c>
      <c r="BE22" s="426"/>
      <c r="BF22" s="426"/>
      <c r="BG22" s="426"/>
      <c r="BH22" s="426"/>
      <c r="BI22" s="426"/>
      <c r="BJ22" s="426"/>
      <c r="BK22" s="426"/>
      <c r="BL22" s="426"/>
      <c r="BM22" s="426"/>
      <c r="BN22" s="435">
        <f t="shared" ref="BN22:BN40" si="8">SUM(BE22:BM22)</f>
        <v>0</v>
      </c>
      <c r="BO22" s="437">
        <f t="shared" ref="BO22:BO40" si="9">COUNTIF(L22:S22,"=0")+COUNTIF(U22:Z22,"=0")+COUNTIF(AB22:AG22,"=0")+COUNTIF(AI22:AM22,"=0")+COUNTIF(AO22:AT22,"=0")+COUNTIF(AV22:BA22,"=0")+COUNTIF(BC22, "=0")+COUNTIF(BE22:BM22,"=0")+BQ22</f>
        <v>0</v>
      </c>
      <c r="BP22" s="437">
        <f t="shared" ref="BP22:BP40" si="10">COUNTIFS(L22:S22,"&lt;8", L22:S22,"&gt;0")+COUNTIFS(U22:Z22,"&lt;8", U22:Z22,"&gt;0")+COUNTIFS(AB22:AG22,"&lt;8", AB22:AG22,"&gt;0")+COUNTIFS(AI22:AM22,"&lt;8", AI22:AM22,"&gt;0")+COUNTIFS(AO22:AT22,"&lt;7.5",AO22:AT22,"&gt;0")+COUNTIFS(AV22:BA22,"&lt;8", AV22:BA22,"&gt;0")+COUNTIFS(BC22,"&lt;4",BC22,"&gt;0")+COUNTIFS(BE22:BM22,"&lt;8", BE22:BM22,"&gt;0")</f>
        <v>2</v>
      </c>
      <c r="BQ22" s="642">
        <f t="shared" ref="BQ22:BQ40" si="11">COUNTIF(L22:S22,"NCNS")+COUNTIF(U22:Z22,"NCNS")+COUNTIF(AB22:AG22,"NCNS")+COUNTIF(AI22:AM22,"NCNS")+COUNTIF(AO22:AT22,"NCNS")+COUNTIF(AV22:BA22,"NCNS")+COUNTIF(BC22,"NCNS")+COUNTIF(BE22:BM22,"NCNS")</f>
        <v>0</v>
      </c>
      <c r="BR22" s="426">
        <f t="shared" ref="BR22:BR40" si="12">SUM(T22,AA22,AH22,AN22,AU22,BB22,BD22,BN22)</f>
        <v>34</v>
      </c>
    </row>
    <row r="23" spans="1:70" s="11" customFormat="1" ht="14.45" customHeight="1">
      <c r="B23" s="2" t="str">
        <f>IF('Student Data'!B7=0,"",'Student Data'!B7)</f>
        <v/>
      </c>
      <c r="C23" s="15" t="str">
        <f>IF('Student Data'!O7=0,"",'Student Data'!O7)</f>
        <v/>
      </c>
      <c r="D23" s="2" t="str">
        <f>IF('Student Data'!N7=0,"",'Student Data'!N7)</f>
        <v/>
      </c>
      <c r="E23" s="2" t="str">
        <f>IF('Student Data'!C7=0,"",'Student Data'!C7)</f>
        <v xml:space="preserve">Reyes </v>
      </c>
      <c r="F23" s="2" t="str">
        <f>IF('Student Data'!D7=0,"",'Student Data'!D7)</f>
        <v>Joana</v>
      </c>
      <c r="G23" s="2" t="str">
        <f>IF('Student Data'!G7=0,"",'Student Data'!G7)</f>
        <v>Tier 1A</v>
      </c>
      <c r="H23" s="12"/>
      <c r="I23" s="12"/>
      <c r="J23" s="215"/>
      <c r="K23" s="322"/>
      <c r="L23" s="426"/>
      <c r="M23" s="426"/>
      <c r="N23" s="426"/>
      <c r="O23" s="426"/>
      <c r="P23" s="426">
        <v>0</v>
      </c>
      <c r="Q23" s="426"/>
      <c r="R23" s="433"/>
      <c r="S23" s="433"/>
      <c r="T23" s="634">
        <f t="shared" si="1"/>
        <v>0</v>
      </c>
      <c r="U23" s="433"/>
      <c r="V23" s="433"/>
      <c r="W23" s="433"/>
      <c r="X23" s="433"/>
      <c r="Y23" s="433"/>
      <c r="Z23" s="433"/>
      <c r="AA23" s="638">
        <f t="shared" si="2"/>
        <v>0</v>
      </c>
      <c r="AB23" s="433"/>
      <c r="AC23" s="433"/>
      <c r="AD23" s="433"/>
      <c r="AE23" s="433"/>
      <c r="AF23" s="426"/>
      <c r="AG23" s="426"/>
      <c r="AH23" s="638">
        <f t="shared" si="3"/>
        <v>0</v>
      </c>
      <c r="AI23" s="426"/>
      <c r="AJ23" s="426"/>
      <c r="AK23" s="426"/>
      <c r="AL23" s="426"/>
      <c r="AM23" s="426"/>
      <c r="AN23" s="429">
        <f t="shared" si="4"/>
        <v>0</v>
      </c>
      <c r="AO23" s="426"/>
      <c r="AP23" s="426"/>
      <c r="AQ23" s="426"/>
      <c r="AR23" s="426"/>
      <c r="AS23" s="426"/>
      <c r="AT23" s="426"/>
      <c r="AU23" s="635">
        <f t="shared" si="5"/>
        <v>0</v>
      </c>
      <c r="AV23" s="426"/>
      <c r="AW23" s="426"/>
      <c r="AX23" s="426"/>
      <c r="AY23" s="426"/>
      <c r="AZ23" s="426"/>
      <c r="BA23" s="659"/>
      <c r="BB23" s="429">
        <f t="shared" si="6"/>
        <v>0</v>
      </c>
      <c r="BC23" s="426"/>
      <c r="BD23" s="434">
        <f t="shared" si="7"/>
        <v>0</v>
      </c>
      <c r="BE23" s="426"/>
      <c r="BF23" s="426"/>
      <c r="BG23" s="426"/>
      <c r="BH23" s="426"/>
      <c r="BI23" s="426"/>
      <c r="BJ23" s="426"/>
      <c r="BK23" s="426"/>
      <c r="BL23" s="426"/>
      <c r="BM23" s="426"/>
      <c r="BN23" s="435">
        <f t="shared" si="8"/>
        <v>0</v>
      </c>
      <c r="BO23" s="437">
        <f t="shared" si="9"/>
        <v>1</v>
      </c>
      <c r="BP23" s="437">
        <f t="shared" si="10"/>
        <v>0</v>
      </c>
      <c r="BQ23" s="642">
        <f t="shared" si="11"/>
        <v>0</v>
      </c>
      <c r="BR23" s="426">
        <f t="shared" si="12"/>
        <v>0</v>
      </c>
    </row>
    <row r="24" spans="1:70" s="11" customFormat="1" ht="14.45" customHeight="1">
      <c r="B24" s="2" t="str">
        <f>IF('Student Data'!B8=0,"",'Student Data'!B8)</f>
        <v/>
      </c>
      <c r="C24" s="15" t="str">
        <f>IF('Student Data'!O8=0,"",'Student Data'!O8)</f>
        <v/>
      </c>
      <c r="D24" s="2" t="str">
        <f>IF('Student Data'!N8=0,"",'Student Data'!N8)</f>
        <v/>
      </c>
      <c r="E24" s="2" t="str">
        <f>IF('Student Data'!C8=0,"",'Student Data'!C8)</f>
        <v>Manuel</v>
      </c>
      <c r="F24" s="2" t="str">
        <f>IF('Student Data'!D8=0,"",'Student Data'!D8)</f>
        <v>Quezon</v>
      </c>
      <c r="G24" s="2" t="str">
        <f>IF('Student Data'!G8=0,"",'Student Data'!G8)</f>
        <v>Tier 1A</v>
      </c>
      <c r="H24" s="12"/>
      <c r="I24" s="12"/>
      <c r="J24" s="215"/>
      <c r="K24" s="322"/>
      <c r="L24" s="426">
        <v>8</v>
      </c>
      <c r="M24" s="426">
        <v>8</v>
      </c>
      <c r="N24" s="426">
        <v>8</v>
      </c>
      <c r="O24" s="426">
        <v>8</v>
      </c>
      <c r="P24" s="426">
        <v>8</v>
      </c>
      <c r="Q24" s="426"/>
      <c r="R24" s="426"/>
      <c r="S24" s="426"/>
      <c r="T24" s="634">
        <f t="shared" si="1"/>
        <v>40</v>
      </c>
      <c r="U24" s="426"/>
      <c r="V24" s="426"/>
      <c r="W24" s="426"/>
      <c r="X24" s="426"/>
      <c r="Y24" s="426"/>
      <c r="Z24" s="426"/>
      <c r="AA24" s="638">
        <f t="shared" si="2"/>
        <v>0</v>
      </c>
      <c r="AB24" s="426"/>
      <c r="AC24" s="426"/>
      <c r="AD24" s="426"/>
      <c r="AE24" s="426"/>
      <c r="AF24" s="426"/>
      <c r="AG24" s="426"/>
      <c r="AH24" s="638">
        <f t="shared" si="3"/>
        <v>0</v>
      </c>
      <c r="AI24" s="426"/>
      <c r="AJ24" s="426"/>
      <c r="AK24" s="426"/>
      <c r="AL24" s="426"/>
      <c r="AM24" s="426"/>
      <c r="AN24" s="429">
        <f t="shared" si="4"/>
        <v>0</v>
      </c>
      <c r="AO24" s="426"/>
      <c r="AP24" s="426"/>
      <c r="AQ24" s="426"/>
      <c r="AR24" s="426"/>
      <c r="AS24" s="426"/>
      <c r="AT24" s="426"/>
      <c r="AU24" s="635">
        <f t="shared" si="5"/>
        <v>0</v>
      </c>
      <c r="AV24" s="426"/>
      <c r="AW24" s="426"/>
      <c r="AX24" s="426"/>
      <c r="AY24" s="426"/>
      <c r="AZ24" s="426"/>
      <c r="BA24" s="659"/>
      <c r="BB24" s="429">
        <f t="shared" si="6"/>
        <v>0</v>
      </c>
      <c r="BC24" s="426"/>
      <c r="BD24" s="434">
        <f t="shared" si="7"/>
        <v>0</v>
      </c>
      <c r="BE24" s="426"/>
      <c r="BF24" s="426"/>
      <c r="BG24" s="426"/>
      <c r="BH24" s="426"/>
      <c r="BI24" s="426"/>
      <c r="BJ24" s="426"/>
      <c r="BK24" s="426"/>
      <c r="BL24" s="426"/>
      <c r="BM24" s="426"/>
      <c r="BN24" s="435">
        <f t="shared" si="8"/>
        <v>0</v>
      </c>
      <c r="BO24" s="437">
        <f t="shared" si="9"/>
        <v>0</v>
      </c>
      <c r="BP24" s="437">
        <f t="shared" si="10"/>
        <v>0</v>
      </c>
      <c r="BQ24" s="642">
        <f t="shared" si="11"/>
        <v>0</v>
      </c>
      <c r="BR24" s="426">
        <f t="shared" si="12"/>
        <v>40</v>
      </c>
    </row>
    <row r="25" spans="1:70" s="11" customFormat="1" ht="14.45" customHeight="1">
      <c r="B25" s="2" t="str">
        <f>IF('Student Data'!B9=0,"",'Student Data'!B9)</f>
        <v/>
      </c>
      <c r="C25" s="15" t="str">
        <f>IF('Student Data'!O9=0,"",'Student Data'!O9)</f>
        <v/>
      </c>
      <c r="D25" s="2" t="str">
        <f>IF('Student Data'!N9=0,"",'Student Data'!N9)</f>
        <v/>
      </c>
      <c r="E25" s="2" t="str">
        <f>IF('Student Data'!C9=0,"",'Student Data'!C9)</f>
        <v/>
      </c>
      <c r="F25" s="2" t="str">
        <f>IF('Student Data'!D9=0,"",'Student Data'!D9)</f>
        <v/>
      </c>
      <c r="G25" s="2" t="str">
        <f>IF('Student Data'!G9=0,"",'Student Data'!G9)</f>
        <v/>
      </c>
      <c r="H25" s="12"/>
      <c r="I25" s="12"/>
      <c r="J25" s="215"/>
      <c r="K25" s="322"/>
      <c r="L25" s="426"/>
      <c r="M25" s="426"/>
      <c r="N25" s="426"/>
      <c r="O25" s="426"/>
      <c r="P25" s="426"/>
      <c r="Q25" s="426"/>
      <c r="R25" s="426"/>
      <c r="S25" s="426"/>
      <c r="T25" s="634">
        <f>SUM(L25:S25)</f>
        <v>0</v>
      </c>
      <c r="U25" s="426"/>
      <c r="V25" s="426"/>
      <c r="W25" s="426"/>
      <c r="X25" s="426"/>
      <c r="Y25" s="426"/>
      <c r="Z25" s="426"/>
      <c r="AA25" s="638">
        <f t="shared" si="2"/>
        <v>0</v>
      </c>
      <c r="AB25" s="426"/>
      <c r="AC25" s="426"/>
      <c r="AD25" s="426"/>
      <c r="AE25" s="426"/>
      <c r="AF25" s="426"/>
      <c r="AG25" s="426"/>
      <c r="AH25" s="638">
        <f t="shared" si="3"/>
        <v>0</v>
      </c>
      <c r="AI25" s="426"/>
      <c r="AJ25" s="426"/>
      <c r="AK25" s="426"/>
      <c r="AL25" s="426"/>
      <c r="AM25" s="426"/>
      <c r="AN25" s="429">
        <f t="shared" si="4"/>
        <v>0</v>
      </c>
      <c r="AO25" s="426"/>
      <c r="AP25" s="426"/>
      <c r="AQ25" s="426"/>
      <c r="AR25" s="426"/>
      <c r="AS25" s="426"/>
      <c r="AT25" s="426"/>
      <c r="AU25" s="635">
        <f t="shared" si="5"/>
        <v>0</v>
      </c>
      <c r="AV25" s="426"/>
      <c r="AW25" s="426"/>
      <c r="AX25" s="426"/>
      <c r="AY25" s="426"/>
      <c r="AZ25" s="426"/>
      <c r="BA25" s="659"/>
      <c r="BB25" s="429">
        <f t="shared" si="6"/>
        <v>0</v>
      </c>
      <c r="BC25" s="426"/>
      <c r="BD25" s="434">
        <f t="shared" si="7"/>
        <v>0</v>
      </c>
      <c r="BE25" s="426"/>
      <c r="BF25" s="426"/>
      <c r="BG25" s="426"/>
      <c r="BH25" s="426"/>
      <c r="BI25" s="426"/>
      <c r="BJ25" s="426"/>
      <c r="BK25" s="426"/>
      <c r="BL25" s="426"/>
      <c r="BM25" s="426"/>
      <c r="BN25" s="435">
        <f t="shared" si="8"/>
        <v>0</v>
      </c>
      <c r="BO25" s="437">
        <f t="shared" si="9"/>
        <v>0</v>
      </c>
      <c r="BP25" s="437">
        <f t="shared" si="10"/>
        <v>0</v>
      </c>
      <c r="BQ25" s="642">
        <f t="shared" si="11"/>
        <v>0</v>
      </c>
      <c r="BR25" s="426">
        <f t="shared" si="12"/>
        <v>0</v>
      </c>
    </row>
    <row r="26" spans="1:70" s="11" customFormat="1" ht="14.45" customHeight="1">
      <c r="B26" s="2" t="str">
        <f>IF('Student Data'!B10=0,"",'Student Data'!B10)</f>
        <v/>
      </c>
      <c r="C26" s="15" t="str">
        <f>IF('Student Data'!O10=0,"",'Student Data'!O10)</f>
        <v/>
      </c>
      <c r="D26" s="2" t="str">
        <f>IF('Student Data'!N10=0,"",'Student Data'!N10)</f>
        <v/>
      </c>
      <c r="E26" s="2" t="str">
        <f>IF('Student Data'!C10=0,"",'Student Data'!C10)</f>
        <v/>
      </c>
      <c r="F26" s="2" t="str">
        <f>IF('Student Data'!D10=0,"",'Student Data'!D10)</f>
        <v/>
      </c>
      <c r="G26" s="2" t="str">
        <f>IF('Student Data'!G10=0,"",'Student Data'!G10)</f>
        <v/>
      </c>
      <c r="H26" s="12"/>
      <c r="I26" s="12"/>
      <c r="J26" s="215"/>
      <c r="K26" s="322"/>
      <c r="L26" s="426"/>
      <c r="M26" s="426"/>
      <c r="N26" s="426"/>
      <c r="O26" s="426"/>
      <c r="P26" s="426"/>
      <c r="Q26" s="426"/>
      <c r="R26" s="426"/>
      <c r="S26" s="426"/>
      <c r="T26" s="634">
        <f>SUM(L26:S26)</f>
        <v>0</v>
      </c>
      <c r="U26" s="426"/>
      <c r="V26" s="426"/>
      <c r="W26" s="426"/>
      <c r="X26" s="426"/>
      <c r="Y26" s="426"/>
      <c r="Z26" s="426"/>
      <c r="AA26" s="638">
        <f t="shared" si="2"/>
        <v>0</v>
      </c>
      <c r="AB26" s="426"/>
      <c r="AC26" s="426"/>
      <c r="AD26" s="426"/>
      <c r="AE26" s="426"/>
      <c r="AF26" s="426"/>
      <c r="AG26" s="426"/>
      <c r="AH26" s="638">
        <f t="shared" si="3"/>
        <v>0</v>
      </c>
      <c r="AI26" s="426"/>
      <c r="AJ26" s="426"/>
      <c r="AK26" s="426"/>
      <c r="AL26" s="426"/>
      <c r="AM26" s="426"/>
      <c r="AN26" s="429">
        <f t="shared" si="4"/>
        <v>0</v>
      </c>
      <c r="AO26" s="426"/>
      <c r="AP26" s="426"/>
      <c r="AQ26" s="426"/>
      <c r="AR26" s="426"/>
      <c r="AS26" s="426"/>
      <c r="AT26" s="426"/>
      <c r="AU26" s="635">
        <f t="shared" si="5"/>
        <v>0</v>
      </c>
      <c r="AV26" s="426"/>
      <c r="AW26" s="426"/>
      <c r="AX26" s="426"/>
      <c r="AY26" s="426"/>
      <c r="AZ26" s="426"/>
      <c r="BA26" s="659"/>
      <c r="BB26" s="429">
        <f t="shared" si="6"/>
        <v>0</v>
      </c>
      <c r="BC26" s="426"/>
      <c r="BD26" s="434">
        <f t="shared" si="7"/>
        <v>0</v>
      </c>
      <c r="BE26" s="426"/>
      <c r="BF26" s="426"/>
      <c r="BG26" s="426"/>
      <c r="BH26" s="426"/>
      <c r="BI26" s="426"/>
      <c r="BJ26" s="426"/>
      <c r="BK26" s="426"/>
      <c r="BL26" s="426"/>
      <c r="BM26" s="426"/>
      <c r="BN26" s="435">
        <f t="shared" si="8"/>
        <v>0</v>
      </c>
      <c r="BO26" s="437">
        <f t="shared" si="9"/>
        <v>0</v>
      </c>
      <c r="BP26" s="437">
        <f t="shared" si="10"/>
        <v>0</v>
      </c>
      <c r="BQ26" s="642">
        <f t="shared" si="11"/>
        <v>0</v>
      </c>
      <c r="BR26" s="426">
        <f t="shared" si="12"/>
        <v>0</v>
      </c>
    </row>
    <row r="27" spans="1:70" s="11" customFormat="1" ht="14.45" customHeight="1">
      <c r="B27" s="2" t="str">
        <f>IF('Student Data'!B11=0,"",'Student Data'!B11)</f>
        <v/>
      </c>
      <c r="C27" s="15" t="str">
        <f>IF('Student Data'!O11=0,"",'Student Data'!O11)</f>
        <v/>
      </c>
      <c r="D27" s="2" t="str">
        <f>IF('Student Data'!N11=0,"",'Student Data'!N11)</f>
        <v/>
      </c>
      <c r="E27" s="2" t="str">
        <f>IF('Student Data'!C11=0,"",'Student Data'!C11)</f>
        <v/>
      </c>
      <c r="F27" s="2" t="str">
        <f>IF('Student Data'!D11=0,"",'Student Data'!D11)</f>
        <v/>
      </c>
      <c r="G27" s="2" t="str">
        <f>IF('Student Data'!G11=0,"",'Student Data'!G11)</f>
        <v/>
      </c>
      <c r="H27" s="12"/>
      <c r="I27" s="12"/>
      <c r="J27" s="215"/>
      <c r="K27" s="322"/>
      <c r="L27" s="426"/>
      <c r="M27" s="426"/>
      <c r="N27" s="426"/>
      <c r="O27" s="426"/>
      <c r="P27" s="426"/>
      <c r="Q27" s="426"/>
      <c r="R27" s="426"/>
      <c r="S27" s="426"/>
      <c r="T27" s="634">
        <f t="shared" si="1"/>
        <v>0</v>
      </c>
      <c r="U27" s="426"/>
      <c r="V27" s="426"/>
      <c r="W27" s="426"/>
      <c r="X27" s="426"/>
      <c r="Y27" s="426"/>
      <c r="Z27" s="426"/>
      <c r="AA27" s="638">
        <f t="shared" si="2"/>
        <v>0</v>
      </c>
      <c r="AB27" s="426"/>
      <c r="AC27" s="426"/>
      <c r="AD27" s="426"/>
      <c r="AE27" s="426"/>
      <c r="AF27" s="426"/>
      <c r="AG27" s="426"/>
      <c r="AH27" s="638">
        <f t="shared" si="3"/>
        <v>0</v>
      </c>
      <c r="AI27" s="426"/>
      <c r="AJ27" s="426"/>
      <c r="AK27" s="426"/>
      <c r="AL27" s="426"/>
      <c r="AM27" s="426"/>
      <c r="AN27" s="429">
        <f t="shared" si="4"/>
        <v>0</v>
      </c>
      <c r="AO27" s="426"/>
      <c r="AP27" s="426"/>
      <c r="AQ27" s="426"/>
      <c r="AR27" s="426"/>
      <c r="AS27" s="426"/>
      <c r="AT27" s="426"/>
      <c r="AU27" s="635">
        <f t="shared" si="5"/>
        <v>0</v>
      </c>
      <c r="AV27" s="426"/>
      <c r="AW27" s="426"/>
      <c r="AX27" s="426"/>
      <c r="AY27" s="426"/>
      <c r="AZ27" s="426"/>
      <c r="BA27" s="659"/>
      <c r="BB27" s="429">
        <f t="shared" si="6"/>
        <v>0</v>
      </c>
      <c r="BC27" s="426"/>
      <c r="BD27" s="434">
        <f t="shared" si="7"/>
        <v>0</v>
      </c>
      <c r="BE27" s="426"/>
      <c r="BF27" s="426"/>
      <c r="BG27" s="426"/>
      <c r="BH27" s="426"/>
      <c r="BI27" s="426"/>
      <c r="BJ27" s="426"/>
      <c r="BK27" s="426"/>
      <c r="BL27" s="426"/>
      <c r="BM27" s="426"/>
      <c r="BN27" s="435">
        <f t="shared" si="8"/>
        <v>0</v>
      </c>
      <c r="BO27" s="437">
        <f t="shared" si="9"/>
        <v>0</v>
      </c>
      <c r="BP27" s="437">
        <f t="shared" si="10"/>
        <v>0</v>
      </c>
      <c r="BQ27" s="642">
        <f t="shared" si="11"/>
        <v>0</v>
      </c>
      <c r="BR27" s="426">
        <f t="shared" si="12"/>
        <v>0</v>
      </c>
    </row>
    <row r="28" spans="1:70" s="11" customFormat="1" ht="14.45" customHeight="1">
      <c r="B28" s="2" t="str">
        <f>IF('Student Data'!B12=0,"",'Student Data'!B12)</f>
        <v/>
      </c>
      <c r="C28" s="15" t="str">
        <f>IF('Student Data'!O12=0,"",'Student Data'!O12)</f>
        <v/>
      </c>
      <c r="D28" s="2" t="str">
        <f>IF('Student Data'!N12=0,"",'Student Data'!N12)</f>
        <v/>
      </c>
      <c r="E28" s="2" t="str">
        <f>IF('Student Data'!C12=0,"",'Student Data'!C12)</f>
        <v/>
      </c>
      <c r="F28" s="2" t="str">
        <f>IF('Student Data'!D12=0,"",'Student Data'!D12)</f>
        <v/>
      </c>
      <c r="G28" s="2" t="str">
        <f>IF('Student Data'!G12=0,"",'Student Data'!G12)</f>
        <v/>
      </c>
      <c r="H28" s="12"/>
      <c r="I28" s="12"/>
      <c r="J28" s="215"/>
      <c r="K28" s="322"/>
      <c r="L28" s="426"/>
      <c r="M28" s="426"/>
      <c r="N28" s="426"/>
      <c r="O28" s="426"/>
      <c r="P28" s="426"/>
      <c r="Q28" s="426"/>
      <c r="R28" s="426"/>
      <c r="S28" s="426"/>
      <c r="T28" s="634">
        <f t="shared" si="1"/>
        <v>0</v>
      </c>
      <c r="U28" s="426"/>
      <c r="V28" s="426"/>
      <c r="W28" s="426"/>
      <c r="X28" s="426"/>
      <c r="Y28" s="426"/>
      <c r="Z28" s="426"/>
      <c r="AA28" s="638">
        <f t="shared" si="2"/>
        <v>0</v>
      </c>
      <c r="AB28" s="426"/>
      <c r="AC28" s="426"/>
      <c r="AD28" s="426"/>
      <c r="AE28" s="426"/>
      <c r="AF28" s="426"/>
      <c r="AG28" s="426"/>
      <c r="AH28" s="638">
        <f t="shared" si="3"/>
        <v>0</v>
      </c>
      <c r="AI28" s="426"/>
      <c r="AJ28" s="426"/>
      <c r="AK28" s="426"/>
      <c r="AL28" s="426"/>
      <c r="AM28" s="426"/>
      <c r="AN28" s="429">
        <f t="shared" si="4"/>
        <v>0</v>
      </c>
      <c r="AO28" s="426"/>
      <c r="AP28" s="426"/>
      <c r="AQ28" s="426"/>
      <c r="AR28" s="426"/>
      <c r="AS28" s="426"/>
      <c r="AT28" s="426"/>
      <c r="AU28" s="635">
        <f t="shared" si="5"/>
        <v>0</v>
      </c>
      <c r="AV28" s="426"/>
      <c r="AW28" s="426"/>
      <c r="AX28" s="426"/>
      <c r="AY28" s="426"/>
      <c r="AZ28" s="426"/>
      <c r="BA28" s="659"/>
      <c r="BB28" s="429">
        <f t="shared" si="6"/>
        <v>0</v>
      </c>
      <c r="BC28" s="426"/>
      <c r="BD28" s="434">
        <f t="shared" si="7"/>
        <v>0</v>
      </c>
      <c r="BE28" s="426"/>
      <c r="BF28" s="426"/>
      <c r="BG28" s="426"/>
      <c r="BH28" s="426"/>
      <c r="BI28" s="426"/>
      <c r="BJ28" s="426"/>
      <c r="BK28" s="426"/>
      <c r="BL28" s="426"/>
      <c r="BM28" s="426"/>
      <c r="BN28" s="435">
        <f t="shared" si="8"/>
        <v>0</v>
      </c>
      <c r="BO28" s="437">
        <f t="shared" si="9"/>
        <v>0</v>
      </c>
      <c r="BP28" s="437">
        <f t="shared" si="10"/>
        <v>0</v>
      </c>
      <c r="BQ28" s="642">
        <f t="shared" si="11"/>
        <v>0</v>
      </c>
      <c r="BR28" s="426">
        <f t="shared" si="12"/>
        <v>0</v>
      </c>
    </row>
    <row r="29" spans="1:70" s="11" customFormat="1" ht="14.45" customHeight="1">
      <c r="B29" s="2" t="str">
        <f>IF('Student Data'!B13=0,"",'Student Data'!B13)</f>
        <v/>
      </c>
      <c r="C29" s="15" t="str">
        <f>IF('Student Data'!O13=0,"",'Student Data'!O13)</f>
        <v/>
      </c>
      <c r="D29" s="2" t="str">
        <f>IF('Student Data'!N13=0,"",'Student Data'!N13)</f>
        <v/>
      </c>
      <c r="E29" s="2" t="str">
        <f>IF('Student Data'!C13=0,"",'Student Data'!C13)</f>
        <v/>
      </c>
      <c r="F29" s="2" t="str">
        <f>IF('Student Data'!D13=0,"",'Student Data'!D13)</f>
        <v/>
      </c>
      <c r="G29" s="2" t="str">
        <f>IF('Student Data'!G13=0,"",'Student Data'!G13)</f>
        <v/>
      </c>
      <c r="H29" s="12"/>
      <c r="I29" s="12"/>
      <c r="J29" s="215"/>
      <c r="K29" s="322"/>
      <c r="L29" s="426"/>
      <c r="M29" s="426"/>
      <c r="N29" s="426"/>
      <c r="O29" s="426"/>
      <c r="P29" s="426"/>
      <c r="Q29" s="426"/>
      <c r="R29" s="433"/>
      <c r="S29" s="426"/>
      <c r="T29" s="634">
        <f t="shared" si="1"/>
        <v>0</v>
      </c>
      <c r="U29" s="426"/>
      <c r="V29" s="426"/>
      <c r="W29" s="426"/>
      <c r="X29" s="426"/>
      <c r="Y29" s="426"/>
      <c r="Z29" s="426"/>
      <c r="AA29" s="638">
        <f t="shared" si="2"/>
        <v>0</v>
      </c>
      <c r="AB29" s="426"/>
      <c r="AC29" s="426"/>
      <c r="AD29" s="426"/>
      <c r="AE29" s="426"/>
      <c r="AF29" s="426"/>
      <c r="AG29" s="426"/>
      <c r="AH29" s="638">
        <f t="shared" si="3"/>
        <v>0</v>
      </c>
      <c r="AI29" s="426"/>
      <c r="AJ29" s="426"/>
      <c r="AK29" s="426"/>
      <c r="AL29" s="426"/>
      <c r="AM29" s="426"/>
      <c r="AN29" s="429">
        <f t="shared" si="4"/>
        <v>0</v>
      </c>
      <c r="AO29" s="426"/>
      <c r="AP29" s="426"/>
      <c r="AQ29" s="426"/>
      <c r="AR29" s="426"/>
      <c r="AS29" s="426"/>
      <c r="AT29" s="426"/>
      <c r="AU29" s="635">
        <f t="shared" si="5"/>
        <v>0</v>
      </c>
      <c r="AV29" s="426"/>
      <c r="AW29" s="426"/>
      <c r="AX29" s="426"/>
      <c r="AY29" s="426"/>
      <c r="AZ29" s="426"/>
      <c r="BA29" s="659"/>
      <c r="BB29" s="429">
        <f t="shared" si="6"/>
        <v>0</v>
      </c>
      <c r="BC29" s="426"/>
      <c r="BD29" s="434">
        <f t="shared" si="7"/>
        <v>0</v>
      </c>
      <c r="BE29" s="426"/>
      <c r="BF29" s="426"/>
      <c r="BG29" s="426"/>
      <c r="BH29" s="426"/>
      <c r="BI29" s="426"/>
      <c r="BJ29" s="426"/>
      <c r="BK29" s="426"/>
      <c r="BL29" s="426"/>
      <c r="BM29" s="426"/>
      <c r="BN29" s="435">
        <f t="shared" si="8"/>
        <v>0</v>
      </c>
      <c r="BO29" s="437">
        <f t="shared" si="9"/>
        <v>0</v>
      </c>
      <c r="BP29" s="437">
        <f t="shared" si="10"/>
        <v>0</v>
      </c>
      <c r="BQ29" s="642">
        <f t="shared" si="11"/>
        <v>0</v>
      </c>
      <c r="BR29" s="426">
        <f t="shared" si="12"/>
        <v>0</v>
      </c>
    </row>
    <row r="30" spans="1:70" s="11" customFormat="1" ht="14.45" customHeight="1">
      <c r="B30" s="2" t="str">
        <f>IF('Student Data'!B14=0,"",'Student Data'!B14)</f>
        <v/>
      </c>
      <c r="C30" s="15" t="str">
        <f>IF('Student Data'!O14=0,"",'Student Data'!O14)</f>
        <v/>
      </c>
      <c r="D30" s="2" t="str">
        <f>IF('Student Data'!N14=0,"",'Student Data'!N14)</f>
        <v/>
      </c>
      <c r="E30" s="2" t="str">
        <f>IF('Student Data'!C14=0,"",'Student Data'!C14)</f>
        <v/>
      </c>
      <c r="F30" s="2" t="str">
        <f>IF('Student Data'!D14=0,"",'Student Data'!D14)</f>
        <v/>
      </c>
      <c r="G30" s="2" t="str">
        <f>IF('Student Data'!G14=0,"",'Student Data'!G14)</f>
        <v/>
      </c>
      <c r="H30" s="12"/>
      <c r="I30" s="12"/>
      <c r="J30" s="215"/>
      <c r="K30" s="322"/>
      <c r="L30" s="426"/>
      <c r="M30" s="426"/>
      <c r="N30" s="426"/>
      <c r="O30" s="426"/>
      <c r="P30" s="426"/>
      <c r="Q30" s="426"/>
      <c r="R30" s="426"/>
      <c r="S30" s="426"/>
      <c r="T30" s="634">
        <f t="shared" si="1"/>
        <v>0</v>
      </c>
      <c r="U30" s="426"/>
      <c r="V30" s="426"/>
      <c r="W30" s="426"/>
      <c r="X30" s="426"/>
      <c r="Y30" s="426"/>
      <c r="Z30" s="426"/>
      <c r="AA30" s="638">
        <f t="shared" si="2"/>
        <v>0</v>
      </c>
      <c r="AB30" s="426"/>
      <c r="AC30" s="426"/>
      <c r="AD30" s="426"/>
      <c r="AE30" s="426"/>
      <c r="AF30" s="426"/>
      <c r="AG30" s="426"/>
      <c r="AH30" s="638">
        <f t="shared" si="3"/>
        <v>0</v>
      </c>
      <c r="AI30" s="426"/>
      <c r="AJ30" s="426"/>
      <c r="AK30" s="426"/>
      <c r="AL30" s="426"/>
      <c r="AM30" s="426"/>
      <c r="AN30" s="429">
        <f t="shared" si="4"/>
        <v>0</v>
      </c>
      <c r="AO30" s="426"/>
      <c r="AP30" s="426"/>
      <c r="AQ30" s="426"/>
      <c r="AR30" s="426"/>
      <c r="AS30" s="426"/>
      <c r="AT30" s="426"/>
      <c r="AU30" s="635">
        <f t="shared" si="5"/>
        <v>0</v>
      </c>
      <c r="AV30" s="426"/>
      <c r="AW30" s="426"/>
      <c r="AX30" s="426"/>
      <c r="AY30" s="426"/>
      <c r="AZ30" s="426"/>
      <c r="BA30" s="659"/>
      <c r="BB30" s="429">
        <f t="shared" si="6"/>
        <v>0</v>
      </c>
      <c r="BC30" s="426"/>
      <c r="BD30" s="434">
        <f t="shared" si="7"/>
        <v>0</v>
      </c>
      <c r="BE30" s="426"/>
      <c r="BF30" s="426"/>
      <c r="BG30" s="426"/>
      <c r="BH30" s="426"/>
      <c r="BI30" s="426"/>
      <c r="BJ30" s="426"/>
      <c r="BK30" s="426"/>
      <c r="BL30" s="426"/>
      <c r="BM30" s="426"/>
      <c r="BN30" s="435">
        <f t="shared" si="8"/>
        <v>0</v>
      </c>
      <c r="BO30" s="437">
        <f t="shared" si="9"/>
        <v>0</v>
      </c>
      <c r="BP30" s="437">
        <f t="shared" si="10"/>
        <v>0</v>
      </c>
      <c r="BQ30" s="642">
        <f t="shared" si="11"/>
        <v>0</v>
      </c>
      <c r="BR30" s="426">
        <f t="shared" si="12"/>
        <v>0</v>
      </c>
    </row>
    <row r="31" spans="1:70" s="11" customFormat="1" ht="14.45" customHeight="1">
      <c r="B31" s="2" t="str">
        <f>IF('Student Data'!B15=0,"",'Student Data'!B15)</f>
        <v/>
      </c>
      <c r="C31" s="15" t="str">
        <f>IF('Student Data'!O15=0,"",'Student Data'!O15)</f>
        <v/>
      </c>
      <c r="D31" s="2" t="str">
        <f>IF('Student Data'!N15=0,"",'Student Data'!N15)</f>
        <v/>
      </c>
      <c r="E31" s="2" t="str">
        <f>IF('Student Data'!C15=0,"",'Student Data'!C15)</f>
        <v/>
      </c>
      <c r="F31" s="2" t="str">
        <f>IF('Student Data'!D15=0,"",'Student Data'!D15)</f>
        <v/>
      </c>
      <c r="G31" s="2" t="str">
        <f>IF('Student Data'!G15=0,"",'Student Data'!G15)</f>
        <v/>
      </c>
      <c r="H31" s="12"/>
      <c r="I31" s="12"/>
      <c r="J31" s="215"/>
      <c r="K31" s="322"/>
      <c r="L31" s="426"/>
      <c r="M31" s="426"/>
      <c r="N31" s="426"/>
      <c r="O31" s="426"/>
      <c r="P31" s="426"/>
      <c r="Q31" s="426"/>
      <c r="S31" s="426"/>
      <c r="T31" s="634">
        <f t="shared" si="1"/>
        <v>0</v>
      </c>
      <c r="U31" s="426"/>
      <c r="V31" s="426"/>
      <c r="W31" s="426"/>
      <c r="X31" s="426"/>
      <c r="Y31" s="426"/>
      <c r="Z31" s="426"/>
      <c r="AA31" s="638">
        <f t="shared" si="2"/>
        <v>0</v>
      </c>
      <c r="AB31" s="426"/>
      <c r="AC31" s="426"/>
      <c r="AD31" s="426"/>
      <c r="AE31" s="426"/>
      <c r="AF31" s="426"/>
      <c r="AG31" s="426"/>
      <c r="AH31" s="638">
        <f t="shared" si="3"/>
        <v>0</v>
      </c>
      <c r="AI31" s="426"/>
      <c r="AJ31" s="426"/>
      <c r="AK31" s="426"/>
      <c r="AL31" s="426"/>
      <c r="AM31" s="426"/>
      <c r="AN31" s="429">
        <f t="shared" si="4"/>
        <v>0</v>
      </c>
      <c r="AO31" s="426"/>
      <c r="AP31" s="426"/>
      <c r="AQ31" s="426"/>
      <c r="AR31" s="426"/>
      <c r="AS31" s="426"/>
      <c r="AT31" s="426"/>
      <c r="AU31" s="635">
        <f t="shared" si="5"/>
        <v>0</v>
      </c>
      <c r="AV31" s="426"/>
      <c r="AW31" s="426"/>
      <c r="AX31" s="426"/>
      <c r="AY31" s="426"/>
      <c r="AZ31" s="426"/>
      <c r="BA31" s="659"/>
      <c r="BB31" s="429">
        <f t="shared" si="6"/>
        <v>0</v>
      </c>
      <c r="BC31" s="426"/>
      <c r="BD31" s="434">
        <f t="shared" si="7"/>
        <v>0</v>
      </c>
      <c r="BE31" s="426"/>
      <c r="BF31" s="426"/>
      <c r="BG31" s="426"/>
      <c r="BH31" s="426"/>
      <c r="BI31" s="426"/>
      <c r="BJ31" s="426"/>
      <c r="BK31" s="426"/>
      <c r="BL31" s="426"/>
      <c r="BM31" s="426"/>
      <c r="BN31" s="435">
        <f t="shared" si="8"/>
        <v>0</v>
      </c>
      <c r="BO31" s="437">
        <f t="shared" si="9"/>
        <v>0</v>
      </c>
      <c r="BP31" s="437">
        <f t="shared" si="10"/>
        <v>0</v>
      </c>
      <c r="BQ31" s="642">
        <f t="shared" si="11"/>
        <v>0</v>
      </c>
      <c r="BR31" s="426">
        <f t="shared" si="12"/>
        <v>0</v>
      </c>
    </row>
    <row r="32" spans="1:70" s="11" customFormat="1" ht="14.45" customHeight="1">
      <c r="B32" s="2" t="str">
        <f>IF('Student Data'!B16=0,"",'Student Data'!B16)</f>
        <v/>
      </c>
      <c r="C32" s="15" t="str">
        <f>IF('Student Data'!O16=0,"",'Student Data'!O16)</f>
        <v/>
      </c>
      <c r="D32" s="2" t="str">
        <f>IF('Student Data'!N16=0,"",'Student Data'!N16)</f>
        <v/>
      </c>
      <c r="E32" s="2" t="str">
        <f>IF('Student Data'!C16=0,"",'Student Data'!C16)</f>
        <v/>
      </c>
      <c r="F32" s="2" t="str">
        <f>IF('Student Data'!D16=0,"",'Student Data'!D16)</f>
        <v/>
      </c>
      <c r="G32" s="2" t="str">
        <f>IF('Student Data'!G16=0,"",'Student Data'!G16)</f>
        <v/>
      </c>
      <c r="H32" s="12"/>
      <c r="I32" s="12"/>
      <c r="J32" s="215"/>
      <c r="K32" s="374"/>
      <c r="L32" s="426"/>
      <c r="M32" s="426"/>
      <c r="N32" s="426"/>
      <c r="O32" s="426"/>
      <c r="P32" s="426"/>
      <c r="Q32" s="426"/>
      <c r="R32" s="433"/>
      <c r="S32" s="426"/>
      <c r="T32" s="634">
        <f t="shared" si="1"/>
        <v>0</v>
      </c>
      <c r="U32" s="426"/>
      <c r="V32" s="426"/>
      <c r="W32" s="426"/>
      <c r="X32" s="426"/>
      <c r="Y32" s="426"/>
      <c r="Z32" s="426"/>
      <c r="AA32" s="638">
        <f t="shared" si="2"/>
        <v>0</v>
      </c>
      <c r="AB32" s="426"/>
      <c r="AC32" s="426"/>
      <c r="AD32" s="426"/>
      <c r="AE32" s="426"/>
      <c r="AF32" s="426"/>
      <c r="AG32" s="426"/>
      <c r="AH32" s="638">
        <f t="shared" si="3"/>
        <v>0</v>
      </c>
      <c r="AI32" s="426"/>
      <c r="AJ32" s="426"/>
      <c r="AK32" s="426"/>
      <c r="AL32" s="426"/>
      <c r="AM32" s="426"/>
      <c r="AN32" s="429">
        <f t="shared" si="4"/>
        <v>0</v>
      </c>
      <c r="AO32" s="426"/>
      <c r="AP32" s="426"/>
      <c r="AQ32" s="426"/>
      <c r="AR32" s="426"/>
      <c r="AS32" s="426"/>
      <c r="AT32" s="426"/>
      <c r="AU32" s="635">
        <f t="shared" si="5"/>
        <v>0</v>
      </c>
      <c r="AV32" s="426"/>
      <c r="AW32" s="426"/>
      <c r="AX32" s="426"/>
      <c r="AY32" s="426"/>
      <c r="AZ32" s="426"/>
      <c r="BA32" s="659"/>
      <c r="BB32" s="429">
        <f t="shared" si="6"/>
        <v>0</v>
      </c>
      <c r="BC32" s="426"/>
      <c r="BD32" s="434">
        <f t="shared" si="7"/>
        <v>0</v>
      </c>
      <c r="BE32" s="426"/>
      <c r="BF32" s="426"/>
      <c r="BG32" s="426"/>
      <c r="BH32" s="426"/>
      <c r="BI32" s="426"/>
      <c r="BJ32" s="426"/>
      <c r="BK32" s="426"/>
      <c r="BL32" s="426"/>
      <c r="BM32" s="426"/>
      <c r="BN32" s="435">
        <f t="shared" si="8"/>
        <v>0</v>
      </c>
      <c r="BO32" s="437">
        <f t="shared" si="9"/>
        <v>0</v>
      </c>
      <c r="BP32" s="437">
        <f t="shared" si="10"/>
        <v>0</v>
      </c>
      <c r="BQ32" s="642">
        <f t="shared" si="11"/>
        <v>0</v>
      </c>
      <c r="BR32" s="426">
        <f t="shared" si="12"/>
        <v>0</v>
      </c>
    </row>
    <row r="33" spans="2:70" s="11" customFormat="1" ht="14.45">
      <c r="B33" s="2" t="str">
        <f>IF('Student Data'!B17=0,"",'Student Data'!B17)</f>
        <v/>
      </c>
      <c r="C33" s="15" t="str">
        <f>IF('Student Data'!O17=0,"",'Student Data'!O17)</f>
        <v/>
      </c>
      <c r="D33" s="2" t="str">
        <f>IF('Student Data'!N17=0,"",'Student Data'!N17)</f>
        <v/>
      </c>
      <c r="E33" s="2" t="str">
        <f>IF('Student Data'!C17=0,"",'Student Data'!C17)</f>
        <v/>
      </c>
      <c r="F33" s="2" t="str">
        <f>IF('Student Data'!D17=0,"",'Student Data'!D17)</f>
        <v/>
      </c>
      <c r="G33" s="2" t="str">
        <f>IF('Student Data'!G17=0,"",'Student Data'!G17)</f>
        <v/>
      </c>
      <c r="H33" s="12"/>
      <c r="I33" s="12"/>
      <c r="J33" s="215"/>
      <c r="K33" s="322"/>
      <c r="L33" s="426"/>
      <c r="M33" s="426"/>
      <c r="N33" s="426"/>
      <c r="O33" s="426"/>
      <c r="P33" s="426"/>
      <c r="Q33" s="426"/>
      <c r="R33" s="433"/>
      <c r="S33" s="426"/>
      <c r="T33" s="634">
        <f t="shared" si="1"/>
        <v>0</v>
      </c>
      <c r="U33" s="426"/>
      <c r="V33" s="426"/>
      <c r="W33" s="426"/>
      <c r="X33" s="426"/>
      <c r="Y33" s="426"/>
      <c r="Z33" s="426"/>
      <c r="AA33" s="638">
        <f t="shared" si="2"/>
        <v>0</v>
      </c>
      <c r="AB33" s="426"/>
      <c r="AC33" s="426"/>
      <c r="AD33" s="426"/>
      <c r="AE33" s="426"/>
      <c r="AF33" s="426"/>
      <c r="AG33" s="426"/>
      <c r="AH33" s="638">
        <f t="shared" si="3"/>
        <v>0</v>
      </c>
      <c r="AI33" s="426"/>
      <c r="AJ33" s="426"/>
      <c r="AK33" s="426"/>
      <c r="AL33" s="426"/>
      <c r="AM33" s="426"/>
      <c r="AN33" s="429">
        <f t="shared" si="4"/>
        <v>0</v>
      </c>
      <c r="AO33" s="426"/>
      <c r="AP33" s="426"/>
      <c r="AQ33" s="426"/>
      <c r="AR33" s="426"/>
      <c r="AS33" s="426"/>
      <c r="AT33" s="426"/>
      <c r="AU33" s="635">
        <f t="shared" si="5"/>
        <v>0</v>
      </c>
      <c r="AV33" s="426"/>
      <c r="AW33" s="426"/>
      <c r="AX33" s="426"/>
      <c r="AY33" s="426"/>
      <c r="AZ33" s="426"/>
      <c r="BA33" s="659"/>
      <c r="BB33" s="429">
        <f t="shared" si="6"/>
        <v>0</v>
      </c>
      <c r="BC33" s="426"/>
      <c r="BD33" s="434">
        <f t="shared" si="7"/>
        <v>0</v>
      </c>
      <c r="BE33" s="426"/>
      <c r="BF33" s="426"/>
      <c r="BG33" s="426"/>
      <c r="BH33" s="426"/>
      <c r="BI33" s="426"/>
      <c r="BJ33" s="426"/>
      <c r="BK33" s="426"/>
      <c r="BL33" s="426"/>
      <c r="BM33" s="426"/>
      <c r="BN33" s="435">
        <f t="shared" si="8"/>
        <v>0</v>
      </c>
      <c r="BO33" s="437">
        <f t="shared" si="9"/>
        <v>0</v>
      </c>
      <c r="BP33" s="437">
        <f t="shared" si="10"/>
        <v>0</v>
      </c>
      <c r="BQ33" s="642">
        <f t="shared" si="11"/>
        <v>0</v>
      </c>
      <c r="BR33" s="426">
        <f t="shared" si="12"/>
        <v>0</v>
      </c>
    </row>
    <row r="34" spans="2:70" s="11" customFormat="1" ht="14.45" customHeight="1">
      <c r="B34" s="2" t="str">
        <f>IF('Student Data'!B18=0,"",'Student Data'!B18)</f>
        <v/>
      </c>
      <c r="C34" s="15" t="str">
        <f>IF('Student Data'!O18=0,"",'Student Data'!O18)</f>
        <v/>
      </c>
      <c r="D34" s="2" t="str">
        <f>IF('Student Data'!N18=0,"",'Student Data'!N18)</f>
        <v/>
      </c>
      <c r="E34" s="2" t="str">
        <f>IF('Student Data'!C18=0,"",'Student Data'!C18)</f>
        <v/>
      </c>
      <c r="F34" s="2" t="str">
        <f>IF('Student Data'!D18=0,"",'Student Data'!D18)</f>
        <v/>
      </c>
      <c r="G34" s="2" t="str">
        <f>IF('Student Data'!G18=0,"",'Student Data'!G18)</f>
        <v/>
      </c>
      <c r="H34" s="12"/>
      <c r="I34" s="12"/>
      <c r="J34" s="215"/>
      <c r="K34" s="322"/>
      <c r="L34" s="426"/>
      <c r="M34" s="426"/>
      <c r="N34" s="426"/>
      <c r="O34" s="426"/>
      <c r="P34" s="426"/>
      <c r="Q34" s="426"/>
      <c r="R34" s="426"/>
      <c r="S34" s="426"/>
      <c r="T34" s="634">
        <f t="shared" si="1"/>
        <v>0</v>
      </c>
      <c r="U34" s="426"/>
      <c r="V34" s="426"/>
      <c r="W34" s="426"/>
      <c r="X34" s="426"/>
      <c r="Y34" s="426"/>
      <c r="Z34" s="426"/>
      <c r="AA34" s="638">
        <f t="shared" si="2"/>
        <v>0</v>
      </c>
      <c r="AB34" s="426"/>
      <c r="AC34" s="426"/>
      <c r="AD34" s="426"/>
      <c r="AE34" s="426"/>
      <c r="AF34" s="426"/>
      <c r="AG34" s="426"/>
      <c r="AH34" s="638">
        <f t="shared" si="3"/>
        <v>0</v>
      </c>
      <c r="AI34" s="426"/>
      <c r="AJ34" s="426"/>
      <c r="AK34" s="426"/>
      <c r="AL34" s="426"/>
      <c r="AM34" s="426"/>
      <c r="AN34" s="429">
        <f t="shared" si="4"/>
        <v>0</v>
      </c>
      <c r="AO34" s="426"/>
      <c r="AP34" s="426"/>
      <c r="AQ34" s="426"/>
      <c r="AR34" s="426"/>
      <c r="AS34" s="426"/>
      <c r="AT34" s="426"/>
      <c r="AU34" s="635">
        <f t="shared" si="5"/>
        <v>0</v>
      </c>
      <c r="AV34" s="426"/>
      <c r="AW34" s="426"/>
      <c r="AX34" s="426"/>
      <c r="AY34" s="426"/>
      <c r="AZ34" s="426"/>
      <c r="BA34" s="659"/>
      <c r="BB34" s="429">
        <f t="shared" si="6"/>
        <v>0</v>
      </c>
      <c r="BC34" s="426"/>
      <c r="BD34" s="434">
        <f t="shared" si="7"/>
        <v>0</v>
      </c>
      <c r="BE34" s="426"/>
      <c r="BF34" s="426"/>
      <c r="BG34" s="426"/>
      <c r="BH34" s="426"/>
      <c r="BI34" s="426"/>
      <c r="BJ34" s="426"/>
      <c r="BK34" s="426"/>
      <c r="BL34" s="426"/>
      <c r="BM34" s="426"/>
      <c r="BN34" s="435">
        <f t="shared" si="8"/>
        <v>0</v>
      </c>
      <c r="BO34" s="437">
        <f t="shared" si="9"/>
        <v>0</v>
      </c>
      <c r="BP34" s="437">
        <f t="shared" si="10"/>
        <v>0</v>
      </c>
      <c r="BQ34" s="642">
        <f t="shared" si="11"/>
        <v>0</v>
      </c>
      <c r="BR34" s="426">
        <f t="shared" si="12"/>
        <v>0</v>
      </c>
    </row>
    <row r="35" spans="2:70" s="11" customFormat="1" ht="14.45" customHeight="1">
      <c r="B35" s="2" t="str">
        <f>IF('Student Data'!B19=0,"",'Student Data'!B19)</f>
        <v/>
      </c>
      <c r="C35" s="15" t="str">
        <f>IF('Student Data'!O19=0,"",'Student Data'!O19)</f>
        <v/>
      </c>
      <c r="D35" s="2" t="str">
        <f>IF('Student Data'!N19=0,"",'Student Data'!N19)</f>
        <v/>
      </c>
      <c r="E35" s="2" t="str">
        <f>IF('Student Data'!C19=0,"",'Student Data'!C19)</f>
        <v/>
      </c>
      <c r="F35" s="2" t="str">
        <f>IF('Student Data'!D19=0,"",'Student Data'!D19)</f>
        <v/>
      </c>
      <c r="G35" s="2" t="str">
        <f>IF('Student Data'!G19=0,"",'Student Data'!G19)</f>
        <v/>
      </c>
      <c r="H35" s="12"/>
      <c r="I35" s="12"/>
      <c r="J35" s="215"/>
      <c r="K35" s="322"/>
      <c r="L35" s="426"/>
      <c r="M35" s="426"/>
      <c r="N35" s="426"/>
      <c r="O35" s="426"/>
      <c r="P35" s="426"/>
      <c r="Q35" s="426"/>
      <c r="R35" s="426"/>
      <c r="S35" s="426"/>
      <c r="T35" s="634">
        <f t="shared" si="1"/>
        <v>0</v>
      </c>
      <c r="U35" s="426"/>
      <c r="V35" s="426"/>
      <c r="W35" s="426"/>
      <c r="X35" s="426"/>
      <c r="Y35" s="426"/>
      <c r="Z35" s="426"/>
      <c r="AA35" s="638">
        <f t="shared" si="2"/>
        <v>0</v>
      </c>
      <c r="AB35" s="426"/>
      <c r="AC35" s="426"/>
      <c r="AD35" s="426"/>
      <c r="AE35" s="426"/>
      <c r="AF35" s="426"/>
      <c r="AG35" s="426"/>
      <c r="AH35" s="638">
        <f t="shared" si="3"/>
        <v>0</v>
      </c>
      <c r="AI35" s="426"/>
      <c r="AJ35" s="426"/>
      <c r="AK35" s="426"/>
      <c r="AL35" s="426"/>
      <c r="AM35" s="426"/>
      <c r="AN35" s="429">
        <f t="shared" si="4"/>
        <v>0</v>
      </c>
      <c r="AO35" s="426"/>
      <c r="AP35" s="426"/>
      <c r="AQ35" s="426"/>
      <c r="AR35" s="426"/>
      <c r="AS35" s="426"/>
      <c r="AT35" s="426"/>
      <c r="AU35" s="635">
        <f t="shared" si="5"/>
        <v>0</v>
      </c>
      <c r="AV35" s="426"/>
      <c r="AW35" s="426"/>
      <c r="AX35" s="426"/>
      <c r="AY35" s="426"/>
      <c r="AZ35" s="426"/>
      <c r="BA35" s="659"/>
      <c r="BB35" s="429">
        <f t="shared" si="6"/>
        <v>0</v>
      </c>
      <c r="BC35" s="426"/>
      <c r="BD35" s="434">
        <f t="shared" si="7"/>
        <v>0</v>
      </c>
      <c r="BE35" s="426"/>
      <c r="BF35" s="426"/>
      <c r="BG35" s="426"/>
      <c r="BH35" s="426"/>
      <c r="BI35" s="426"/>
      <c r="BJ35" s="426"/>
      <c r="BK35" s="426"/>
      <c r="BL35" s="426"/>
      <c r="BM35" s="426"/>
      <c r="BN35" s="435">
        <f t="shared" si="8"/>
        <v>0</v>
      </c>
      <c r="BO35" s="437">
        <f t="shared" si="9"/>
        <v>0</v>
      </c>
      <c r="BP35" s="437">
        <f t="shared" si="10"/>
        <v>0</v>
      </c>
      <c r="BQ35" s="642">
        <f t="shared" si="11"/>
        <v>0</v>
      </c>
      <c r="BR35" s="426">
        <f t="shared" si="12"/>
        <v>0</v>
      </c>
    </row>
    <row r="36" spans="2:70" s="11" customFormat="1" ht="14.45" customHeight="1">
      <c r="B36" s="2" t="str">
        <f>IF('Student Data'!B20=0,"",'Student Data'!B20)</f>
        <v/>
      </c>
      <c r="C36" s="15" t="str">
        <f>IF('Student Data'!O20=0,"",'Student Data'!O20)</f>
        <v/>
      </c>
      <c r="D36" s="2" t="str">
        <f>IF('Student Data'!N20=0,"",'Student Data'!N20)</f>
        <v/>
      </c>
      <c r="E36" s="2" t="str">
        <f>IF('Student Data'!C20=0,"",'Student Data'!C20)</f>
        <v/>
      </c>
      <c r="F36" s="2" t="str">
        <f>IF('Student Data'!D20=0,"",'Student Data'!D20)</f>
        <v/>
      </c>
      <c r="G36" s="2" t="str">
        <f>IF('Student Data'!G20=0,"",'Student Data'!G20)</f>
        <v/>
      </c>
      <c r="H36" s="12"/>
      <c r="I36" s="12"/>
      <c r="J36" s="215"/>
      <c r="K36" s="322"/>
      <c r="L36" s="426"/>
      <c r="M36" s="426"/>
      <c r="N36" s="426"/>
      <c r="O36" s="426"/>
      <c r="P36" s="426"/>
      <c r="Q36" s="426"/>
      <c r="R36" s="426"/>
      <c r="S36" s="426"/>
      <c r="T36" s="634">
        <f t="shared" si="1"/>
        <v>0</v>
      </c>
      <c r="U36" s="426"/>
      <c r="V36" s="426"/>
      <c r="W36" s="426"/>
      <c r="X36" s="426"/>
      <c r="Y36" s="426"/>
      <c r="Z36" s="426"/>
      <c r="AA36" s="638">
        <f t="shared" si="2"/>
        <v>0</v>
      </c>
      <c r="AB36" s="426"/>
      <c r="AC36" s="426"/>
      <c r="AD36" s="426"/>
      <c r="AE36" s="426"/>
      <c r="AF36" s="426"/>
      <c r="AG36" s="426"/>
      <c r="AH36" s="638">
        <f t="shared" si="3"/>
        <v>0</v>
      </c>
      <c r="AI36" s="426"/>
      <c r="AJ36" s="426"/>
      <c r="AK36" s="426"/>
      <c r="AL36" s="426"/>
      <c r="AM36" s="426"/>
      <c r="AN36" s="429">
        <f t="shared" si="4"/>
        <v>0</v>
      </c>
      <c r="AO36" s="426"/>
      <c r="AP36" s="426"/>
      <c r="AQ36" s="426"/>
      <c r="AR36" s="426"/>
      <c r="AS36" s="426"/>
      <c r="AT36" s="426"/>
      <c r="AU36" s="635">
        <f t="shared" si="5"/>
        <v>0</v>
      </c>
      <c r="AV36" s="426"/>
      <c r="AW36" s="426"/>
      <c r="AX36" s="426"/>
      <c r="AY36" s="426"/>
      <c r="AZ36" s="426"/>
      <c r="BA36" s="659"/>
      <c r="BB36" s="429">
        <f t="shared" si="6"/>
        <v>0</v>
      </c>
      <c r="BC36" s="426"/>
      <c r="BD36" s="434">
        <f t="shared" si="7"/>
        <v>0</v>
      </c>
      <c r="BE36" s="426"/>
      <c r="BF36" s="426"/>
      <c r="BG36" s="426"/>
      <c r="BH36" s="426"/>
      <c r="BI36" s="426"/>
      <c r="BJ36" s="426"/>
      <c r="BK36" s="426"/>
      <c r="BL36" s="426"/>
      <c r="BM36" s="426"/>
      <c r="BN36" s="435">
        <f t="shared" si="8"/>
        <v>0</v>
      </c>
      <c r="BO36" s="437">
        <f t="shared" si="9"/>
        <v>0</v>
      </c>
      <c r="BP36" s="437">
        <f t="shared" si="10"/>
        <v>0</v>
      </c>
      <c r="BQ36" s="642">
        <f t="shared" si="11"/>
        <v>0</v>
      </c>
      <c r="BR36" s="426">
        <f t="shared" si="12"/>
        <v>0</v>
      </c>
    </row>
    <row r="37" spans="2:70" s="11" customFormat="1" ht="14.45" customHeight="1">
      <c r="B37" s="2" t="str">
        <f>IF('Student Data'!B21=0,"",'Student Data'!B21)</f>
        <v/>
      </c>
      <c r="C37" s="15" t="str">
        <f>IF('Student Data'!O21=0,"",'Student Data'!O21)</f>
        <v/>
      </c>
      <c r="D37" s="2" t="str">
        <f>IF('Student Data'!N21=0,"",'Student Data'!N21)</f>
        <v/>
      </c>
      <c r="E37" s="2" t="str">
        <f>IF('Student Data'!C21=0,"",'Student Data'!C21)</f>
        <v/>
      </c>
      <c r="F37" s="2" t="str">
        <f>IF('Student Data'!D21=0,"",'Student Data'!D21)</f>
        <v/>
      </c>
      <c r="G37" s="2" t="str">
        <f>IF('Student Data'!G21=0,"",'Student Data'!G21)</f>
        <v/>
      </c>
      <c r="H37" s="12"/>
      <c r="I37" s="12"/>
      <c r="J37" s="215"/>
      <c r="K37" s="322"/>
      <c r="L37" s="426"/>
      <c r="M37" s="426"/>
      <c r="N37" s="426"/>
      <c r="O37" s="426"/>
      <c r="P37" s="426"/>
      <c r="Q37" s="426"/>
      <c r="R37" s="433"/>
      <c r="S37" s="426"/>
      <c r="T37" s="634">
        <f t="shared" si="1"/>
        <v>0</v>
      </c>
      <c r="U37" s="426"/>
      <c r="V37" s="426"/>
      <c r="W37" s="426"/>
      <c r="X37" s="426"/>
      <c r="Y37" s="426"/>
      <c r="Z37" s="426"/>
      <c r="AA37" s="638">
        <f t="shared" si="2"/>
        <v>0</v>
      </c>
      <c r="AB37" s="426"/>
      <c r="AC37" s="426"/>
      <c r="AD37" s="426"/>
      <c r="AE37" s="426"/>
      <c r="AF37" s="426"/>
      <c r="AG37" s="426"/>
      <c r="AH37" s="638">
        <f t="shared" si="3"/>
        <v>0</v>
      </c>
      <c r="AI37" s="426"/>
      <c r="AJ37" s="426"/>
      <c r="AK37" s="426"/>
      <c r="AL37" s="426"/>
      <c r="AM37" s="426"/>
      <c r="AN37" s="429">
        <f t="shared" si="4"/>
        <v>0</v>
      </c>
      <c r="AO37" s="426"/>
      <c r="AP37" s="426"/>
      <c r="AQ37" s="426"/>
      <c r="AR37" s="426"/>
      <c r="AS37" s="426"/>
      <c r="AT37" s="426"/>
      <c r="AU37" s="635">
        <f t="shared" si="5"/>
        <v>0</v>
      </c>
      <c r="AV37" s="426"/>
      <c r="AW37" s="426"/>
      <c r="AX37" s="426"/>
      <c r="AY37" s="426"/>
      <c r="AZ37" s="426"/>
      <c r="BA37" s="659"/>
      <c r="BB37" s="429">
        <f t="shared" si="6"/>
        <v>0</v>
      </c>
      <c r="BC37" s="426"/>
      <c r="BD37" s="434">
        <f t="shared" si="7"/>
        <v>0</v>
      </c>
      <c r="BE37" s="426"/>
      <c r="BF37" s="426"/>
      <c r="BG37" s="426"/>
      <c r="BH37" s="426"/>
      <c r="BI37" s="426"/>
      <c r="BJ37" s="426"/>
      <c r="BK37" s="426"/>
      <c r="BL37" s="426"/>
      <c r="BM37" s="426"/>
      <c r="BN37" s="435">
        <f t="shared" si="8"/>
        <v>0</v>
      </c>
      <c r="BO37" s="437">
        <f t="shared" si="9"/>
        <v>0</v>
      </c>
      <c r="BP37" s="437">
        <f t="shared" si="10"/>
        <v>0</v>
      </c>
      <c r="BQ37" s="642">
        <f t="shared" si="11"/>
        <v>0</v>
      </c>
      <c r="BR37" s="426">
        <f t="shared" si="12"/>
        <v>0</v>
      </c>
    </row>
    <row r="38" spans="2:70" s="11" customFormat="1" ht="14.45" customHeight="1">
      <c r="B38" s="2" t="str">
        <f>IF('Student Data'!B22=0,"",'Student Data'!B22)</f>
        <v/>
      </c>
      <c r="C38" s="15" t="str">
        <f>IF('Student Data'!O22=0,"",'Student Data'!O22)</f>
        <v/>
      </c>
      <c r="D38" s="2" t="str">
        <f>IF('Student Data'!N22=0,"",'Student Data'!N22)</f>
        <v/>
      </c>
      <c r="E38" s="2" t="str">
        <f>IF('Student Data'!C22=0,"",'Student Data'!C22)</f>
        <v/>
      </c>
      <c r="F38" s="2" t="str">
        <f>IF('Student Data'!D22=0,"",'Student Data'!D22)</f>
        <v/>
      </c>
      <c r="G38" s="2" t="str">
        <f>IF('Student Data'!G22=0,"",'Student Data'!G22)</f>
        <v/>
      </c>
      <c r="H38" s="12"/>
      <c r="I38" s="12"/>
      <c r="J38" s="215"/>
      <c r="K38" s="322"/>
      <c r="L38" s="426"/>
      <c r="M38" s="426"/>
      <c r="N38" s="426"/>
      <c r="O38" s="426"/>
      <c r="P38" s="426"/>
      <c r="Q38" s="426"/>
      <c r="R38" s="433"/>
      <c r="S38" s="426"/>
      <c r="T38" s="634">
        <f t="shared" si="1"/>
        <v>0</v>
      </c>
      <c r="U38" s="426"/>
      <c r="V38" s="426"/>
      <c r="W38" s="426"/>
      <c r="X38" s="426"/>
      <c r="Y38" s="426"/>
      <c r="Z38" s="426"/>
      <c r="AA38" s="638">
        <f t="shared" si="2"/>
        <v>0</v>
      </c>
      <c r="AB38" s="426"/>
      <c r="AC38" s="426"/>
      <c r="AD38" s="426"/>
      <c r="AE38" s="426"/>
      <c r="AF38" s="426"/>
      <c r="AG38" s="426"/>
      <c r="AH38" s="638">
        <f t="shared" si="3"/>
        <v>0</v>
      </c>
      <c r="AI38" s="426"/>
      <c r="AJ38" s="426"/>
      <c r="AK38" s="426"/>
      <c r="AL38" s="426"/>
      <c r="AM38" s="426"/>
      <c r="AN38" s="429">
        <f t="shared" si="4"/>
        <v>0</v>
      </c>
      <c r="AO38" s="426"/>
      <c r="AP38" s="426"/>
      <c r="AQ38" s="426"/>
      <c r="AR38" s="426"/>
      <c r="AS38" s="426"/>
      <c r="AT38" s="426"/>
      <c r="AU38" s="635">
        <f t="shared" si="5"/>
        <v>0</v>
      </c>
      <c r="AV38" s="426"/>
      <c r="AW38" s="426"/>
      <c r="AX38" s="426"/>
      <c r="AY38" s="426"/>
      <c r="AZ38" s="426"/>
      <c r="BA38" s="659"/>
      <c r="BB38" s="429">
        <f t="shared" si="6"/>
        <v>0</v>
      </c>
      <c r="BC38" s="426"/>
      <c r="BD38" s="434">
        <f t="shared" si="7"/>
        <v>0</v>
      </c>
      <c r="BE38" s="426"/>
      <c r="BF38" s="426"/>
      <c r="BG38" s="426"/>
      <c r="BH38" s="426"/>
      <c r="BI38" s="426"/>
      <c r="BJ38" s="426"/>
      <c r="BK38" s="426"/>
      <c r="BL38" s="426"/>
      <c r="BM38" s="426"/>
      <c r="BN38" s="435">
        <f t="shared" si="8"/>
        <v>0</v>
      </c>
      <c r="BO38" s="437">
        <f t="shared" si="9"/>
        <v>0</v>
      </c>
      <c r="BP38" s="437">
        <f t="shared" si="10"/>
        <v>0</v>
      </c>
      <c r="BQ38" s="642">
        <f t="shared" si="11"/>
        <v>0</v>
      </c>
      <c r="BR38" s="426">
        <f t="shared" si="12"/>
        <v>0</v>
      </c>
    </row>
    <row r="39" spans="2:70" s="11" customFormat="1" ht="14.45" customHeight="1">
      <c r="B39" s="2" t="str">
        <f>IF('Student Data'!B23=0,"",'Student Data'!B23)</f>
        <v/>
      </c>
      <c r="C39" s="15" t="str">
        <f>IF('Student Data'!O23=0,"",'Student Data'!O23)</f>
        <v/>
      </c>
      <c r="D39" s="2" t="str">
        <f>IF('Student Data'!N23=0,"",'Student Data'!N23)</f>
        <v/>
      </c>
      <c r="E39" s="2" t="str">
        <f>IF('Student Data'!C23=0,"",'Student Data'!C23)</f>
        <v/>
      </c>
      <c r="F39" s="2" t="str">
        <f>IF('Student Data'!D23=0,"",'Student Data'!D23)</f>
        <v/>
      </c>
      <c r="G39" s="2" t="str">
        <f>IF('Student Data'!G23=0,"",'Student Data'!G23)</f>
        <v/>
      </c>
      <c r="H39" s="12"/>
      <c r="I39" s="12"/>
      <c r="J39" s="215"/>
      <c r="K39" s="322"/>
      <c r="L39" s="426"/>
      <c r="M39" s="426"/>
      <c r="N39" s="426"/>
      <c r="O39" s="426"/>
      <c r="P39" s="426"/>
      <c r="Q39" s="426"/>
      <c r="R39" s="433"/>
      <c r="S39" s="426"/>
      <c r="T39" s="634">
        <f t="shared" si="1"/>
        <v>0</v>
      </c>
      <c r="U39" s="426"/>
      <c r="V39" s="426"/>
      <c r="W39" s="426"/>
      <c r="X39" s="426"/>
      <c r="Y39" s="426"/>
      <c r="Z39" s="426"/>
      <c r="AA39" s="638">
        <f t="shared" si="2"/>
        <v>0</v>
      </c>
      <c r="AB39" s="426"/>
      <c r="AC39" s="426"/>
      <c r="AD39" s="426"/>
      <c r="AE39" s="426"/>
      <c r="AF39" s="426"/>
      <c r="AG39" s="426"/>
      <c r="AH39" s="638">
        <f t="shared" si="3"/>
        <v>0</v>
      </c>
      <c r="AI39" s="426"/>
      <c r="AJ39" s="426"/>
      <c r="AK39" s="426"/>
      <c r="AL39" s="426"/>
      <c r="AM39" s="426"/>
      <c r="AN39" s="429">
        <f t="shared" si="4"/>
        <v>0</v>
      </c>
      <c r="AO39" s="426"/>
      <c r="AP39" s="426"/>
      <c r="AQ39" s="426"/>
      <c r="AR39" s="426"/>
      <c r="AS39" s="426"/>
      <c r="AT39" s="426"/>
      <c r="AU39" s="635">
        <f t="shared" si="5"/>
        <v>0</v>
      </c>
      <c r="AV39" s="426"/>
      <c r="AW39" s="426"/>
      <c r="AX39" s="426"/>
      <c r="AY39" s="426"/>
      <c r="AZ39" s="426"/>
      <c r="BA39" s="659"/>
      <c r="BB39" s="429">
        <f t="shared" si="6"/>
        <v>0</v>
      </c>
      <c r="BC39" s="426"/>
      <c r="BD39" s="434">
        <f t="shared" si="7"/>
        <v>0</v>
      </c>
      <c r="BE39" s="426"/>
      <c r="BF39" s="426"/>
      <c r="BG39" s="426"/>
      <c r="BH39" s="426"/>
      <c r="BI39" s="426"/>
      <c r="BJ39" s="426"/>
      <c r="BK39" s="426"/>
      <c r="BL39" s="426"/>
      <c r="BM39" s="426"/>
      <c r="BN39" s="435">
        <f t="shared" si="8"/>
        <v>0</v>
      </c>
      <c r="BO39" s="437">
        <f t="shared" si="9"/>
        <v>0</v>
      </c>
      <c r="BP39" s="437">
        <f t="shared" si="10"/>
        <v>0</v>
      </c>
      <c r="BQ39" s="642">
        <f t="shared" si="11"/>
        <v>0</v>
      </c>
      <c r="BR39" s="426">
        <f t="shared" si="12"/>
        <v>0</v>
      </c>
    </row>
    <row r="40" spans="2:70" s="11" customFormat="1" ht="14.45" customHeight="1">
      <c r="B40" s="2" t="str">
        <f>IF('Student Data'!B24=0,"",'Student Data'!B24)</f>
        <v/>
      </c>
      <c r="C40" s="15" t="str">
        <f>IF('Student Data'!O24=0,"",'Student Data'!O24)</f>
        <v/>
      </c>
      <c r="D40" s="2" t="str">
        <f>IF('Student Data'!N24=0,"",'Student Data'!N24)</f>
        <v/>
      </c>
      <c r="E40" s="2" t="str">
        <f>IF('Student Data'!C24=0,"",'Student Data'!C24)</f>
        <v/>
      </c>
      <c r="F40" s="2" t="str">
        <f>IF('Student Data'!D24=0,"",'Student Data'!D24)</f>
        <v/>
      </c>
      <c r="G40" s="2" t="str">
        <f>IF('Student Data'!G24=0,"",'Student Data'!G24)</f>
        <v/>
      </c>
      <c r="H40" s="12"/>
      <c r="I40" s="12"/>
      <c r="J40" s="215"/>
      <c r="K40" s="322"/>
      <c r="L40" s="426"/>
      <c r="M40" s="426"/>
      <c r="N40" s="426"/>
      <c r="O40" s="426"/>
      <c r="P40" s="426"/>
      <c r="Q40" s="426"/>
      <c r="R40" s="433"/>
      <c r="S40" s="426"/>
      <c r="T40" s="634">
        <f t="shared" si="1"/>
        <v>0</v>
      </c>
      <c r="U40" s="426"/>
      <c r="V40" s="426"/>
      <c r="W40" s="426"/>
      <c r="X40" s="426"/>
      <c r="Y40" s="426"/>
      <c r="Z40" s="426"/>
      <c r="AA40" s="638">
        <f t="shared" si="2"/>
        <v>0</v>
      </c>
      <c r="AB40" s="426"/>
      <c r="AC40" s="426"/>
      <c r="AD40" s="426"/>
      <c r="AE40" s="426"/>
      <c r="AF40" s="426"/>
      <c r="AG40" s="426"/>
      <c r="AH40" s="638">
        <f t="shared" si="3"/>
        <v>0</v>
      </c>
      <c r="AI40" s="426"/>
      <c r="AJ40" s="426"/>
      <c r="AK40" s="426"/>
      <c r="AL40" s="426"/>
      <c r="AM40" s="426"/>
      <c r="AN40" s="429">
        <f t="shared" si="4"/>
        <v>0</v>
      </c>
      <c r="AO40" s="426"/>
      <c r="AP40" s="426"/>
      <c r="AQ40" s="426"/>
      <c r="AR40" s="426"/>
      <c r="AS40" s="426"/>
      <c r="AT40" s="426"/>
      <c r="AU40" s="635">
        <f t="shared" si="5"/>
        <v>0</v>
      </c>
      <c r="AV40" s="426"/>
      <c r="AW40" s="426"/>
      <c r="AX40" s="426"/>
      <c r="AY40" s="426"/>
      <c r="AZ40" s="426"/>
      <c r="BA40" s="659"/>
      <c r="BB40" s="429">
        <f t="shared" si="6"/>
        <v>0</v>
      </c>
      <c r="BC40" s="426"/>
      <c r="BD40" s="434">
        <f t="shared" si="7"/>
        <v>0</v>
      </c>
      <c r="BE40" s="426"/>
      <c r="BF40" s="426"/>
      <c r="BG40" s="426"/>
      <c r="BH40" s="426"/>
      <c r="BI40" s="426"/>
      <c r="BJ40" s="426"/>
      <c r="BK40" s="426"/>
      <c r="BL40" s="426"/>
      <c r="BM40" s="426"/>
      <c r="BN40" s="435">
        <f t="shared" si="8"/>
        <v>0</v>
      </c>
      <c r="BO40" s="437">
        <f t="shared" si="9"/>
        <v>0</v>
      </c>
      <c r="BP40" s="437">
        <f t="shared" si="10"/>
        <v>0</v>
      </c>
      <c r="BQ40" s="642">
        <f t="shared" si="11"/>
        <v>0</v>
      </c>
      <c r="BR40" s="426">
        <f t="shared" si="12"/>
        <v>0</v>
      </c>
    </row>
    <row r="41" spans="2:70" ht="14.45" customHeight="1">
      <c r="AN41" s="429"/>
      <c r="BB41" s="429">
        <f t="shared" si="6"/>
        <v>0</v>
      </c>
      <c r="BD41" s="434"/>
      <c r="BN41" s="435"/>
      <c r="BO41" s="538"/>
      <c r="BP41" s="538"/>
      <c r="BQ41" s="538"/>
      <c r="BR41" s="538">
        <f>SUM(BR21:BR40)</f>
        <v>114</v>
      </c>
    </row>
    <row r="42" spans="2:70" ht="14.45"/>
    <row r="146" spans="2:2" ht="14.45" customHeight="1">
      <c r="B146" s="11" t="s">
        <v>315</v>
      </c>
    </row>
  </sheetData>
  <sheetProtection formatCells="0"/>
  <mergeCells count="53">
    <mergeCell ref="B19:B20"/>
    <mergeCell ref="G19:G20"/>
    <mergeCell ref="F19:F20"/>
    <mergeCell ref="E19:E20"/>
    <mergeCell ref="D19:D20"/>
    <mergeCell ref="C19:C20"/>
    <mergeCell ref="U17:AH17"/>
    <mergeCell ref="AH18:AH20"/>
    <mergeCell ref="AF15:AF16"/>
    <mergeCell ref="AG15:AG16"/>
    <mergeCell ref="K3:K4"/>
    <mergeCell ref="L3:L4"/>
    <mergeCell ref="M3:M4"/>
    <mergeCell ref="M15:M16"/>
    <mergeCell ref="N15:N16"/>
    <mergeCell ref="O15:O16"/>
    <mergeCell ref="A9:B9"/>
    <mergeCell ref="A10:B10"/>
    <mergeCell ref="F3:J3"/>
    <mergeCell ref="A3:E3"/>
    <mergeCell ref="C4:E4"/>
    <mergeCell ref="C5:E5"/>
    <mergeCell ref="C10:E10"/>
    <mergeCell ref="A4:B4"/>
    <mergeCell ref="A5:B5"/>
    <mergeCell ref="A6:B6"/>
    <mergeCell ref="A7:B7"/>
    <mergeCell ref="A8:B8"/>
    <mergeCell ref="C6:E6"/>
    <mergeCell ref="C8:E8"/>
    <mergeCell ref="C7:E7"/>
    <mergeCell ref="C9:E9"/>
    <mergeCell ref="BC17:BD17"/>
    <mergeCell ref="AN18:AN20"/>
    <mergeCell ref="AU18:AU20"/>
    <mergeCell ref="AO17:AU17"/>
    <mergeCell ref="BB18:BB20"/>
    <mergeCell ref="BN18:BN20"/>
    <mergeCell ref="BE17:BN17"/>
    <mergeCell ref="BO17:BR19"/>
    <mergeCell ref="A11:B11"/>
    <mergeCell ref="C11:E11"/>
    <mergeCell ref="A12:E12"/>
    <mergeCell ref="A13:D13"/>
    <mergeCell ref="A14:D14"/>
    <mergeCell ref="AI17:AM17"/>
    <mergeCell ref="P15:P16"/>
    <mergeCell ref="S15:S16"/>
    <mergeCell ref="BD18:BD20"/>
    <mergeCell ref="AV17:AZ17"/>
    <mergeCell ref="T18:T20"/>
    <mergeCell ref="AA18:AA20"/>
    <mergeCell ref="L17:T17"/>
  </mergeCells>
  <conditionalFormatting sqref="B21:D40 M25:M29 M32:M36 U21:U40 AB21:AB40 BD21:BD41 AY29:BA29 AY31:BA33 AY37:BA40 AY22:BA23">
    <cfRule type="expression" dxfId="2088" priority="768">
      <formula>IF(G21="Did Not Start", TRUE)</formula>
    </cfRule>
  </conditionalFormatting>
  <conditionalFormatting sqref="AQ22:BA23 BE22:BM23 AQ29:BA29 BE29:BM33 R29:S29 R32:S33 S31 AG30 AQ31:BA33 AQ37:BA40 R37:S40 BE37:BM40 R23:S23 U22:AG23 U37:AG40 U31:AG33 U29:AG29 T22:T40 AA22:AA40 U24:X28 U30:X30 U34:X36 AH22:AH40 AI22:AM23 AI31:AM33 AI29:AM29 AI37:AM40 AI21 AI24:AI28 AI30 AI34:AI36 AO21:AP40 L23 BC21:BC40 AU22:AU40 L25:Q25">
    <cfRule type="expression" dxfId="2087" priority="747">
      <formula>IF($BO21=2, TRUE)</formula>
    </cfRule>
    <cfRule type="expression" dxfId="2086" priority="748">
      <formula>IF($BQ21=1, TRUE)</formula>
    </cfRule>
    <cfRule type="expression" dxfId="2085" priority="749">
      <formula>IF($BQ21&gt;=2, TRUE)</formula>
    </cfRule>
    <cfRule type="expression" dxfId="2084" priority="750">
      <formula>IF($BP21=2, TRUE)</formula>
    </cfRule>
    <cfRule type="expression" dxfId="2083" priority="751">
      <formula>IF($BP21=3, TRUE)</formula>
    </cfRule>
    <cfRule type="expression" dxfId="2082" priority="752">
      <formula>IF($BP21&gt;=4, TRUE)</formula>
    </cfRule>
    <cfRule type="expression" dxfId="2081" priority="753">
      <formula>IF($BO21=2,TRUE)</formula>
    </cfRule>
    <cfRule type="expression" dxfId="2080" priority="754">
      <formula>IF($BO21&gt;=3,TRUE)</formula>
    </cfRule>
    <cfRule type="expression" dxfId="2079" priority="755">
      <formula>IF($BO21=1, TRUE)</formula>
    </cfRule>
  </conditionalFormatting>
  <conditionalFormatting sqref="Q23 O25:Q40 S32:S40 V21:X40 S23 T21:T40 Z21:AA40 AI24:AI28 AI30 AI34:AI36 AI21:AI22 AK21:AM40 BC21 BC24:BC28 BC30 BC34:BC36 BE21:BK21 S25:S30">
    <cfRule type="expression" dxfId="2078" priority="745">
      <formula>IF(U21="Did Not Start", TRUE)</formula>
    </cfRule>
  </conditionalFormatting>
  <conditionalFormatting sqref="Q23">
    <cfRule type="expression" dxfId="2077" priority="735">
      <formula>IF($BO23=2, TRUE)</formula>
    </cfRule>
    <cfRule type="expression" dxfId="2076" priority="736">
      <formula>IF($BQ23=1, TRUE)</formula>
    </cfRule>
    <cfRule type="expression" dxfId="2075" priority="737">
      <formula>IF($BQ23&gt;=2, TRUE)</formula>
    </cfRule>
    <cfRule type="expression" dxfId="2074" priority="738">
      <formula>IF($BP23=2, TRUE)</formula>
    </cfRule>
    <cfRule type="expression" dxfId="2073" priority="739">
      <formula>IF($BP23=3, TRUE)</formula>
    </cfRule>
    <cfRule type="expression" dxfId="2072" priority="740">
      <formula>IF($BP23&gt;=4, TRUE)</formula>
    </cfRule>
    <cfRule type="expression" dxfId="2071" priority="741">
      <formula>IF($BO23=2,TRUE)</formula>
    </cfRule>
    <cfRule type="expression" dxfId="2070" priority="742">
      <formula>IF($BO23&gt;=3,TRUE)</formula>
    </cfRule>
    <cfRule type="expression" dxfId="2069" priority="743">
      <formula>IF($BO23=1, TRUE)</formula>
    </cfRule>
  </conditionalFormatting>
  <conditionalFormatting sqref="L37:Q37">
    <cfRule type="expression" dxfId="2068" priority="567">
      <formula>IF($BO37=2, TRUE)</formula>
    </cfRule>
    <cfRule type="expression" dxfId="2067" priority="568">
      <formula>IF($BQ37=1, TRUE)</formula>
    </cfRule>
    <cfRule type="expression" dxfId="2066" priority="569">
      <formula>IF($BQ37&gt;=2, TRUE)</formula>
    </cfRule>
    <cfRule type="expression" dxfId="2065" priority="570">
      <formula>IF($BP37=2, TRUE)</formula>
    </cfRule>
    <cfRule type="expression" dxfId="2064" priority="571">
      <formula>IF($BP37=3, TRUE)</formula>
    </cfRule>
    <cfRule type="expression" dxfId="2063" priority="572">
      <formula>IF($BP37&gt;=4, TRUE)</formula>
    </cfRule>
    <cfRule type="expression" dxfId="2062" priority="573">
      <formula>IF($BO37=2,TRUE)</formula>
    </cfRule>
    <cfRule type="expression" dxfId="2061" priority="574">
      <formula>IF($BO37&gt;=3,TRUE)</formula>
    </cfRule>
    <cfRule type="expression" dxfId="2060" priority="575">
      <formula>IF($BO37=1, TRUE)</formula>
    </cfRule>
  </conditionalFormatting>
  <conditionalFormatting sqref="M37">
    <cfRule type="expression" dxfId="2059" priority="566">
      <formula>IF(R37="Did Not Start", TRUE)</formula>
    </cfRule>
  </conditionalFormatting>
  <conditionalFormatting sqref="N37">
    <cfRule type="expression" dxfId="2058" priority="565">
      <formula>IF(S37="Did Not Start", TRUE)</formula>
    </cfRule>
  </conditionalFormatting>
  <conditionalFormatting sqref="L38:Q38">
    <cfRule type="expression" dxfId="2057" priority="555">
      <formula>IF($BO38=2, TRUE)</formula>
    </cfRule>
    <cfRule type="expression" dxfId="2056" priority="556">
      <formula>IF($BQ38=1, TRUE)</formula>
    </cfRule>
    <cfRule type="expression" dxfId="2055" priority="557">
      <formula>IF($BQ38&gt;=2, TRUE)</formula>
    </cfRule>
    <cfRule type="expression" dxfId="2054" priority="558">
      <formula>IF($BP38=2, TRUE)</formula>
    </cfRule>
    <cfRule type="expression" dxfId="2053" priority="559">
      <formula>IF($BP38=3, TRUE)</formula>
    </cfRule>
    <cfRule type="expression" dxfId="2052" priority="560">
      <formula>IF($BP38&gt;=4, TRUE)</formula>
    </cfRule>
    <cfRule type="expression" dxfId="2051" priority="561">
      <formula>IF($BO38=2,TRUE)</formula>
    </cfRule>
    <cfRule type="expression" dxfId="2050" priority="562">
      <formula>IF($BO38&gt;=3,TRUE)</formula>
    </cfRule>
    <cfRule type="expression" dxfId="2049" priority="563">
      <formula>IF($BO38=1, TRUE)</formula>
    </cfRule>
  </conditionalFormatting>
  <conditionalFormatting sqref="M38">
    <cfRule type="expression" dxfId="2048" priority="554">
      <formula>IF(R38="Did Not Start", TRUE)</formula>
    </cfRule>
  </conditionalFormatting>
  <conditionalFormatting sqref="N38">
    <cfRule type="expression" dxfId="2047" priority="553">
      <formula>IF(S38="Did Not Start", TRUE)</formula>
    </cfRule>
  </conditionalFormatting>
  <conditionalFormatting sqref="L39:Q39">
    <cfRule type="expression" dxfId="2046" priority="543">
      <formula>IF($BO39=2, TRUE)</formula>
    </cfRule>
    <cfRule type="expression" dxfId="2045" priority="544">
      <formula>IF($BQ39=1, TRUE)</formula>
    </cfRule>
    <cfRule type="expression" dxfId="2044" priority="545">
      <formula>IF($BQ39&gt;=2, TRUE)</formula>
    </cfRule>
    <cfRule type="expression" dxfId="2043" priority="546">
      <formula>IF($BP39=2, TRUE)</formula>
    </cfRule>
    <cfRule type="expression" dxfId="2042" priority="547">
      <formula>IF($BP39=3, TRUE)</formula>
    </cfRule>
    <cfRule type="expression" dxfId="2041" priority="548">
      <formula>IF($BP39&gt;=4, TRUE)</formula>
    </cfRule>
    <cfRule type="expression" dxfId="2040" priority="549">
      <formula>IF($BO39=2,TRUE)</formula>
    </cfRule>
    <cfRule type="expression" dxfId="2039" priority="550">
      <formula>IF($BO39&gt;=3,TRUE)</formula>
    </cfRule>
    <cfRule type="expression" dxfId="2038" priority="551">
      <formula>IF($BO39=1, TRUE)</formula>
    </cfRule>
  </conditionalFormatting>
  <conditionalFormatting sqref="M39">
    <cfRule type="expression" dxfId="2037" priority="542">
      <formula>IF(R39="Did Not Start", TRUE)</formula>
    </cfRule>
  </conditionalFormatting>
  <conditionalFormatting sqref="N39">
    <cfRule type="expression" dxfId="2036" priority="541">
      <formula>IF(S39="Did Not Start", TRUE)</formula>
    </cfRule>
  </conditionalFormatting>
  <conditionalFormatting sqref="L40:Q40">
    <cfRule type="expression" dxfId="2035" priority="531">
      <formula>IF($BO40=2, TRUE)</formula>
    </cfRule>
    <cfRule type="expression" dxfId="2034" priority="532">
      <formula>IF($BQ40=1, TRUE)</formula>
    </cfRule>
    <cfRule type="expression" dxfId="2033" priority="533">
      <formula>IF($BQ40&gt;=2, TRUE)</formula>
    </cfRule>
    <cfRule type="expression" dxfId="2032" priority="534">
      <formula>IF($BP40=2, TRUE)</formula>
    </cfRule>
    <cfRule type="expression" dxfId="2031" priority="535">
      <formula>IF($BP40=3, TRUE)</formula>
    </cfRule>
    <cfRule type="expression" dxfId="2030" priority="536">
      <formula>IF($BP40&gt;=4, TRUE)</formula>
    </cfRule>
    <cfRule type="expression" dxfId="2029" priority="537">
      <formula>IF($BO40=2,TRUE)</formula>
    </cfRule>
    <cfRule type="expression" dxfId="2028" priority="538">
      <formula>IF($BO40&gt;=3,TRUE)</formula>
    </cfRule>
    <cfRule type="expression" dxfId="2027" priority="539">
      <formula>IF($BO40=1, TRUE)</formula>
    </cfRule>
  </conditionalFormatting>
  <conditionalFormatting sqref="M40">
    <cfRule type="expression" dxfId="2026" priority="530">
      <formula>IF(R40="Did Not Start", TRUE)</formula>
    </cfRule>
  </conditionalFormatting>
  <conditionalFormatting sqref="N40">
    <cfRule type="expression" dxfId="2025" priority="529">
      <formula>IF(S40="Did Not Start", TRUE)</formula>
    </cfRule>
  </conditionalFormatting>
  <conditionalFormatting sqref="L21:S21">
    <cfRule type="expression" dxfId="2024" priority="759">
      <formula>IF($BO21=2, TRUE)</formula>
    </cfRule>
    <cfRule type="expression" dxfId="2023" priority="760">
      <formula>IF($BQ21=1, TRUE)</formula>
    </cfRule>
    <cfRule type="expression" dxfId="2022" priority="761">
      <formula>IF($BQ21&gt;=2, TRUE)</formula>
    </cfRule>
    <cfRule type="expression" dxfId="2021" priority="762">
      <formula>IF($BP21=2, TRUE)</formula>
    </cfRule>
    <cfRule type="expression" dxfId="2020" priority="763">
      <formula>IF($BP21=3, TRUE)</formula>
    </cfRule>
    <cfRule type="expression" dxfId="2019" priority="764">
      <formula>IF($BP21&gt;=4, TRUE)</formula>
    </cfRule>
    <cfRule type="expression" dxfId="2018" priority="765">
      <formula>IF($BO21=2,TRUE)</formula>
    </cfRule>
    <cfRule type="expression" dxfId="2017" priority="766">
      <formula>IF($BO21&gt;=3,TRUE)</formula>
    </cfRule>
    <cfRule type="expression" dxfId="2016" priority="767">
      <formula>IF($BO21=1, TRUE)</formula>
    </cfRule>
  </conditionalFormatting>
  <conditionalFormatting sqref="F21:J21 G21:G40 E21:E40 F22:G40">
    <cfRule type="expression" dxfId="2015" priority="770">
      <formula>IF(K21="Did Not Start", TRUE)</formula>
    </cfRule>
  </conditionalFormatting>
  <conditionalFormatting sqref="AW22:AX23 BF22:BM23 AW29:AX29 BF29:BM33 AW31:AX33 AW37:AX40 BF37:BM40 BN21:BN40">
    <cfRule type="expression" dxfId="2014" priority="2187">
      <formula>IF(#REF!="Did Not Start", TRUE)</formula>
    </cfRule>
  </conditionalFormatting>
  <conditionalFormatting sqref="BC22:BC23 BC29 BC31:BC33 BC37:BC40 AG29:AG33 AH21:AH40 AG37:AG40 AG22:AG23">
    <cfRule type="expression" dxfId="2013" priority="2189">
      <formula>IF(AJ21="Did Not Start", TRUE)</formula>
    </cfRule>
  </conditionalFormatting>
  <conditionalFormatting sqref="BE22:BE23 BE29:BE33 BE37:BE40">
    <cfRule type="expression" dxfId="2012" priority="2280">
      <formula>IF(BN22="Did Not Start", TRUE)</formula>
    </cfRule>
  </conditionalFormatting>
  <conditionalFormatting sqref="T21:X21">
    <cfRule type="expression" dxfId="2011" priority="428">
      <formula>IF($BO21=2, TRUE)</formula>
    </cfRule>
    <cfRule type="expression" dxfId="2010" priority="429">
      <formula>IF($BQ21=1, TRUE)</formula>
    </cfRule>
    <cfRule type="expression" dxfId="2009" priority="430">
      <formula>IF($BQ21&gt;=2, TRUE)</formula>
    </cfRule>
    <cfRule type="expression" dxfId="2008" priority="431">
      <formula>IF($BP21=2, TRUE)</formula>
    </cfRule>
    <cfRule type="expression" dxfId="2007" priority="432">
      <formula>IF($BP21=3, TRUE)</formula>
    </cfRule>
    <cfRule type="expression" dxfId="2006" priority="433">
      <formula>IF($BP21&gt;=4, TRUE)</formula>
    </cfRule>
    <cfRule type="expression" dxfId="2005" priority="434">
      <formula>IF($BO21=2,TRUE)</formula>
    </cfRule>
    <cfRule type="expression" dxfId="2004" priority="435">
      <formula>IF($BO21&gt;=3,TRUE)</formula>
    </cfRule>
    <cfRule type="expression" dxfId="2003" priority="436">
      <formula>IF($BO21=1, TRUE)</formula>
    </cfRule>
  </conditionalFormatting>
  <conditionalFormatting sqref="Y21:AE21">
    <cfRule type="expression" dxfId="2002" priority="418">
      <formula>IF($BO21=2, TRUE)</formula>
    </cfRule>
    <cfRule type="expression" dxfId="2001" priority="419">
      <formula>IF($BQ21=1, TRUE)</formula>
    </cfRule>
    <cfRule type="expression" dxfId="2000" priority="420">
      <formula>IF($BQ21&gt;=2, TRUE)</formula>
    </cfRule>
    <cfRule type="expression" dxfId="1999" priority="421">
      <formula>IF($BP21=2, TRUE)</formula>
    </cfRule>
    <cfRule type="expression" dxfId="1998" priority="422">
      <formula>IF($BP21=3, TRUE)</formula>
    </cfRule>
    <cfRule type="expression" dxfId="1997" priority="423">
      <formula>IF($BP21&gt;=4, TRUE)</formula>
    </cfRule>
    <cfRule type="expression" dxfId="1996" priority="424">
      <formula>IF($BO21=2,TRUE)</formula>
    </cfRule>
    <cfRule type="expression" dxfId="1995" priority="425">
      <formula>IF($BO21&gt;=3,TRUE)</formula>
    </cfRule>
    <cfRule type="expression" dxfId="1994" priority="426">
      <formula>IF($BO21=1, TRUE)</formula>
    </cfRule>
  </conditionalFormatting>
  <conditionalFormatting sqref="AQ21">
    <cfRule type="expression" dxfId="1993" priority="408">
      <formula>IF($BO21=2, TRUE)</formula>
    </cfRule>
    <cfRule type="expression" dxfId="1992" priority="409">
      <formula>IF($BQ21=1, TRUE)</formula>
    </cfRule>
    <cfRule type="expression" dxfId="1991" priority="410">
      <formula>IF($BQ21&gt;=2, TRUE)</formula>
    </cfRule>
    <cfRule type="expression" dxfId="1990" priority="411">
      <formula>IF($BP21=2, TRUE)</formula>
    </cfRule>
    <cfRule type="expression" dxfId="1989" priority="412">
      <formula>IF($BP21=3, TRUE)</formula>
    </cfRule>
    <cfRule type="expression" dxfId="1988" priority="413">
      <formula>IF($BP21&gt;=4, TRUE)</formula>
    </cfRule>
    <cfRule type="expression" dxfId="1987" priority="414">
      <formula>IF($BO21=2,TRUE)</formula>
    </cfRule>
    <cfRule type="expression" dxfId="1986" priority="415">
      <formula>IF($BO21&gt;=3,TRUE)</formula>
    </cfRule>
    <cfRule type="expression" dxfId="1985" priority="416">
      <formula>IF($BO21=1, TRUE)</formula>
    </cfRule>
  </conditionalFormatting>
  <conditionalFormatting sqref="AR21:AX21">
    <cfRule type="expression" dxfId="1984" priority="398">
      <formula>IF($BO21=2, TRUE)</formula>
    </cfRule>
    <cfRule type="expression" dxfId="1983" priority="399">
      <formula>IF($BQ21=1, TRUE)</formula>
    </cfRule>
    <cfRule type="expression" dxfId="1982" priority="400">
      <formula>IF($BQ21&gt;=2, TRUE)</formula>
    </cfRule>
    <cfRule type="expression" dxfId="1981" priority="401">
      <formula>IF($BP21=2, TRUE)</formula>
    </cfRule>
    <cfRule type="expression" dxfId="1980" priority="402">
      <formula>IF($BP21=3, TRUE)</formula>
    </cfRule>
    <cfRule type="expression" dxfId="1979" priority="403">
      <formula>IF($BP21&gt;=4, TRUE)</formula>
    </cfRule>
    <cfRule type="expression" dxfId="1978" priority="404">
      <formula>IF($BO21=2,TRUE)</formula>
    </cfRule>
    <cfRule type="expression" dxfId="1977" priority="405">
      <formula>IF($BO21&gt;=3,TRUE)</formula>
    </cfRule>
    <cfRule type="expression" dxfId="1976" priority="406">
      <formula>IF($BO21=1, TRUE)</formula>
    </cfRule>
  </conditionalFormatting>
  <conditionalFormatting sqref="AY21:BA21">
    <cfRule type="expression" dxfId="1975" priority="388">
      <formula>IF($BO21=2, TRUE)</formula>
    </cfRule>
    <cfRule type="expression" dxfId="1974" priority="389">
      <formula>IF($BQ21=1, TRUE)</formula>
    </cfRule>
    <cfRule type="expression" dxfId="1973" priority="390">
      <formula>IF($BQ21&gt;=2, TRUE)</formula>
    </cfRule>
    <cfRule type="expression" dxfId="1972" priority="391">
      <formula>IF($BP21=2, TRUE)</formula>
    </cfRule>
    <cfRule type="expression" dxfId="1971" priority="392">
      <formula>IF($BP21=3, TRUE)</formula>
    </cfRule>
    <cfRule type="expression" dxfId="1970" priority="393">
      <formula>IF($BP21&gt;=4, TRUE)</formula>
    </cfRule>
    <cfRule type="expression" dxfId="1969" priority="394">
      <formula>IF($BO21=2,TRUE)</formula>
    </cfRule>
    <cfRule type="expression" dxfId="1968" priority="395">
      <formula>IF($BO21&gt;=3,TRUE)</formula>
    </cfRule>
    <cfRule type="expression" dxfId="1967" priority="396">
      <formula>IF($BO21=1, TRUE)</formula>
    </cfRule>
  </conditionalFormatting>
  <conditionalFormatting sqref="BE21:BM21">
    <cfRule type="expression" dxfId="1966" priority="378">
      <formula>IF($BO21=2, TRUE)</formula>
    </cfRule>
    <cfRule type="expression" dxfId="1965" priority="379">
      <formula>IF($BQ21=1, TRUE)</formula>
    </cfRule>
    <cfRule type="expression" dxfId="1964" priority="380">
      <formula>IF($BQ21&gt;=2, TRUE)</formula>
    </cfRule>
    <cfRule type="expression" dxfId="1963" priority="381">
      <formula>IF($BP21=2, TRUE)</formula>
    </cfRule>
    <cfRule type="expression" dxfId="1962" priority="382">
      <formula>IF($BP21=3, TRUE)</formula>
    </cfRule>
    <cfRule type="expression" dxfId="1961" priority="383">
      <formula>IF($BP21&gt;=4, TRUE)</formula>
    </cfRule>
    <cfRule type="expression" dxfId="1960" priority="384">
      <formula>IF($BO21=2,TRUE)</formula>
    </cfRule>
    <cfRule type="expression" dxfId="1959" priority="385">
      <formula>IF($BO21&gt;=3,TRUE)</formula>
    </cfRule>
    <cfRule type="expression" dxfId="1958" priority="386">
      <formula>IF($BO21=1, TRUE)</formula>
    </cfRule>
  </conditionalFormatting>
  <conditionalFormatting sqref="AJ21:AM21">
    <cfRule type="expression" dxfId="1957" priority="368">
      <formula>IF($BO21=2, TRUE)</formula>
    </cfRule>
    <cfRule type="expression" dxfId="1956" priority="369">
      <formula>IF($BQ21=1, TRUE)</formula>
    </cfRule>
    <cfRule type="expression" dxfId="1955" priority="370">
      <formula>IF($BQ21&gt;=2, TRUE)</formula>
    </cfRule>
    <cfRule type="expression" dxfId="1954" priority="371">
      <formula>IF($BP21=2, TRUE)</formula>
    </cfRule>
    <cfRule type="expression" dxfId="1953" priority="372">
      <formula>IF($BP21=3, TRUE)</formula>
    </cfRule>
    <cfRule type="expression" dxfId="1952" priority="373">
      <formula>IF($BP21&gt;=4, TRUE)</formula>
    </cfRule>
    <cfRule type="expression" dxfId="1951" priority="374">
      <formula>IF($BO21=2,TRUE)</formula>
    </cfRule>
    <cfRule type="expression" dxfId="1950" priority="375">
      <formula>IF($BO21&gt;=3,TRUE)</formula>
    </cfRule>
    <cfRule type="expression" dxfId="1949" priority="376">
      <formula>IF($BO21=1, TRUE)</formula>
    </cfRule>
  </conditionalFormatting>
  <conditionalFormatting sqref="AF21:AG21">
    <cfRule type="expression" dxfId="1948" priority="358">
      <formula>IF($BO21=2, TRUE)</formula>
    </cfRule>
    <cfRule type="expression" dxfId="1947" priority="359">
      <formula>IF($BQ21=1, TRUE)</formula>
    </cfRule>
    <cfRule type="expression" dxfId="1946" priority="360">
      <formula>IF($BQ21&gt;=2, TRUE)</formula>
    </cfRule>
    <cfRule type="expression" dxfId="1945" priority="361">
      <formula>IF($BP21=2, TRUE)</formula>
    </cfRule>
    <cfRule type="expression" dxfId="1944" priority="362">
      <formula>IF($BP21=3, TRUE)</formula>
    </cfRule>
    <cfRule type="expression" dxfId="1943" priority="363">
      <formula>IF($BP21&gt;=4, TRUE)</formula>
    </cfRule>
    <cfRule type="expression" dxfId="1942" priority="364">
      <formula>IF($BO21=2,TRUE)</formula>
    </cfRule>
    <cfRule type="expression" dxfId="1941" priority="365">
      <formula>IF($BO21&gt;=3,TRUE)</formula>
    </cfRule>
    <cfRule type="expression" dxfId="1940" priority="366">
      <formula>IF($BO21=1, TRUE)</formula>
    </cfRule>
  </conditionalFormatting>
  <conditionalFormatting sqref="BN41">
    <cfRule type="expression" dxfId="1939" priority="352">
      <formula>IF(#REF!="Did Not Start", TRUE)</formula>
    </cfRule>
  </conditionalFormatting>
  <conditionalFormatting sqref="AI29 AI31:AI33 AI37:AI40 AI22:AI23 AF34:AG36 AE21:AE40 AF30 AF21:AG22 AF24:AG28 BO21:BQ40">
    <cfRule type="expression" dxfId="1938" priority="2284">
      <formula>IF(AI21="Did Not Start", TRUE)</formula>
    </cfRule>
  </conditionalFormatting>
  <conditionalFormatting sqref="BM21">
    <cfRule type="expression" dxfId="1937" priority="2286">
      <formula>IF(#REF!="Did Not Start", TRUE)</formula>
    </cfRule>
  </conditionalFormatting>
  <conditionalFormatting sqref="M23:P23">
    <cfRule type="expression" dxfId="1936" priority="342">
      <formula>IF($BO23=2, TRUE)</formula>
    </cfRule>
    <cfRule type="expression" dxfId="1935" priority="343">
      <formula>IF($BQ23=1, TRUE)</formula>
    </cfRule>
    <cfRule type="expression" dxfId="1934" priority="344">
      <formula>IF($BQ23&gt;=2, TRUE)</formula>
    </cfRule>
    <cfRule type="expression" dxfId="1933" priority="345">
      <formula>IF($BP23=2, TRUE)</formula>
    </cfRule>
    <cfRule type="expression" dxfId="1932" priority="346">
      <formula>IF($BP23=3, TRUE)</formula>
    </cfRule>
    <cfRule type="expression" dxfId="1931" priority="347">
      <formula>IF($BP23&gt;=4, TRUE)</formula>
    </cfRule>
    <cfRule type="expression" dxfId="1930" priority="348">
      <formula>IF($BO23=2,TRUE)</formula>
    </cfRule>
    <cfRule type="expression" dxfId="1929" priority="349">
      <formula>IF($BO23&gt;=3,TRUE)</formula>
    </cfRule>
    <cfRule type="expression" dxfId="1928" priority="350">
      <formula>IF($BO23=1, TRUE)</formula>
    </cfRule>
  </conditionalFormatting>
  <conditionalFormatting sqref="L26:Q36">
    <cfRule type="expression" dxfId="1927" priority="333">
      <formula>IF($BO26=2, TRUE)</formula>
    </cfRule>
    <cfRule type="expression" dxfId="1926" priority="334">
      <formula>IF($BQ26=1, TRUE)</formula>
    </cfRule>
    <cfRule type="expression" dxfId="1925" priority="335">
      <formula>IF($BQ26&gt;=2, TRUE)</formula>
    </cfRule>
    <cfRule type="expression" dxfId="1924" priority="336">
      <formula>IF($BP26=2, TRUE)</formula>
    </cfRule>
    <cfRule type="expression" dxfId="1923" priority="337">
      <formula>IF($BP26=3, TRUE)</formula>
    </cfRule>
    <cfRule type="expression" dxfId="1922" priority="338">
      <formula>IF($BP26&gt;=4, TRUE)</formula>
    </cfRule>
    <cfRule type="expression" dxfId="1921" priority="339">
      <formula>IF($BO26=2,TRUE)</formula>
    </cfRule>
    <cfRule type="expression" dxfId="1920" priority="340">
      <formula>IF($BO26&gt;=3,TRUE)</formula>
    </cfRule>
    <cfRule type="expression" dxfId="1919" priority="341">
      <formula>IF($BO26=1, TRUE)</formula>
    </cfRule>
  </conditionalFormatting>
  <conditionalFormatting sqref="N25:N36">
    <cfRule type="expression" dxfId="1918" priority="331">
      <formula>IF(S25="Did Not Start", TRUE)</formula>
    </cfRule>
  </conditionalFormatting>
  <conditionalFormatting sqref="R25:S28">
    <cfRule type="expression" dxfId="1917" priority="322">
      <formula>IF($BO25=2, TRUE)</formula>
    </cfRule>
    <cfRule type="expression" dxfId="1916" priority="323">
      <formula>IF($BQ25=1, TRUE)</formula>
    </cfRule>
    <cfRule type="expression" dxfId="1915" priority="324">
      <formula>IF($BQ25&gt;=2, TRUE)</formula>
    </cfRule>
    <cfRule type="expression" dxfId="1914" priority="325">
      <formula>IF($BP25=2, TRUE)</formula>
    </cfRule>
    <cfRule type="expression" dxfId="1913" priority="326">
      <formula>IF($BP25=3, TRUE)</formula>
    </cfRule>
    <cfRule type="expression" dxfId="1912" priority="327">
      <formula>IF($BP25&gt;=4, TRUE)</formula>
    </cfRule>
    <cfRule type="expression" dxfId="1911" priority="328">
      <formula>IF($BO25=2,TRUE)</formula>
    </cfRule>
    <cfRule type="expression" dxfId="1910" priority="329">
      <formula>IF($BO25&gt;=3,TRUE)</formula>
    </cfRule>
    <cfRule type="expression" dxfId="1909" priority="330">
      <formula>IF($BO25=1, TRUE)</formula>
    </cfRule>
  </conditionalFormatting>
  <conditionalFormatting sqref="Y24:AE28">
    <cfRule type="expression" dxfId="1908" priority="302">
      <formula>IF($BO24=2, TRUE)</formula>
    </cfRule>
    <cfRule type="expression" dxfId="1907" priority="303">
      <formula>IF($BQ24=1, TRUE)</formula>
    </cfRule>
    <cfRule type="expression" dxfId="1906" priority="304">
      <formula>IF($BQ24&gt;=2, TRUE)</formula>
    </cfRule>
    <cfRule type="expression" dxfId="1905" priority="305">
      <formula>IF($BP24=2, TRUE)</formula>
    </cfRule>
    <cfRule type="expression" dxfId="1904" priority="306">
      <formula>IF($BP24=3, TRUE)</formula>
    </cfRule>
    <cfRule type="expression" dxfId="1903" priority="307">
      <formula>IF($BP24&gt;=4, TRUE)</formula>
    </cfRule>
    <cfRule type="expression" dxfId="1902" priority="308">
      <formula>IF($BO24=2,TRUE)</formula>
    </cfRule>
    <cfRule type="expression" dxfId="1901" priority="309">
      <formula>IF($BO24&gt;=3,TRUE)</formula>
    </cfRule>
    <cfRule type="expression" dxfId="1900" priority="310">
      <formula>IF($BO24=1, TRUE)</formula>
    </cfRule>
  </conditionalFormatting>
  <conditionalFormatting sqref="AF24:AG28">
    <cfRule type="expression" dxfId="1899" priority="292">
      <formula>IF($BO24=2, TRUE)</formula>
    </cfRule>
    <cfRule type="expression" dxfId="1898" priority="293">
      <formula>IF($BQ24=1, TRUE)</formula>
    </cfRule>
    <cfRule type="expression" dxfId="1897" priority="294">
      <formula>IF($BQ24&gt;=2, TRUE)</formula>
    </cfRule>
    <cfRule type="expression" dxfId="1896" priority="295">
      <formula>IF($BP24=2, TRUE)</formula>
    </cfRule>
    <cfRule type="expression" dxfId="1895" priority="296">
      <formula>IF($BP24=3, TRUE)</formula>
    </cfRule>
    <cfRule type="expression" dxfId="1894" priority="297">
      <formula>IF($BP24&gt;=4, TRUE)</formula>
    </cfRule>
    <cfRule type="expression" dxfId="1893" priority="298">
      <formula>IF($BO24=2,TRUE)</formula>
    </cfRule>
    <cfRule type="expression" dxfId="1892" priority="299">
      <formula>IF($BO24&gt;=3,TRUE)</formula>
    </cfRule>
    <cfRule type="expression" dxfId="1891" priority="300">
      <formula>IF($BO24=1, TRUE)</formula>
    </cfRule>
  </conditionalFormatting>
  <conditionalFormatting sqref="AJ24:AM24">
    <cfRule type="expression" dxfId="1890" priority="282">
      <formula>IF($BO24=2, TRUE)</formula>
    </cfRule>
    <cfRule type="expression" dxfId="1889" priority="283">
      <formula>IF($BQ24=1, TRUE)</formula>
    </cfRule>
    <cfRule type="expression" dxfId="1888" priority="284">
      <formula>IF($BQ24&gt;=2, TRUE)</formula>
    </cfRule>
    <cfRule type="expression" dxfId="1887" priority="285">
      <formula>IF($BP24=2, TRUE)</formula>
    </cfRule>
    <cfRule type="expression" dxfId="1886" priority="286">
      <formula>IF($BP24=3, TRUE)</formula>
    </cfRule>
    <cfRule type="expression" dxfId="1885" priority="287">
      <formula>IF($BP24&gt;=4, TRUE)</formula>
    </cfRule>
    <cfRule type="expression" dxfId="1884" priority="288">
      <formula>IF($BO24=2,TRUE)</formula>
    </cfRule>
    <cfRule type="expression" dxfId="1883" priority="289">
      <formula>IF($BO24&gt;=3,TRUE)</formula>
    </cfRule>
    <cfRule type="expression" dxfId="1882" priority="290">
      <formula>IF($BO24=1, TRUE)</formula>
    </cfRule>
  </conditionalFormatting>
  <conditionalFormatting sqref="AJ25:AM28">
    <cfRule type="expression" dxfId="1881" priority="262">
      <formula>IF($BO25=2, TRUE)</formula>
    </cfRule>
    <cfRule type="expression" dxfId="1880" priority="263">
      <formula>IF($BQ25=1, TRUE)</formula>
    </cfRule>
    <cfRule type="expression" dxfId="1879" priority="264">
      <formula>IF($BQ25&gt;=2, TRUE)</formula>
    </cfRule>
    <cfRule type="expression" dxfId="1878" priority="265">
      <formula>IF($BP25=2, TRUE)</formula>
    </cfRule>
    <cfRule type="expression" dxfId="1877" priority="266">
      <formula>IF($BP25=3, TRUE)</formula>
    </cfRule>
    <cfRule type="expression" dxfId="1876" priority="267">
      <formula>IF($BP25&gt;=4, TRUE)</formula>
    </cfRule>
    <cfRule type="expression" dxfId="1875" priority="268">
      <formula>IF($BO25=2,TRUE)</formula>
    </cfRule>
    <cfRule type="expression" dxfId="1874" priority="269">
      <formula>IF($BO25&gt;=3,TRUE)</formula>
    </cfRule>
    <cfRule type="expression" dxfId="1873" priority="270">
      <formula>IF($BO25=1, TRUE)</formula>
    </cfRule>
  </conditionalFormatting>
  <conditionalFormatting sqref="AQ24:AX28">
    <cfRule type="expression" dxfId="1872" priority="252">
      <formula>IF($BO24=2, TRUE)</formula>
    </cfRule>
    <cfRule type="expression" dxfId="1871" priority="253">
      <formula>IF($BQ24=1, TRUE)</formula>
    </cfRule>
    <cfRule type="expression" dxfId="1870" priority="254">
      <formula>IF($BQ24&gt;=2, TRUE)</formula>
    </cfRule>
    <cfRule type="expression" dxfId="1869" priority="255">
      <formula>IF($BP24=2, TRUE)</formula>
    </cfRule>
    <cfRule type="expression" dxfId="1868" priority="256">
      <formula>IF($BP24=3, TRUE)</formula>
    </cfRule>
    <cfRule type="expression" dxfId="1867" priority="257">
      <formula>IF($BP24&gt;=4, TRUE)</formula>
    </cfRule>
    <cfRule type="expression" dxfId="1866" priority="258">
      <formula>IF($BO24=2,TRUE)</formula>
    </cfRule>
    <cfRule type="expression" dxfId="1865" priority="259">
      <formula>IF($BO24&gt;=3,TRUE)</formula>
    </cfRule>
    <cfRule type="expression" dxfId="1864" priority="260">
      <formula>IF($BO24=1, TRUE)</formula>
    </cfRule>
  </conditionalFormatting>
  <conditionalFormatting sqref="AY24:BA28">
    <cfRule type="expression" dxfId="1863" priority="242">
      <formula>IF($BO24=2, TRUE)</formula>
    </cfRule>
    <cfRule type="expression" dxfId="1862" priority="243">
      <formula>IF($BQ24=1, TRUE)</formula>
    </cfRule>
    <cfRule type="expression" dxfId="1861" priority="244">
      <formula>IF($BQ24&gt;=2, TRUE)</formula>
    </cfRule>
    <cfRule type="expression" dxfId="1860" priority="245">
      <formula>IF($BP24=2, TRUE)</formula>
    </cfRule>
    <cfRule type="expression" dxfId="1859" priority="246">
      <formula>IF($BP24=3, TRUE)</formula>
    </cfRule>
    <cfRule type="expression" dxfId="1858" priority="247">
      <formula>IF($BP24&gt;=4, TRUE)</formula>
    </cfRule>
    <cfRule type="expression" dxfId="1857" priority="248">
      <formula>IF($BO24=2,TRUE)</formula>
    </cfRule>
    <cfRule type="expression" dxfId="1856" priority="249">
      <formula>IF($BO24&gt;=3,TRUE)</formula>
    </cfRule>
    <cfRule type="expression" dxfId="1855" priority="250">
      <formula>IF($BO24=1, TRUE)</formula>
    </cfRule>
  </conditionalFormatting>
  <conditionalFormatting sqref="BE24:BM28">
    <cfRule type="expression" dxfId="1854" priority="232">
      <formula>IF($BO24=2, TRUE)</formula>
    </cfRule>
    <cfRule type="expression" dxfId="1853" priority="233">
      <formula>IF($BQ24=1, TRUE)</formula>
    </cfRule>
    <cfRule type="expression" dxfId="1852" priority="234">
      <formula>IF($BQ24&gt;=2, TRUE)</formula>
    </cfRule>
    <cfRule type="expression" dxfId="1851" priority="235">
      <formula>IF($BP24=2, TRUE)</formula>
    </cfRule>
    <cfRule type="expression" dxfId="1850" priority="236">
      <formula>IF($BP24=3, TRUE)</formula>
    </cfRule>
    <cfRule type="expression" dxfId="1849" priority="237">
      <formula>IF($BP24&gt;=4, TRUE)</formula>
    </cfRule>
    <cfRule type="expression" dxfId="1848" priority="238">
      <formula>IF($BO24=2,TRUE)</formula>
    </cfRule>
    <cfRule type="expression" dxfId="1847" priority="239">
      <formula>IF($BO24&gt;=3,TRUE)</formula>
    </cfRule>
    <cfRule type="expression" dxfId="1846" priority="240">
      <formula>IF($BO24=1, TRUE)</formula>
    </cfRule>
  </conditionalFormatting>
  <conditionalFormatting sqref="BE24:BM28">
    <cfRule type="expression" dxfId="1845" priority="231">
      <formula>IF(BK24="Did Not Start", TRUE)</formula>
    </cfRule>
  </conditionalFormatting>
  <conditionalFormatting sqref="M31">
    <cfRule type="expression" dxfId="1844" priority="2987">
      <formula>IF(R30="Did Not Start", TRUE)</formula>
    </cfRule>
  </conditionalFormatting>
  <conditionalFormatting sqref="M30">
    <cfRule type="expression" dxfId="1843" priority="2988">
      <formula>IF(#REF!="Did Not Start", TRUE)</formula>
    </cfRule>
  </conditionalFormatting>
  <conditionalFormatting sqref="R30:S30">
    <cfRule type="expression" dxfId="1842" priority="222">
      <formula>IF($BO30=2, TRUE)</formula>
    </cfRule>
    <cfRule type="expression" dxfId="1841" priority="223">
      <formula>IF($BQ30=1, TRUE)</formula>
    </cfRule>
    <cfRule type="expression" dxfId="1840" priority="224">
      <formula>IF($BQ30&gt;=2, TRUE)</formula>
    </cfRule>
    <cfRule type="expression" dxfId="1839" priority="225">
      <formula>IF($BP30=2, TRUE)</formula>
    </cfRule>
    <cfRule type="expression" dxfId="1838" priority="226">
      <formula>IF($BP30=3, TRUE)</formula>
    </cfRule>
    <cfRule type="expression" dxfId="1837" priority="227">
      <formula>IF($BP30&gt;=4, TRUE)</formula>
    </cfRule>
    <cfRule type="expression" dxfId="1836" priority="228">
      <formula>IF($BO30=2,TRUE)</formula>
    </cfRule>
    <cfRule type="expression" dxfId="1835" priority="229">
      <formula>IF($BO30&gt;=3,TRUE)</formula>
    </cfRule>
    <cfRule type="expression" dxfId="1834" priority="230">
      <formula>IF($BO30=1, TRUE)</formula>
    </cfRule>
  </conditionalFormatting>
  <conditionalFormatting sqref="Y30:AE30">
    <cfRule type="expression" dxfId="1833" priority="212">
      <formula>IF($BO30=2, TRUE)</formula>
    </cfRule>
    <cfRule type="expression" dxfId="1832" priority="213">
      <formula>IF($BQ30=1, TRUE)</formula>
    </cfRule>
    <cfRule type="expression" dxfId="1831" priority="214">
      <formula>IF($BQ30&gt;=2, TRUE)</formula>
    </cfRule>
    <cfRule type="expression" dxfId="1830" priority="215">
      <formula>IF($BP30=2, TRUE)</formula>
    </cfRule>
    <cfRule type="expression" dxfId="1829" priority="216">
      <formula>IF($BP30=3, TRUE)</formula>
    </cfRule>
    <cfRule type="expression" dxfId="1828" priority="217">
      <formula>IF($BP30&gt;=4, TRUE)</formula>
    </cfRule>
    <cfRule type="expression" dxfId="1827" priority="218">
      <formula>IF($BO30=2,TRUE)</formula>
    </cfRule>
    <cfRule type="expression" dxfId="1826" priority="219">
      <formula>IF($BO30&gt;=3,TRUE)</formula>
    </cfRule>
    <cfRule type="expression" dxfId="1825" priority="220">
      <formula>IF($BO30=1, TRUE)</formula>
    </cfRule>
  </conditionalFormatting>
  <conditionalFormatting sqref="AF30">
    <cfRule type="expression" dxfId="1824" priority="202">
      <formula>IF($BO30=2, TRUE)</formula>
    </cfRule>
    <cfRule type="expression" dxfId="1823" priority="203">
      <formula>IF($BQ30=1, TRUE)</formula>
    </cfRule>
    <cfRule type="expression" dxfId="1822" priority="204">
      <formula>IF($BQ30&gt;=2, TRUE)</formula>
    </cfRule>
    <cfRule type="expression" dxfId="1821" priority="205">
      <formula>IF($BP30=2, TRUE)</formula>
    </cfRule>
    <cfRule type="expression" dxfId="1820" priority="206">
      <formula>IF($BP30=3, TRUE)</formula>
    </cfRule>
    <cfRule type="expression" dxfId="1819" priority="207">
      <formula>IF($BP30&gt;=4, TRUE)</formula>
    </cfRule>
    <cfRule type="expression" dxfId="1818" priority="208">
      <formula>IF($BO30=2,TRUE)</formula>
    </cfRule>
    <cfRule type="expression" dxfId="1817" priority="209">
      <formula>IF($BO30&gt;=3,TRUE)</formula>
    </cfRule>
    <cfRule type="expression" dxfId="1816" priority="210">
      <formula>IF($BO30=1, TRUE)</formula>
    </cfRule>
  </conditionalFormatting>
  <conditionalFormatting sqref="AO21:AP40 AV37:AV40 AV21:AX21 AV24:AX28 AV30:AX30 AV34:AX36 AV22:AV23 AV29 AV31:AV33 AR21:AS40">
    <cfRule type="expression" dxfId="1815" priority="201">
      <formula>IF(AV21="Did Not Start", TRUE)</formula>
    </cfRule>
  </conditionalFormatting>
  <conditionalFormatting sqref="AJ30:AM30">
    <cfRule type="expression" dxfId="1814" priority="182">
      <formula>IF($BO30=2, TRUE)</formula>
    </cfRule>
    <cfRule type="expression" dxfId="1813" priority="183">
      <formula>IF($BQ30=1, TRUE)</formula>
    </cfRule>
    <cfRule type="expression" dxfId="1812" priority="184">
      <formula>IF($BQ30&gt;=2, TRUE)</formula>
    </cfRule>
    <cfRule type="expression" dxfId="1811" priority="185">
      <formula>IF($BP30=2, TRUE)</formula>
    </cfRule>
    <cfRule type="expression" dxfId="1810" priority="186">
      <formula>IF($BP30=3, TRUE)</formula>
    </cfRule>
    <cfRule type="expression" dxfId="1809" priority="187">
      <formula>IF($BP30&gt;=4, TRUE)</formula>
    </cfRule>
    <cfRule type="expression" dxfId="1808" priority="188">
      <formula>IF($BO30=2,TRUE)</formula>
    </cfRule>
    <cfRule type="expression" dxfId="1807" priority="189">
      <formula>IF($BO30&gt;=3,TRUE)</formula>
    </cfRule>
    <cfRule type="expression" dxfId="1806" priority="190">
      <formula>IF($BO30=1, TRUE)</formula>
    </cfRule>
  </conditionalFormatting>
  <conditionalFormatting sqref="AQ30:AX30">
    <cfRule type="expression" dxfId="1805" priority="172">
      <formula>IF($BO30=2, TRUE)</formula>
    </cfRule>
    <cfRule type="expression" dxfId="1804" priority="173">
      <formula>IF($BQ30=1, TRUE)</formula>
    </cfRule>
    <cfRule type="expression" dxfId="1803" priority="174">
      <formula>IF($BQ30&gt;=2, TRUE)</formula>
    </cfRule>
    <cfRule type="expression" dxfId="1802" priority="175">
      <formula>IF($BP30=2, TRUE)</formula>
    </cfRule>
    <cfRule type="expression" dxfId="1801" priority="176">
      <formula>IF($BP30=3, TRUE)</formula>
    </cfRule>
    <cfRule type="expression" dxfId="1800" priority="177">
      <formula>IF($BP30&gt;=4, TRUE)</formula>
    </cfRule>
    <cfRule type="expression" dxfId="1799" priority="178">
      <formula>IF($BO30=2,TRUE)</formula>
    </cfRule>
    <cfRule type="expression" dxfId="1798" priority="179">
      <formula>IF($BO30&gt;=3,TRUE)</formula>
    </cfRule>
    <cfRule type="expression" dxfId="1797" priority="180">
      <formula>IF($BO30=1, TRUE)</formula>
    </cfRule>
  </conditionalFormatting>
  <conditionalFormatting sqref="AY30:BA30">
    <cfRule type="expression" dxfId="1796" priority="162">
      <formula>IF($BO30=2, TRUE)</formula>
    </cfRule>
    <cfRule type="expression" dxfId="1795" priority="163">
      <formula>IF($BQ30=1, TRUE)</formula>
    </cfRule>
    <cfRule type="expression" dxfId="1794" priority="164">
      <formula>IF($BQ30&gt;=2, TRUE)</formula>
    </cfRule>
    <cfRule type="expression" dxfId="1793" priority="165">
      <formula>IF($BP30=2, TRUE)</formula>
    </cfRule>
    <cfRule type="expression" dxfId="1792" priority="166">
      <formula>IF($BP30=3, TRUE)</formula>
    </cfRule>
    <cfRule type="expression" dxfId="1791" priority="167">
      <formula>IF($BP30&gt;=4, TRUE)</formula>
    </cfRule>
    <cfRule type="expression" dxfId="1790" priority="168">
      <formula>IF($BO30=2,TRUE)</formula>
    </cfRule>
    <cfRule type="expression" dxfId="1789" priority="169">
      <formula>IF($BO30&gt;=3,TRUE)</formula>
    </cfRule>
    <cfRule type="expression" dxfId="1788" priority="170">
      <formula>IF($BO30=1, TRUE)</formula>
    </cfRule>
  </conditionalFormatting>
  <conditionalFormatting sqref="R34:S36">
    <cfRule type="expression" dxfId="1787" priority="152">
      <formula>IF($BO34=2, TRUE)</formula>
    </cfRule>
    <cfRule type="expression" dxfId="1786" priority="153">
      <formula>IF($BQ34=1, TRUE)</formula>
    </cfRule>
    <cfRule type="expression" dxfId="1785" priority="154">
      <formula>IF($BQ34&gt;=2, TRUE)</formula>
    </cfRule>
    <cfRule type="expression" dxfId="1784" priority="155">
      <formula>IF($BP34=2, TRUE)</formula>
    </cfRule>
    <cfRule type="expression" dxfId="1783" priority="156">
      <formula>IF($BP34=3, TRUE)</formula>
    </cfRule>
    <cfRule type="expression" dxfId="1782" priority="157">
      <formula>IF($BP34&gt;=4, TRUE)</formula>
    </cfRule>
    <cfRule type="expression" dxfId="1781" priority="158">
      <formula>IF($BO34=2,TRUE)</formula>
    </cfRule>
    <cfRule type="expression" dxfId="1780" priority="159">
      <formula>IF($BO34&gt;=3,TRUE)</formula>
    </cfRule>
    <cfRule type="expression" dxfId="1779" priority="160">
      <formula>IF($BO34=1, TRUE)</formula>
    </cfRule>
  </conditionalFormatting>
  <conditionalFormatting sqref="Y34:AE36">
    <cfRule type="expression" dxfId="1778" priority="142">
      <formula>IF($BO34=2, TRUE)</formula>
    </cfRule>
    <cfRule type="expression" dxfId="1777" priority="143">
      <formula>IF($BQ34=1, TRUE)</formula>
    </cfRule>
    <cfRule type="expression" dxfId="1776" priority="144">
      <formula>IF($BQ34&gt;=2, TRUE)</formula>
    </cfRule>
    <cfRule type="expression" dxfId="1775" priority="145">
      <formula>IF($BP34=2, TRUE)</formula>
    </cfRule>
    <cfRule type="expression" dxfId="1774" priority="146">
      <formula>IF($BP34=3, TRUE)</formula>
    </cfRule>
    <cfRule type="expression" dxfId="1773" priority="147">
      <formula>IF($BP34&gt;=4, TRUE)</formula>
    </cfRule>
    <cfRule type="expression" dxfId="1772" priority="148">
      <formula>IF($BO34=2,TRUE)</formula>
    </cfRule>
    <cfRule type="expression" dxfId="1771" priority="149">
      <formula>IF($BO34&gt;=3,TRUE)</formula>
    </cfRule>
    <cfRule type="expression" dxfId="1770" priority="150">
      <formula>IF($BO34=1, TRUE)</formula>
    </cfRule>
  </conditionalFormatting>
  <conditionalFormatting sqref="AF34:AG36">
    <cfRule type="expression" dxfId="1769" priority="132">
      <formula>IF($BO34=2, TRUE)</formula>
    </cfRule>
    <cfRule type="expression" dxfId="1768" priority="133">
      <formula>IF($BQ34=1, TRUE)</formula>
    </cfRule>
    <cfRule type="expression" dxfId="1767" priority="134">
      <formula>IF($BQ34&gt;=2, TRUE)</formula>
    </cfRule>
    <cfRule type="expression" dxfId="1766" priority="135">
      <formula>IF($BP34=2, TRUE)</formula>
    </cfRule>
    <cfRule type="expression" dxfId="1765" priority="136">
      <formula>IF($BP34=3, TRUE)</formula>
    </cfRule>
    <cfRule type="expression" dxfId="1764" priority="137">
      <formula>IF($BP34&gt;=4, TRUE)</formula>
    </cfRule>
    <cfRule type="expression" dxfId="1763" priority="138">
      <formula>IF($BO34=2,TRUE)</formula>
    </cfRule>
    <cfRule type="expression" dxfId="1762" priority="139">
      <formula>IF($BO34&gt;=3,TRUE)</formula>
    </cfRule>
    <cfRule type="expression" dxfId="1761" priority="140">
      <formula>IF($BO34=1, TRUE)</formula>
    </cfRule>
  </conditionalFormatting>
  <conditionalFormatting sqref="AJ34:AM36">
    <cfRule type="expression" dxfId="1760" priority="122">
      <formula>IF($BO34=2, TRUE)</formula>
    </cfRule>
    <cfRule type="expression" dxfId="1759" priority="123">
      <formula>IF($BQ34=1, TRUE)</formula>
    </cfRule>
    <cfRule type="expression" dxfId="1758" priority="124">
      <formula>IF($BQ34&gt;=2, TRUE)</formula>
    </cfRule>
    <cfRule type="expression" dxfId="1757" priority="125">
      <formula>IF($BP34=2, TRUE)</formula>
    </cfRule>
    <cfRule type="expression" dxfId="1756" priority="126">
      <formula>IF($BP34=3, TRUE)</formula>
    </cfRule>
    <cfRule type="expression" dxfId="1755" priority="127">
      <formula>IF($BP34&gt;=4, TRUE)</formula>
    </cfRule>
    <cfRule type="expression" dxfId="1754" priority="128">
      <formula>IF($BO34=2,TRUE)</formula>
    </cfRule>
    <cfRule type="expression" dxfId="1753" priority="129">
      <formula>IF($BO34&gt;=3,TRUE)</formula>
    </cfRule>
    <cfRule type="expression" dxfId="1752" priority="130">
      <formula>IF($BO34=1, TRUE)</formula>
    </cfRule>
  </conditionalFormatting>
  <conditionalFormatting sqref="AQ34:AX36">
    <cfRule type="expression" dxfId="1751" priority="112">
      <formula>IF($BO34=2, TRUE)</formula>
    </cfRule>
    <cfRule type="expression" dxfId="1750" priority="113">
      <formula>IF($BQ34=1, TRUE)</formula>
    </cfRule>
    <cfRule type="expression" dxfId="1749" priority="114">
      <formula>IF($BQ34&gt;=2, TRUE)</formula>
    </cfRule>
    <cfRule type="expression" dxfId="1748" priority="115">
      <formula>IF($BP34=2, TRUE)</formula>
    </cfRule>
    <cfRule type="expression" dxfId="1747" priority="116">
      <formula>IF($BP34=3, TRUE)</formula>
    </cfRule>
    <cfRule type="expression" dxfId="1746" priority="117">
      <formula>IF($BP34&gt;=4, TRUE)</formula>
    </cfRule>
    <cfRule type="expression" dxfId="1745" priority="118">
      <formula>IF($BO34=2,TRUE)</formula>
    </cfRule>
    <cfRule type="expression" dxfId="1744" priority="119">
      <formula>IF($BO34&gt;=3,TRUE)</formula>
    </cfRule>
    <cfRule type="expression" dxfId="1743" priority="120">
      <formula>IF($BO34=1, TRUE)</formula>
    </cfRule>
  </conditionalFormatting>
  <conditionalFormatting sqref="AY34:BA36">
    <cfRule type="expression" dxfId="1742" priority="102">
      <formula>IF($BO34=2, TRUE)</formula>
    </cfRule>
    <cfRule type="expression" dxfId="1741" priority="103">
      <formula>IF($BQ34=1, TRUE)</formula>
    </cfRule>
    <cfRule type="expression" dxfId="1740" priority="104">
      <formula>IF($BQ34&gt;=2, TRUE)</formula>
    </cfRule>
    <cfRule type="expression" dxfId="1739" priority="105">
      <formula>IF($BP34=2, TRUE)</formula>
    </cfRule>
    <cfRule type="expression" dxfId="1738" priority="106">
      <formula>IF($BP34=3, TRUE)</formula>
    </cfRule>
    <cfRule type="expression" dxfId="1737" priority="107">
      <formula>IF($BP34&gt;=4, TRUE)</formula>
    </cfRule>
    <cfRule type="expression" dxfId="1736" priority="108">
      <formula>IF($BO34=2,TRUE)</formula>
    </cfRule>
    <cfRule type="expression" dxfId="1735" priority="109">
      <formula>IF($BO34&gt;=3,TRUE)</formula>
    </cfRule>
    <cfRule type="expression" dxfId="1734" priority="110">
      <formula>IF($BO34=1, TRUE)</formula>
    </cfRule>
  </conditionalFormatting>
  <conditionalFormatting sqref="BE34:BM36">
    <cfRule type="expression" dxfId="1733" priority="92">
      <formula>IF($BO34=2, TRUE)</formula>
    </cfRule>
    <cfRule type="expression" dxfId="1732" priority="93">
      <formula>IF($BQ34=1, TRUE)</formula>
    </cfRule>
    <cfRule type="expression" dxfId="1731" priority="94">
      <formula>IF($BQ34&gt;=2, TRUE)</formula>
    </cfRule>
    <cfRule type="expression" dxfId="1730" priority="95">
      <formula>IF($BP34=2, TRUE)</formula>
    </cfRule>
    <cfRule type="expression" dxfId="1729" priority="96">
      <formula>IF($BP34=3, TRUE)</formula>
    </cfRule>
    <cfRule type="expression" dxfId="1728" priority="97">
      <formula>IF($BP34&gt;=4, TRUE)</formula>
    </cfRule>
    <cfRule type="expression" dxfId="1727" priority="98">
      <formula>IF($BO34=2,TRUE)</formula>
    </cfRule>
    <cfRule type="expression" dxfId="1726" priority="99">
      <formula>IF($BO34&gt;=3,TRUE)</formula>
    </cfRule>
    <cfRule type="expression" dxfId="1725" priority="100">
      <formula>IF($BO34=1, TRUE)</formula>
    </cfRule>
  </conditionalFormatting>
  <conditionalFormatting sqref="BE34:BM36">
    <cfRule type="expression" dxfId="1724" priority="91">
      <formula>IF(BK34="Did Not Start", TRUE)</formula>
    </cfRule>
  </conditionalFormatting>
  <conditionalFormatting sqref="AG23">
    <cfRule type="expression" dxfId="1723" priority="90">
      <formula>IF(AK23="Did Not Start", TRUE)</formula>
    </cfRule>
  </conditionalFormatting>
  <conditionalFormatting sqref="AI23">
    <cfRule type="expression" dxfId="1722" priority="87">
      <formula>IF(AO23="Did Not Start", TRUE)</formula>
    </cfRule>
  </conditionalFormatting>
  <conditionalFormatting sqref="K21 R23 R32:R40 Y21:Y40 AF29 AF31:AF33 AF37:AF40 AF22:AF23 AJ21:AJ40 AQ21:AQ40 R25:R30">
    <cfRule type="expression" dxfId="1721" priority="3265">
      <formula>IF(#REF!="Did Not Start", TRUE)</formula>
    </cfRule>
  </conditionalFormatting>
  <conditionalFormatting sqref="S31">
    <cfRule type="expression" dxfId="1720" priority="3539">
      <formula>IF(Y31="Did Not Start", TRUE)</formula>
    </cfRule>
  </conditionalFormatting>
  <conditionalFormatting sqref="AH21">
    <cfRule type="expression" dxfId="1719" priority="77">
      <formula>IF($BO21=2, TRUE)</formula>
    </cfRule>
    <cfRule type="expression" dxfId="1718" priority="78">
      <formula>IF($BQ21=1, TRUE)</formula>
    </cfRule>
    <cfRule type="expression" dxfId="1717" priority="79">
      <formula>IF($BQ21&gt;=2, TRUE)</formula>
    </cfRule>
    <cfRule type="expression" dxfId="1716" priority="80">
      <formula>IF($BP21=2, TRUE)</formula>
    </cfRule>
    <cfRule type="expression" dxfId="1715" priority="81">
      <formula>IF($BP21=3, TRUE)</formula>
    </cfRule>
    <cfRule type="expression" dxfId="1714" priority="82">
      <formula>IF($BP21&gt;=4, TRUE)</formula>
    </cfRule>
    <cfRule type="expression" dxfId="1713" priority="83">
      <formula>IF($BO21=2,TRUE)</formula>
    </cfRule>
    <cfRule type="expression" dxfId="1712" priority="84">
      <formula>IF($BO21&gt;=3,TRUE)</formula>
    </cfRule>
    <cfRule type="expression" dxfId="1711" priority="85">
      <formula>IF($BO21=1, TRUE)</formula>
    </cfRule>
  </conditionalFormatting>
  <conditionalFormatting sqref="AH24:AH28">
    <cfRule type="expression" dxfId="1710" priority="68">
      <formula>IF($BO24=2, TRUE)</formula>
    </cfRule>
    <cfRule type="expression" dxfId="1709" priority="69">
      <formula>IF($BQ24=1, TRUE)</formula>
    </cfRule>
    <cfRule type="expression" dxfId="1708" priority="70">
      <formula>IF($BQ24&gt;=2, TRUE)</formula>
    </cfRule>
    <cfRule type="expression" dxfId="1707" priority="71">
      <formula>IF($BP24=2, TRUE)</formula>
    </cfRule>
    <cfRule type="expression" dxfId="1706" priority="72">
      <formula>IF($BP24=3, TRUE)</formula>
    </cfRule>
    <cfRule type="expression" dxfId="1705" priority="73">
      <formula>IF($BP24&gt;=4, TRUE)</formula>
    </cfRule>
    <cfRule type="expression" dxfId="1704" priority="74">
      <formula>IF($BO24=2,TRUE)</formula>
    </cfRule>
    <cfRule type="expression" dxfId="1703" priority="75">
      <formula>IF($BO24&gt;=3,TRUE)</formula>
    </cfRule>
    <cfRule type="expression" dxfId="1702" priority="76">
      <formula>IF($BO24=1, TRUE)</formula>
    </cfRule>
  </conditionalFormatting>
  <conditionalFormatting sqref="AH30">
    <cfRule type="expression" dxfId="1701" priority="59">
      <formula>IF($BO30=2, TRUE)</formula>
    </cfRule>
    <cfRule type="expression" dxfId="1700" priority="60">
      <formula>IF($BQ30=1, TRUE)</formula>
    </cfRule>
    <cfRule type="expression" dxfId="1699" priority="61">
      <formula>IF($BQ30&gt;=2, TRUE)</formula>
    </cfRule>
    <cfRule type="expression" dxfId="1698" priority="62">
      <formula>IF($BP30=2, TRUE)</formula>
    </cfRule>
    <cfRule type="expression" dxfId="1697" priority="63">
      <formula>IF($BP30=3, TRUE)</formula>
    </cfRule>
    <cfRule type="expression" dxfId="1696" priority="64">
      <formula>IF($BP30&gt;=4, TRUE)</formula>
    </cfRule>
    <cfRule type="expression" dxfId="1695" priority="65">
      <formula>IF($BO30=2,TRUE)</formula>
    </cfRule>
    <cfRule type="expression" dxfId="1694" priority="66">
      <formula>IF($BO30&gt;=3,TRUE)</formula>
    </cfRule>
    <cfRule type="expression" dxfId="1693" priority="67">
      <formula>IF($BO30=1, TRUE)</formula>
    </cfRule>
  </conditionalFormatting>
  <conditionalFormatting sqref="AH34:AH36">
    <cfRule type="expression" dxfId="1692" priority="50">
      <formula>IF($BO34=2, TRUE)</formula>
    </cfRule>
    <cfRule type="expression" dxfId="1691" priority="51">
      <formula>IF($BQ34=1, TRUE)</formula>
    </cfRule>
    <cfRule type="expression" dxfId="1690" priority="52">
      <formula>IF($BQ34&gt;=2, TRUE)</formula>
    </cfRule>
    <cfRule type="expression" dxfId="1689" priority="53">
      <formula>IF($BP34=2, TRUE)</formula>
    </cfRule>
    <cfRule type="expression" dxfId="1688" priority="54">
      <formula>IF($BP34=3, TRUE)</formula>
    </cfRule>
    <cfRule type="expression" dxfId="1687" priority="55">
      <formula>IF($BP34&gt;=4, TRUE)</formula>
    </cfRule>
    <cfRule type="expression" dxfId="1686" priority="56">
      <formula>IF($BO34=2,TRUE)</formula>
    </cfRule>
    <cfRule type="expression" dxfId="1685" priority="57">
      <formula>IF($BO34&gt;=3,TRUE)</formula>
    </cfRule>
    <cfRule type="expression" dxfId="1684" priority="58">
      <formula>IF($BO34=1, TRUE)</formula>
    </cfRule>
  </conditionalFormatting>
  <conditionalFormatting sqref="AN21:AN41">
    <cfRule type="expression" dxfId="1683" priority="39">
      <formula>IF(#REF!="Did Not Start", TRUE)</formula>
    </cfRule>
  </conditionalFormatting>
  <conditionalFormatting sqref="AU22:AU40">
    <cfRule type="expression" dxfId="1682" priority="29">
      <formula>IF($BO22=2, TRUE)</formula>
    </cfRule>
    <cfRule type="expression" dxfId="1681" priority="30">
      <formula>IF($BQ22=1, TRUE)</formula>
    </cfRule>
    <cfRule type="expression" dxfId="1680" priority="31">
      <formula>IF($BQ22&gt;=2, TRUE)</formula>
    </cfRule>
    <cfRule type="expression" dxfId="1679" priority="32">
      <formula>IF($BP22=2, TRUE)</formula>
    </cfRule>
    <cfRule type="expression" dxfId="1678" priority="33">
      <formula>IF($BP22=3, TRUE)</formula>
    </cfRule>
    <cfRule type="expression" dxfId="1677" priority="34">
      <formula>IF($BP22&gt;=4, TRUE)</formula>
    </cfRule>
    <cfRule type="expression" dxfId="1676" priority="35">
      <formula>IF($BO22=2,TRUE)</formula>
    </cfRule>
    <cfRule type="expression" dxfId="1675" priority="36">
      <formula>IF($BO22&gt;=3,TRUE)</formula>
    </cfRule>
    <cfRule type="expression" dxfId="1674" priority="37">
      <formula>IF($BO22=1, TRUE)</formula>
    </cfRule>
  </conditionalFormatting>
  <conditionalFormatting sqref="BB21:BB41">
    <cfRule type="expression" dxfId="1673" priority="28">
      <formula>IF(#REF!="Did Not Start", TRUE)</formula>
    </cfRule>
  </conditionalFormatting>
  <conditionalFormatting sqref="BL21">
    <cfRule type="expression" dxfId="1672" priority="3541">
      <formula>IF(BR22="Did Not Start", TRUE)</formula>
    </cfRule>
  </conditionalFormatting>
  <conditionalFormatting sqref="AC21:AD40">
    <cfRule type="expression" dxfId="1671" priority="3907">
      <formula>IF(#REF!="Did Not Start", TRUE)</formula>
    </cfRule>
  </conditionalFormatting>
  <conditionalFormatting sqref="AY24:BA28 AY30:BA30 AY34:BA36 AT21:AU40 AY21:BA21">
    <cfRule type="expression" dxfId="1670" priority="4253">
      <formula>IF(BB21="Did Not Start", TRUE)</formula>
    </cfRule>
  </conditionalFormatting>
  <conditionalFormatting sqref="L22">
    <cfRule type="expression" dxfId="1669" priority="19">
      <formula>IF($BO22=2, TRUE)</formula>
    </cfRule>
    <cfRule type="expression" dxfId="1668" priority="20">
      <formula>IF($BQ22=1, TRUE)</formula>
    </cfRule>
    <cfRule type="expression" dxfId="1667" priority="21">
      <formula>IF($BQ22&gt;=2, TRUE)</formula>
    </cfRule>
    <cfRule type="expression" dxfId="1666" priority="22">
      <formula>IF($BP22=2, TRUE)</formula>
    </cfRule>
    <cfRule type="expression" dxfId="1665" priority="23">
      <formula>IF($BP22=3, TRUE)</formula>
    </cfRule>
    <cfRule type="expression" dxfId="1664" priority="24">
      <formula>IF($BP22&gt;=4, TRUE)</formula>
    </cfRule>
    <cfRule type="expression" dxfId="1663" priority="25">
      <formula>IF($BO22=2,TRUE)</formula>
    </cfRule>
    <cfRule type="expression" dxfId="1662" priority="26">
      <formula>IF($BO22&gt;=3,TRUE)</formula>
    </cfRule>
    <cfRule type="expression" dxfId="1661" priority="27">
      <formula>IF($BO22=1, TRUE)</formula>
    </cfRule>
  </conditionalFormatting>
  <conditionalFormatting sqref="M22:S22">
    <cfRule type="expression" dxfId="1660" priority="10">
      <formula>IF($BO22=2, TRUE)</formula>
    </cfRule>
    <cfRule type="expression" dxfId="1659" priority="11">
      <formula>IF($BQ22=1, TRUE)</formula>
    </cfRule>
    <cfRule type="expression" dxfId="1658" priority="12">
      <formula>IF($BQ22&gt;=2, TRUE)</formula>
    </cfRule>
    <cfRule type="expression" dxfId="1657" priority="13">
      <formula>IF($BP22=2, TRUE)</formula>
    </cfRule>
    <cfRule type="expression" dxfId="1656" priority="14">
      <formula>IF($BP22=3, TRUE)</formula>
    </cfRule>
    <cfRule type="expression" dxfId="1655" priority="15">
      <formula>IF($BP22&gt;=4, TRUE)</formula>
    </cfRule>
    <cfRule type="expression" dxfId="1654" priority="16">
      <formula>IF($BO22=2,TRUE)</formula>
    </cfRule>
    <cfRule type="expression" dxfId="1653" priority="17">
      <formula>IF($BO22&gt;=3,TRUE)</formula>
    </cfRule>
    <cfRule type="expression" dxfId="1652" priority="18">
      <formula>IF($BO22=1, TRUE)</formula>
    </cfRule>
  </conditionalFormatting>
  <conditionalFormatting sqref="L24:S24">
    <cfRule type="expression" dxfId="1651" priority="1">
      <formula>IF($BO24=2, TRUE)</formula>
    </cfRule>
    <cfRule type="expression" dxfId="1650" priority="2">
      <formula>IF($BQ24=1, TRUE)</formula>
    </cfRule>
    <cfRule type="expression" dxfId="1649" priority="3">
      <formula>IF($BQ24&gt;=2, TRUE)</formula>
    </cfRule>
    <cfRule type="expression" dxfId="1648" priority="4">
      <formula>IF($BP24=2, TRUE)</formula>
    </cfRule>
    <cfRule type="expression" dxfId="1647" priority="5">
      <formula>IF($BP24=3, TRUE)</formula>
    </cfRule>
    <cfRule type="expression" dxfId="1646" priority="6">
      <formula>IF($BP24&gt;=4, TRUE)</formula>
    </cfRule>
    <cfRule type="expression" dxfId="1645" priority="7">
      <formula>IF($BO24=2,TRUE)</formula>
    </cfRule>
    <cfRule type="expression" dxfId="1644" priority="8">
      <formula>IF($BO24&gt;=3,TRUE)</formula>
    </cfRule>
    <cfRule type="expression" dxfId="1643" priority="9">
      <formula>IF($BO24=1, TRUE)</formula>
    </cfRule>
  </conditionalFormatting>
  <hyperlinks>
    <hyperlink ref="K16" location="'Daily Observation'!A1" display="Daily Observations" xr:uid="{00000000-0004-0000-0800-000000000000}"/>
    <hyperlink ref="B1" location="'Quick Links'!A1" display="Home" xr:uid="{EF853DCD-44CF-4E4A-ADDF-0CC13BDA6383}"/>
  </hyperlinks>
  <pageMargins left="0.7" right="0.7" top="0.75" bottom="0.75" header="0.3" footer="0.3"/>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81515-3339-4ADA-8CF6-2461D956BA8C}">
  <sheetPr codeName="Sheet22">
    <tabColor rgb="FF7030A0"/>
  </sheetPr>
  <dimension ref="A1:W160"/>
  <sheetViews>
    <sheetView topLeftCell="A3" zoomScale="70" zoomScaleNormal="70" workbookViewId="0">
      <pane xSplit="4" topLeftCell="S1" activePane="topRight" state="frozen"/>
      <selection pane="topRight" activeCell="S37" sqref="S37"/>
      <selection activeCell="D2" sqref="D2"/>
    </sheetView>
  </sheetViews>
  <sheetFormatPr defaultColWidth="9.140625" defaultRowHeight="14.45"/>
  <cols>
    <col min="1" max="1" width="11.28515625" style="1" bestFit="1" customWidth="1"/>
    <col min="2" max="2" width="14.5703125" style="1" bestFit="1" customWidth="1"/>
    <col min="3" max="3" width="17.85546875" style="1" customWidth="1"/>
    <col min="4" max="4" width="13.28515625" style="1" customWidth="1"/>
    <col min="5" max="5" width="17.7109375" style="1" customWidth="1"/>
    <col min="6" max="6" width="19.85546875" style="1" customWidth="1"/>
    <col min="7" max="7" width="14.5703125" style="1" bestFit="1" customWidth="1"/>
    <col min="8" max="8" width="17.28515625" style="1" customWidth="1"/>
    <col min="9" max="9" width="18" style="1" bestFit="1" customWidth="1"/>
    <col min="10" max="17" width="18" style="1" customWidth="1"/>
    <col min="18" max="18" width="15.5703125" style="1" customWidth="1"/>
    <col min="19" max="20" width="19.85546875" style="1" customWidth="1"/>
    <col min="21" max="21" width="14.28515625" style="1" customWidth="1"/>
    <col min="22" max="22" width="21.5703125" style="1" customWidth="1"/>
    <col min="23" max="23" width="26.28515625" style="1" customWidth="1"/>
    <col min="24" max="24" width="34.28515625" style="1" customWidth="1"/>
    <col min="25" max="16384" width="9.140625" style="1"/>
  </cols>
  <sheetData>
    <row r="1" spans="1:23" ht="44.25" customHeight="1" thickBot="1">
      <c r="A1" s="261"/>
      <c r="B1" s="259"/>
      <c r="C1" s="262" t="s">
        <v>333</v>
      </c>
      <c r="D1" s="263" t="e">
        <f>'Class Summary'!#REF!</f>
        <v>#REF!</v>
      </c>
      <c r="E1" s="55" t="s">
        <v>337</v>
      </c>
      <c r="F1" s="199" t="s">
        <v>338</v>
      </c>
      <c r="G1" s="200">
        <v>0.85</v>
      </c>
      <c r="H1" s="11"/>
      <c r="I1" s="11"/>
      <c r="J1" s="11"/>
      <c r="K1" s="11"/>
      <c r="L1" s="11"/>
      <c r="M1" s="11"/>
      <c r="N1" s="11"/>
      <c r="O1" s="11"/>
      <c r="P1" s="11"/>
      <c r="Q1" s="11"/>
      <c r="R1" s="11"/>
      <c r="S1" s="11"/>
    </row>
    <row r="2" spans="1:23" ht="72" customHeight="1" thickBot="1">
      <c r="A2" s="288" t="s">
        <v>90</v>
      </c>
      <c r="B2" s="11"/>
      <c r="C2" s="11"/>
      <c r="D2" s="11"/>
      <c r="E2" s="890" t="s">
        <v>343</v>
      </c>
      <c r="F2" s="890"/>
      <c r="G2" s="890"/>
      <c r="H2" s="890"/>
      <c r="I2" s="890"/>
      <c r="J2" s="890"/>
      <c r="K2" s="890"/>
      <c r="L2" s="890"/>
      <c r="M2" s="890"/>
      <c r="N2" s="890"/>
      <c r="O2" s="890"/>
      <c r="P2" s="890"/>
      <c r="Q2" s="890"/>
      <c r="R2" s="890"/>
      <c r="S2" s="256" t="s">
        <v>344</v>
      </c>
      <c r="T2" s="257"/>
    </row>
    <row r="3" spans="1:23" ht="72">
      <c r="A3" s="253"/>
      <c r="B3" s="273" t="s">
        <v>159</v>
      </c>
      <c r="C3" s="273" t="s">
        <v>160</v>
      </c>
      <c r="D3" s="273" t="s">
        <v>161</v>
      </c>
      <c r="E3" s="379" t="s">
        <v>475</v>
      </c>
      <c r="F3" s="380" t="s">
        <v>476</v>
      </c>
      <c r="G3" s="380" t="s">
        <v>477</v>
      </c>
      <c r="H3" s="380" t="s">
        <v>478</v>
      </c>
      <c r="I3" s="380" t="s">
        <v>479</v>
      </c>
      <c r="J3" s="380" t="s">
        <v>480</v>
      </c>
      <c r="K3" s="380" t="s">
        <v>481</v>
      </c>
      <c r="L3" s="381" t="s">
        <v>482</v>
      </c>
      <c r="M3" s="381" t="s">
        <v>483</v>
      </c>
      <c r="N3" s="381" t="s">
        <v>484</v>
      </c>
      <c r="O3" s="381" t="s">
        <v>485</v>
      </c>
      <c r="P3" s="382" t="s">
        <v>486</v>
      </c>
      <c r="Q3" s="382" t="s">
        <v>487</v>
      </c>
      <c r="R3" s="383" t="s">
        <v>488</v>
      </c>
      <c r="S3" s="888" t="s">
        <v>373</v>
      </c>
      <c r="U3" s="829" t="s">
        <v>374</v>
      </c>
      <c r="V3" s="829" t="s">
        <v>375</v>
      </c>
      <c r="W3" s="829" t="s">
        <v>376</v>
      </c>
    </row>
    <row r="4" spans="1:23" ht="18.600000000000001" thickBot="1">
      <c r="A4" s="298"/>
      <c r="B4" s="286"/>
      <c r="C4" s="286"/>
      <c r="D4" s="286"/>
      <c r="E4" s="384" t="s">
        <v>377</v>
      </c>
      <c r="F4" s="384" t="s">
        <v>377</v>
      </c>
      <c r="G4" s="384" t="s">
        <v>377</v>
      </c>
      <c r="H4" s="384" t="s">
        <v>377</v>
      </c>
      <c r="I4" s="384" t="s">
        <v>377</v>
      </c>
      <c r="J4" s="384" t="s">
        <v>377</v>
      </c>
      <c r="K4" s="384" t="s">
        <v>377</v>
      </c>
      <c r="L4" s="384" t="s">
        <v>377</v>
      </c>
      <c r="M4" s="384" t="s">
        <v>377</v>
      </c>
      <c r="N4" s="384" t="s">
        <v>377</v>
      </c>
      <c r="O4" s="384" t="s">
        <v>377</v>
      </c>
      <c r="P4" s="384" t="s">
        <v>377</v>
      </c>
      <c r="Q4" s="384" t="s">
        <v>377</v>
      </c>
      <c r="R4" s="385" t="s">
        <v>377</v>
      </c>
      <c r="S4" s="889"/>
      <c r="U4" s="829"/>
      <c r="V4" s="829"/>
      <c r="W4" s="829"/>
    </row>
    <row r="5" spans="1:23">
      <c r="A5" s="2">
        <v>1</v>
      </c>
      <c r="B5" s="2" t="str">
        <f>IF('Student Data'!C5="","",'Student Data'!C5)</f>
        <v>Rnne</v>
      </c>
      <c r="C5" s="2" t="str">
        <f>IF('Student Data'!D5="","",'Student Data'!D5)</f>
        <v>Donna</v>
      </c>
      <c r="D5" s="153" t="str">
        <f>IF('Student Data'!G5="","",'Student Data'!G5)</f>
        <v>Resigned Pre-Process</v>
      </c>
      <c r="E5" s="34"/>
      <c r="F5" s="34"/>
      <c r="G5" s="275"/>
      <c r="H5" s="282"/>
      <c r="I5" s="251"/>
      <c r="J5" s="251"/>
      <c r="K5" s="251"/>
      <c r="L5" s="251"/>
      <c r="M5" s="251"/>
      <c r="N5" s="251"/>
      <c r="O5" s="251"/>
      <c r="P5" s="251"/>
      <c r="Q5" s="251"/>
      <c r="R5" s="340" t="str">
        <f>IF('Skill Assessment'!K5="","",('Skill Assessment'!K5))</f>
        <v/>
      </c>
      <c r="S5" s="299" t="str">
        <f>IF(C5="","",(IFERROR(AVERAGE(E5:R5),"0")))</f>
        <v>0</v>
      </c>
      <c r="U5" s="2"/>
      <c r="V5" s="2"/>
      <c r="W5" s="2"/>
    </row>
    <row r="6" spans="1:23">
      <c r="A6" s="2">
        <f>A5+1</f>
        <v>2</v>
      </c>
      <c r="B6" s="2" t="str">
        <f>IF('Student Data'!C6="","",'Student Data'!C6)</f>
        <v xml:space="preserve">Aquino </v>
      </c>
      <c r="C6" s="2" t="str">
        <f>IF('Student Data'!D6="","",'Student Data'!D6)</f>
        <v>Summer</v>
      </c>
      <c r="D6" s="153" t="str">
        <f>IF('Student Data'!G6="","",'Student Data'!G6)</f>
        <v>Tier 1A</v>
      </c>
      <c r="E6" s="34"/>
      <c r="F6" s="34"/>
      <c r="G6" s="275"/>
      <c r="H6" s="270"/>
      <c r="I6" s="251"/>
      <c r="J6" s="251"/>
      <c r="K6" s="251"/>
      <c r="L6" s="251"/>
      <c r="M6" s="251"/>
      <c r="N6" s="251"/>
      <c r="O6" s="251"/>
      <c r="P6" s="251"/>
      <c r="Q6" s="251"/>
      <c r="R6" s="340" t="str">
        <f>IF('Skill Assessment'!K6="","",('Skill Assessment'!K6))</f>
        <v/>
      </c>
      <c r="S6" s="299" t="str">
        <f t="shared" ref="S6:S34" si="0">IF(C6="","",(IFERROR(AVERAGE(E6:R6),"0")))</f>
        <v>0</v>
      </c>
      <c r="U6" s="2"/>
      <c r="V6" s="2"/>
      <c r="W6" s="2"/>
    </row>
    <row r="7" spans="1:23">
      <c r="A7" s="2">
        <f t="shared" ref="A7:A34" si="1">A6+1</f>
        <v>3</v>
      </c>
      <c r="B7" s="2" t="str">
        <f>IF('Student Data'!C7="","",'Student Data'!C7)</f>
        <v xml:space="preserve">Reyes </v>
      </c>
      <c r="C7" s="2" t="str">
        <f>IF('Student Data'!D7="","",'Student Data'!D7)</f>
        <v>Joana</v>
      </c>
      <c r="D7" s="153" t="str">
        <f>IF('Student Data'!G7="","",'Student Data'!G7)</f>
        <v>Tier 1A</v>
      </c>
      <c r="E7" s="34"/>
      <c r="F7" s="34"/>
      <c r="G7" s="275"/>
      <c r="H7" s="270"/>
      <c r="I7" s="251"/>
      <c r="J7" s="251"/>
      <c r="K7" s="251"/>
      <c r="L7" s="251"/>
      <c r="M7" s="251"/>
      <c r="N7" s="251"/>
      <c r="O7" s="251"/>
      <c r="P7" s="251"/>
      <c r="Q7" s="251"/>
      <c r="R7" s="340" t="str">
        <f>IF('Skill Assessment'!K7="","",('Skill Assessment'!K7))</f>
        <v/>
      </c>
      <c r="S7" s="299" t="str">
        <f t="shared" si="0"/>
        <v>0</v>
      </c>
      <c r="U7" s="2"/>
      <c r="V7" s="2"/>
      <c r="W7" s="2"/>
    </row>
    <row r="8" spans="1:23">
      <c r="A8" s="2">
        <f t="shared" si="1"/>
        <v>4</v>
      </c>
      <c r="B8" s="2" t="str">
        <f>IF('Student Data'!C8="","",'Student Data'!C8)</f>
        <v>Manuel</v>
      </c>
      <c r="C8" s="2" t="str">
        <f>IF('Student Data'!D8="","",'Student Data'!D8)</f>
        <v>Quezon</v>
      </c>
      <c r="D8" s="153" t="str">
        <f>IF('Student Data'!G8="","",'Student Data'!G8)</f>
        <v>Tier 1A</v>
      </c>
      <c r="E8" s="34"/>
      <c r="F8" s="34"/>
      <c r="G8" s="275"/>
      <c r="H8" s="270"/>
      <c r="I8" s="251"/>
      <c r="J8" s="251"/>
      <c r="K8" s="251"/>
      <c r="L8" s="251"/>
      <c r="M8" s="251"/>
      <c r="N8" s="251"/>
      <c r="O8" s="251"/>
      <c r="P8" s="251"/>
      <c r="Q8" s="251"/>
      <c r="R8" s="340" t="str">
        <f>IF('Skill Assessment'!K8="","",('Skill Assessment'!K8))</f>
        <v/>
      </c>
      <c r="S8" s="299" t="str">
        <f t="shared" si="0"/>
        <v>0</v>
      </c>
      <c r="U8" s="2"/>
      <c r="V8" s="2"/>
      <c r="W8" s="2"/>
    </row>
    <row r="9" spans="1:23">
      <c r="A9" s="2">
        <f t="shared" si="1"/>
        <v>5</v>
      </c>
      <c r="B9" s="2" t="str">
        <f>IF('Student Data'!C9="","",'Student Data'!C9)</f>
        <v/>
      </c>
      <c r="C9" s="2" t="str">
        <f>IF('Student Data'!D9="","",'Student Data'!D9)</f>
        <v/>
      </c>
      <c r="D9" s="153" t="str">
        <f>IF('Student Data'!G9="","",'Student Data'!G9)</f>
        <v/>
      </c>
      <c r="E9" s="34"/>
      <c r="F9" s="34"/>
      <c r="G9" s="275"/>
      <c r="H9" s="270"/>
      <c r="I9" s="251"/>
      <c r="J9" s="251"/>
      <c r="K9" s="251"/>
      <c r="L9" s="251"/>
      <c r="M9" s="251"/>
      <c r="N9" s="251"/>
      <c r="O9" s="251"/>
      <c r="P9" s="251"/>
      <c r="Q9" s="251"/>
      <c r="R9" s="340" t="str">
        <f>IF('Skill Assessment'!K9="","",('Skill Assessment'!K9))</f>
        <v/>
      </c>
      <c r="S9" s="299" t="str">
        <f t="shared" si="0"/>
        <v/>
      </c>
      <c r="U9" s="2"/>
      <c r="V9" s="2"/>
      <c r="W9" s="2"/>
    </row>
    <row r="10" spans="1:23">
      <c r="A10" s="2">
        <f t="shared" si="1"/>
        <v>6</v>
      </c>
      <c r="B10" s="2" t="str">
        <f>IF('Student Data'!C10="","",'Student Data'!C10)</f>
        <v/>
      </c>
      <c r="C10" s="2" t="str">
        <f>IF('Student Data'!D10="","",'Student Data'!D10)</f>
        <v/>
      </c>
      <c r="D10" s="153" t="str">
        <f>IF('Student Data'!G10="","",'Student Data'!G10)</f>
        <v/>
      </c>
      <c r="E10" s="34"/>
      <c r="F10" s="34"/>
      <c r="G10" s="275"/>
      <c r="H10" s="270"/>
      <c r="I10" s="251"/>
      <c r="J10" s="251"/>
      <c r="K10" s="251"/>
      <c r="L10" s="251"/>
      <c r="M10" s="251"/>
      <c r="N10" s="251"/>
      <c r="O10" s="251"/>
      <c r="P10" s="251"/>
      <c r="Q10" s="251"/>
      <c r="R10" s="340" t="str">
        <f>IF('Skill Assessment'!K10="","",('Skill Assessment'!K10))</f>
        <v/>
      </c>
      <c r="S10" s="299" t="str">
        <f t="shared" si="0"/>
        <v/>
      </c>
      <c r="U10" s="2"/>
      <c r="V10" s="2"/>
      <c r="W10" s="2"/>
    </row>
    <row r="11" spans="1:23">
      <c r="A11" s="2">
        <f t="shared" si="1"/>
        <v>7</v>
      </c>
      <c r="B11" s="2" t="str">
        <f>IF('Student Data'!C11="","",'Student Data'!C11)</f>
        <v/>
      </c>
      <c r="C11" s="2" t="str">
        <f>IF('Student Data'!D11="","",'Student Data'!D11)</f>
        <v/>
      </c>
      <c r="D11" s="153" t="str">
        <f>IF('Student Data'!G11="","",'Student Data'!G11)</f>
        <v/>
      </c>
      <c r="E11" s="316"/>
      <c r="F11" s="266"/>
      <c r="G11" s="275"/>
      <c r="H11" s="270"/>
      <c r="I11" s="251"/>
      <c r="J11" s="251"/>
      <c r="K11" s="251"/>
      <c r="L11" s="251"/>
      <c r="M11" s="251"/>
      <c r="N11" s="251"/>
      <c r="O11" s="251"/>
      <c r="P11" s="251"/>
      <c r="Q11" s="251"/>
      <c r="R11" s="340" t="str">
        <f>IF('Skill Assessment'!K11="","",('Skill Assessment'!K11))</f>
        <v/>
      </c>
      <c r="S11" s="299" t="str">
        <f t="shared" si="0"/>
        <v/>
      </c>
      <c r="U11" s="2"/>
      <c r="V11" s="2"/>
      <c r="W11" s="2"/>
    </row>
    <row r="12" spans="1:23">
      <c r="A12" s="2">
        <f t="shared" si="1"/>
        <v>8</v>
      </c>
      <c r="B12" s="2" t="str">
        <f>IF('Student Data'!C12="","",'Student Data'!C12)</f>
        <v/>
      </c>
      <c r="C12" s="2" t="str">
        <f>IF('Student Data'!D12="","",'Student Data'!D12)</f>
        <v/>
      </c>
      <c r="D12" s="153" t="str">
        <f>IF('Student Data'!G12="","",'Student Data'!G12)</f>
        <v/>
      </c>
      <c r="E12" s="316"/>
      <c r="F12" s="266"/>
      <c r="G12" s="275"/>
      <c r="H12" s="270"/>
      <c r="I12" s="251"/>
      <c r="J12" s="251"/>
      <c r="K12" s="251"/>
      <c r="L12" s="251"/>
      <c r="M12" s="251"/>
      <c r="N12" s="251"/>
      <c r="O12" s="251"/>
      <c r="P12" s="251"/>
      <c r="Q12" s="251"/>
      <c r="R12" s="340" t="str">
        <f>IF('Skill Assessment'!K12="","",('Skill Assessment'!K12))</f>
        <v/>
      </c>
      <c r="S12" s="299" t="str">
        <f t="shared" si="0"/>
        <v/>
      </c>
      <c r="U12" s="2"/>
      <c r="V12" s="2"/>
      <c r="W12" s="2"/>
    </row>
    <row r="13" spans="1:23">
      <c r="A13" s="2">
        <f t="shared" si="1"/>
        <v>9</v>
      </c>
      <c r="B13" s="2" t="str">
        <f>IF('Student Data'!C13="","",'Student Data'!C13)</f>
        <v/>
      </c>
      <c r="C13" s="2" t="str">
        <f>IF('Student Data'!D13="","",'Student Data'!D13)</f>
        <v/>
      </c>
      <c r="D13" s="153" t="str">
        <f>IF('Student Data'!G13="","",'Student Data'!G13)</f>
        <v/>
      </c>
      <c r="E13" s="316"/>
      <c r="F13" s="266"/>
      <c r="G13" s="275"/>
      <c r="H13" s="270"/>
      <c r="I13" s="251"/>
      <c r="J13" s="251"/>
      <c r="K13" s="251"/>
      <c r="L13" s="251"/>
      <c r="M13" s="251"/>
      <c r="N13" s="251"/>
      <c r="O13" s="251"/>
      <c r="P13" s="251"/>
      <c r="Q13" s="251"/>
      <c r="R13" s="340" t="str">
        <f>IF('Skill Assessment'!K13="","",('Skill Assessment'!K13))</f>
        <v/>
      </c>
      <c r="S13" s="299" t="str">
        <f t="shared" si="0"/>
        <v/>
      </c>
      <c r="U13" s="2"/>
      <c r="V13" s="2"/>
      <c r="W13" s="2"/>
    </row>
    <row r="14" spans="1:23">
      <c r="A14" s="2">
        <f t="shared" si="1"/>
        <v>10</v>
      </c>
      <c r="B14" s="2" t="str">
        <f>IF('Student Data'!C14="","",'Student Data'!C14)</f>
        <v/>
      </c>
      <c r="C14" s="2" t="str">
        <f>IF('Student Data'!D14="","",'Student Data'!D14)</f>
        <v/>
      </c>
      <c r="D14" s="153" t="str">
        <f>IF('Student Data'!G14="","",'Student Data'!G14)</f>
        <v/>
      </c>
      <c r="E14" s="316"/>
      <c r="F14" s="266"/>
      <c r="G14" s="275"/>
      <c r="H14" s="270"/>
      <c r="I14" s="251"/>
      <c r="J14" s="251"/>
      <c r="K14" s="251"/>
      <c r="L14" s="251"/>
      <c r="M14" s="251"/>
      <c r="N14" s="251"/>
      <c r="O14" s="251"/>
      <c r="P14" s="251"/>
      <c r="Q14" s="251"/>
      <c r="R14" s="340" t="str">
        <f>IF('Skill Assessment'!K14="","",('Skill Assessment'!K14))</f>
        <v/>
      </c>
      <c r="S14" s="299" t="str">
        <f t="shared" si="0"/>
        <v/>
      </c>
      <c r="U14" s="2"/>
      <c r="V14" s="2"/>
      <c r="W14" s="2"/>
    </row>
    <row r="15" spans="1:23">
      <c r="A15" s="2">
        <f t="shared" si="1"/>
        <v>11</v>
      </c>
      <c r="B15" s="2" t="str">
        <f>IF('Student Data'!C15="","",'Student Data'!C15)</f>
        <v/>
      </c>
      <c r="C15" s="2" t="str">
        <f>IF('Student Data'!D15="","",'Student Data'!D15)</f>
        <v/>
      </c>
      <c r="D15" s="153" t="str">
        <f>IF('Student Data'!G15="","",'Student Data'!G15)</f>
        <v/>
      </c>
      <c r="E15" s="316"/>
      <c r="F15" s="266"/>
      <c r="G15" s="275"/>
      <c r="H15" s="270"/>
      <c r="I15" s="251"/>
      <c r="J15" s="251"/>
      <c r="K15" s="251"/>
      <c r="L15" s="251"/>
      <c r="M15" s="251"/>
      <c r="N15" s="251"/>
      <c r="O15" s="251"/>
      <c r="P15" s="251"/>
      <c r="Q15" s="251"/>
      <c r="R15" s="340" t="str">
        <f>IF('Skill Assessment'!K15="","",('Skill Assessment'!K15))</f>
        <v/>
      </c>
      <c r="S15" s="299" t="str">
        <f t="shared" si="0"/>
        <v/>
      </c>
      <c r="U15" s="2"/>
      <c r="V15" s="2"/>
      <c r="W15" s="2"/>
    </row>
    <row r="16" spans="1:23">
      <c r="A16" s="2">
        <f t="shared" si="1"/>
        <v>12</v>
      </c>
      <c r="B16" s="2" t="str">
        <f>IF('Student Data'!C16="","",'Student Data'!C16)</f>
        <v/>
      </c>
      <c r="C16" s="2" t="str">
        <f>IF('Student Data'!D16="","",'Student Data'!D16)</f>
        <v/>
      </c>
      <c r="D16" s="153" t="str">
        <f>IF('Student Data'!G16="","",'Student Data'!G16)</f>
        <v/>
      </c>
      <c r="E16" s="316"/>
      <c r="F16" s="266"/>
      <c r="G16" s="275"/>
      <c r="H16" s="270"/>
      <c r="I16" s="251"/>
      <c r="J16" s="251"/>
      <c r="K16" s="251"/>
      <c r="L16" s="251"/>
      <c r="M16" s="251"/>
      <c r="N16" s="251"/>
      <c r="O16" s="251"/>
      <c r="P16" s="251"/>
      <c r="Q16" s="251"/>
      <c r="R16" s="340" t="str">
        <f>IF('Skill Assessment'!K16="","",('Skill Assessment'!K16))</f>
        <v/>
      </c>
      <c r="S16" s="299" t="str">
        <f t="shared" si="0"/>
        <v/>
      </c>
      <c r="U16" s="2"/>
      <c r="V16" s="2"/>
      <c r="W16" s="2"/>
    </row>
    <row r="17" spans="1:23">
      <c r="A17" s="2">
        <f t="shared" si="1"/>
        <v>13</v>
      </c>
      <c r="B17" s="2" t="str">
        <f>IF('Student Data'!C17="","",'Student Data'!C17)</f>
        <v/>
      </c>
      <c r="C17" s="2" t="str">
        <f>IF('Student Data'!D17="","",'Student Data'!D17)</f>
        <v/>
      </c>
      <c r="D17" s="153" t="str">
        <f>IF('Student Data'!G17="","",'Student Data'!G17)</f>
        <v/>
      </c>
      <c r="E17" s="316"/>
      <c r="F17" s="266"/>
      <c r="G17" s="275"/>
      <c r="H17" s="270"/>
      <c r="I17" s="251"/>
      <c r="J17" s="251"/>
      <c r="K17" s="251"/>
      <c r="L17" s="251"/>
      <c r="M17" s="251"/>
      <c r="N17" s="251"/>
      <c r="O17" s="251"/>
      <c r="P17" s="251"/>
      <c r="Q17" s="251"/>
      <c r="R17" s="340" t="str">
        <f>IF('Skill Assessment'!K17="","",('Skill Assessment'!K17))</f>
        <v/>
      </c>
      <c r="S17" s="299" t="str">
        <f t="shared" si="0"/>
        <v/>
      </c>
      <c r="U17" s="2"/>
      <c r="V17" s="2"/>
      <c r="W17" s="2"/>
    </row>
    <row r="18" spans="1:23">
      <c r="A18" s="2">
        <f t="shared" si="1"/>
        <v>14</v>
      </c>
      <c r="B18" s="2" t="str">
        <f>IF('Student Data'!C18="","",'Student Data'!C18)</f>
        <v/>
      </c>
      <c r="C18" s="2" t="str">
        <f>IF('Student Data'!D18="","",'Student Data'!D18)</f>
        <v/>
      </c>
      <c r="D18" s="153" t="str">
        <f>IF('Student Data'!G18="","",'Student Data'!G18)</f>
        <v/>
      </c>
      <c r="E18" s="316"/>
      <c r="F18" s="266"/>
      <c r="G18" s="275"/>
      <c r="H18" s="270"/>
      <c r="I18" s="251"/>
      <c r="J18" s="251"/>
      <c r="K18" s="251"/>
      <c r="L18" s="251"/>
      <c r="M18" s="251"/>
      <c r="N18" s="251"/>
      <c r="O18" s="251"/>
      <c r="P18" s="251"/>
      <c r="Q18" s="251"/>
      <c r="R18" s="340" t="str">
        <f>IF('Skill Assessment'!K18="","",('Skill Assessment'!K18))</f>
        <v/>
      </c>
      <c r="S18" s="299" t="str">
        <f t="shared" si="0"/>
        <v/>
      </c>
      <c r="U18" s="2"/>
      <c r="V18" s="2"/>
      <c r="W18" s="2"/>
    </row>
    <row r="19" spans="1:23">
      <c r="A19" s="2">
        <f t="shared" si="1"/>
        <v>15</v>
      </c>
      <c r="B19" s="2" t="str">
        <f>IF('Student Data'!C19="","",'Student Data'!C19)</f>
        <v/>
      </c>
      <c r="C19" s="2" t="str">
        <f>IF('Student Data'!D19="","",'Student Data'!D19)</f>
        <v/>
      </c>
      <c r="D19" s="153" t="str">
        <f>IF('Student Data'!G19="","",'Student Data'!G19)</f>
        <v/>
      </c>
      <c r="E19" s="316"/>
      <c r="F19" s="266"/>
      <c r="G19" s="275"/>
      <c r="H19" s="270"/>
      <c r="I19" s="251"/>
      <c r="J19" s="251"/>
      <c r="K19" s="251"/>
      <c r="L19" s="251"/>
      <c r="M19" s="251"/>
      <c r="N19" s="251"/>
      <c r="O19" s="251"/>
      <c r="P19" s="251"/>
      <c r="Q19" s="251"/>
      <c r="R19" s="340" t="str">
        <f>IF('Skill Assessment'!K19="","",('Skill Assessment'!K19))</f>
        <v/>
      </c>
      <c r="S19" s="299" t="str">
        <f t="shared" si="0"/>
        <v/>
      </c>
      <c r="U19" s="2"/>
      <c r="V19" s="2"/>
      <c r="W19" s="2"/>
    </row>
    <row r="20" spans="1:23">
      <c r="A20" s="2">
        <f t="shared" si="1"/>
        <v>16</v>
      </c>
      <c r="B20" s="2" t="str">
        <f>IF('Student Data'!C20="","",'Student Data'!C20)</f>
        <v/>
      </c>
      <c r="C20" s="2" t="str">
        <f>IF('Student Data'!D20="","",'Student Data'!D20)</f>
        <v/>
      </c>
      <c r="D20" s="153" t="str">
        <f>IF('Student Data'!G20="","",'Student Data'!G20)</f>
        <v/>
      </c>
      <c r="E20" s="316"/>
      <c r="F20" s="266"/>
      <c r="G20" s="275"/>
      <c r="H20" s="270"/>
      <c r="I20" s="251"/>
      <c r="J20" s="251"/>
      <c r="K20" s="251"/>
      <c r="L20" s="251"/>
      <c r="M20" s="251"/>
      <c r="N20" s="251"/>
      <c r="O20" s="251"/>
      <c r="P20" s="251"/>
      <c r="Q20" s="251"/>
      <c r="R20" s="340" t="str">
        <f>IF('Skill Assessment'!K20="","",('Skill Assessment'!K20))</f>
        <v/>
      </c>
      <c r="S20" s="299" t="str">
        <f t="shared" si="0"/>
        <v/>
      </c>
      <c r="U20" s="2"/>
      <c r="V20" s="2"/>
      <c r="W20" s="2"/>
    </row>
    <row r="21" spans="1:23">
      <c r="A21" s="2">
        <f t="shared" si="1"/>
        <v>17</v>
      </c>
      <c r="B21" s="2" t="str">
        <f>IF('Student Data'!C21="","",'Student Data'!C21)</f>
        <v/>
      </c>
      <c r="C21" s="2" t="str">
        <f>IF('Student Data'!D21="","",'Student Data'!D21)</f>
        <v/>
      </c>
      <c r="D21" s="153" t="str">
        <f>IF('Student Data'!G21="","",'Student Data'!G21)</f>
        <v/>
      </c>
      <c r="E21" s="316"/>
      <c r="F21" s="266"/>
      <c r="G21" s="275"/>
      <c r="H21" s="270"/>
      <c r="I21" s="251"/>
      <c r="J21" s="251"/>
      <c r="K21" s="251"/>
      <c r="L21" s="251"/>
      <c r="M21" s="251"/>
      <c r="N21" s="251"/>
      <c r="O21" s="251"/>
      <c r="P21" s="251"/>
      <c r="Q21" s="251"/>
      <c r="R21" s="340" t="str">
        <f>IF('Skill Assessment'!K21="","",('Skill Assessment'!K21))</f>
        <v/>
      </c>
      <c r="S21" s="299" t="str">
        <f t="shared" si="0"/>
        <v/>
      </c>
      <c r="U21" s="2"/>
      <c r="V21" s="2"/>
      <c r="W21" s="2"/>
    </row>
    <row r="22" spans="1:23">
      <c r="A22" s="2">
        <f t="shared" si="1"/>
        <v>18</v>
      </c>
      <c r="B22" s="2" t="str">
        <f>IF('Student Data'!C22="","",'Student Data'!C22)</f>
        <v/>
      </c>
      <c r="C22" s="2" t="str">
        <f>IF('Student Data'!D22="","",'Student Data'!D22)</f>
        <v/>
      </c>
      <c r="D22" s="153" t="str">
        <f>IF('Student Data'!G22="","",'Student Data'!G22)</f>
        <v/>
      </c>
      <c r="E22" s="316"/>
      <c r="F22" s="266"/>
      <c r="G22" s="275"/>
      <c r="H22" s="270"/>
      <c r="I22" s="251"/>
      <c r="J22" s="251"/>
      <c r="K22" s="251"/>
      <c r="L22" s="251"/>
      <c r="M22" s="251"/>
      <c r="N22" s="251"/>
      <c r="O22" s="251"/>
      <c r="P22" s="251"/>
      <c r="Q22" s="251"/>
      <c r="R22" s="340" t="str">
        <f>IF('Skill Assessment'!K22="","",('Skill Assessment'!K22))</f>
        <v/>
      </c>
      <c r="S22" s="299" t="str">
        <f t="shared" si="0"/>
        <v/>
      </c>
      <c r="U22" s="2"/>
      <c r="V22" s="2"/>
      <c r="W22" s="2"/>
    </row>
    <row r="23" spans="1:23">
      <c r="A23" s="2">
        <f t="shared" si="1"/>
        <v>19</v>
      </c>
      <c r="B23" s="2" t="str">
        <f>IF('Student Data'!C23="","",'Student Data'!C23)</f>
        <v/>
      </c>
      <c r="C23" s="2" t="str">
        <f>IF('Student Data'!D23="","",'Student Data'!D23)</f>
        <v/>
      </c>
      <c r="D23" s="153" t="str">
        <f>IF('Student Data'!G23="","",'Student Data'!G23)</f>
        <v/>
      </c>
      <c r="E23" s="316"/>
      <c r="F23" s="266"/>
      <c r="G23" s="275"/>
      <c r="H23" s="270"/>
      <c r="I23" s="251"/>
      <c r="J23" s="251"/>
      <c r="K23" s="251"/>
      <c r="L23" s="251"/>
      <c r="M23" s="251"/>
      <c r="N23" s="251"/>
      <c r="O23" s="251"/>
      <c r="P23" s="251"/>
      <c r="Q23" s="251"/>
      <c r="R23" s="340" t="str">
        <f>IF('Skill Assessment'!K23="","",('Skill Assessment'!K23))</f>
        <v/>
      </c>
      <c r="S23" s="299" t="str">
        <f t="shared" si="0"/>
        <v/>
      </c>
      <c r="U23" s="2"/>
      <c r="V23" s="2"/>
      <c r="W23" s="2"/>
    </row>
    <row r="24" spans="1:23">
      <c r="A24" s="2">
        <f t="shared" si="1"/>
        <v>20</v>
      </c>
      <c r="B24" s="2" t="str">
        <f>IF('Student Data'!C24="","",'Student Data'!C24)</f>
        <v/>
      </c>
      <c r="C24" s="2" t="str">
        <f>IF('Student Data'!D24="","",'Student Data'!D24)</f>
        <v/>
      </c>
      <c r="D24" s="153" t="str">
        <f>IF('Student Data'!G24="","",'Student Data'!G24)</f>
        <v/>
      </c>
      <c r="E24" s="316"/>
      <c r="F24" s="266"/>
      <c r="G24" s="275"/>
      <c r="H24" s="270"/>
      <c r="I24" s="251"/>
      <c r="J24" s="251"/>
      <c r="K24" s="251"/>
      <c r="L24" s="251"/>
      <c r="M24" s="251"/>
      <c r="N24" s="251"/>
      <c r="O24" s="251"/>
      <c r="P24" s="251"/>
      <c r="Q24" s="251"/>
      <c r="R24" s="340" t="str">
        <f>IF('Skill Assessment'!K24="","",('Skill Assessment'!K24))</f>
        <v/>
      </c>
      <c r="S24" s="299" t="str">
        <f t="shared" si="0"/>
        <v/>
      </c>
      <c r="U24" s="2"/>
      <c r="V24" s="2"/>
      <c r="W24" s="2"/>
    </row>
    <row r="25" spans="1:23">
      <c r="A25" s="2">
        <f t="shared" si="1"/>
        <v>21</v>
      </c>
      <c r="B25" s="2" t="str">
        <f>IF('Student Data'!C25="","",'Student Data'!C25)</f>
        <v/>
      </c>
      <c r="C25" s="2" t="str">
        <f>IF('Student Data'!D25="","",'Student Data'!D25)</f>
        <v/>
      </c>
      <c r="D25" s="153" t="str">
        <f>IF('Student Data'!G25="","",'Student Data'!G25)</f>
        <v/>
      </c>
      <c r="E25" s="316"/>
      <c r="F25" s="266"/>
      <c r="G25" s="275"/>
      <c r="H25" s="270"/>
      <c r="I25" s="251"/>
      <c r="J25" s="251"/>
      <c r="K25" s="251"/>
      <c r="L25" s="251"/>
      <c r="M25" s="251"/>
      <c r="N25" s="251"/>
      <c r="O25" s="251"/>
      <c r="P25" s="251"/>
      <c r="Q25" s="251"/>
      <c r="R25" s="340" t="str">
        <f>IF('Skill Assessment'!K25="","",('Skill Assessment'!K25))</f>
        <v/>
      </c>
      <c r="S25" s="299" t="str">
        <f t="shared" si="0"/>
        <v/>
      </c>
      <c r="U25" s="2"/>
      <c r="V25" s="2"/>
      <c r="W25" s="2"/>
    </row>
    <row r="26" spans="1:23">
      <c r="A26" s="2">
        <f t="shared" si="1"/>
        <v>22</v>
      </c>
      <c r="B26" s="2" t="str">
        <f>IF('Student Data'!C26="","",'Student Data'!C26)</f>
        <v/>
      </c>
      <c r="C26" s="2" t="str">
        <f>IF('Student Data'!D26="","",'Student Data'!D26)</f>
        <v/>
      </c>
      <c r="D26" s="153" t="str">
        <f>IF('Student Data'!G26="","",'Student Data'!G26)</f>
        <v/>
      </c>
      <c r="E26" s="316"/>
      <c r="F26" s="266"/>
      <c r="G26" s="275"/>
      <c r="H26" s="270"/>
      <c r="I26" s="251"/>
      <c r="J26" s="251"/>
      <c r="K26" s="251"/>
      <c r="L26" s="251"/>
      <c r="M26" s="251"/>
      <c r="N26" s="251"/>
      <c r="O26" s="251"/>
      <c r="P26" s="251"/>
      <c r="Q26" s="251"/>
      <c r="R26" s="340" t="str">
        <f>IF('Skill Assessment'!K26="","",('Skill Assessment'!K26))</f>
        <v/>
      </c>
      <c r="S26" s="299" t="str">
        <f t="shared" si="0"/>
        <v/>
      </c>
      <c r="U26" s="2"/>
      <c r="V26" s="2"/>
      <c r="W26" s="2"/>
    </row>
    <row r="27" spans="1:23">
      <c r="A27" s="2">
        <f t="shared" si="1"/>
        <v>23</v>
      </c>
      <c r="B27" s="2" t="str">
        <f>IF('Student Data'!C27="","",'Student Data'!C27)</f>
        <v/>
      </c>
      <c r="C27" s="2" t="str">
        <f>IF('Student Data'!D27="","",'Student Data'!D27)</f>
        <v/>
      </c>
      <c r="D27" s="153" t="str">
        <f>IF('Student Data'!G27="","",'Student Data'!G27)</f>
        <v/>
      </c>
      <c r="E27" s="316"/>
      <c r="F27" s="266"/>
      <c r="G27" s="275"/>
      <c r="H27" s="270"/>
      <c r="I27" s="251"/>
      <c r="J27" s="251"/>
      <c r="K27" s="251"/>
      <c r="L27" s="251"/>
      <c r="M27" s="251"/>
      <c r="N27" s="251"/>
      <c r="O27" s="251"/>
      <c r="P27" s="251"/>
      <c r="Q27" s="251"/>
      <c r="R27" s="340" t="str">
        <f>IF('Skill Assessment'!K27="","",('Skill Assessment'!K27))</f>
        <v/>
      </c>
      <c r="S27" s="299" t="str">
        <f t="shared" si="0"/>
        <v/>
      </c>
      <c r="U27" s="2"/>
      <c r="V27" s="2"/>
      <c r="W27" s="2"/>
    </row>
    <row r="28" spans="1:23">
      <c r="A28" s="2">
        <f t="shared" si="1"/>
        <v>24</v>
      </c>
      <c r="B28" s="2" t="str">
        <f>IF('Student Data'!C28="","",'Student Data'!C28)</f>
        <v/>
      </c>
      <c r="C28" s="2" t="str">
        <f>IF('Student Data'!D28="","",'Student Data'!D28)</f>
        <v/>
      </c>
      <c r="D28" s="153" t="str">
        <f>IF('Student Data'!G28="","",'Student Data'!G28)</f>
        <v/>
      </c>
      <c r="E28" s="316"/>
      <c r="F28" s="266"/>
      <c r="G28" s="275"/>
      <c r="H28" s="270"/>
      <c r="I28" s="251"/>
      <c r="J28" s="251"/>
      <c r="K28" s="251"/>
      <c r="L28" s="251"/>
      <c r="M28" s="251"/>
      <c r="N28" s="251"/>
      <c r="O28" s="251"/>
      <c r="P28" s="251"/>
      <c r="Q28" s="251"/>
      <c r="R28" s="340" t="str">
        <f>IF('Skill Assessment'!K28="","",('Skill Assessment'!K28))</f>
        <v/>
      </c>
      <c r="S28" s="299" t="str">
        <f t="shared" si="0"/>
        <v/>
      </c>
      <c r="U28" s="2"/>
      <c r="V28" s="2"/>
      <c r="W28" s="2"/>
    </row>
    <row r="29" spans="1:23">
      <c r="A29" s="2">
        <f t="shared" si="1"/>
        <v>25</v>
      </c>
      <c r="B29" s="2" t="str">
        <f>IF('Student Data'!C29="","",'Student Data'!C29)</f>
        <v/>
      </c>
      <c r="C29" s="2" t="str">
        <f>IF('Student Data'!D29="","",'Student Data'!D29)</f>
        <v/>
      </c>
      <c r="D29" s="153" t="str">
        <f>IF('Student Data'!G29="","",'Student Data'!G29)</f>
        <v/>
      </c>
      <c r="E29" s="316"/>
      <c r="F29" s="266"/>
      <c r="G29" s="275"/>
      <c r="H29" s="270"/>
      <c r="I29" s="251"/>
      <c r="J29" s="251"/>
      <c r="K29" s="251"/>
      <c r="L29" s="251"/>
      <c r="M29" s="251"/>
      <c r="N29" s="251"/>
      <c r="O29" s="251"/>
      <c r="P29" s="251"/>
      <c r="Q29" s="251"/>
      <c r="R29" s="340" t="str">
        <f>IF('Skill Assessment'!K29="","",('Skill Assessment'!K29))</f>
        <v/>
      </c>
      <c r="S29" s="299" t="str">
        <f t="shared" si="0"/>
        <v/>
      </c>
      <c r="U29" s="2"/>
      <c r="V29" s="2"/>
      <c r="W29" s="2"/>
    </row>
    <row r="30" spans="1:23">
      <c r="A30" s="2">
        <f t="shared" si="1"/>
        <v>26</v>
      </c>
      <c r="B30" s="2" t="str">
        <f>IF('Student Data'!C30="","",'Student Data'!C30)</f>
        <v/>
      </c>
      <c r="C30" s="2" t="str">
        <f>IF('Student Data'!D30="","",'Student Data'!D30)</f>
        <v/>
      </c>
      <c r="D30" s="153" t="str">
        <f>IF('Student Data'!G30="","",'Student Data'!G30)</f>
        <v/>
      </c>
      <c r="E30" s="316"/>
      <c r="F30" s="266"/>
      <c r="G30" s="275"/>
      <c r="H30" s="270"/>
      <c r="I30" s="251"/>
      <c r="J30" s="251"/>
      <c r="K30" s="251"/>
      <c r="L30" s="251"/>
      <c r="M30" s="251"/>
      <c r="N30" s="251"/>
      <c r="O30" s="251"/>
      <c r="P30" s="251"/>
      <c r="Q30" s="251"/>
      <c r="R30" s="340" t="str">
        <f>IF('Skill Assessment'!K30="","",('Skill Assessment'!K30))</f>
        <v/>
      </c>
      <c r="S30" s="299" t="str">
        <f t="shared" si="0"/>
        <v/>
      </c>
      <c r="U30" s="2"/>
      <c r="V30" s="2"/>
      <c r="W30" s="2"/>
    </row>
    <row r="31" spans="1:23">
      <c r="A31" s="2">
        <f t="shared" si="1"/>
        <v>27</v>
      </c>
      <c r="B31" s="2" t="str">
        <f>IF('Student Data'!C31="","",'Student Data'!C31)</f>
        <v/>
      </c>
      <c r="C31" s="2" t="str">
        <f>IF('Student Data'!D31="","",'Student Data'!D31)</f>
        <v/>
      </c>
      <c r="D31" s="153" t="str">
        <f>IF('Student Data'!G31="","",'Student Data'!G31)</f>
        <v/>
      </c>
      <c r="E31" s="316"/>
      <c r="F31" s="266"/>
      <c r="G31" s="275"/>
      <c r="H31" s="270"/>
      <c r="I31" s="251"/>
      <c r="J31" s="251"/>
      <c r="K31" s="251"/>
      <c r="L31" s="251"/>
      <c r="M31" s="251"/>
      <c r="N31" s="251"/>
      <c r="O31" s="251"/>
      <c r="P31" s="251"/>
      <c r="Q31" s="251"/>
      <c r="R31" s="340" t="str">
        <f>IF('Skill Assessment'!K31="","",('Skill Assessment'!K31))</f>
        <v/>
      </c>
      <c r="S31" s="299" t="str">
        <f t="shared" si="0"/>
        <v/>
      </c>
      <c r="U31" s="2"/>
      <c r="V31" s="2"/>
      <c r="W31" s="2"/>
    </row>
    <row r="32" spans="1:23">
      <c r="A32" s="2">
        <f t="shared" si="1"/>
        <v>28</v>
      </c>
      <c r="B32" s="2" t="str">
        <f>IF('Student Data'!C32="","",'Student Data'!C32)</f>
        <v/>
      </c>
      <c r="C32" s="2" t="str">
        <f>IF('Student Data'!D32="","",'Student Data'!D32)</f>
        <v/>
      </c>
      <c r="D32" s="153" t="str">
        <f>IF('Student Data'!G32="","",'Student Data'!G32)</f>
        <v/>
      </c>
      <c r="E32" s="316"/>
      <c r="F32" s="266"/>
      <c r="G32" s="275"/>
      <c r="H32" s="270"/>
      <c r="I32" s="251"/>
      <c r="J32" s="251"/>
      <c r="K32" s="251"/>
      <c r="L32" s="251"/>
      <c r="M32" s="251"/>
      <c r="N32" s="251"/>
      <c r="O32" s="251"/>
      <c r="P32" s="251"/>
      <c r="Q32" s="251"/>
      <c r="R32" s="340" t="str">
        <f>IF('Skill Assessment'!K32="","",('Skill Assessment'!K32))</f>
        <v/>
      </c>
      <c r="S32" s="299" t="str">
        <f t="shared" si="0"/>
        <v/>
      </c>
      <c r="U32" s="2"/>
      <c r="V32" s="2"/>
      <c r="W32" s="2"/>
    </row>
    <row r="33" spans="1:23">
      <c r="A33" s="2">
        <f t="shared" si="1"/>
        <v>29</v>
      </c>
      <c r="B33" s="2" t="str">
        <f>IF('Student Data'!C33="","",'Student Data'!C33)</f>
        <v/>
      </c>
      <c r="C33" s="2" t="str">
        <f>IF('Student Data'!D33="","",'Student Data'!D33)</f>
        <v/>
      </c>
      <c r="D33" s="153" t="str">
        <f>IF('Student Data'!G33="","",'Student Data'!G33)</f>
        <v/>
      </c>
      <c r="E33" s="316"/>
      <c r="F33" s="266"/>
      <c r="G33" s="275"/>
      <c r="H33" s="270"/>
      <c r="I33" s="251"/>
      <c r="J33" s="251"/>
      <c r="K33" s="251"/>
      <c r="L33" s="251"/>
      <c r="M33" s="251"/>
      <c r="N33" s="251"/>
      <c r="O33" s="251"/>
      <c r="P33" s="251"/>
      <c r="Q33" s="251"/>
      <c r="R33" s="340" t="str">
        <f>IF('Skill Assessment'!K33="","",('Skill Assessment'!K33))</f>
        <v/>
      </c>
      <c r="S33" s="299" t="str">
        <f t="shared" si="0"/>
        <v/>
      </c>
      <c r="U33" s="2"/>
      <c r="V33" s="2"/>
      <c r="W33" s="2"/>
    </row>
    <row r="34" spans="1:23" ht="15" thickBot="1">
      <c r="A34" s="2">
        <f t="shared" si="1"/>
        <v>30</v>
      </c>
      <c r="B34" s="2" t="str">
        <f>IF('Student Data'!C34="","",'Student Data'!C34)</f>
        <v/>
      </c>
      <c r="C34" s="2" t="str">
        <f>IF('Student Data'!D34="","",'Student Data'!D34)</f>
        <v/>
      </c>
      <c r="D34" s="153" t="str">
        <f>IF('Student Data'!G34="","",'Student Data'!G34)</f>
        <v/>
      </c>
      <c r="E34" s="317"/>
      <c r="F34" s="269"/>
      <c r="G34" s="275"/>
      <c r="H34" s="270"/>
      <c r="I34" s="251"/>
      <c r="J34" s="251"/>
      <c r="K34" s="251"/>
      <c r="L34" s="251"/>
      <c r="M34" s="251"/>
      <c r="N34" s="251"/>
      <c r="O34" s="251"/>
      <c r="P34" s="251"/>
      <c r="Q34" s="251"/>
      <c r="R34" s="340" t="str">
        <f>IF('Skill Assessment'!K34="","",('Skill Assessment'!K34))</f>
        <v/>
      </c>
      <c r="S34" s="299" t="str">
        <f t="shared" si="0"/>
        <v/>
      </c>
      <c r="U34" s="2"/>
      <c r="V34" s="2"/>
      <c r="W34" s="2"/>
    </row>
    <row r="35" spans="1:23" ht="15" thickBot="1">
      <c r="S35" s="271" t="str">
        <f>IFERROR(AVERAGE(S5:S29), "")</f>
        <v/>
      </c>
      <c r="T35" s="272" t="str">
        <f>IFERROR(AVERAGE(#REF!), "")</f>
        <v/>
      </c>
    </row>
    <row r="39" spans="1:23" ht="15" customHeight="1"/>
    <row r="40" spans="1:23" ht="15" hidden="1" customHeight="1"/>
    <row r="41" spans="1:23" ht="15" hidden="1" customHeight="1"/>
    <row r="42" spans="1:23" ht="15" hidden="1" customHeight="1"/>
    <row r="43" spans="1:23" ht="15" hidden="1" customHeight="1"/>
    <row r="44" spans="1:23" ht="15" hidden="1" customHeight="1"/>
    <row r="45" spans="1:23" ht="15" hidden="1" customHeight="1">
      <c r="A45" s="1" t="s">
        <v>117</v>
      </c>
    </row>
    <row r="46" spans="1:23" ht="15" hidden="1" customHeight="1">
      <c r="A46" s="1" t="s">
        <v>119</v>
      </c>
    </row>
    <row r="47" spans="1:23" ht="16.5" hidden="1" customHeight="1">
      <c r="E47" s="219"/>
      <c r="F47" s="219"/>
    </row>
    <row r="48" spans="1:23" ht="15" hidden="1" customHeight="1">
      <c r="A48" s="1" t="s">
        <v>489</v>
      </c>
    </row>
    <row r="49" spans="1:6" ht="15" hidden="1" customHeight="1">
      <c r="A49" s="1" t="s">
        <v>490</v>
      </c>
      <c r="E49" s="220"/>
      <c r="F49" s="220"/>
    </row>
    <row r="75" spans="1:1" ht="15.75" customHeight="1"/>
    <row r="77" spans="1:1" hidden="1">
      <c r="A77" s="1" t="s">
        <v>378</v>
      </c>
    </row>
    <row r="78" spans="1:1" hidden="1">
      <c r="A78" s="43" t="s">
        <v>379</v>
      </c>
    </row>
    <row r="79" spans="1:1" hidden="1">
      <c r="A79" s="43" t="s">
        <v>380</v>
      </c>
    </row>
    <row r="80" spans="1:1" hidden="1">
      <c r="A80" s="43" t="s">
        <v>381</v>
      </c>
    </row>
    <row r="81" spans="1:1" hidden="1">
      <c r="A81" s="43" t="s">
        <v>382</v>
      </c>
    </row>
    <row r="82" spans="1:1" hidden="1">
      <c r="A82" s="43" t="s">
        <v>383</v>
      </c>
    </row>
    <row r="83" spans="1:1" hidden="1">
      <c r="A83" s="43" t="s">
        <v>384</v>
      </c>
    </row>
    <row r="84" spans="1:1" hidden="1">
      <c r="A84" s="43" t="s">
        <v>385</v>
      </c>
    </row>
    <row r="85" spans="1:1" hidden="1">
      <c r="A85" s="43" t="s">
        <v>386</v>
      </c>
    </row>
    <row r="86" spans="1:1" hidden="1">
      <c r="A86" s="43" t="s">
        <v>387</v>
      </c>
    </row>
    <row r="87" spans="1:1" hidden="1">
      <c r="A87" s="43" t="s">
        <v>388</v>
      </c>
    </row>
    <row r="88" spans="1:1" hidden="1">
      <c r="A88" s="43" t="s">
        <v>389</v>
      </c>
    </row>
    <row r="89" spans="1:1" hidden="1"/>
    <row r="90" spans="1:1" hidden="1"/>
    <row r="91" spans="1:1" hidden="1"/>
    <row r="92" spans="1:1" hidden="1"/>
    <row r="93" spans="1:1" hidden="1"/>
    <row r="94" spans="1:1" hidden="1"/>
    <row r="95" spans="1:1" hidden="1"/>
    <row r="96" spans="1:1" hidden="1"/>
    <row r="97" hidden="1"/>
    <row r="98" hidden="1"/>
    <row r="99" hidden="1"/>
    <row r="160" spans="2:2">
      <c r="B160" s="1" t="s">
        <v>315</v>
      </c>
    </row>
  </sheetData>
  <sheetProtection formatCells="0" formatColumns="0" formatRows="0" insertColumns="0" insertRows="0" insertHyperlinks="0" deleteColumns="0" deleteRows="0" selectLockedCells="1" sort="0" autoFilter="0" pivotTables="0"/>
  <mergeCells count="5">
    <mergeCell ref="S3:S4"/>
    <mergeCell ref="U3:U4"/>
    <mergeCell ref="V3:V4"/>
    <mergeCell ref="W3:W4"/>
    <mergeCell ref="E2:R2"/>
  </mergeCells>
  <conditionalFormatting sqref="F7:F34 A5 D5:D34 A6:C34 E6:E34 E5:F5 I5:S5 H6:S34">
    <cfRule type="expression" dxfId="1642" priority="199">
      <formula>IF(#REF!="Terminated-Nesting", TRUE)</formula>
    </cfRule>
    <cfRule type="expression" dxfId="1641" priority="200">
      <formula>IF(#REF!="Resigned-Nesting", TRUE)</formula>
    </cfRule>
    <cfRule type="expression" dxfId="1640" priority="201">
      <formula>IF(#REF!="Resigned", TRUE)</formula>
    </cfRule>
    <cfRule type="expression" dxfId="1639" priority="202">
      <formula>IF(#REF!="Terminated", TRUE)</formula>
    </cfRule>
    <cfRule type="expression" dxfId="1638" priority="203">
      <formula>IF(#REF!="Did not Start", TRUE)</formula>
    </cfRule>
  </conditionalFormatting>
  <conditionalFormatting sqref="S5:S34">
    <cfRule type="cellIs" dxfId="1637" priority="192" operator="lessThan">
      <formula>0.85</formula>
    </cfRule>
    <cfRule type="cellIs" dxfId="1636" priority="193" operator="greaterThanOrEqual">
      <formula>0.85</formula>
    </cfRule>
  </conditionalFormatting>
  <conditionalFormatting sqref="F7:F13">
    <cfRule type="expression" dxfId="1635" priority="175">
      <formula>IF(#REF!="Terminated-Nesting", TRUE)</formula>
    </cfRule>
    <cfRule type="expression" dxfId="1634" priority="176">
      <formula>IF(#REF!="Resigned-Nesting", TRUE)</formula>
    </cfRule>
    <cfRule type="expression" dxfId="1633" priority="177">
      <formula>IF(#REF!="Resigned", TRUE)</formula>
    </cfRule>
    <cfRule type="expression" dxfId="1632" priority="178">
      <formula>IF(#REF!="Terminated", TRUE)</formula>
    </cfRule>
    <cfRule type="expression" dxfId="1631" priority="179">
      <formula>IF(#REF!="Did not Start", TRUE)</formula>
    </cfRule>
  </conditionalFormatting>
  <conditionalFormatting sqref="F7:F34">
    <cfRule type="cellIs" dxfId="1630" priority="163" operator="between">
      <formula>0.01</formula>
      <formula>0.79</formula>
    </cfRule>
    <cfRule type="cellIs" dxfId="1629" priority="164" operator="greaterThanOrEqual">
      <formula>0.8</formula>
    </cfRule>
  </conditionalFormatting>
  <conditionalFormatting sqref="E6:E34">
    <cfRule type="cellIs" dxfId="1628" priority="47" operator="between">
      <formula>0.01</formula>
      <formula>0.99</formula>
    </cfRule>
    <cfRule type="cellIs" dxfId="1627" priority="48" operator="greaterThanOrEqual">
      <formula>1</formula>
    </cfRule>
  </conditionalFormatting>
  <conditionalFormatting sqref="G5:G34">
    <cfRule type="expression" dxfId="1626" priority="42">
      <formula>IF(#REF!="Terminated-Nesting", TRUE)</formula>
    </cfRule>
    <cfRule type="expression" dxfId="1625" priority="43">
      <formula>IF(#REF!="Resigned-Nesting", TRUE)</formula>
    </cfRule>
    <cfRule type="expression" dxfId="1624" priority="44">
      <formula>IF(#REF!="Resigned", TRUE)</formula>
    </cfRule>
    <cfRule type="expression" dxfId="1623" priority="45">
      <formula>IF(#REF!="Terminated", TRUE)</formula>
    </cfRule>
    <cfRule type="expression" dxfId="1622" priority="46">
      <formula>IF(#REF!="Did not Start", TRUE)</formula>
    </cfRule>
  </conditionalFormatting>
  <conditionalFormatting sqref="G5:G34">
    <cfRule type="cellIs" dxfId="1621" priority="40" operator="between">
      <formula>0</formula>
      <formula>0.99999</formula>
    </cfRule>
    <cfRule type="cellIs" dxfId="1620" priority="41" operator="greaterThanOrEqual">
      <formula>1</formula>
    </cfRule>
  </conditionalFormatting>
  <conditionalFormatting sqref="E5:F5">
    <cfRule type="cellIs" dxfId="1619" priority="26" operator="between">
      <formula>0.01</formula>
      <formula>0.849</formula>
    </cfRule>
    <cfRule type="cellIs" dxfId="1618" priority="27" operator="greaterThanOrEqual">
      <formula>0.8</formula>
    </cfRule>
  </conditionalFormatting>
  <conditionalFormatting sqref="F6">
    <cfRule type="expression" dxfId="1617" priority="19">
      <formula>IF(#REF!="Terminated-Nesting", TRUE)</formula>
    </cfRule>
    <cfRule type="expression" dxfId="1616" priority="20">
      <formula>IF(#REF!="Resigned-Nesting", TRUE)</formula>
    </cfRule>
    <cfRule type="expression" dxfId="1615" priority="21">
      <formula>IF(#REF!="Resigned", TRUE)</formula>
    </cfRule>
    <cfRule type="expression" dxfId="1614" priority="22">
      <formula>IF(#REF!="Terminated", TRUE)</formula>
    </cfRule>
    <cfRule type="expression" dxfId="1613" priority="23">
      <formula>IF(#REF!="Did not Start", TRUE)</formula>
    </cfRule>
  </conditionalFormatting>
  <conditionalFormatting sqref="F6">
    <cfRule type="cellIs" dxfId="1612" priority="17" operator="between">
      <formula>0.01</formula>
      <formula>0.79</formula>
    </cfRule>
    <cfRule type="cellIs" dxfId="1611" priority="18" operator="greaterThanOrEqual">
      <formula>0.8</formula>
    </cfRule>
  </conditionalFormatting>
  <conditionalFormatting sqref="R5:R34">
    <cfRule type="cellIs" dxfId="1610" priority="9" operator="between">
      <formula>0.6999</formula>
      <formula>0.7999</formula>
    </cfRule>
    <cfRule type="cellIs" dxfId="1609" priority="151" operator="between">
      <formula>0</formula>
      <formula>0.69998</formula>
    </cfRule>
    <cfRule type="cellIs" dxfId="1608" priority="152" operator="greaterThanOrEqual">
      <formula>0.8</formula>
    </cfRule>
  </conditionalFormatting>
  <conditionalFormatting sqref="H5:H34">
    <cfRule type="cellIs" dxfId="1607" priority="2" operator="between">
      <formula>0.01</formula>
      <formula>0.79</formula>
    </cfRule>
    <cfRule type="cellIs" dxfId="1606" priority="3" operator="greaterThanOrEqual">
      <formula>0.79999</formula>
    </cfRule>
    <cfRule type="expression" dxfId="1605" priority="4">
      <formula>IF(#REF!="Terminated-Nesting", TRUE)</formula>
    </cfRule>
    <cfRule type="expression" dxfId="1604" priority="5">
      <formula>IF(#REF!="Resigned-Nesting", TRUE)</formula>
    </cfRule>
    <cfRule type="expression" dxfId="1603" priority="6">
      <formula>IF(#REF!="Resigned", TRUE)</formula>
    </cfRule>
    <cfRule type="expression" dxfId="1602" priority="7">
      <formula>IF(#REF!="Terminated", TRUE)</formula>
    </cfRule>
    <cfRule type="expression" dxfId="1601" priority="8">
      <formula>IF(#REF!="Did not Start", TRUE)</formula>
    </cfRule>
  </conditionalFormatting>
  <conditionalFormatting sqref="G5:G34 R5:S34">
    <cfRule type="expression" dxfId="1600" priority="1">
      <formula>IF($C5="",TRUE)</formula>
    </cfRule>
  </conditionalFormatting>
  <conditionalFormatting sqref="B5:C34">
    <cfRule type="expression" dxfId="1599" priority="1495">
      <formula>IF(#REF!="Did Not Start", TRUE)</formula>
    </cfRule>
  </conditionalFormatting>
  <dataValidations count="3">
    <dataValidation type="list" allowBlank="1" showInputMessage="1" showErrorMessage="1" sqref="V5:V34" xr:uid="{1D646214-8940-4E12-ACD0-A63B5B84A595}">
      <formula1>$A$47:$A$49</formula1>
    </dataValidation>
    <dataValidation type="list" allowBlank="1" showInputMessage="1" showErrorMessage="1" sqref="U5:U34" xr:uid="{9635A932-14DA-46AB-B9AD-73D6AFAD8E56}">
      <formula1>$A$44:$A$46</formula1>
    </dataValidation>
    <dataValidation type="list" allowBlank="1" showInputMessage="1" showErrorMessage="1" sqref="G1" xr:uid="{CD281CC6-A41C-4368-8F46-3952C355187F}">
      <formula1>#REF!</formula1>
    </dataValidation>
  </dataValidations>
  <hyperlinks>
    <hyperlink ref="A2" location="'Quick Links'!A1" display="Home" xr:uid="{FC369B9F-6A47-4393-882D-B9C4A7B40DA6}"/>
  </hyperlink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4457C-5C3B-482A-80C5-3E238E0A785F}">
  <sheetPr codeName="Sheet23">
    <tabColor rgb="FF7030A0"/>
  </sheetPr>
  <dimension ref="A1:N160"/>
  <sheetViews>
    <sheetView zoomScale="70" zoomScaleNormal="70" workbookViewId="0">
      <pane xSplit="6" topLeftCell="G1" activePane="topRight" state="frozen"/>
      <selection pane="topRight" activeCell="E19" sqref="E19"/>
      <selection activeCell="D2" sqref="D2"/>
    </sheetView>
  </sheetViews>
  <sheetFormatPr defaultColWidth="9.140625" defaultRowHeight="14.45"/>
  <cols>
    <col min="1" max="1" width="11.28515625" style="1" bestFit="1" customWidth="1"/>
    <col min="2" max="2" width="14.5703125" style="1" bestFit="1" customWidth="1"/>
    <col min="3" max="3" width="17.85546875" style="1" customWidth="1"/>
    <col min="4" max="4" width="13.28515625" style="1" customWidth="1"/>
    <col min="5" max="5" width="21" style="1" customWidth="1"/>
    <col min="6" max="6" width="21" style="1" hidden="1" customWidth="1"/>
    <col min="7" max="7" width="21.85546875" style="1" customWidth="1"/>
    <col min="8" max="8" width="17.5703125" style="1" customWidth="1"/>
    <col min="9" max="9" width="15.5703125" style="1" customWidth="1"/>
    <col min="10" max="10" width="20" style="1" customWidth="1"/>
    <col min="11" max="11" width="23.28515625" style="1" customWidth="1"/>
    <col min="12" max="12" width="17.7109375" style="1" customWidth="1"/>
    <col min="13" max="13" width="19.85546875" style="1" customWidth="1"/>
    <col min="14" max="14" width="14.5703125" style="1" bestFit="1" customWidth="1"/>
    <col min="15" max="15" width="14.28515625" style="1" customWidth="1"/>
    <col min="16" max="16" width="21.5703125" style="1" customWidth="1"/>
    <col min="17" max="17" width="26.28515625" style="1" customWidth="1"/>
    <col min="18" max="18" width="34.28515625" style="1" customWidth="1"/>
    <col min="19" max="16384" width="9.140625" style="1"/>
  </cols>
  <sheetData>
    <row r="1" spans="1:14" ht="44.25" customHeight="1" thickBot="1">
      <c r="A1" s="261"/>
      <c r="B1" s="259"/>
      <c r="C1" s="262" t="s">
        <v>333</v>
      </c>
      <c r="D1" s="263" t="e">
        <f>'Class Summary'!#REF!</f>
        <v>#REF!</v>
      </c>
      <c r="E1" s="837"/>
      <c r="F1" s="837"/>
      <c r="G1" s="48" t="s">
        <v>334</v>
      </c>
      <c r="H1" s="47">
        <v>0.8</v>
      </c>
      <c r="I1" s="314"/>
      <c r="J1" s="104" t="s">
        <v>335</v>
      </c>
      <c r="K1" s="56" t="s">
        <v>336</v>
      </c>
      <c r="L1" s="55" t="s">
        <v>337</v>
      </c>
      <c r="M1" s="199" t="s">
        <v>338</v>
      </c>
      <c r="N1" s="200">
        <v>0.85</v>
      </c>
    </row>
    <row r="2" spans="1:14" ht="72" customHeight="1" thickBot="1">
      <c r="A2" s="288" t="s">
        <v>90</v>
      </c>
      <c r="B2" s="11"/>
      <c r="C2" s="11"/>
      <c r="D2" s="11"/>
      <c r="E2" s="839"/>
      <c r="F2" s="839"/>
      <c r="G2" s="260" t="s">
        <v>341</v>
      </c>
      <c r="H2" s="259"/>
      <c r="I2" s="259"/>
      <c r="J2" s="894"/>
      <c r="K2" s="894"/>
      <c r="L2" s="895"/>
      <c r="M2" s="896"/>
      <c r="N2" s="896"/>
    </row>
    <row r="3" spans="1:14" ht="37.5" customHeight="1">
      <c r="A3" s="253"/>
      <c r="B3" s="273" t="s">
        <v>159</v>
      </c>
      <c r="C3" s="273" t="s">
        <v>160</v>
      </c>
      <c r="D3" s="273" t="s">
        <v>161</v>
      </c>
      <c r="E3" s="897" t="s">
        <v>345</v>
      </c>
      <c r="F3" s="899" t="s">
        <v>161</v>
      </c>
      <c r="G3" s="254" t="s">
        <v>364</v>
      </c>
      <c r="H3" s="201" t="s">
        <v>491</v>
      </c>
      <c r="I3" s="42" t="s">
        <v>492</v>
      </c>
      <c r="J3" s="42" t="s">
        <v>493</v>
      </c>
      <c r="K3" s="829" t="s">
        <v>374</v>
      </c>
      <c r="L3" s="829" t="s">
        <v>375</v>
      </c>
      <c r="M3" s="892" t="s">
        <v>376</v>
      </c>
      <c r="N3" s="893"/>
    </row>
    <row r="4" spans="1:14" ht="18.600000000000001" thickBot="1">
      <c r="A4" s="298"/>
      <c r="B4" s="286"/>
      <c r="C4" s="286"/>
      <c r="D4" s="286"/>
      <c r="E4" s="898"/>
      <c r="F4" s="900"/>
      <c r="G4" s="276" t="s">
        <v>377</v>
      </c>
      <c r="H4" s="258" t="s">
        <v>377</v>
      </c>
      <c r="I4" s="258" t="s">
        <v>377</v>
      </c>
      <c r="J4" s="258" t="s">
        <v>377</v>
      </c>
      <c r="K4" s="829"/>
      <c r="L4" s="829"/>
      <c r="M4" s="892"/>
      <c r="N4" s="893"/>
    </row>
    <row r="5" spans="1:14">
      <c r="A5" s="2">
        <v>1</v>
      </c>
      <c r="B5" s="2" t="str">
        <f>IF('Student Data'!C5="","",'Student Data'!C5)</f>
        <v>Rnne</v>
      </c>
      <c r="C5" s="2" t="str">
        <f>IF('Student Data'!D5="","",'Student Data'!D5)</f>
        <v>Donna</v>
      </c>
      <c r="D5" s="153" t="str">
        <f>IF('Student Data'!G5="","",'Student Data'!G5)</f>
        <v>Resigned Pre-Process</v>
      </c>
      <c r="E5" s="289">
        <f>IF(C6="","",(COUNTIF(G5:G5, "&gt;79%")))</f>
        <v>0</v>
      </c>
      <c r="F5" s="292" t="str">
        <f>'Student Data'!G5</f>
        <v>Resigned Pre-Process</v>
      </c>
      <c r="G5" s="282"/>
      <c r="H5" s="282"/>
      <c r="I5" s="282"/>
      <c r="J5" s="282"/>
      <c r="K5" s="2"/>
      <c r="L5" s="2"/>
      <c r="M5" s="891"/>
      <c r="N5" s="891"/>
    </row>
    <row r="6" spans="1:14">
      <c r="A6" s="2">
        <f>A5+1</f>
        <v>2</v>
      </c>
      <c r="B6" s="2" t="str">
        <f>IF('Student Data'!C6="","",'Student Data'!C6)</f>
        <v xml:space="preserve">Aquino </v>
      </c>
      <c r="C6" s="2" t="str">
        <f>IF('Student Data'!D6="","",'Student Data'!D6)</f>
        <v>Summer</v>
      </c>
      <c r="D6" s="153" t="str">
        <f>IF('Student Data'!G6="","",'Student Data'!G6)</f>
        <v>Tier 1A</v>
      </c>
      <c r="E6" s="290">
        <f>IF(C6="","",(COUNTIF(G6:G6, "&gt;79%")))</f>
        <v>0</v>
      </c>
      <c r="F6" s="293" t="str">
        <f>'Student Data'!G6</f>
        <v>Tier 1A</v>
      </c>
      <c r="G6" s="283"/>
      <c r="H6" s="34"/>
      <c r="I6" s="34"/>
      <c r="J6" s="34"/>
      <c r="K6" s="2"/>
      <c r="L6" s="2"/>
      <c r="M6" s="891"/>
      <c r="N6" s="891"/>
    </row>
    <row r="7" spans="1:14">
      <c r="A7" s="2">
        <f t="shared" ref="A7:A34" si="0">A6+1</f>
        <v>3</v>
      </c>
      <c r="B7" s="2" t="str">
        <f>IF('Student Data'!C7="","",'Student Data'!C7)</f>
        <v xml:space="preserve">Reyes </v>
      </c>
      <c r="C7" s="2" t="str">
        <f>IF('Student Data'!D7="","",'Student Data'!D7)</f>
        <v>Joana</v>
      </c>
      <c r="D7" s="153" t="str">
        <f>IF('Student Data'!G7="","",'Student Data'!G7)</f>
        <v>Tier 1A</v>
      </c>
      <c r="E7" s="290">
        <f t="shared" ref="E7:E34" si="1">IF(C7="","",(COUNTIF(G7:G7, "&gt;79%")))</f>
        <v>0</v>
      </c>
      <c r="F7" s="293" t="str">
        <f>'Student Data'!G7</f>
        <v>Tier 1A</v>
      </c>
      <c r="G7" s="283"/>
      <c r="H7" s="34"/>
      <c r="I7" s="34"/>
      <c r="J7" s="34"/>
      <c r="K7" s="2"/>
      <c r="L7" s="2"/>
      <c r="M7" s="891"/>
      <c r="N7" s="891"/>
    </row>
    <row r="8" spans="1:14">
      <c r="A8" s="2">
        <f t="shared" si="0"/>
        <v>4</v>
      </c>
      <c r="B8" s="2" t="str">
        <f>IF('Student Data'!C8="","",'Student Data'!C8)</f>
        <v>Manuel</v>
      </c>
      <c r="C8" s="2" t="str">
        <f>IF('Student Data'!D8="","",'Student Data'!D8)</f>
        <v>Quezon</v>
      </c>
      <c r="D8" s="153" t="str">
        <f>IF('Student Data'!G8="","",'Student Data'!G8)</f>
        <v>Tier 1A</v>
      </c>
      <c r="E8" s="290">
        <f t="shared" si="1"/>
        <v>0</v>
      </c>
      <c r="F8" s="293" t="str">
        <f>'Student Data'!G8</f>
        <v>Tier 1A</v>
      </c>
      <c r="G8" s="283"/>
      <c r="H8" s="34"/>
      <c r="I8" s="34"/>
      <c r="J8" s="34"/>
      <c r="K8" s="2"/>
      <c r="L8" s="2"/>
      <c r="M8" s="891"/>
      <c r="N8" s="891"/>
    </row>
    <row r="9" spans="1:14">
      <c r="A9" s="2">
        <f t="shared" si="0"/>
        <v>5</v>
      </c>
      <c r="B9" s="2" t="str">
        <f>IF('Student Data'!C9="","",'Student Data'!C9)</f>
        <v/>
      </c>
      <c r="C9" s="2" t="str">
        <f>IF('Student Data'!D9="","",'Student Data'!D9)</f>
        <v/>
      </c>
      <c r="D9" s="153" t="str">
        <f>IF('Student Data'!G9="","",'Student Data'!G9)</f>
        <v/>
      </c>
      <c r="E9" s="290" t="str">
        <f t="shared" si="1"/>
        <v/>
      </c>
      <c r="F9" s="293">
        <f>'Student Data'!G9</f>
        <v>0</v>
      </c>
      <c r="G9" s="283"/>
      <c r="H9" s="34"/>
      <c r="I9" s="34"/>
      <c r="J9" s="34"/>
      <c r="K9" s="2"/>
      <c r="L9" s="2"/>
      <c r="M9" s="891"/>
      <c r="N9" s="891"/>
    </row>
    <row r="10" spans="1:14">
      <c r="A10" s="2">
        <f t="shared" si="0"/>
        <v>6</v>
      </c>
      <c r="B10" s="2" t="str">
        <f>IF('Student Data'!C10="","",'Student Data'!C10)</f>
        <v/>
      </c>
      <c r="C10" s="2" t="str">
        <f>IF('Student Data'!D10="","",'Student Data'!D10)</f>
        <v/>
      </c>
      <c r="D10" s="153" t="str">
        <f>IF('Student Data'!G10="","",'Student Data'!G10)</f>
        <v/>
      </c>
      <c r="E10" s="290" t="str">
        <f t="shared" si="1"/>
        <v/>
      </c>
      <c r="F10" s="293">
        <f>'Student Data'!G10</f>
        <v>0</v>
      </c>
      <c r="G10" s="283"/>
      <c r="H10" s="34"/>
      <c r="I10" s="34"/>
      <c r="J10" s="34"/>
      <c r="K10" s="2"/>
      <c r="L10" s="2"/>
      <c r="M10" s="891"/>
      <c r="N10" s="891"/>
    </row>
    <row r="11" spans="1:14">
      <c r="A11" s="2">
        <f t="shared" si="0"/>
        <v>7</v>
      </c>
      <c r="B11" s="2" t="str">
        <f>IF('Student Data'!C11="","",'Student Data'!C11)</f>
        <v/>
      </c>
      <c r="C11" s="2" t="str">
        <f>IF('Student Data'!D11="","",'Student Data'!D11)</f>
        <v/>
      </c>
      <c r="D11" s="153" t="str">
        <f>IF('Student Data'!G11="","",'Student Data'!G11)</f>
        <v/>
      </c>
      <c r="E11" s="290" t="str">
        <f t="shared" si="1"/>
        <v/>
      </c>
      <c r="F11" s="293">
        <f>'Student Data'!G11</f>
        <v>0</v>
      </c>
      <c r="G11" s="283"/>
      <c r="H11" s="34"/>
      <c r="I11" s="34"/>
      <c r="J11" s="34"/>
      <c r="K11" s="2"/>
      <c r="L11" s="2"/>
      <c r="M11" s="891"/>
      <c r="N11" s="891"/>
    </row>
    <row r="12" spans="1:14">
      <c r="A12" s="2">
        <f t="shared" si="0"/>
        <v>8</v>
      </c>
      <c r="B12" s="2" t="str">
        <f>IF('Student Data'!C12="","",'Student Data'!C12)</f>
        <v/>
      </c>
      <c r="C12" s="2" t="str">
        <f>IF('Student Data'!D12="","",'Student Data'!D12)</f>
        <v/>
      </c>
      <c r="D12" s="153" t="str">
        <f>IF('Student Data'!G12="","",'Student Data'!G12)</f>
        <v/>
      </c>
      <c r="E12" s="290" t="str">
        <f t="shared" si="1"/>
        <v/>
      </c>
      <c r="F12" s="293">
        <f>'Student Data'!G12</f>
        <v>0</v>
      </c>
      <c r="G12" s="283"/>
      <c r="H12" s="34"/>
      <c r="I12" s="34"/>
      <c r="J12" s="34"/>
      <c r="K12" s="2"/>
      <c r="L12" s="2"/>
      <c r="M12" s="891"/>
      <c r="N12" s="891"/>
    </row>
    <row r="13" spans="1:14">
      <c r="A13" s="2">
        <f t="shared" si="0"/>
        <v>9</v>
      </c>
      <c r="B13" s="2" t="str">
        <f>IF('Student Data'!C13="","",'Student Data'!C13)</f>
        <v/>
      </c>
      <c r="C13" s="2" t="str">
        <f>IF('Student Data'!D13="","",'Student Data'!D13)</f>
        <v/>
      </c>
      <c r="D13" s="153" t="str">
        <f>IF('Student Data'!G13="","",'Student Data'!G13)</f>
        <v/>
      </c>
      <c r="E13" s="290" t="str">
        <f t="shared" si="1"/>
        <v/>
      </c>
      <c r="F13" s="293">
        <f>'Student Data'!G13</f>
        <v>0</v>
      </c>
      <c r="G13" s="283"/>
      <c r="H13" s="34"/>
      <c r="I13" s="34"/>
      <c r="J13" s="34"/>
      <c r="K13" s="2"/>
      <c r="L13" s="2"/>
      <c r="M13" s="891"/>
      <c r="N13" s="891"/>
    </row>
    <row r="14" spans="1:14">
      <c r="A14" s="2">
        <f t="shared" si="0"/>
        <v>10</v>
      </c>
      <c r="B14" s="2" t="str">
        <f>IF('Student Data'!C14="","",'Student Data'!C14)</f>
        <v/>
      </c>
      <c r="C14" s="2" t="str">
        <f>IF('Student Data'!D14="","",'Student Data'!D14)</f>
        <v/>
      </c>
      <c r="D14" s="153" t="str">
        <f>IF('Student Data'!G14="","",'Student Data'!G14)</f>
        <v/>
      </c>
      <c r="E14" s="290" t="str">
        <f t="shared" si="1"/>
        <v/>
      </c>
      <c r="F14" s="293">
        <f>'Student Data'!G14</f>
        <v>0</v>
      </c>
      <c r="G14" s="296"/>
      <c r="H14" s="34"/>
      <c r="I14" s="23"/>
      <c r="J14" s="23"/>
      <c r="K14" s="2"/>
      <c r="L14" s="2"/>
      <c r="M14" s="891"/>
      <c r="N14" s="891"/>
    </row>
    <row r="15" spans="1:14">
      <c r="A15" s="2">
        <f t="shared" si="0"/>
        <v>11</v>
      </c>
      <c r="B15" s="2" t="str">
        <f>IF('Student Data'!C15="","",'Student Data'!C15)</f>
        <v/>
      </c>
      <c r="C15" s="2" t="str">
        <f>IF('Student Data'!D15="","",'Student Data'!D15)</f>
        <v/>
      </c>
      <c r="D15" s="153" t="str">
        <f>IF('Student Data'!G15="","",'Student Data'!G15)</f>
        <v/>
      </c>
      <c r="E15" s="290" t="str">
        <f t="shared" si="1"/>
        <v/>
      </c>
      <c r="F15" s="293">
        <f>'Student Data'!G15</f>
        <v>0</v>
      </c>
      <c r="G15" s="296"/>
      <c r="H15" s="34"/>
      <c r="I15" s="23"/>
      <c r="J15" s="23"/>
      <c r="K15" s="2"/>
      <c r="L15" s="2"/>
      <c r="M15" s="891"/>
      <c r="N15" s="891"/>
    </row>
    <row r="16" spans="1:14">
      <c r="A16" s="2">
        <f t="shared" si="0"/>
        <v>12</v>
      </c>
      <c r="B16" s="2" t="str">
        <f>IF('Student Data'!C16="","",'Student Data'!C16)</f>
        <v/>
      </c>
      <c r="C16" s="2" t="str">
        <f>IF('Student Data'!D16="","",'Student Data'!D16)</f>
        <v/>
      </c>
      <c r="D16" s="153" t="str">
        <f>IF('Student Data'!G16="","",'Student Data'!G16)</f>
        <v/>
      </c>
      <c r="E16" s="290" t="str">
        <f t="shared" si="1"/>
        <v/>
      </c>
      <c r="F16" s="293">
        <f>'Student Data'!G16</f>
        <v>0</v>
      </c>
      <c r="G16" s="296"/>
      <c r="H16" s="34"/>
      <c r="I16" s="23"/>
      <c r="J16" s="23"/>
      <c r="K16" s="2"/>
      <c r="L16" s="2"/>
      <c r="M16" s="891"/>
      <c r="N16" s="891"/>
    </row>
    <row r="17" spans="1:14">
      <c r="A17" s="2">
        <f t="shared" si="0"/>
        <v>13</v>
      </c>
      <c r="B17" s="2" t="str">
        <f>IF('Student Data'!C17="","",'Student Data'!C17)</f>
        <v/>
      </c>
      <c r="C17" s="2" t="str">
        <f>IF('Student Data'!D17="","",'Student Data'!D17)</f>
        <v/>
      </c>
      <c r="D17" s="153" t="str">
        <f>IF('Student Data'!G17="","",'Student Data'!G17)</f>
        <v/>
      </c>
      <c r="E17" s="290" t="str">
        <f t="shared" si="1"/>
        <v/>
      </c>
      <c r="F17" s="293">
        <f>'Student Data'!G17</f>
        <v>0</v>
      </c>
      <c r="G17" s="296"/>
      <c r="H17" s="34"/>
      <c r="I17" s="23"/>
      <c r="J17" s="23"/>
      <c r="K17" s="2"/>
      <c r="L17" s="2"/>
      <c r="M17" s="891"/>
      <c r="N17" s="891"/>
    </row>
    <row r="18" spans="1:14">
      <c r="A18" s="2">
        <f t="shared" si="0"/>
        <v>14</v>
      </c>
      <c r="B18" s="2" t="str">
        <f>IF('Student Data'!C18="","",'Student Data'!C18)</f>
        <v/>
      </c>
      <c r="C18" s="2" t="str">
        <f>IF('Student Data'!D18="","",'Student Data'!D18)</f>
        <v/>
      </c>
      <c r="D18" s="153" t="str">
        <f>IF('Student Data'!G18="","",'Student Data'!G18)</f>
        <v/>
      </c>
      <c r="E18" s="290" t="str">
        <f t="shared" si="1"/>
        <v/>
      </c>
      <c r="F18" s="293">
        <f>'Student Data'!G18</f>
        <v>0</v>
      </c>
      <c r="G18" s="296"/>
      <c r="H18" s="34"/>
      <c r="I18" s="23"/>
      <c r="J18" s="23"/>
      <c r="K18" s="2"/>
      <c r="L18" s="2"/>
      <c r="M18" s="891"/>
      <c r="N18" s="891"/>
    </row>
    <row r="19" spans="1:14">
      <c r="A19" s="2">
        <f t="shared" si="0"/>
        <v>15</v>
      </c>
      <c r="B19" s="2" t="str">
        <f>IF('Student Data'!C19="","",'Student Data'!C19)</f>
        <v/>
      </c>
      <c r="C19" s="2" t="str">
        <f>IF('Student Data'!D19="","",'Student Data'!D19)</f>
        <v/>
      </c>
      <c r="D19" s="153" t="str">
        <f>IF('Student Data'!G19="","",'Student Data'!G19)</f>
        <v/>
      </c>
      <c r="E19" s="290" t="str">
        <f t="shared" si="1"/>
        <v/>
      </c>
      <c r="F19" s="293">
        <f>'Student Data'!G19</f>
        <v>0</v>
      </c>
      <c r="G19" s="296"/>
      <c r="H19" s="34"/>
      <c r="I19" s="23"/>
      <c r="J19" s="23"/>
      <c r="K19" s="2"/>
      <c r="L19" s="2"/>
      <c r="M19" s="891"/>
      <c r="N19" s="891"/>
    </row>
    <row r="20" spans="1:14">
      <c r="A20" s="2">
        <f t="shared" si="0"/>
        <v>16</v>
      </c>
      <c r="B20" s="2" t="str">
        <f>IF('Student Data'!C20="","",'Student Data'!C20)</f>
        <v/>
      </c>
      <c r="C20" s="2" t="str">
        <f>IF('Student Data'!D20="","",'Student Data'!D20)</f>
        <v/>
      </c>
      <c r="D20" s="153" t="str">
        <f>IF('Student Data'!G20="","",'Student Data'!G20)</f>
        <v/>
      </c>
      <c r="E20" s="290" t="str">
        <f t="shared" si="1"/>
        <v/>
      </c>
      <c r="F20" s="293">
        <f>'Student Data'!G20</f>
        <v>0</v>
      </c>
      <c r="G20" s="296"/>
      <c r="H20" s="34"/>
      <c r="I20" s="23"/>
      <c r="J20" s="23"/>
      <c r="K20" s="2"/>
      <c r="L20" s="2"/>
      <c r="M20" s="891"/>
      <c r="N20" s="891"/>
    </row>
    <row r="21" spans="1:14">
      <c r="A21" s="2">
        <f t="shared" si="0"/>
        <v>17</v>
      </c>
      <c r="B21" s="2" t="str">
        <f>IF('Student Data'!C21="","",'Student Data'!C21)</f>
        <v/>
      </c>
      <c r="C21" s="2" t="str">
        <f>IF('Student Data'!D21="","",'Student Data'!D21)</f>
        <v/>
      </c>
      <c r="D21" s="153" t="str">
        <f>IF('Student Data'!G21="","",'Student Data'!G21)</f>
        <v/>
      </c>
      <c r="E21" s="290" t="str">
        <f t="shared" si="1"/>
        <v/>
      </c>
      <c r="F21" s="293">
        <f>'Student Data'!G21</f>
        <v>0</v>
      </c>
      <c r="G21" s="296"/>
      <c r="H21" s="34"/>
      <c r="I21" s="23"/>
      <c r="J21" s="23"/>
      <c r="K21" s="2"/>
      <c r="L21" s="2"/>
      <c r="M21" s="891"/>
      <c r="N21" s="891"/>
    </row>
    <row r="22" spans="1:14">
      <c r="A22" s="2">
        <f t="shared" si="0"/>
        <v>18</v>
      </c>
      <c r="B22" s="2" t="str">
        <f>IF('Student Data'!C22="","",'Student Data'!C22)</f>
        <v/>
      </c>
      <c r="C22" s="2" t="str">
        <f>IF('Student Data'!D22="","",'Student Data'!D22)</f>
        <v/>
      </c>
      <c r="D22" s="153" t="str">
        <f>IF('Student Data'!G22="","",'Student Data'!G22)</f>
        <v/>
      </c>
      <c r="E22" s="290" t="str">
        <f t="shared" si="1"/>
        <v/>
      </c>
      <c r="F22" s="293">
        <f>'Student Data'!G22</f>
        <v>0</v>
      </c>
      <c r="G22" s="296"/>
      <c r="H22" s="34"/>
      <c r="I22" s="23"/>
      <c r="J22" s="23"/>
      <c r="K22" s="2"/>
      <c r="L22" s="2"/>
      <c r="M22" s="891"/>
      <c r="N22" s="891"/>
    </row>
    <row r="23" spans="1:14">
      <c r="A23" s="2">
        <f t="shared" si="0"/>
        <v>19</v>
      </c>
      <c r="B23" s="2" t="str">
        <f>IF('Student Data'!C23="","",'Student Data'!C23)</f>
        <v/>
      </c>
      <c r="C23" s="2" t="str">
        <f>IF('Student Data'!D23="","",'Student Data'!D23)</f>
        <v/>
      </c>
      <c r="D23" s="153" t="str">
        <f>IF('Student Data'!G23="","",'Student Data'!G23)</f>
        <v/>
      </c>
      <c r="E23" s="290" t="str">
        <f t="shared" si="1"/>
        <v/>
      </c>
      <c r="F23" s="293">
        <f>'Student Data'!G23</f>
        <v>0</v>
      </c>
      <c r="G23" s="296"/>
      <c r="H23" s="34"/>
      <c r="I23" s="23"/>
      <c r="J23" s="23"/>
      <c r="K23" s="2"/>
      <c r="L23" s="2"/>
      <c r="M23" s="891"/>
      <c r="N23" s="891"/>
    </row>
    <row r="24" spans="1:14">
      <c r="A24" s="2">
        <f t="shared" si="0"/>
        <v>20</v>
      </c>
      <c r="B24" s="2" t="str">
        <f>IF('Student Data'!C24="","",'Student Data'!C24)</f>
        <v/>
      </c>
      <c r="C24" s="2" t="str">
        <f>IF('Student Data'!D24="","",'Student Data'!D24)</f>
        <v/>
      </c>
      <c r="D24" s="153" t="str">
        <f>IF('Student Data'!G24="","",'Student Data'!G24)</f>
        <v/>
      </c>
      <c r="E24" s="290" t="str">
        <f t="shared" si="1"/>
        <v/>
      </c>
      <c r="F24" s="293">
        <f>'Student Data'!G24</f>
        <v>0</v>
      </c>
      <c r="G24" s="296"/>
      <c r="H24" s="34"/>
      <c r="I24" s="23"/>
      <c r="J24" s="23"/>
      <c r="K24" s="2"/>
      <c r="L24" s="2"/>
      <c r="M24" s="891"/>
      <c r="N24" s="891"/>
    </row>
    <row r="25" spans="1:14">
      <c r="A25" s="2">
        <f t="shared" si="0"/>
        <v>21</v>
      </c>
      <c r="B25" s="2" t="str">
        <f>IF('Student Data'!C25="","",'Student Data'!C25)</f>
        <v/>
      </c>
      <c r="C25" s="2" t="str">
        <f>IF('Student Data'!D25="","",'Student Data'!D25)</f>
        <v/>
      </c>
      <c r="D25" s="153" t="str">
        <f>IF('Student Data'!G25="","",'Student Data'!G25)</f>
        <v/>
      </c>
      <c r="E25" s="290" t="str">
        <f t="shared" si="1"/>
        <v/>
      </c>
      <c r="F25" s="293">
        <f>'Student Data'!G25</f>
        <v>0</v>
      </c>
      <c r="G25" s="296"/>
      <c r="H25" s="34"/>
      <c r="I25" s="23"/>
      <c r="J25" s="23"/>
      <c r="K25" s="2"/>
      <c r="L25" s="2"/>
      <c r="M25" s="891"/>
      <c r="N25" s="891"/>
    </row>
    <row r="26" spans="1:14">
      <c r="A26" s="2">
        <f t="shared" si="0"/>
        <v>22</v>
      </c>
      <c r="B26" s="2" t="str">
        <f>IF('Student Data'!C26="","",'Student Data'!C26)</f>
        <v/>
      </c>
      <c r="C26" s="2" t="str">
        <f>IF('Student Data'!D26="","",'Student Data'!D26)</f>
        <v/>
      </c>
      <c r="D26" s="153" t="str">
        <f>IF('Student Data'!G26="","",'Student Data'!G26)</f>
        <v/>
      </c>
      <c r="E26" s="290" t="str">
        <f t="shared" si="1"/>
        <v/>
      </c>
      <c r="F26" s="293">
        <f>'Student Data'!G26</f>
        <v>0</v>
      </c>
      <c r="G26" s="296"/>
      <c r="H26" s="34"/>
      <c r="I26" s="23"/>
      <c r="J26" s="23"/>
      <c r="K26" s="2"/>
      <c r="L26" s="2"/>
      <c r="M26" s="891"/>
      <c r="N26" s="891"/>
    </row>
    <row r="27" spans="1:14">
      <c r="A27" s="2">
        <f t="shared" si="0"/>
        <v>23</v>
      </c>
      <c r="B27" s="2" t="str">
        <f>IF('Student Data'!C27="","",'Student Data'!C27)</f>
        <v/>
      </c>
      <c r="C27" s="2" t="str">
        <f>IF('Student Data'!D27="","",'Student Data'!D27)</f>
        <v/>
      </c>
      <c r="D27" s="153" t="str">
        <f>IF('Student Data'!G27="","",'Student Data'!G27)</f>
        <v/>
      </c>
      <c r="E27" s="290" t="str">
        <f t="shared" si="1"/>
        <v/>
      </c>
      <c r="F27" s="293">
        <f>'Student Data'!G27</f>
        <v>0</v>
      </c>
      <c r="G27" s="296"/>
      <c r="H27" s="34"/>
      <c r="I27" s="23"/>
      <c r="J27" s="23"/>
      <c r="K27" s="2"/>
      <c r="L27" s="2"/>
      <c r="M27" s="891"/>
      <c r="N27" s="891"/>
    </row>
    <row r="28" spans="1:14">
      <c r="A28" s="2">
        <f t="shared" si="0"/>
        <v>24</v>
      </c>
      <c r="B28" s="2" t="str">
        <f>IF('Student Data'!C28="","",'Student Data'!C28)</f>
        <v/>
      </c>
      <c r="C28" s="2" t="str">
        <f>IF('Student Data'!D28="","",'Student Data'!D28)</f>
        <v/>
      </c>
      <c r="D28" s="153" t="str">
        <f>IF('Student Data'!G28="","",'Student Data'!G28)</f>
        <v/>
      </c>
      <c r="E28" s="290" t="str">
        <f t="shared" si="1"/>
        <v/>
      </c>
      <c r="F28" s="293">
        <f>'Student Data'!G28</f>
        <v>0</v>
      </c>
      <c r="G28" s="296"/>
      <c r="H28" s="34"/>
      <c r="I28" s="23"/>
      <c r="J28" s="23"/>
      <c r="K28" s="2"/>
      <c r="L28" s="2"/>
      <c r="M28" s="891"/>
      <c r="N28" s="891"/>
    </row>
    <row r="29" spans="1:14">
      <c r="A29" s="2">
        <f t="shared" si="0"/>
        <v>25</v>
      </c>
      <c r="B29" s="2" t="str">
        <f>IF('Student Data'!C29="","",'Student Data'!C29)</f>
        <v/>
      </c>
      <c r="C29" s="2" t="str">
        <f>IF('Student Data'!D29="","",'Student Data'!D29)</f>
        <v/>
      </c>
      <c r="D29" s="153" t="str">
        <f>IF('Student Data'!G29="","",'Student Data'!G29)</f>
        <v/>
      </c>
      <c r="E29" s="290" t="str">
        <f t="shared" si="1"/>
        <v/>
      </c>
      <c r="F29" s="293">
        <f>'Student Data'!G29</f>
        <v>0</v>
      </c>
      <c r="G29" s="296"/>
      <c r="H29" s="34"/>
      <c r="I29" s="23"/>
      <c r="J29" s="23"/>
      <c r="K29" s="2"/>
      <c r="L29" s="2"/>
      <c r="M29" s="891"/>
      <c r="N29" s="891"/>
    </row>
    <row r="30" spans="1:14">
      <c r="A30" s="2">
        <f t="shared" si="0"/>
        <v>26</v>
      </c>
      <c r="B30" s="2" t="str">
        <f>IF('Student Data'!C30="","",'Student Data'!C30)</f>
        <v/>
      </c>
      <c r="C30" s="2" t="str">
        <f>IF('Student Data'!D30="","",'Student Data'!D30)</f>
        <v/>
      </c>
      <c r="D30" s="153" t="str">
        <f>IF('Student Data'!G30="","",'Student Data'!G30)</f>
        <v/>
      </c>
      <c r="E30" s="290" t="str">
        <f t="shared" si="1"/>
        <v/>
      </c>
      <c r="F30" s="293">
        <f>'Student Data'!G30</f>
        <v>0</v>
      </c>
      <c r="G30" s="296"/>
      <c r="H30" s="34"/>
      <c r="I30" s="23"/>
      <c r="J30" s="23"/>
      <c r="K30" s="2"/>
      <c r="L30" s="2"/>
      <c r="M30" s="891"/>
      <c r="N30" s="891"/>
    </row>
    <row r="31" spans="1:14">
      <c r="A31" s="2">
        <f t="shared" si="0"/>
        <v>27</v>
      </c>
      <c r="B31" s="2" t="str">
        <f>IF('Student Data'!C31="","",'Student Data'!C31)</f>
        <v/>
      </c>
      <c r="C31" s="2" t="str">
        <f>IF('Student Data'!D31="","",'Student Data'!D31)</f>
        <v/>
      </c>
      <c r="D31" s="153" t="str">
        <f>IF('Student Data'!G31="","",'Student Data'!G31)</f>
        <v/>
      </c>
      <c r="E31" s="290" t="str">
        <f t="shared" si="1"/>
        <v/>
      </c>
      <c r="F31" s="293">
        <f>'Student Data'!G31</f>
        <v>0</v>
      </c>
      <c r="G31" s="296"/>
      <c r="H31" s="34"/>
      <c r="I31" s="23"/>
      <c r="J31" s="23"/>
      <c r="K31" s="2"/>
      <c r="L31" s="2"/>
      <c r="M31" s="891"/>
      <c r="N31" s="891"/>
    </row>
    <row r="32" spans="1:14">
      <c r="A32" s="2">
        <f t="shared" si="0"/>
        <v>28</v>
      </c>
      <c r="B32" s="2" t="str">
        <f>IF('Student Data'!C32="","",'Student Data'!C32)</f>
        <v/>
      </c>
      <c r="C32" s="2" t="str">
        <f>IF('Student Data'!D32="","",'Student Data'!D32)</f>
        <v/>
      </c>
      <c r="D32" s="153" t="str">
        <f>IF('Student Data'!G32="","",'Student Data'!G32)</f>
        <v/>
      </c>
      <c r="E32" s="290" t="str">
        <f t="shared" si="1"/>
        <v/>
      </c>
      <c r="F32" s="293">
        <f>'Student Data'!G32</f>
        <v>0</v>
      </c>
      <c r="G32" s="296"/>
      <c r="H32" s="34"/>
      <c r="I32" s="23"/>
      <c r="J32" s="23"/>
      <c r="K32" s="2"/>
      <c r="L32" s="2"/>
      <c r="M32" s="891"/>
      <c r="N32" s="891"/>
    </row>
    <row r="33" spans="1:14">
      <c r="A33" s="2">
        <f t="shared" si="0"/>
        <v>29</v>
      </c>
      <c r="B33" s="2" t="str">
        <f>IF('Student Data'!C33="","",'Student Data'!C33)</f>
        <v/>
      </c>
      <c r="C33" s="2" t="str">
        <f>IF('Student Data'!D33="","",'Student Data'!D33)</f>
        <v/>
      </c>
      <c r="D33" s="153" t="str">
        <f>IF('Student Data'!G33="","",'Student Data'!G33)</f>
        <v/>
      </c>
      <c r="E33" s="290" t="str">
        <f t="shared" si="1"/>
        <v/>
      </c>
      <c r="F33" s="293">
        <f>'Student Data'!G33</f>
        <v>0</v>
      </c>
      <c r="G33" s="296"/>
      <c r="H33" s="34"/>
      <c r="I33" s="23"/>
      <c r="J33" s="23"/>
      <c r="K33" s="2"/>
      <c r="L33" s="2"/>
      <c r="M33" s="891"/>
      <c r="N33" s="891"/>
    </row>
    <row r="34" spans="1:14" ht="15" thickBot="1">
      <c r="A34" s="2">
        <f t="shared" si="0"/>
        <v>30</v>
      </c>
      <c r="B34" s="2" t="str">
        <f>IF('Student Data'!C34="","",'Student Data'!C34)</f>
        <v/>
      </c>
      <c r="C34" s="2" t="str">
        <f>IF('Student Data'!D34="","",'Student Data'!D34)</f>
        <v/>
      </c>
      <c r="D34" s="153" t="str">
        <f>IF('Student Data'!G34="","",'Student Data'!G34)</f>
        <v/>
      </c>
      <c r="E34" s="290" t="str">
        <f t="shared" si="1"/>
        <v/>
      </c>
      <c r="F34" s="294">
        <f>'Student Data'!G34</f>
        <v>0</v>
      </c>
      <c r="G34" s="297"/>
      <c r="H34" s="268"/>
      <c r="I34" s="267"/>
      <c r="J34" s="267"/>
      <c r="K34" s="2"/>
      <c r="L34" s="2"/>
      <c r="M34" s="891"/>
      <c r="N34" s="891"/>
    </row>
    <row r="39" spans="1:14" ht="15" customHeight="1"/>
    <row r="40" spans="1:14" ht="15" hidden="1" customHeight="1">
      <c r="G40" s="13">
        <v>0.75</v>
      </c>
    </row>
    <row r="41" spans="1:14" ht="15" hidden="1" customHeight="1">
      <c r="G41" s="13">
        <v>0.8</v>
      </c>
    </row>
    <row r="42" spans="1:14" ht="15" hidden="1" customHeight="1">
      <c r="G42" s="13">
        <v>0.82</v>
      </c>
    </row>
    <row r="43" spans="1:14" ht="15" hidden="1" customHeight="1">
      <c r="G43" s="13">
        <v>0.85</v>
      </c>
    </row>
    <row r="44" spans="1:14" ht="15" hidden="1" customHeight="1">
      <c r="G44" s="13">
        <v>0.9</v>
      </c>
    </row>
    <row r="45" spans="1:14" ht="15" hidden="1" customHeight="1">
      <c r="A45" s="1" t="s">
        <v>117</v>
      </c>
    </row>
    <row r="46" spans="1:14" ht="15" hidden="1" customHeight="1">
      <c r="A46" s="1" t="s">
        <v>119</v>
      </c>
    </row>
    <row r="47" spans="1:14" ht="16.5" hidden="1" customHeight="1">
      <c r="L47" s="219"/>
      <c r="M47" s="219"/>
    </row>
    <row r="48" spans="1:14" ht="15" hidden="1" customHeight="1">
      <c r="A48" s="1" t="s">
        <v>489</v>
      </c>
    </row>
    <row r="49" spans="1:13" ht="15" hidden="1" customHeight="1">
      <c r="A49" s="1" t="s">
        <v>490</v>
      </c>
      <c r="L49" s="220"/>
      <c r="M49" s="220"/>
    </row>
    <row r="75" spans="1:1" ht="15.75" customHeight="1"/>
    <row r="77" spans="1:1" hidden="1">
      <c r="A77" s="1" t="s">
        <v>378</v>
      </c>
    </row>
    <row r="78" spans="1:1" hidden="1">
      <c r="A78" s="43" t="s">
        <v>379</v>
      </c>
    </row>
    <row r="79" spans="1:1" hidden="1">
      <c r="A79" s="43" t="s">
        <v>380</v>
      </c>
    </row>
    <row r="80" spans="1:1" hidden="1">
      <c r="A80" s="43" t="s">
        <v>381</v>
      </c>
    </row>
    <row r="81" spans="1:1" hidden="1">
      <c r="A81" s="43" t="s">
        <v>382</v>
      </c>
    </row>
    <row r="82" spans="1:1" hidden="1">
      <c r="A82" s="43" t="s">
        <v>383</v>
      </c>
    </row>
    <row r="83" spans="1:1" hidden="1">
      <c r="A83" s="43" t="s">
        <v>384</v>
      </c>
    </row>
    <row r="84" spans="1:1" hidden="1">
      <c r="A84" s="43" t="s">
        <v>385</v>
      </c>
    </row>
    <row r="85" spans="1:1" hidden="1">
      <c r="A85" s="43" t="s">
        <v>386</v>
      </c>
    </row>
    <row r="86" spans="1:1" hidden="1">
      <c r="A86" s="43" t="s">
        <v>387</v>
      </c>
    </row>
    <row r="87" spans="1:1" hidden="1">
      <c r="A87" s="43" t="s">
        <v>388</v>
      </c>
    </row>
    <row r="88" spans="1:1" hidden="1">
      <c r="A88" s="43" t="s">
        <v>389</v>
      </c>
    </row>
    <row r="89" spans="1:1" hidden="1"/>
    <row r="90" spans="1:1" hidden="1"/>
    <row r="91" spans="1:1" hidden="1"/>
    <row r="92" spans="1:1" hidden="1"/>
    <row r="93" spans="1:1" hidden="1"/>
    <row r="94" spans="1:1" hidden="1"/>
    <row r="95" spans="1:1" hidden="1"/>
    <row r="96" spans="1:1" hidden="1"/>
    <row r="97" hidden="1"/>
    <row r="98" hidden="1"/>
    <row r="99" hidden="1"/>
    <row r="160" spans="2:2">
      <c r="B160" s="1" t="s">
        <v>315</v>
      </c>
    </row>
  </sheetData>
  <sheetProtection formatCells="0" formatColumns="0" formatRows="0" insertColumns="0" insertRows="0" insertHyperlinks="0" deleteColumns="0" deleteRows="0" selectLockedCells="1" sort="0" autoFilter="0" pivotTables="0"/>
  <mergeCells count="38">
    <mergeCell ref="M10:N10"/>
    <mergeCell ref="K3:K4"/>
    <mergeCell ref="L3:L4"/>
    <mergeCell ref="M3:N4"/>
    <mergeCell ref="E1:F2"/>
    <mergeCell ref="J2:K2"/>
    <mergeCell ref="L2:N2"/>
    <mergeCell ref="E3:E4"/>
    <mergeCell ref="F3:F4"/>
    <mergeCell ref="M5:N5"/>
    <mergeCell ref="M6:N6"/>
    <mergeCell ref="M7:N7"/>
    <mergeCell ref="M8:N8"/>
    <mergeCell ref="M9:N9"/>
    <mergeCell ref="M22:N22"/>
    <mergeCell ref="M11:N11"/>
    <mergeCell ref="M12:N12"/>
    <mergeCell ref="M13:N13"/>
    <mergeCell ref="M14:N14"/>
    <mergeCell ref="M15:N15"/>
    <mergeCell ref="M16:N16"/>
    <mergeCell ref="M17:N17"/>
    <mergeCell ref="M18:N18"/>
    <mergeCell ref="M19:N19"/>
    <mergeCell ref="M20:N20"/>
    <mergeCell ref="M21:N21"/>
    <mergeCell ref="M34:N34"/>
    <mergeCell ref="M23:N23"/>
    <mergeCell ref="M24:N24"/>
    <mergeCell ref="M25:N25"/>
    <mergeCell ref="M26:N26"/>
    <mergeCell ref="M27:N27"/>
    <mergeCell ref="M28:N28"/>
    <mergeCell ref="M29:N29"/>
    <mergeCell ref="M30:N30"/>
    <mergeCell ref="M31:N31"/>
    <mergeCell ref="M32:N32"/>
    <mergeCell ref="M33:N33"/>
  </mergeCells>
  <conditionalFormatting sqref="A5 G5:J5 H6:J34 D5:E34">
    <cfRule type="expression" dxfId="1598" priority="199">
      <formula>IF($F5="Terminated-Nesting", TRUE)</formula>
    </cfRule>
    <cfRule type="expression" dxfId="1597" priority="200">
      <formula>IF($F5="Resigned-Nesting", TRUE)</formula>
    </cfRule>
    <cfRule type="expression" dxfId="1596" priority="201">
      <formula>IF($F5="Resigned", TRUE)</formula>
    </cfRule>
    <cfRule type="expression" dxfId="1595" priority="202">
      <formula>IF($F5="Terminated", TRUE)</formula>
    </cfRule>
    <cfRule type="expression" dxfId="1594" priority="203">
      <formula>IF($F5="Did not Start", TRUE)</formula>
    </cfRule>
  </conditionalFormatting>
  <conditionalFormatting sqref="E5:E34">
    <cfRule type="cellIs" dxfId="1593" priority="197" operator="equal">
      <formula>1</formula>
    </cfRule>
    <cfRule type="cellIs" dxfId="1592" priority="198" operator="lessThan">
      <formula>1</formula>
    </cfRule>
  </conditionalFormatting>
  <conditionalFormatting sqref="B6:C29">
    <cfRule type="expression" dxfId="1591" priority="187">
      <formula>IF($F6="Terminated-Nesting", TRUE)</formula>
    </cfRule>
    <cfRule type="expression" dxfId="1590" priority="188">
      <formula>IF($F6="Resigned-Nesting", TRUE)</formula>
    </cfRule>
    <cfRule type="expression" dxfId="1589" priority="189">
      <formula>IF($F6="Resigned", TRUE)</formula>
    </cfRule>
    <cfRule type="expression" dxfId="1588" priority="190">
      <formula>IF($F6="Terminated", TRUE)</formula>
    </cfRule>
    <cfRule type="expression" dxfId="1587" priority="191">
      <formula>IF($F6="Did not Start", TRUE)</formula>
    </cfRule>
  </conditionalFormatting>
  <conditionalFormatting sqref="F5:F29">
    <cfRule type="expression" dxfId="1586" priority="182">
      <formula>IF($F5="Terminated-Nesting", TRUE)</formula>
    </cfRule>
    <cfRule type="expression" dxfId="1585" priority="183">
      <formula>IF($F5="Resigned-Nesting", TRUE)</formula>
    </cfRule>
    <cfRule type="expression" dxfId="1584" priority="184">
      <formula>IF($F5="Resigned", TRUE)</formula>
    </cfRule>
    <cfRule type="expression" dxfId="1583" priority="185">
      <formula>IF($F5="Terminated", TRUE)</formula>
    </cfRule>
    <cfRule type="expression" dxfId="1582" priority="186">
      <formula>IF($F5="Did not Start", TRUE)</formula>
    </cfRule>
  </conditionalFormatting>
  <conditionalFormatting sqref="G6:G13">
    <cfRule type="expression" dxfId="1581" priority="165">
      <formula>IF($F6="Terminated-Nesting", TRUE)</formula>
    </cfRule>
    <cfRule type="expression" dxfId="1580" priority="166">
      <formula>IF($F6="Resigned-Nesting", TRUE)</formula>
    </cfRule>
    <cfRule type="expression" dxfId="1579" priority="167">
      <formula>IF($F6="Resigned", TRUE)</formula>
    </cfRule>
    <cfRule type="expression" dxfId="1578" priority="168">
      <formula>IF($F6="Terminated", TRUE)</formula>
    </cfRule>
    <cfRule type="expression" dxfId="1577" priority="169">
      <formula>IF($F6="Did not Start", TRUE)</formula>
    </cfRule>
  </conditionalFormatting>
  <conditionalFormatting sqref="G6:G29 I6:J34">
    <cfRule type="cellIs" dxfId="1576" priority="163" operator="between">
      <formula>0.01</formula>
      <formula>0.79</formula>
    </cfRule>
    <cfRule type="cellIs" dxfId="1575" priority="164" operator="greaterThanOrEqual">
      <formula>0.8</formula>
    </cfRule>
  </conditionalFormatting>
  <conditionalFormatting sqref="G6:G29">
    <cfRule type="expression" dxfId="1574" priority="158">
      <formula>IF($F6="Terminated-Nesting", TRUE)</formula>
    </cfRule>
    <cfRule type="expression" dxfId="1573" priority="159">
      <formula>IF($F6="Resigned-Nesting", TRUE)</formula>
    </cfRule>
    <cfRule type="expression" dxfId="1572" priority="160">
      <formula>IF($F6="Resigned", TRUE)</formula>
    </cfRule>
    <cfRule type="expression" dxfId="1571" priority="161">
      <formula>IF($F6="Terminated", TRUE)</formula>
    </cfRule>
    <cfRule type="expression" dxfId="1570" priority="162">
      <formula>IF($F6="Did not Start", TRUE)</formula>
    </cfRule>
  </conditionalFormatting>
  <conditionalFormatting sqref="G6">
    <cfRule type="expression" dxfId="1569" priority="153">
      <formula>IF($F6="Terminated-Nesting", TRUE)</formula>
    </cfRule>
    <cfRule type="expression" dxfId="1568" priority="154">
      <formula>IF($F6="Resigned-Nesting", TRUE)</formula>
    </cfRule>
    <cfRule type="expression" dxfId="1567" priority="155">
      <formula>IF($F6="Resigned", TRUE)</formula>
    </cfRule>
    <cfRule type="expression" dxfId="1566" priority="156">
      <formula>IF($F6="Terminated", TRUE)</formula>
    </cfRule>
    <cfRule type="expression" dxfId="1565" priority="157">
      <formula>IF($F6="Did not Start", TRUE)</formula>
    </cfRule>
  </conditionalFormatting>
  <conditionalFormatting sqref="A6">
    <cfRule type="expression" dxfId="1564" priority="146">
      <formula>IF($F6="Terminated-Nesting", TRUE)</formula>
    </cfRule>
    <cfRule type="expression" dxfId="1563" priority="147">
      <formula>IF($F6="Resigned-Nesting", TRUE)</formula>
    </cfRule>
    <cfRule type="expression" dxfId="1562" priority="148">
      <formula>IF($F6="Resigned", TRUE)</formula>
    </cfRule>
    <cfRule type="expression" dxfId="1561" priority="149">
      <formula>IF($F6="Terminated", TRUE)</formula>
    </cfRule>
    <cfRule type="expression" dxfId="1560" priority="150">
      <formula>IF($F6="Did not Start", TRUE)</formula>
    </cfRule>
  </conditionalFormatting>
  <conditionalFormatting sqref="A7:A34">
    <cfRule type="expression" dxfId="1559" priority="141">
      <formula>IF($F7="Terminated-Nesting", TRUE)</formula>
    </cfRule>
    <cfRule type="expression" dxfId="1558" priority="142">
      <formula>IF($F7="Resigned-Nesting", TRUE)</formula>
    </cfRule>
    <cfRule type="expression" dxfId="1557" priority="143">
      <formula>IF($F7="Resigned", TRUE)</formula>
    </cfRule>
    <cfRule type="expression" dxfId="1556" priority="144">
      <formula>IF($F7="Terminated", TRUE)</formula>
    </cfRule>
    <cfRule type="expression" dxfId="1555" priority="145">
      <formula>IF($F7="Did not Start", TRUE)</formula>
    </cfRule>
  </conditionalFormatting>
  <conditionalFormatting sqref="B30:C30">
    <cfRule type="expression" dxfId="1554" priority="136">
      <formula>IF($F30="Terminated-Nesting", TRUE)</formula>
    </cfRule>
    <cfRule type="expression" dxfId="1553" priority="137">
      <formula>IF($F30="Resigned-Nesting", TRUE)</formula>
    </cfRule>
    <cfRule type="expression" dxfId="1552" priority="138">
      <formula>IF($F30="Resigned", TRUE)</formula>
    </cfRule>
    <cfRule type="expression" dxfId="1551" priority="139">
      <formula>IF($F30="Terminated", TRUE)</formula>
    </cfRule>
    <cfRule type="expression" dxfId="1550" priority="140">
      <formula>IF($F30="Did not Start", TRUE)</formula>
    </cfRule>
  </conditionalFormatting>
  <conditionalFormatting sqref="F30">
    <cfRule type="expression" dxfId="1549" priority="131">
      <formula>IF($F30="Terminated-Nesting", TRUE)</formula>
    </cfRule>
    <cfRule type="expression" dxfId="1548" priority="132">
      <formula>IF($F30="Resigned-Nesting", TRUE)</formula>
    </cfRule>
    <cfRule type="expression" dxfId="1547" priority="133">
      <formula>IF($F30="Resigned", TRUE)</formula>
    </cfRule>
    <cfRule type="expression" dxfId="1546" priority="134">
      <formula>IF($F30="Terminated", TRUE)</formula>
    </cfRule>
    <cfRule type="expression" dxfId="1545" priority="135">
      <formula>IF($F30="Did not Start", TRUE)</formula>
    </cfRule>
  </conditionalFormatting>
  <conditionalFormatting sqref="G30">
    <cfRule type="cellIs" dxfId="1544" priority="129" operator="between">
      <formula>0.01</formula>
      <formula>0.79</formula>
    </cfRule>
    <cfRule type="cellIs" dxfId="1543" priority="130" operator="greaterThanOrEqual">
      <formula>0.8</formula>
    </cfRule>
  </conditionalFormatting>
  <conditionalFormatting sqref="G30">
    <cfRule type="expression" dxfId="1542" priority="124">
      <formula>IF($F30="Terminated-Nesting", TRUE)</formula>
    </cfRule>
    <cfRule type="expression" dxfId="1541" priority="125">
      <formula>IF($F30="Resigned-Nesting", TRUE)</formula>
    </cfRule>
    <cfRule type="expression" dxfId="1540" priority="126">
      <formula>IF($F30="Resigned", TRUE)</formula>
    </cfRule>
    <cfRule type="expression" dxfId="1539" priority="127">
      <formula>IF($F30="Terminated", TRUE)</formula>
    </cfRule>
    <cfRule type="expression" dxfId="1538" priority="128">
      <formula>IF($F30="Did not Start", TRUE)</formula>
    </cfRule>
  </conditionalFormatting>
  <conditionalFormatting sqref="B31:C31">
    <cfRule type="expression" dxfId="1537" priority="119">
      <formula>IF($F31="Terminated-Nesting", TRUE)</formula>
    </cfRule>
    <cfRule type="expression" dxfId="1536" priority="120">
      <formula>IF($F31="Resigned-Nesting", TRUE)</formula>
    </cfRule>
    <cfRule type="expression" dxfId="1535" priority="121">
      <formula>IF($F31="Resigned", TRUE)</formula>
    </cfRule>
    <cfRule type="expression" dxfId="1534" priority="122">
      <formula>IF($F31="Terminated", TRUE)</formula>
    </cfRule>
    <cfRule type="expression" dxfId="1533" priority="123">
      <formula>IF($F31="Did not Start", TRUE)</formula>
    </cfRule>
  </conditionalFormatting>
  <conditionalFormatting sqref="F31">
    <cfRule type="expression" dxfId="1532" priority="114">
      <formula>IF($F31="Terminated-Nesting", TRUE)</formula>
    </cfRule>
    <cfRule type="expression" dxfId="1531" priority="115">
      <formula>IF($F31="Resigned-Nesting", TRUE)</formula>
    </cfRule>
    <cfRule type="expression" dxfId="1530" priority="116">
      <formula>IF($F31="Resigned", TRUE)</formula>
    </cfRule>
    <cfRule type="expression" dxfId="1529" priority="117">
      <formula>IF($F31="Terminated", TRUE)</formula>
    </cfRule>
    <cfRule type="expression" dxfId="1528" priority="118">
      <formula>IF($F31="Did not Start", TRUE)</formula>
    </cfRule>
  </conditionalFormatting>
  <conditionalFormatting sqref="G31">
    <cfRule type="cellIs" dxfId="1527" priority="112" operator="between">
      <formula>0.01</formula>
      <formula>0.79</formula>
    </cfRule>
    <cfRule type="cellIs" dxfId="1526" priority="113" operator="greaterThanOrEqual">
      <formula>0.8</formula>
    </cfRule>
  </conditionalFormatting>
  <conditionalFormatting sqref="G31">
    <cfRule type="expression" dxfId="1525" priority="107">
      <formula>IF($F31="Terminated-Nesting", TRUE)</formula>
    </cfRule>
    <cfRule type="expression" dxfId="1524" priority="108">
      <formula>IF($F31="Resigned-Nesting", TRUE)</formula>
    </cfRule>
    <cfRule type="expression" dxfId="1523" priority="109">
      <formula>IF($F31="Resigned", TRUE)</formula>
    </cfRule>
    <cfRule type="expression" dxfId="1522" priority="110">
      <formula>IF($F31="Terminated", TRUE)</formula>
    </cfRule>
    <cfRule type="expression" dxfId="1521" priority="111">
      <formula>IF($F31="Did not Start", TRUE)</formula>
    </cfRule>
  </conditionalFormatting>
  <conditionalFormatting sqref="B32:C32">
    <cfRule type="expression" dxfId="1520" priority="102">
      <formula>IF($F32="Terminated-Nesting", TRUE)</formula>
    </cfRule>
    <cfRule type="expression" dxfId="1519" priority="103">
      <formula>IF($F32="Resigned-Nesting", TRUE)</formula>
    </cfRule>
    <cfRule type="expression" dxfId="1518" priority="104">
      <formula>IF($F32="Resigned", TRUE)</formula>
    </cfRule>
    <cfRule type="expression" dxfId="1517" priority="105">
      <formula>IF($F32="Terminated", TRUE)</formula>
    </cfRule>
    <cfRule type="expression" dxfId="1516" priority="106">
      <formula>IF($F32="Did not Start", TRUE)</formula>
    </cfRule>
  </conditionalFormatting>
  <conditionalFormatting sqref="F32">
    <cfRule type="expression" dxfId="1515" priority="97">
      <formula>IF($F32="Terminated-Nesting", TRUE)</formula>
    </cfRule>
    <cfRule type="expression" dxfId="1514" priority="98">
      <formula>IF($F32="Resigned-Nesting", TRUE)</formula>
    </cfRule>
    <cfRule type="expression" dxfId="1513" priority="99">
      <formula>IF($F32="Resigned", TRUE)</formula>
    </cfRule>
    <cfRule type="expression" dxfId="1512" priority="100">
      <formula>IF($F32="Terminated", TRUE)</formula>
    </cfRule>
    <cfRule type="expression" dxfId="1511" priority="101">
      <formula>IF($F32="Did not Start", TRUE)</formula>
    </cfRule>
  </conditionalFormatting>
  <conditionalFormatting sqref="G32">
    <cfRule type="cellIs" dxfId="1510" priority="95" operator="between">
      <formula>0.01</formula>
      <formula>0.79</formula>
    </cfRule>
    <cfRule type="cellIs" dxfId="1509" priority="96" operator="greaterThanOrEqual">
      <formula>0.8</formula>
    </cfRule>
  </conditionalFormatting>
  <conditionalFormatting sqref="G32">
    <cfRule type="expression" dxfId="1508" priority="90">
      <formula>IF($F32="Terminated-Nesting", TRUE)</formula>
    </cfRule>
    <cfRule type="expression" dxfId="1507" priority="91">
      <formula>IF($F32="Resigned-Nesting", TRUE)</formula>
    </cfRule>
    <cfRule type="expression" dxfId="1506" priority="92">
      <formula>IF($F32="Resigned", TRUE)</formula>
    </cfRule>
    <cfRule type="expression" dxfId="1505" priority="93">
      <formula>IF($F32="Terminated", TRUE)</formula>
    </cfRule>
    <cfRule type="expression" dxfId="1504" priority="94">
      <formula>IF($F32="Did not Start", TRUE)</formula>
    </cfRule>
  </conditionalFormatting>
  <conditionalFormatting sqref="B33:C33">
    <cfRule type="expression" dxfId="1503" priority="85">
      <formula>IF($F33="Terminated-Nesting", TRUE)</formula>
    </cfRule>
    <cfRule type="expression" dxfId="1502" priority="86">
      <formula>IF($F33="Resigned-Nesting", TRUE)</formula>
    </cfRule>
    <cfRule type="expression" dxfId="1501" priority="87">
      <formula>IF($F33="Resigned", TRUE)</formula>
    </cfRule>
    <cfRule type="expression" dxfId="1500" priority="88">
      <formula>IF($F33="Terminated", TRUE)</formula>
    </cfRule>
    <cfRule type="expression" dxfId="1499" priority="89">
      <formula>IF($F33="Did not Start", TRUE)</formula>
    </cfRule>
  </conditionalFormatting>
  <conditionalFormatting sqref="F33">
    <cfRule type="expression" dxfId="1498" priority="80">
      <formula>IF($F33="Terminated-Nesting", TRUE)</formula>
    </cfRule>
    <cfRule type="expression" dxfId="1497" priority="81">
      <formula>IF($F33="Resigned-Nesting", TRUE)</formula>
    </cfRule>
    <cfRule type="expression" dxfId="1496" priority="82">
      <formula>IF($F33="Resigned", TRUE)</formula>
    </cfRule>
    <cfRule type="expression" dxfId="1495" priority="83">
      <formula>IF($F33="Terminated", TRUE)</formula>
    </cfRule>
    <cfRule type="expression" dxfId="1494" priority="84">
      <formula>IF($F33="Did not Start", TRUE)</formula>
    </cfRule>
  </conditionalFormatting>
  <conditionalFormatting sqref="G33">
    <cfRule type="cellIs" dxfId="1493" priority="78" operator="between">
      <formula>0.01</formula>
      <formula>0.79</formula>
    </cfRule>
    <cfRule type="cellIs" dxfId="1492" priority="79" operator="greaterThanOrEqual">
      <formula>0.8</formula>
    </cfRule>
  </conditionalFormatting>
  <conditionalFormatting sqref="G33">
    <cfRule type="expression" dxfId="1491" priority="73">
      <formula>IF($F33="Terminated-Nesting", TRUE)</formula>
    </cfRule>
    <cfRule type="expression" dxfId="1490" priority="74">
      <formula>IF($F33="Resigned-Nesting", TRUE)</formula>
    </cfRule>
    <cfRule type="expression" dxfId="1489" priority="75">
      <formula>IF($F33="Resigned", TRUE)</formula>
    </cfRule>
    <cfRule type="expression" dxfId="1488" priority="76">
      <formula>IF($F33="Terminated", TRUE)</formula>
    </cfRule>
    <cfRule type="expression" dxfId="1487" priority="77">
      <formula>IF($F33="Did not Start", TRUE)</formula>
    </cfRule>
  </conditionalFormatting>
  <conditionalFormatting sqref="B34:C34">
    <cfRule type="expression" dxfId="1486" priority="68">
      <formula>IF($F34="Terminated-Nesting", TRUE)</formula>
    </cfRule>
    <cfRule type="expression" dxfId="1485" priority="69">
      <formula>IF($F34="Resigned-Nesting", TRUE)</formula>
    </cfRule>
    <cfRule type="expression" dxfId="1484" priority="70">
      <formula>IF($F34="Resigned", TRUE)</formula>
    </cfRule>
    <cfRule type="expression" dxfId="1483" priority="71">
      <formula>IF($F34="Terminated", TRUE)</formula>
    </cfRule>
    <cfRule type="expression" dxfId="1482" priority="72">
      <formula>IF($F34="Did not Start", TRUE)</formula>
    </cfRule>
  </conditionalFormatting>
  <conditionalFormatting sqref="F34">
    <cfRule type="expression" dxfId="1481" priority="63">
      <formula>IF($F34="Terminated-Nesting", TRUE)</formula>
    </cfRule>
    <cfRule type="expression" dxfId="1480" priority="64">
      <formula>IF($F34="Resigned-Nesting", TRUE)</formula>
    </cfRule>
    <cfRule type="expression" dxfId="1479" priority="65">
      <formula>IF($F34="Resigned", TRUE)</formula>
    </cfRule>
    <cfRule type="expression" dxfId="1478" priority="66">
      <formula>IF($F34="Terminated", TRUE)</formula>
    </cfRule>
    <cfRule type="expression" dxfId="1477" priority="67">
      <formula>IF($F34="Did not Start", TRUE)</formula>
    </cfRule>
  </conditionalFormatting>
  <conditionalFormatting sqref="G34">
    <cfRule type="cellIs" dxfId="1476" priority="61" operator="between">
      <formula>0.01</formula>
      <formula>0.79</formula>
    </cfRule>
    <cfRule type="cellIs" dxfId="1475" priority="62" operator="greaterThanOrEqual">
      <formula>0.8</formula>
    </cfRule>
  </conditionalFormatting>
  <conditionalFormatting sqref="G34">
    <cfRule type="expression" dxfId="1474" priority="56">
      <formula>IF($F34="Terminated-Nesting", TRUE)</formula>
    </cfRule>
    <cfRule type="expression" dxfId="1473" priority="57">
      <formula>IF($F34="Resigned-Nesting", TRUE)</formula>
    </cfRule>
    <cfRule type="expression" dxfId="1472" priority="58">
      <formula>IF($F34="Resigned", TRUE)</formula>
    </cfRule>
    <cfRule type="expression" dxfId="1471" priority="59">
      <formula>IF($F34="Terminated", TRUE)</formula>
    </cfRule>
    <cfRule type="expression" dxfId="1470" priority="60">
      <formula>IF($F34="Did not Start", TRUE)</formula>
    </cfRule>
  </conditionalFormatting>
  <conditionalFormatting sqref="H6:H34">
    <cfRule type="cellIs" dxfId="1469" priority="54" operator="between">
      <formula>0.01</formula>
      <formula>0.79</formula>
    </cfRule>
    <cfRule type="cellIs" dxfId="1468" priority="55" operator="greaterThanOrEqual">
      <formula>0.8</formula>
    </cfRule>
  </conditionalFormatting>
  <conditionalFormatting sqref="G5:J5">
    <cfRule type="cellIs" dxfId="1467" priority="26" operator="between">
      <formula>0.01</formula>
      <formula>0.849</formula>
    </cfRule>
    <cfRule type="cellIs" dxfId="1466" priority="27" operator="greaterThanOrEqual">
      <formula>0.8</formula>
    </cfRule>
  </conditionalFormatting>
  <conditionalFormatting sqref="C5:C34">
    <cfRule type="expression" dxfId="1465" priority="25">
      <formula>IF(H5="Did Not Start", TRUE)</formula>
    </cfRule>
  </conditionalFormatting>
  <conditionalFormatting sqref="B5:B34">
    <cfRule type="expression" dxfId="1464" priority="24">
      <formula>IF(G5="Did Not Start", TRUE)</formula>
    </cfRule>
  </conditionalFormatting>
  <dataValidations count="3">
    <dataValidation type="list" allowBlank="1" showInputMessage="1" showErrorMessage="1" sqref="L5:L34" xr:uid="{3FF4D9CD-1B61-4AFF-8158-DA93C96B767B}">
      <formula1>$A$47:$A$49</formula1>
    </dataValidation>
    <dataValidation type="list" allowBlank="1" showInputMessage="1" showErrorMessage="1" sqref="K5:K34" xr:uid="{0FE12C64-D779-464F-A357-E7D074817DA9}">
      <formula1>$A$44:$A$46</formula1>
    </dataValidation>
    <dataValidation type="list" allowBlank="1" showInputMessage="1" showErrorMessage="1" sqref="H1 N1" xr:uid="{02DB4508-D0F7-42AE-A7C2-790B07117FF2}">
      <formula1>$G$40:$G$43</formula1>
    </dataValidation>
  </dataValidations>
  <hyperlinks>
    <hyperlink ref="A2" location="'Quick Links'!A1" display="Home" xr:uid="{CC764E11-9CFB-402F-AFB5-FA1EFF73B50F}"/>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tabColor theme="7" tint="0.39997558519241921"/>
  </sheetPr>
  <dimension ref="A1:BB82"/>
  <sheetViews>
    <sheetView zoomScale="85" zoomScaleNormal="85" workbookViewId="0">
      <selection activeCell="N9" sqref="N9:N10"/>
    </sheetView>
  </sheetViews>
  <sheetFormatPr defaultColWidth="9.140625" defaultRowHeight="14.45"/>
  <cols>
    <col min="1" max="1" width="4.5703125" customWidth="1"/>
    <col min="2" max="2" width="15.28515625" bestFit="1" customWidth="1"/>
    <col min="3" max="3" width="30.5703125" customWidth="1"/>
    <col min="4" max="4" width="5.5703125" customWidth="1"/>
    <col min="5" max="5" width="15.28515625" bestFit="1" customWidth="1"/>
    <col min="6" max="6" width="30.5703125" customWidth="1"/>
    <col min="7" max="7" width="5.5703125" customWidth="1"/>
    <col min="8" max="8" width="15.28515625" bestFit="1" customWidth="1"/>
    <col min="9" max="9" width="30.5703125" customWidth="1"/>
    <col min="10" max="10" width="5.5703125" customWidth="1"/>
    <col min="11" max="11" width="15.28515625" bestFit="1" customWidth="1"/>
    <col min="12" max="12" width="30.5703125" customWidth="1"/>
    <col min="13" max="13" width="5.5703125" customWidth="1"/>
    <col min="14" max="14" width="15.28515625" bestFit="1" customWidth="1"/>
    <col min="15" max="15" width="30.5703125" customWidth="1"/>
    <col min="17" max="54" width="9.140625" style="1"/>
  </cols>
  <sheetData>
    <row r="1" spans="1:16">
      <c r="B1" s="288" t="s">
        <v>90</v>
      </c>
    </row>
    <row r="2" spans="1:16" ht="53.65" customHeight="1" thickBot="1">
      <c r="A2" s="3"/>
      <c r="B2" s="3"/>
      <c r="C2" s="3"/>
      <c r="D2" s="3"/>
      <c r="E2" s="3"/>
      <c r="F2" s="3"/>
      <c r="G2" s="3"/>
      <c r="H2" s="3"/>
      <c r="I2" s="3"/>
      <c r="J2" s="3"/>
      <c r="K2" s="3"/>
      <c r="L2" s="3"/>
      <c r="M2" s="3"/>
      <c r="N2" s="3"/>
      <c r="O2" s="3"/>
      <c r="P2" s="3"/>
    </row>
    <row r="3" spans="1:16">
      <c r="A3" s="3"/>
      <c r="B3" s="904" t="s">
        <v>494</v>
      </c>
      <c r="C3" s="905"/>
      <c r="D3" s="3"/>
      <c r="E3" s="904" t="s">
        <v>495</v>
      </c>
      <c r="F3" s="905"/>
      <c r="G3" s="3"/>
      <c r="H3" s="904" t="s">
        <v>496</v>
      </c>
      <c r="I3" s="905"/>
      <c r="J3" s="3"/>
      <c r="K3" s="904" t="s">
        <v>497</v>
      </c>
      <c r="L3" s="905"/>
      <c r="M3" s="3"/>
      <c r="N3" s="904" t="s">
        <v>498</v>
      </c>
      <c r="O3" s="905"/>
      <c r="P3" s="3"/>
    </row>
    <row r="4" spans="1:16" ht="15" thickBot="1">
      <c r="A4" s="3"/>
      <c r="B4" s="906"/>
      <c r="C4" s="907"/>
      <c r="D4" s="3"/>
      <c r="E4" s="906"/>
      <c r="F4" s="907"/>
      <c r="G4" s="3"/>
      <c r="H4" s="906"/>
      <c r="I4" s="907"/>
      <c r="J4" s="3"/>
      <c r="K4" s="906"/>
      <c r="L4" s="907"/>
      <c r="M4" s="3"/>
      <c r="N4" s="906"/>
      <c r="O4" s="907"/>
      <c r="P4" s="3"/>
    </row>
    <row r="5" spans="1:16">
      <c r="A5" s="3"/>
      <c r="B5" s="154" t="s">
        <v>499</v>
      </c>
      <c r="C5" s="155"/>
      <c r="D5" s="3"/>
      <c r="E5" s="154" t="s">
        <v>499</v>
      </c>
      <c r="F5" s="155"/>
      <c r="G5" s="3"/>
      <c r="H5" s="154" t="s">
        <v>499</v>
      </c>
      <c r="I5" s="155"/>
      <c r="J5" s="3"/>
      <c r="K5" s="154" t="s">
        <v>499</v>
      </c>
      <c r="L5" s="155"/>
      <c r="M5" s="3"/>
      <c r="N5" s="154" t="s">
        <v>499</v>
      </c>
      <c r="O5" s="155"/>
      <c r="P5" s="3"/>
    </row>
    <row r="6" spans="1:16">
      <c r="A6" s="3"/>
      <c r="B6" s="156" t="s">
        <v>500</v>
      </c>
      <c r="C6" s="157" t="s">
        <v>501</v>
      </c>
      <c r="D6" s="3"/>
      <c r="E6" s="156" t="s">
        <v>500</v>
      </c>
      <c r="F6" s="157" t="s">
        <v>501</v>
      </c>
      <c r="G6" s="3"/>
      <c r="H6" s="156" t="s">
        <v>500</v>
      </c>
      <c r="I6" s="157" t="s">
        <v>501</v>
      </c>
      <c r="J6" s="3"/>
      <c r="K6" s="156" t="s">
        <v>500</v>
      </c>
      <c r="L6" s="157" t="s">
        <v>501</v>
      </c>
      <c r="M6" s="3"/>
      <c r="N6" s="156" t="s">
        <v>500</v>
      </c>
      <c r="O6" s="157" t="s">
        <v>501</v>
      </c>
      <c r="P6" s="3"/>
    </row>
    <row r="7" spans="1:16">
      <c r="A7" s="3"/>
      <c r="B7" s="156" t="s">
        <v>502</v>
      </c>
      <c r="C7" s="157" t="s">
        <v>503</v>
      </c>
      <c r="D7" s="3"/>
      <c r="E7" s="156" t="s">
        <v>502</v>
      </c>
      <c r="F7" s="157" t="s">
        <v>503</v>
      </c>
      <c r="G7" s="3"/>
      <c r="H7" s="156" t="s">
        <v>502</v>
      </c>
      <c r="I7" s="157" t="s">
        <v>503</v>
      </c>
      <c r="J7" s="3"/>
      <c r="K7" s="156" t="s">
        <v>502</v>
      </c>
      <c r="L7" s="157" t="s">
        <v>503</v>
      </c>
      <c r="M7" s="3"/>
      <c r="N7" s="156" t="s">
        <v>502</v>
      </c>
      <c r="O7" s="157" t="s">
        <v>503</v>
      </c>
      <c r="P7" s="3"/>
    </row>
    <row r="8" spans="1:16">
      <c r="A8" s="3"/>
      <c r="B8" s="156" t="s">
        <v>504</v>
      </c>
      <c r="C8" s="157" t="s">
        <v>505</v>
      </c>
      <c r="D8" s="3"/>
      <c r="E8" s="156" t="s">
        <v>504</v>
      </c>
      <c r="F8" s="157" t="s">
        <v>505</v>
      </c>
      <c r="G8" s="3"/>
      <c r="H8" s="156" t="s">
        <v>504</v>
      </c>
      <c r="I8" s="157" t="s">
        <v>505</v>
      </c>
      <c r="J8" s="3"/>
      <c r="K8" s="156" t="s">
        <v>504</v>
      </c>
      <c r="L8" s="157" t="s">
        <v>505</v>
      </c>
      <c r="M8" s="3"/>
      <c r="N8" s="156" t="s">
        <v>504</v>
      </c>
      <c r="O8" s="157" t="s">
        <v>505</v>
      </c>
      <c r="P8" s="3"/>
    </row>
    <row r="9" spans="1:16" ht="15" customHeight="1">
      <c r="A9" s="3"/>
      <c r="B9" s="901" t="s">
        <v>506</v>
      </c>
      <c r="C9" s="902"/>
      <c r="D9" s="3"/>
      <c r="E9" s="901" t="s">
        <v>506</v>
      </c>
      <c r="F9" s="902"/>
      <c r="G9" s="3"/>
      <c r="H9" s="901" t="s">
        <v>506</v>
      </c>
      <c r="I9" s="902"/>
      <c r="J9" s="3"/>
      <c r="K9" s="901" t="s">
        <v>506</v>
      </c>
      <c r="L9" s="902"/>
      <c r="M9" s="3"/>
      <c r="N9" s="901" t="s">
        <v>506</v>
      </c>
      <c r="O9" s="902"/>
      <c r="P9" s="3"/>
    </row>
    <row r="10" spans="1:16">
      <c r="A10" s="3"/>
      <c r="B10" s="901"/>
      <c r="C10" s="903"/>
      <c r="D10" s="3"/>
      <c r="E10" s="901"/>
      <c r="F10" s="903"/>
      <c r="G10" s="3"/>
      <c r="H10" s="901"/>
      <c r="I10" s="903"/>
      <c r="J10" s="3"/>
      <c r="K10" s="901"/>
      <c r="L10" s="903"/>
      <c r="M10" s="3"/>
      <c r="N10" s="901"/>
      <c r="O10" s="903"/>
      <c r="P10" s="3"/>
    </row>
    <row r="11" spans="1:16" ht="15" thickBot="1">
      <c r="A11" s="3"/>
      <c r="B11" s="158" t="s">
        <v>507</v>
      </c>
      <c r="C11" s="159"/>
      <c r="D11" s="3"/>
      <c r="E11" s="158" t="s">
        <v>507</v>
      </c>
      <c r="F11" s="159"/>
      <c r="G11" s="3"/>
      <c r="H11" s="158" t="s">
        <v>507</v>
      </c>
      <c r="I11" s="159"/>
      <c r="J11" s="3"/>
      <c r="K11" s="158" t="s">
        <v>507</v>
      </c>
      <c r="L11" s="159"/>
      <c r="M11" s="3"/>
      <c r="N11" s="158" t="s">
        <v>507</v>
      </c>
      <c r="O11" s="159"/>
      <c r="P11" s="3"/>
    </row>
    <row r="12" spans="1:16" ht="15" thickBot="1">
      <c r="A12" s="3"/>
      <c r="B12" s="160"/>
      <c r="C12" s="161"/>
      <c r="D12" s="3"/>
      <c r="E12" s="160"/>
      <c r="F12" s="161"/>
      <c r="G12" s="3"/>
      <c r="H12" s="160"/>
      <c r="I12" s="161"/>
      <c r="J12" s="3"/>
      <c r="K12" s="160"/>
      <c r="L12" s="161"/>
      <c r="M12" s="3"/>
      <c r="N12" s="160"/>
      <c r="O12" s="161"/>
      <c r="P12" s="3"/>
    </row>
    <row r="13" spans="1:16">
      <c r="A13" s="3"/>
      <c r="B13" s="162" t="s">
        <v>25</v>
      </c>
      <c r="C13" s="163"/>
      <c r="D13" s="3"/>
      <c r="E13" s="162" t="s">
        <v>25</v>
      </c>
      <c r="F13" s="163"/>
      <c r="G13" s="3"/>
      <c r="H13" s="162" t="s">
        <v>25</v>
      </c>
      <c r="I13" s="163"/>
      <c r="J13" s="3"/>
      <c r="K13" s="162" t="s">
        <v>25</v>
      </c>
      <c r="L13" s="163"/>
      <c r="M13" s="3"/>
      <c r="N13" s="162" t="s">
        <v>25</v>
      </c>
      <c r="O13" s="163"/>
      <c r="P13" s="3"/>
    </row>
    <row r="14" spans="1:16">
      <c r="A14" s="3"/>
      <c r="B14" s="164" t="s">
        <v>508</v>
      </c>
      <c r="C14" s="165"/>
      <c r="D14" s="3"/>
      <c r="E14" s="164" t="s">
        <v>508</v>
      </c>
      <c r="F14" s="165"/>
      <c r="G14" s="3"/>
      <c r="H14" s="164" t="s">
        <v>508</v>
      </c>
      <c r="I14" s="165"/>
      <c r="J14" s="3"/>
      <c r="K14" s="164" t="s">
        <v>508</v>
      </c>
      <c r="L14" s="165"/>
      <c r="M14" s="3"/>
      <c r="N14" s="164" t="s">
        <v>508</v>
      </c>
      <c r="O14" s="165"/>
      <c r="P14" s="3"/>
    </row>
    <row r="15" spans="1:16">
      <c r="A15" s="3"/>
      <c r="B15" s="164" t="s">
        <v>509</v>
      </c>
      <c r="C15" s="165"/>
      <c r="D15" s="3"/>
      <c r="E15" s="164" t="s">
        <v>509</v>
      </c>
      <c r="F15" s="165"/>
      <c r="G15" s="3"/>
      <c r="H15" s="164" t="s">
        <v>509</v>
      </c>
      <c r="I15" s="165"/>
      <c r="J15" s="3"/>
      <c r="K15" s="164" t="s">
        <v>509</v>
      </c>
      <c r="L15" s="165"/>
      <c r="M15" s="3"/>
      <c r="N15" s="164" t="s">
        <v>509</v>
      </c>
      <c r="O15" s="165"/>
      <c r="P15" s="3"/>
    </row>
    <row r="16" spans="1:16">
      <c r="A16" s="3"/>
      <c r="B16" s="166" t="s">
        <v>510</v>
      </c>
      <c r="C16" s="165"/>
      <c r="D16" s="3"/>
      <c r="E16" s="166" t="s">
        <v>510</v>
      </c>
      <c r="F16" s="165"/>
      <c r="G16" s="3"/>
      <c r="H16" s="166" t="s">
        <v>510</v>
      </c>
      <c r="I16" s="165"/>
      <c r="J16" s="3"/>
      <c r="K16" s="166" t="s">
        <v>510</v>
      </c>
      <c r="L16" s="165"/>
      <c r="M16" s="3"/>
      <c r="N16" s="166" t="s">
        <v>510</v>
      </c>
      <c r="O16" s="165"/>
      <c r="P16" s="3"/>
    </row>
    <row r="17" spans="1:16">
      <c r="A17" s="3"/>
      <c r="B17" s="167" t="s">
        <v>511</v>
      </c>
      <c r="C17" s="168"/>
      <c r="D17" s="3"/>
      <c r="E17" s="167" t="s">
        <v>511</v>
      </c>
      <c r="F17" s="168"/>
      <c r="G17" s="3"/>
      <c r="H17" s="167" t="s">
        <v>511</v>
      </c>
      <c r="I17" s="168"/>
      <c r="J17" s="3"/>
      <c r="K17" s="167" t="s">
        <v>511</v>
      </c>
      <c r="L17" s="169"/>
      <c r="M17" s="3"/>
      <c r="N17" s="167" t="s">
        <v>511</v>
      </c>
      <c r="O17" s="169"/>
      <c r="P17" s="3"/>
    </row>
    <row r="18" spans="1:16">
      <c r="A18" s="3"/>
      <c r="B18" s="908" t="s">
        <v>512</v>
      </c>
      <c r="C18" s="910"/>
      <c r="D18" s="3"/>
      <c r="E18" s="908" t="s">
        <v>513</v>
      </c>
      <c r="F18" s="910"/>
      <c r="G18" s="3"/>
      <c r="H18" s="908" t="s">
        <v>513</v>
      </c>
      <c r="I18" s="918"/>
      <c r="J18" s="3"/>
      <c r="K18" s="908" t="s">
        <v>513</v>
      </c>
      <c r="L18" s="919"/>
      <c r="M18" s="3"/>
      <c r="N18" s="908" t="s">
        <v>513</v>
      </c>
      <c r="O18" s="919"/>
      <c r="P18" s="3"/>
    </row>
    <row r="19" spans="1:16" ht="15" thickBot="1">
      <c r="A19" s="3"/>
      <c r="B19" s="909"/>
      <c r="C19" s="911"/>
      <c r="D19" s="3"/>
      <c r="E19" s="909"/>
      <c r="F19" s="911"/>
      <c r="G19" s="3"/>
      <c r="H19" s="909"/>
      <c r="I19" s="1074"/>
      <c r="J19" s="3"/>
      <c r="K19" s="909"/>
      <c r="L19" s="920"/>
      <c r="M19" s="3"/>
      <c r="N19" s="909"/>
      <c r="O19" s="920"/>
      <c r="P19" s="3"/>
    </row>
    <row r="20" spans="1:16">
      <c r="A20" s="3"/>
      <c r="B20" s="912" t="s">
        <v>514</v>
      </c>
      <c r="C20" s="914"/>
      <c r="D20" s="3"/>
      <c r="E20" s="912" t="s">
        <v>514</v>
      </c>
      <c r="F20" s="916"/>
      <c r="G20" s="3"/>
      <c r="H20" s="912" t="s">
        <v>514</v>
      </c>
      <c r="I20" s="914"/>
      <c r="J20" s="3"/>
      <c r="K20" s="912" t="s">
        <v>514</v>
      </c>
      <c r="L20" s="914"/>
      <c r="M20" s="3"/>
      <c r="N20" s="912" t="s">
        <v>514</v>
      </c>
      <c r="O20" s="914"/>
      <c r="P20" s="3"/>
    </row>
    <row r="21" spans="1:16" ht="15" thickBot="1">
      <c r="A21" s="3"/>
      <c r="B21" s="913"/>
      <c r="C21" s="915"/>
      <c r="D21" s="3"/>
      <c r="E21" s="913"/>
      <c r="F21" s="917"/>
      <c r="G21" s="3"/>
      <c r="H21" s="913"/>
      <c r="I21" s="915"/>
      <c r="J21" s="3"/>
      <c r="K21" s="913"/>
      <c r="L21" s="915"/>
      <c r="M21" s="3"/>
      <c r="N21" s="913"/>
      <c r="O21" s="915"/>
      <c r="P21" s="3"/>
    </row>
    <row r="22" spans="1:16" ht="50.1" customHeight="1" thickBot="1">
      <c r="A22" s="3"/>
      <c r="B22" s="170" t="s">
        <v>515</v>
      </c>
      <c r="C22" s="171"/>
      <c r="D22" s="3"/>
      <c r="E22" s="170" t="s">
        <v>515</v>
      </c>
      <c r="F22" s="171"/>
      <c r="G22" s="3"/>
      <c r="H22" s="170" t="s">
        <v>515</v>
      </c>
      <c r="I22" s="171"/>
      <c r="J22" s="3"/>
      <c r="K22" s="170" t="s">
        <v>515</v>
      </c>
      <c r="L22" s="171"/>
      <c r="M22" s="3"/>
      <c r="N22" s="170" t="s">
        <v>515</v>
      </c>
      <c r="O22" s="171"/>
      <c r="P22" s="3"/>
    </row>
    <row r="23" spans="1:16" ht="50.1" customHeight="1" thickBot="1">
      <c r="A23" s="3"/>
      <c r="B23" s="170" t="s">
        <v>516</v>
      </c>
      <c r="C23" s="171"/>
      <c r="D23" s="3"/>
      <c r="E23" s="170" t="s">
        <v>516</v>
      </c>
      <c r="F23" s="171"/>
      <c r="G23" s="3"/>
      <c r="H23" s="170" t="s">
        <v>516</v>
      </c>
      <c r="I23" s="171"/>
      <c r="J23" s="3"/>
      <c r="K23" s="170" t="s">
        <v>516</v>
      </c>
      <c r="L23" s="171"/>
      <c r="M23" s="3"/>
      <c r="N23" s="170" t="s">
        <v>516</v>
      </c>
      <c r="O23" s="171"/>
      <c r="P23" s="3"/>
    </row>
    <row r="24" spans="1:16" ht="50.1" customHeight="1" thickBot="1">
      <c r="A24" s="3"/>
      <c r="B24" s="172" t="s">
        <v>330</v>
      </c>
      <c r="C24" s="173"/>
      <c r="D24" s="3"/>
      <c r="E24" s="172" t="s">
        <v>330</v>
      </c>
      <c r="F24" s="173"/>
      <c r="G24" s="3"/>
      <c r="H24" s="172" t="s">
        <v>330</v>
      </c>
      <c r="I24" s="173"/>
      <c r="J24" s="3"/>
      <c r="K24" s="172" t="s">
        <v>330</v>
      </c>
      <c r="L24" s="173"/>
      <c r="M24" s="3"/>
      <c r="N24" s="172" t="s">
        <v>330</v>
      </c>
      <c r="O24" s="173"/>
      <c r="P24" s="3"/>
    </row>
    <row r="25" spans="1:16" ht="50.1" customHeight="1" thickBot="1">
      <c r="A25" s="3"/>
      <c r="B25" s="174" t="s">
        <v>517</v>
      </c>
      <c r="C25" s="175"/>
      <c r="D25" s="3"/>
      <c r="E25" s="174" t="s">
        <v>517</v>
      </c>
      <c r="F25" s="175"/>
      <c r="G25" s="3"/>
      <c r="H25" s="174" t="s">
        <v>517</v>
      </c>
      <c r="I25" s="175"/>
      <c r="J25" s="3"/>
      <c r="K25" s="174" t="s">
        <v>517</v>
      </c>
      <c r="L25" s="175"/>
      <c r="M25" s="3"/>
      <c r="N25" s="174" t="s">
        <v>517</v>
      </c>
      <c r="O25" s="175"/>
      <c r="P25" s="3"/>
    </row>
    <row r="26" spans="1:16" ht="50.1" customHeight="1" thickBot="1">
      <c r="A26" s="3"/>
      <c r="B26" s="176" t="s">
        <v>518</v>
      </c>
      <c r="C26" s="177"/>
      <c r="D26" s="3"/>
      <c r="E26" s="176" t="s">
        <v>518</v>
      </c>
      <c r="F26" s="177"/>
      <c r="G26" s="3"/>
      <c r="H26" s="176" t="s">
        <v>518</v>
      </c>
      <c r="I26" s="177"/>
      <c r="J26" s="3"/>
      <c r="K26" s="176" t="s">
        <v>518</v>
      </c>
      <c r="L26" s="177"/>
      <c r="M26" s="3"/>
      <c r="N26" s="176" t="s">
        <v>518</v>
      </c>
      <c r="O26" s="177"/>
      <c r="P26" s="3"/>
    </row>
    <row r="27" spans="1:16" ht="50.1" customHeight="1" thickBot="1">
      <c r="A27" s="3"/>
      <c r="B27" s="176" t="s">
        <v>519</v>
      </c>
      <c r="C27" s="177"/>
      <c r="D27" s="3"/>
      <c r="E27" s="176" t="s">
        <v>519</v>
      </c>
      <c r="F27" s="177"/>
      <c r="G27" s="3"/>
      <c r="H27" s="176" t="s">
        <v>519</v>
      </c>
      <c r="I27" s="177"/>
      <c r="J27" s="3"/>
      <c r="K27" s="176" t="s">
        <v>519</v>
      </c>
      <c r="L27" s="177"/>
      <c r="M27" s="3"/>
      <c r="N27" s="176" t="s">
        <v>519</v>
      </c>
      <c r="O27" s="177"/>
      <c r="P27" s="3"/>
    </row>
    <row r="28" spans="1:16">
      <c r="A28" s="3"/>
      <c r="B28" s="3"/>
      <c r="C28" s="3"/>
      <c r="D28" s="3"/>
      <c r="E28" s="3"/>
      <c r="F28" s="3"/>
      <c r="G28" s="3"/>
      <c r="H28" s="3"/>
      <c r="I28" s="3"/>
      <c r="J28" s="3"/>
      <c r="K28" s="3"/>
      <c r="L28" s="3"/>
      <c r="M28" s="3"/>
      <c r="N28" s="3"/>
      <c r="O28" s="3"/>
      <c r="P28" s="3"/>
    </row>
    <row r="29" spans="1:16" s="1" customFormat="1"/>
    <row r="30" spans="1:16" s="1" customFormat="1"/>
    <row r="31" spans="1:16" s="1" customFormat="1"/>
    <row r="32" spans="1:16" s="1" customFormat="1"/>
    <row r="33" s="1" customFormat="1"/>
    <row r="34" s="1" customFormat="1"/>
    <row r="35" s="1" customFormat="1"/>
    <row r="36" s="1" customFormat="1"/>
    <row r="37" s="1" customFormat="1"/>
    <row r="38" s="1" customFormat="1"/>
    <row r="39" s="1" customFormat="1"/>
    <row r="40" s="1" customFormat="1"/>
    <row r="41" s="1" customFormat="1"/>
    <row r="42" s="1" customFormat="1"/>
    <row r="43" s="1" customFormat="1"/>
    <row r="44" s="1" customFormat="1"/>
    <row r="45" s="1" customFormat="1"/>
    <row r="46" s="1" customFormat="1"/>
    <row r="47" s="1" customFormat="1"/>
    <row r="48" s="1" customFormat="1"/>
    <row r="49" s="1" customFormat="1"/>
    <row r="50" s="1" customFormat="1"/>
    <row r="51" s="1" customFormat="1"/>
    <row r="52" s="1" customFormat="1"/>
    <row r="53" s="1" customFormat="1"/>
    <row r="54" s="1" customFormat="1"/>
    <row r="55" s="1" customFormat="1"/>
    <row r="56" s="1" customFormat="1"/>
    <row r="57" s="1" customFormat="1"/>
    <row r="58" s="1" customFormat="1"/>
    <row r="59" s="1" customFormat="1"/>
    <row r="60" s="1" customFormat="1"/>
    <row r="61" s="1" customFormat="1"/>
    <row r="62" s="1" customFormat="1"/>
    <row r="63" s="1" customFormat="1"/>
    <row r="64" s="1" customFormat="1"/>
    <row r="65" s="1" customFormat="1"/>
    <row r="66" s="1" customFormat="1"/>
    <row r="67" s="1" customFormat="1"/>
    <row r="68" s="1" customFormat="1"/>
    <row r="69" s="1" customFormat="1"/>
    <row r="70" s="1" customFormat="1"/>
    <row r="71" s="1" customFormat="1"/>
    <row r="72" s="1" customFormat="1"/>
    <row r="73" s="1" customFormat="1"/>
    <row r="74" s="1" customFormat="1"/>
    <row r="75" s="1" customFormat="1"/>
    <row r="76" s="1" customFormat="1"/>
    <row r="77" s="1" customFormat="1"/>
    <row r="78" s="1" customFormat="1"/>
    <row r="79" s="1" customFormat="1"/>
    <row r="80" s="1" customFormat="1"/>
    <row r="81" s="1" customFormat="1"/>
    <row r="82" s="1" customFormat="1"/>
  </sheetData>
  <mergeCells count="35">
    <mergeCell ref="I20:I21"/>
    <mergeCell ref="K20:K21"/>
    <mergeCell ref="L20:L21"/>
    <mergeCell ref="N20:N21"/>
    <mergeCell ref="O20:O21"/>
    <mergeCell ref="I18:I19"/>
    <mergeCell ref="K18:K19"/>
    <mergeCell ref="L18:L19"/>
    <mergeCell ref="N18:N19"/>
    <mergeCell ref="O18:O19"/>
    <mergeCell ref="B20:B21"/>
    <mergeCell ref="C20:C21"/>
    <mergeCell ref="E20:E21"/>
    <mergeCell ref="F20:F21"/>
    <mergeCell ref="H20:H21"/>
    <mergeCell ref="I9:I10"/>
    <mergeCell ref="K9:K10"/>
    <mergeCell ref="L9:L10"/>
    <mergeCell ref="N9:N10"/>
    <mergeCell ref="O9:O10"/>
    <mergeCell ref="B18:B19"/>
    <mergeCell ref="C18:C19"/>
    <mergeCell ref="E18:E19"/>
    <mergeCell ref="F18:F19"/>
    <mergeCell ref="H18:H19"/>
    <mergeCell ref="B3:C4"/>
    <mergeCell ref="E3:F4"/>
    <mergeCell ref="H3:I4"/>
    <mergeCell ref="K3:L4"/>
    <mergeCell ref="N3:O4"/>
    <mergeCell ref="B9:B10"/>
    <mergeCell ref="C9:C10"/>
    <mergeCell ref="E9:E10"/>
    <mergeCell ref="F9:F10"/>
    <mergeCell ref="H9:H10"/>
  </mergeCells>
  <hyperlinks>
    <hyperlink ref="B1" location="'Quick Links'!A1" display="Home" xr:uid="{049EED1A-5AAF-4CD3-AC40-2044BB5A482A}"/>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7030A0"/>
  </sheetPr>
  <dimension ref="A1:P46"/>
  <sheetViews>
    <sheetView zoomScale="85" zoomScaleNormal="85" workbookViewId="0">
      <selection activeCell="B5" sqref="B5"/>
    </sheetView>
  </sheetViews>
  <sheetFormatPr defaultColWidth="9.140625" defaultRowHeight="14.45"/>
  <cols>
    <col min="1" max="1" width="9.140625" style="1"/>
    <col min="2" max="2" width="20.5703125" style="1" bestFit="1" customWidth="1"/>
    <col min="3" max="3" width="24.5703125" style="1" bestFit="1" customWidth="1"/>
    <col min="4" max="9" width="9.140625" style="1" hidden="1" customWidth="1"/>
    <col min="10" max="10" width="5.5703125" style="1" hidden="1" customWidth="1"/>
    <col min="11" max="13" width="9.140625" style="1"/>
    <col min="14" max="15" width="9.140625" style="1" customWidth="1"/>
    <col min="16" max="16" width="61.28515625" style="1" customWidth="1"/>
    <col min="17" max="17" width="9.140625" style="1"/>
    <col min="18" max="18" width="67" style="1" customWidth="1"/>
    <col min="19" max="16384" width="9.140625" style="1"/>
  </cols>
  <sheetData>
    <row r="1" spans="1:16">
      <c r="A1" s="288" t="s">
        <v>90</v>
      </c>
    </row>
    <row r="2" spans="1:16" ht="60.75" customHeight="1">
      <c r="D2" s="922" t="s">
        <v>520</v>
      </c>
      <c r="E2" s="922"/>
      <c r="F2" s="922"/>
      <c r="G2" s="922"/>
      <c r="H2" s="922"/>
      <c r="I2" s="922"/>
      <c r="K2" s="922" t="s">
        <v>521</v>
      </c>
      <c r="L2" s="922"/>
      <c r="M2" s="922"/>
      <c r="N2" s="922"/>
      <c r="O2" s="922"/>
      <c r="P2" s="922"/>
    </row>
    <row r="3" spans="1:16" ht="24" customHeight="1">
      <c r="D3" s="378"/>
      <c r="E3" s="378"/>
      <c r="F3" s="378"/>
      <c r="G3" s="378"/>
      <c r="H3" s="378"/>
      <c r="I3" s="378"/>
      <c r="K3" s="921" t="s">
        <v>522</v>
      </c>
      <c r="L3" s="921"/>
      <c r="M3" s="921"/>
      <c r="N3" s="921"/>
      <c r="O3" s="921"/>
      <c r="P3" s="921"/>
    </row>
    <row r="4" spans="1:16" ht="18">
      <c r="A4" s="5"/>
      <c r="B4" s="106" t="s">
        <v>159</v>
      </c>
      <c r="C4" s="106" t="s">
        <v>160</v>
      </c>
      <c r="D4" s="110" t="s">
        <v>523</v>
      </c>
      <c r="E4" s="110" t="s">
        <v>524</v>
      </c>
      <c r="F4" s="110" t="s">
        <v>525</v>
      </c>
      <c r="G4" s="110" t="s">
        <v>526</v>
      </c>
      <c r="H4" s="110" t="s">
        <v>527</v>
      </c>
      <c r="I4" s="110" t="s">
        <v>528</v>
      </c>
      <c r="J4" s="111"/>
      <c r="K4" s="110" t="s">
        <v>523</v>
      </c>
      <c r="L4" s="110" t="s">
        <v>524</v>
      </c>
      <c r="M4" s="110" t="s">
        <v>371</v>
      </c>
      <c r="N4" s="110" t="s">
        <v>528</v>
      </c>
      <c r="P4" s="9" t="s">
        <v>529</v>
      </c>
    </row>
    <row r="5" spans="1:16">
      <c r="A5" s="2">
        <v>1</v>
      </c>
      <c r="B5" s="2" t="str">
        <f>IF('Student Data'!C5=0,"",'Student Data'!C5)</f>
        <v>Rnne</v>
      </c>
      <c r="C5" s="2" t="str">
        <f>IF('Student Data'!D5=0,"",'Student Data'!D5)</f>
        <v>Donna</v>
      </c>
      <c r="D5" s="35"/>
      <c r="E5" s="35"/>
      <c r="F5" s="35"/>
      <c r="G5" s="35"/>
      <c r="H5" s="35"/>
      <c r="I5" s="6" t="str">
        <f t="shared" ref="I5:I40" si="0">IFERROR(AVERAGE(D5:H5),"")</f>
        <v/>
      </c>
      <c r="K5" s="35"/>
      <c r="L5" s="35"/>
      <c r="M5" s="35"/>
      <c r="N5" s="6" t="str">
        <f t="shared" ref="N5:N44" si="1">IFERROR(AVERAGE(K5:M5),"")</f>
        <v/>
      </c>
      <c r="P5" s="12"/>
    </row>
    <row r="6" spans="1:16">
      <c r="A6" s="2">
        <f>A5+1</f>
        <v>2</v>
      </c>
      <c r="B6" s="2" t="str">
        <f>IF('Student Data'!C6=0,"",'Student Data'!C6)</f>
        <v xml:space="preserve">Aquino </v>
      </c>
      <c r="C6" s="2" t="str">
        <f>IF('Student Data'!D6=0,"",'Student Data'!D6)</f>
        <v>Summer</v>
      </c>
      <c r="D6" s="35"/>
      <c r="E6" s="35"/>
      <c r="F6" s="35"/>
      <c r="G6" s="35"/>
      <c r="H6" s="35"/>
      <c r="I6" s="6" t="str">
        <f t="shared" si="0"/>
        <v/>
      </c>
      <c r="K6" s="35"/>
      <c r="L6" s="35"/>
      <c r="M6" s="35"/>
      <c r="N6" s="6" t="str">
        <f t="shared" si="1"/>
        <v/>
      </c>
      <c r="P6" s="12"/>
    </row>
    <row r="7" spans="1:16">
      <c r="A7" s="2">
        <f t="shared" ref="A7:A44" si="2">A6+1</f>
        <v>3</v>
      </c>
      <c r="B7" s="2" t="str">
        <f>IF('Student Data'!C7=0,"",'Student Data'!C7)</f>
        <v xml:space="preserve">Reyes </v>
      </c>
      <c r="C7" s="2" t="str">
        <f>IF('Student Data'!D7=0,"",'Student Data'!D7)</f>
        <v>Joana</v>
      </c>
      <c r="D7" s="35"/>
      <c r="E7" s="35"/>
      <c r="F7" s="35"/>
      <c r="G7" s="35"/>
      <c r="H7" s="35"/>
      <c r="I7" s="6" t="str">
        <f t="shared" si="0"/>
        <v/>
      </c>
      <c r="K7" s="35"/>
      <c r="L7" s="35"/>
      <c r="M7" s="35"/>
      <c r="N7" s="6" t="str">
        <f t="shared" si="1"/>
        <v/>
      </c>
      <c r="P7" s="12"/>
    </row>
    <row r="8" spans="1:16">
      <c r="A8" s="2">
        <f t="shared" si="2"/>
        <v>4</v>
      </c>
      <c r="B8" s="2" t="str">
        <f>IF('Student Data'!C8=0,"",'Student Data'!C8)</f>
        <v>Manuel</v>
      </c>
      <c r="C8" s="2" t="str">
        <f>IF('Student Data'!D8=0,"",'Student Data'!D8)</f>
        <v>Quezon</v>
      </c>
      <c r="D8" s="35"/>
      <c r="E8" s="35"/>
      <c r="F8" s="35"/>
      <c r="G8" s="35"/>
      <c r="H8" s="35"/>
      <c r="I8" s="6" t="str">
        <f t="shared" si="0"/>
        <v/>
      </c>
      <c r="K8" s="35"/>
      <c r="L8" s="35"/>
      <c r="M8" s="35"/>
      <c r="N8" s="6" t="str">
        <f t="shared" si="1"/>
        <v/>
      </c>
      <c r="P8" s="12"/>
    </row>
    <row r="9" spans="1:16">
      <c r="A9" s="2">
        <f t="shared" si="2"/>
        <v>5</v>
      </c>
      <c r="B9" s="2" t="str">
        <f>IF('Student Data'!C9=0,"",'Student Data'!C9)</f>
        <v/>
      </c>
      <c r="C9" s="2" t="str">
        <f>IF('Student Data'!D9=0,"",'Student Data'!D9)</f>
        <v/>
      </c>
      <c r="D9" s="35"/>
      <c r="E9" s="35"/>
      <c r="F9" s="35"/>
      <c r="G9" s="35"/>
      <c r="H9" s="35"/>
      <c r="I9" s="6" t="str">
        <f t="shared" si="0"/>
        <v/>
      </c>
      <c r="K9" s="35"/>
      <c r="L9" s="35"/>
      <c r="M9" s="35"/>
      <c r="N9" s="6" t="str">
        <f t="shared" si="1"/>
        <v/>
      </c>
      <c r="P9" s="12"/>
    </row>
    <row r="10" spans="1:16">
      <c r="A10" s="2">
        <f t="shared" si="2"/>
        <v>6</v>
      </c>
      <c r="B10" s="2" t="str">
        <f>IF('Student Data'!C10=0,"",'Student Data'!C10)</f>
        <v/>
      </c>
      <c r="C10" s="2" t="str">
        <f>IF('Student Data'!D10=0,"",'Student Data'!D10)</f>
        <v/>
      </c>
      <c r="D10" s="35"/>
      <c r="E10" s="35"/>
      <c r="F10" s="35"/>
      <c r="G10" s="35"/>
      <c r="H10" s="35"/>
      <c r="I10" s="6" t="str">
        <f t="shared" si="0"/>
        <v/>
      </c>
      <c r="K10" s="35"/>
      <c r="L10" s="35"/>
      <c r="M10" s="35"/>
      <c r="N10" s="6" t="str">
        <f t="shared" si="1"/>
        <v/>
      </c>
      <c r="P10" s="12"/>
    </row>
    <row r="11" spans="1:16">
      <c r="A11" s="2">
        <f t="shared" si="2"/>
        <v>7</v>
      </c>
      <c r="B11" s="2" t="str">
        <f>IF('Student Data'!C11=0,"",'Student Data'!C11)</f>
        <v/>
      </c>
      <c r="C11" s="2" t="str">
        <f>IF('Student Data'!D11=0,"",'Student Data'!D11)</f>
        <v/>
      </c>
      <c r="D11" s="35"/>
      <c r="E11" s="35"/>
      <c r="F11" s="35"/>
      <c r="G11" s="35"/>
      <c r="H11" s="35"/>
      <c r="I11" s="6" t="str">
        <f t="shared" si="0"/>
        <v/>
      </c>
      <c r="K11" s="35"/>
      <c r="L11" s="35"/>
      <c r="M11" s="35"/>
      <c r="N11" s="6" t="str">
        <f t="shared" si="1"/>
        <v/>
      </c>
      <c r="P11" s="12"/>
    </row>
    <row r="12" spans="1:16">
      <c r="A12" s="2">
        <f t="shared" si="2"/>
        <v>8</v>
      </c>
      <c r="B12" s="2" t="str">
        <f>IF('Student Data'!C12=0,"",'Student Data'!C12)</f>
        <v/>
      </c>
      <c r="C12" s="2" t="str">
        <f>IF('Student Data'!D12=0,"",'Student Data'!D12)</f>
        <v/>
      </c>
      <c r="D12" s="35"/>
      <c r="E12" s="35"/>
      <c r="F12" s="35"/>
      <c r="G12" s="35"/>
      <c r="H12" s="35"/>
      <c r="I12" s="6" t="str">
        <f t="shared" si="0"/>
        <v/>
      </c>
      <c r="K12" s="35"/>
      <c r="L12" s="35"/>
      <c r="M12" s="35"/>
      <c r="N12" s="6" t="str">
        <f t="shared" si="1"/>
        <v/>
      </c>
      <c r="P12" s="12"/>
    </row>
    <row r="13" spans="1:16">
      <c r="A13" s="2">
        <f t="shared" si="2"/>
        <v>9</v>
      </c>
      <c r="B13" s="2" t="str">
        <f>IF('Student Data'!C13=0,"",'Student Data'!C13)</f>
        <v/>
      </c>
      <c r="C13" s="2" t="str">
        <f>IF('Student Data'!D13=0,"",'Student Data'!D13)</f>
        <v/>
      </c>
      <c r="D13" s="35"/>
      <c r="E13" s="35"/>
      <c r="F13" s="35"/>
      <c r="G13" s="35"/>
      <c r="H13" s="35"/>
      <c r="I13" s="6" t="str">
        <f t="shared" si="0"/>
        <v/>
      </c>
      <c r="K13" s="35"/>
      <c r="L13" s="35"/>
      <c r="M13" s="35"/>
      <c r="N13" s="6" t="str">
        <f t="shared" si="1"/>
        <v/>
      </c>
      <c r="P13" s="12"/>
    </row>
    <row r="14" spans="1:16">
      <c r="A14" s="2">
        <f t="shared" si="2"/>
        <v>10</v>
      </c>
      <c r="B14" s="2" t="str">
        <f>IF('Student Data'!C14=0,"",'Student Data'!C14)</f>
        <v/>
      </c>
      <c r="C14" s="2" t="str">
        <f>IF('Student Data'!D14=0,"",'Student Data'!D14)</f>
        <v/>
      </c>
      <c r="D14" s="35"/>
      <c r="E14" s="35"/>
      <c r="F14" s="35"/>
      <c r="G14" s="35"/>
      <c r="H14" s="35"/>
      <c r="I14" s="6" t="str">
        <f t="shared" si="0"/>
        <v/>
      </c>
      <c r="K14" s="35"/>
      <c r="L14" s="35"/>
      <c r="M14" s="35"/>
      <c r="N14" s="6" t="str">
        <f t="shared" si="1"/>
        <v/>
      </c>
      <c r="P14" s="12"/>
    </row>
    <row r="15" spans="1:16">
      <c r="A15" s="2">
        <f t="shared" si="2"/>
        <v>11</v>
      </c>
      <c r="B15" s="2" t="str">
        <f>IF('Student Data'!C15=0,"",'Student Data'!C15)</f>
        <v/>
      </c>
      <c r="C15" s="2" t="str">
        <f>IF('Student Data'!D15=0,"",'Student Data'!D15)</f>
        <v/>
      </c>
      <c r="D15" s="35"/>
      <c r="E15" s="35"/>
      <c r="F15" s="35"/>
      <c r="G15" s="35"/>
      <c r="H15" s="35"/>
      <c r="I15" s="6" t="str">
        <f t="shared" si="0"/>
        <v/>
      </c>
      <c r="K15" s="35"/>
      <c r="L15" s="35"/>
      <c r="M15" s="35"/>
      <c r="N15" s="6" t="str">
        <f t="shared" si="1"/>
        <v/>
      </c>
      <c r="P15" s="12"/>
    </row>
    <row r="16" spans="1:16">
      <c r="A16" s="2">
        <f t="shared" si="2"/>
        <v>12</v>
      </c>
      <c r="B16" s="2" t="str">
        <f>IF('Student Data'!C16=0,"",'Student Data'!C16)</f>
        <v/>
      </c>
      <c r="C16" s="2" t="str">
        <f>IF('Student Data'!D16=0,"",'Student Data'!D16)</f>
        <v/>
      </c>
      <c r="D16" s="35"/>
      <c r="E16" s="35"/>
      <c r="F16" s="35"/>
      <c r="G16" s="35"/>
      <c r="H16" s="35"/>
      <c r="I16" s="6" t="str">
        <f t="shared" si="0"/>
        <v/>
      </c>
      <c r="K16" s="35"/>
      <c r="L16" s="35"/>
      <c r="M16" s="35"/>
      <c r="N16" s="6" t="str">
        <f t="shared" si="1"/>
        <v/>
      </c>
      <c r="P16" s="12"/>
    </row>
    <row r="17" spans="1:16">
      <c r="A17" s="2">
        <f t="shared" si="2"/>
        <v>13</v>
      </c>
      <c r="B17" s="2" t="str">
        <f>IF('Student Data'!C17=0,"",'Student Data'!C17)</f>
        <v/>
      </c>
      <c r="C17" s="2" t="str">
        <f>IF('Student Data'!D17=0,"",'Student Data'!D17)</f>
        <v/>
      </c>
      <c r="D17" s="35"/>
      <c r="E17" s="35"/>
      <c r="F17" s="35"/>
      <c r="G17" s="35"/>
      <c r="H17" s="35"/>
      <c r="I17" s="6" t="str">
        <f t="shared" si="0"/>
        <v/>
      </c>
      <c r="K17" s="35"/>
      <c r="L17" s="35"/>
      <c r="M17" s="35"/>
      <c r="N17" s="6" t="str">
        <f t="shared" si="1"/>
        <v/>
      </c>
      <c r="P17" s="12"/>
    </row>
    <row r="18" spans="1:16">
      <c r="A18" s="2">
        <f t="shared" si="2"/>
        <v>14</v>
      </c>
      <c r="B18" s="2" t="str">
        <f>IF('Student Data'!C18=0,"",'Student Data'!C18)</f>
        <v/>
      </c>
      <c r="C18" s="2" t="str">
        <f>IF('Student Data'!D18=0,"",'Student Data'!D18)</f>
        <v/>
      </c>
      <c r="D18" s="35"/>
      <c r="E18" s="35"/>
      <c r="F18" s="35"/>
      <c r="G18" s="35"/>
      <c r="H18" s="35"/>
      <c r="I18" s="6" t="str">
        <f t="shared" si="0"/>
        <v/>
      </c>
      <c r="K18" s="35"/>
      <c r="L18" s="35"/>
      <c r="M18" s="35"/>
      <c r="N18" s="6" t="str">
        <f t="shared" si="1"/>
        <v/>
      </c>
      <c r="P18" s="12"/>
    </row>
    <row r="19" spans="1:16">
      <c r="A19" s="2">
        <f t="shared" si="2"/>
        <v>15</v>
      </c>
      <c r="B19" s="2" t="str">
        <f>IF('Student Data'!C19=0,"",'Student Data'!C19)</f>
        <v/>
      </c>
      <c r="C19" s="2" t="str">
        <f>IF('Student Data'!D19=0,"",'Student Data'!D19)</f>
        <v/>
      </c>
      <c r="D19" s="35"/>
      <c r="E19" s="35"/>
      <c r="F19" s="35"/>
      <c r="G19" s="35"/>
      <c r="H19" s="35"/>
      <c r="I19" s="6" t="str">
        <f t="shared" si="0"/>
        <v/>
      </c>
      <c r="K19" s="35"/>
      <c r="L19" s="35"/>
      <c r="M19" s="35"/>
      <c r="N19" s="6" t="str">
        <f t="shared" si="1"/>
        <v/>
      </c>
      <c r="P19" s="12"/>
    </row>
    <row r="20" spans="1:16">
      <c r="A20" s="2">
        <f t="shared" si="2"/>
        <v>16</v>
      </c>
      <c r="B20" s="2" t="str">
        <f>IF('Student Data'!C20=0,"",'Student Data'!C20)</f>
        <v/>
      </c>
      <c r="C20" s="2" t="str">
        <f>IF('Student Data'!D20=0,"",'Student Data'!D20)</f>
        <v/>
      </c>
      <c r="D20" s="35"/>
      <c r="E20" s="35"/>
      <c r="F20" s="35"/>
      <c r="G20" s="35"/>
      <c r="H20" s="35"/>
      <c r="I20" s="6" t="str">
        <f t="shared" si="0"/>
        <v/>
      </c>
      <c r="K20" s="35"/>
      <c r="L20" s="35"/>
      <c r="M20" s="35"/>
      <c r="N20" s="6" t="str">
        <f t="shared" si="1"/>
        <v/>
      </c>
      <c r="P20" s="12"/>
    </row>
    <row r="21" spans="1:16">
      <c r="A21" s="2">
        <f t="shared" si="2"/>
        <v>17</v>
      </c>
      <c r="B21" s="2" t="str">
        <f>IF('Student Data'!C21=0,"",'Student Data'!C21)</f>
        <v/>
      </c>
      <c r="C21" s="2" t="str">
        <f>IF('Student Data'!D21=0,"",'Student Data'!D21)</f>
        <v/>
      </c>
      <c r="D21" s="35"/>
      <c r="E21" s="35"/>
      <c r="F21" s="35"/>
      <c r="G21" s="35"/>
      <c r="H21" s="35"/>
      <c r="I21" s="6" t="str">
        <f t="shared" si="0"/>
        <v/>
      </c>
      <c r="K21" s="35"/>
      <c r="L21" s="35"/>
      <c r="M21" s="35"/>
      <c r="N21" s="6" t="str">
        <f t="shared" si="1"/>
        <v/>
      </c>
      <c r="P21" s="12"/>
    </row>
    <row r="22" spans="1:16">
      <c r="A22" s="2">
        <f t="shared" si="2"/>
        <v>18</v>
      </c>
      <c r="B22" s="2" t="str">
        <f>IF('Student Data'!C22=0,"",'Student Data'!C22)</f>
        <v/>
      </c>
      <c r="C22" s="2" t="str">
        <f>IF('Student Data'!D22=0,"",'Student Data'!D22)</f>
        <v/>
      </c>
      <c r="D22" s="35"/>
      <c r="E22" s="35"/>
      <c r="F22" s="35"/>
      <c r="G22" s="35"/>
      <c r="H22" s="35"/>
      <c r="I22" s="6" t="str">
        <f t="shared" si="0"/>
        <v/>
      </c>
      <c r="K22" s="35"/>
      <c r="L22" s="35"/>
      <c r="M22" s="35"/>
      <c r="N22" s="6" t="str">
        <f t="shared" si="1"/>
        <v/>
      </c>
      <c r="P22" s="12"/>
    </row>
    <row r="23" spans="1:16">
      <c r="A23" s="2">
        <f t="shared" si="2"/>
        <v>19</v>
      </c>
      <c r="B23" s="2" t="str">
        <f>IF('Student Data'!C23=0,"",'Student Data'!C23)</f>
        <v/>
      </c>
      <c r="C23" s="2" t="str">
        <f>IF('Student Data'!D23=0,"",'Student Data'!D23)</f>
        <v/>
      </c>
      <c r="D23" s="35"/>
      <c r="E23" s="35"/>
      <c r="F23" s="35"/>
      <c r="G23" s="35"/>
      <c r="H23" s="35"/>
      <c r="I23" s="6" t="str">
        <f t="shared" si="0"/>
        <v/>
      </c>
      <c r="K23" s="35"/>
      <c r="L23" s="35"/>
      <c r="M23" s="35"/>
      <c r="N23" s="6" t="str">
        <f t="shared" si="1"/>
        <v/>
      </c>
      <c r="P23" s="12"/>
    </row>
    <row r="24" spans="1:16">
      <c r="A24" s="2">
        <f t="shared" si="2"/>
        <v>20</v>
      </c>
      <c r="B24" s="2" t="str">
        <f>IF('Student Data'!C24=0,"",'Student Data'!C24)</f>
        <v/>
      </c>
      <c r="C24" s="2" t="str">
        <f>IF('Student Data'!D24=0,"",'Student Data'!D24)</f>
        <v/>
      </c>
      <c r="D24" s="35"/>
      <c r="E24" s="35"/>
      <c r="F24" s="35"/>
      <c r="G24" s="35"/>
      <c r="H24" s="35"/>
      <c r="I24" s="6" t="str">
        <f t="shared" si="0"/>
        <v/>
      </c>
      <c r="K24" s="35"/>
      <c r="L24" s="35"/>
      <c r="M24" s="35"/>
      <c r="N24" s="6" t="str">
        <f t="shared" si="1"/>
        <v/>
      </c>
      <c r="P24" s="12"/>
    </row>
    <row r="25" spans="1:16">
      <c r="A25" s="2">
        <f t="shared" si="2"/>
        <v>21</v>
      </c>
      <c r="B25" s="2" t="str">
        <f>IF('Student Data'!C25=0,"",'Student Data'!C25)</f>
        <v/>
      </c>
      <c r="C25" s="2" t="str">
        <f>IF('Student Data'!D25=0,"",'Student Data'!D25)</f>
        <v/>
      </c>
      <c r="D25" s="35"/>
      <c r="E25" s="35"/>
      <c r="F25" s="35"/>
      <c r="G25" s="35"/>
      <c r="H25" s="35"/>
      <c r="I25" s="6" t="str">
        <f t="shared" si="0"/>
        <v/>
      </c>
      <c r="K25" s="35"/>
      <c r="L25" s="35"/>
      <c r="M25" s="35"/>
      <c r="N25" s="6" t="str">
        <f t="shared" si="1"/>
        <v/>
      </c>
      <c r="P25" s="12"/>
    </row>
    <row r="26" spans="1:16">
      <c r="A26" s="2">
        <f t="shared" si="2"/>
        <v>22</v>
      </c>
      <c r="B26" s="2" t="str">
        <f>IF('Student Data'!C26=0,"",'Student Data'!C26)</f>
        <v/>
      </c>
      <c r="C26" s="2" t="str">
        <f>IF('Student Data'!D26=0,"",'Student Data'!D26)</f>
        <v/>
      </c>
      <c r="D26" s="35"/>
      <c r="E26" s="35"/>
      <c r="F26" s="35"/>
      <c r="G26" s="35"/>
      <c r="H26" s="35"/>
      <c r="I26" s="6" t="str">
        <f t="shared" si="0"/>
        <v/>
      </c>
      <c r="K26" s="35"/>
      <c r="L26" s="35"/>
      <c r="M26" s="35"/>
      <c r="N26" s="6" t="str">
        <f t="shared" si="1"/>
        <v/>
      </c>
      <c r="P26" s="12"/>
    </row>
    <row r="27" spans="1:16">
      <c r="A27" s="2">
        <f t="shared" si="2"/>
        <v>23</v>
      </c>
      <c r="B27" s="2" t="str">
        <f>IF('Student Data'!C27=0,"",'Student Data'!C27)</f>
        <v/>
      </c>
      <c r="C27" s="2" t="str">
        <f>IF('Student Data'!D27=0,"",'Student Data'!D27)</f>
        <v/>
      </c>
      <c r="D27" s="35"/>
      <c r="E27" s="35"/>
      <c r="F27" s="35"/>
      <c r="G27" s="35"/>
      <c r="H27" s="35"/>
      <c r="I27" s="6" t="str">
        <f t="shared" si="0"/>
        <v/>
      </c>
      <c r="K27" s="35"/>
      <c r="L27" s="35"/>
      <c r="M27" s="35"/>
      <c r="N27" s="6" t="str">
        <f t="shared" si="1"/>
        <v/>
      </c>
      <c r="P27" s="12"/>
    </row>
    <row r="28" spans="1:16">
      <c r="A28" s="2">
        <f t="shared" si="2"/>
        <v>24</v>
      </c>
      <c r="B28" s="2" t="str">
        <f>IF('Student Data'!C28=0,"",'Student Data'!C28)</f>
        <v/>
      </c>
      <c r="C28" s="2" t="str">
        <f>IF('Student Data'!D28=0,"",'Student Data'!D28)</f>
        <v/>
      </c>
      <c r="D28" s="35"/>
      <c r="E28" s="35"/>
      <c r="F28" s="35"/>
      <c r="G28" s="35"/>
      <c r="H28" s="35"/>
      <c r="I28" s="6" t="str">
        <f t="shared" si="0"/>
        <v/>
      </c>
      <c r="K28" s="35"/>
      <c r="L28" s="35"/>
      <c r="M28" s="35"/>
      <c r="N28" s="6" t="str">
        <f t="shared" si="1"/>
        <v/>
      </c>
      <c r="P28" s="12"/>
    </row>
    <row r="29" spans="1:16">
      <c r="A29" s="2">
        <f t="shared" si="2"/>
        <v>25</v>
      </c>
      <c r="B29" s="2" t="str">
        <f>IF('Student Data'!C29=0,"",'Student Data'!C29)</f>
        <v/>
      </c>
      <c r="C29" s="2" t="str">
        <f>IF('Student Data'!D29=0,"",'Student Data'!D29)</f>
        <v/>
      </c>
      <c r="D29" s="35"/>
      <c r="E29" s="35"/>
      <c r="F29" s="35"/>
      <c r="G29" s="35"/>
      <c r="H29" s="35"/>
      <c r="I29" s="6" t="str">
        <f t="shared" si="0"/>
        <v/>
      </c>
      <c r="K29" s="35"/>
      <c r="L29" s="35"/>
      <c r="M29" s="35"/>
      <c r="N29" s="6" t="str">
        <f t="shared" si="1"/>
        <v/>
      </c>
      <c r="P29" s="12"/>
    </row>
    <row r="30" spans="1:16">
      <c r="A30" s="2">
        <f t="shared" si="2"/>
        <v>26</v>
      </c>
      <c r="B30" s="2" t="str">
        <f>IF('Student Data'!C30=0,"",'Student Data'!C30)</f>
        <v/>
      </c>
      <c r="C30" s="2" t="str">
        <f>IF('Student Data'!D30=0,"",'Student Data'!D30)</f>
        <v/>
      </c>
      <c r="D30" s="35"/>
      <c r="E30" s="35"/>
      <c r="F30" s="35"/>
      <c r="G30" s="35"/>
      <c r="H30" s="35"/>
      <c r="I30" s="6" t="str">
        <f t="shared" si="0"/>
        <v/>
      </c>
      <c r="K30" s="35"/>
      <c r="L30" s="35"/>
      <c r="M30" s="35"/>
      <c r="N30" s="6" t="str">
        <f t="shared" si="1"/>
        <v/>
      </c>
      <c r="P30" s="12"/>
    </row>
    <row r="31" spans="1:16">
      <c r="A31" s="2">
        <f t="shared" si="2"/>
        <v>27</v>
      </c>
      <c r="B31" s="2" t="str">
        <f>IF('Student Data'!C31=0,"",'Student Data'!C31)</f>
        <v/>
      </c>
      <c r="C31" s="2" t="str">
        <f>IF('Student Data'!D31=0,"",'Student Data'!D31)</f>
        <v/>
      </c>
      <c r="D31" s="35"/>
      <c r="E31" s="35"/>
      <c r="F31" s="35"/>
      <c r="G31" s="35"/>
      <c r="H31" s="35"/>
      <c r="I31" s="6" t="str">
        <f t="shared" si="0"/>
        <v/>
      </c>
      <c r="K31" s="35"/>
      <c r="L31" s="35"/>
      <c r="M31" s="35"/>
      <c r="N31" s="6" t="str">
        <f t="shared" si="1"/>
        <v/>
      </c>
      <c r="P31" s="12"/>
    </row>
    <row r="32" spans="1:16">
      <c r="A32" s="2">
        <f t="shared" si="2"/>
        <v>28</v>
      </c>
      <c r="B32" s="2" t="str">
        <f>IF('Student Data'!C32=0,"",'Student Data'!C32)</f>
        <v/>
      </c>
      <c r="C32" s="2" t="str">
        <f>IF('Student Data'!D32=0,"",'Student Data'!D32)</f>
        <v/>
      </c>
      <c r="D32" s="35"/>
      <c r="E32" s="35"/>
      <c r="F32" s="35"/>
      <c r="G32" s="35"/>
      <c r="H32" s="35"/>
      <c r="I32" s="6" t="str">
        <f t="shared" si="0"/>
        <v/>
      </c>
      <c r="K32" s="35"/>
      <c r="L32" s="35"/>
      <c r="M32" s="35"/>
      <c r="N32" s="6" t="str">
        <f t="shared" si="1"/>
        <v/>
      </c>
      <c r="P32" s="12"/>
    </row>
    <row r="33" spans="1:16">
      <c r="A33" s="2">
        <f t="shared" si="2"/>
        <v>29</v>
      </c>
      <c r="B33" s="2" t="str">
        <f>IF('Student Data'!C33=0,"",'Student Data'!C33)</f>
        <v/>
      </c>
      <c r="C33" s="2" t="str">
        <f>IF('Student Data'!D33=0,"",'Student Data'!D33)</f>
        <v/>
      </c>
      <c r="D33" s="35"/>
      <c r="E33" s="35"/>
      <c r="F33" s="35"/>
      <c r="G33" s="35"/>
      <c r="H33" s="35"/>
      <c r="I33" s="6" t="str">
        <f t="shared" si="0"/>
        <v/>
      </c>
      <c r="K33" s="35"/>
      <c r="L33" s="35"/>
      <c r="M33" s="35"/>
      <c r="N33" s="6" t="str">
        <f t="shared" si="1"/>
        <v/>
      </c>
      <c r="P33" s="12"/>
    </row>
    <row r="34" spans="1:16">
      <c r="A34" s="2">
        <f t="shared" si="2"/>
        <v>30</v>
      </c>
      <c r="B34" s="2" t="str">
        <f>IF('Student Data'!C34=0,"",'Student Data'!C34)</f>
        <v/>
      </c>
      <c r="C34" s="2" t="str">
        <f>IF('Student Data'!D34=0,"",'Student Data'!D34)</f>
        <v/>
      </c>
      <c r="D34" s="35"/>
      <c r="E34" s="35"/>
      <c r="F34" s="35"/>
      <c r="G34" s="35"/>
      <c r="H34" s="35"/>
      <c r="I34" s="6" t="str">
        <f t="shared" si="0"/>
        <v/>
      </c>
      <c r="K34" s="35"/>
      <c r="L34" s="35"/>
      <c r="M34" s="35"/>
      <c r="N34" s="6" t="str">
        <f t="shared" si="1"/>
        <v/>
      </c>
      <c r="P34" s="12"/>
    </row>
    <row r="35" spans="1:16">
      <c r="A35" s="2">
        <f t="shared" si="2"/>
        <v>31</v>
      </c>
      <c r="B35" s="2" t="str">
        <f>IF('Student Data'!C35=0,"",'Student Data'!C35)</f>
        <v/>
      </c>
      <c r="C35" s="2" t="str">
        <f>IF('Student Data'!D35=0,"",'Student Data'!D35)</f>
        <v/>
      </c>
      <c r="D35" s="35"/>
      <c r="E35" s="35"/>
      <c r="F35" s="35"/>
      <c r="G35" s="35"/>
      <c r="H35" s="35"/>
      <c r="I35" s="6" t="str">
        <f t="shared" si="0"/>
        <v/>
      </c>
      <c r="K35" s="35"/>
      <c r="L35" s="35"/>
      <c r="M35" s="35"/>
      <c r="N35" s="6" t="str">
        <f t="shared" si="1"/>
        <v/>
      </c>
      <c r="P35" s="12"/>
    </row>
    <row r="36" spans="1:16">
      <c r="A36" s="2">
        <f t="shared" si="2"/>
        <v>32</v>
      </c>
      <c r="B36" s="2" t="str">
        <f>IF('Student Data'!C36=0,"",'Student Data'!C36)</f>
        <v/>
      </c>
      <c r="C36" s="2" t="str">
        <f>IF('Student Data'!D36=0,"",'Student Data'!D36)</f>
        <v/>
      </c>
      <c r="D36" s="35"/>
      <c r="E36" s="35"/>
      <c r="F36" s="35"/>
      <c r="G36" s="35"/>
      <c r="H36" s="35"/>
      <c r="I36" s="6" t="str">
        <f t="shared" si="0"/>
        <v/>
      </c>
      <c r="K36" s="35"/>
      <c r="L36" s="35"/>
      <c r="M36" s="35"/>
      <c r="N36" s="6" t="str">
        <f t="shared" si="1"/>
        <v/>
      </c>
      <c r="P36" s="12"/>
    </row>
    <row r="37" spans="1:16">
      <c r="A37" s="2">
        <f t="shared" si="2"/>
        <v>33</v>
      </c>
      <c r="B37" s="2" t="str">
        <f>IF('Student Data'!C37=0,"",'Student Data'!C37)</f>
        <v/>
      </c>
      <c r="C37" s="2" t="str">
        <f>IF('Student Data'!D37=0,"",'Student Data'!D37)</f>
        <v/>
      </c>
      <c r="D37" s="35"/>
      <c r="E37" s="35"/>
      <c r="F37" s="35"/>
      <c r="G37" s="35"/>
      <c r="H37" s="35"/>
      <c r="I37" s="6" t="str">
        <f t="shared" si="0"/>
        <v/>
      </c>
      <c r="K37" s="35"/>
      <c r="L37" s="35"/>
      <c r="M37" s="35"/>
      <c r="N37" s="6" t="str">
        <f t="shared" si="1"/>
        <v/>
      </c>
      <c r="P37" s="12"/>
    </row>
    <row r="38" spans="1:16">
      <c r="A38" s="2">
        <f t="shared" si="2"/>
        <v>34</v>
      </c>
      <c r="B38" s="2" t="str">
        <f>IF('Student Data'!C38=0,"",'Student Data'!C38)</f>
        <v/>
      </c>
      <c r="C38" s="2" t="str">
        <f>IF('Student Data'!D38=0,"",'Student Data'!D38)</f>
        <v/>
      </c>
      <c r="D38" s="35"/>
      <c r="E38" s="35"/>
      <c r="F38" s="35"/>
      <c r="G38" s="35"/>
      <c r="H38" s="35"/>
      <c r="I38" s="6" t="str">
        <f t="shared" si="0"/>
        <v/>
      </c>
      <c r="K38" s="35"/>
      <c r="L38" s="35"/>
      <c r="M38" s="35"/>
      <c r="N38" s="6" t="str">
        <f t="shared" si="1"/>
        <v/>
      </c>
      <c r="P38" s="12"/>
    </row>
    <row r="39" spans="1:16">
      <c r="A39" s="2">
        <f t="shared" si="2"/>
        <v>35</v>
      </c>
      <c r="B39" s="2" t="str">
        <f>IF('Student Data'!C39=0,"",'Student Data'!C39)</f>
        <v/>
      </c>
      <c r="C39" s="2" t="str">
        <f>IF('Student Data'!D39=0,"",'Student Data'!D39)</f>
        <v/>
      </c>
      <c r="D39" s="35"/>
      <c r="E39" s="35"/>
      <c r="F39" s="35"/>
      <c r="G39" s="35"/>
      <c r="H39" s="35"/>
      <c r="I39" s="6" t="str">
        <f t="shared" si="0"/>
        <v/>
      </c>
      <c r="K39" s="35"/>
      <c r="L39" s="35"/>
      <c r="M39" s="35"/>
      <c r="N39" s="6" t="str">
        <f t="shared" si="1"/>
        <v/>
      </c>
      <c r="P39" s="12"/>
    </row>
    <row r="40" spans="1:16">
      <c r="A40" s="2">
        <f t="shared" si="2"/>
        <v>36</v>
      </c>
      <c r="B40" s="2" t="str">
        <f>IF('Student Data'!C40=0,"",'Student Data'!C40)</f>
        <v/>
      </c>
      <c r="C40" s="2" t="str">
        <f>IF('Student Data'!D40=0,"",'Student Data'!D40)</f>
        <v/>
      </c>
      <c r="D40" s="35"/>
      <c r="E40" s="35"/>
      <c r="F40" s="35"/>
      <c r="G40" s="35"/>
      <c r="H40" s="35"/>
      <c r="I40" s="6" t="str">
        <f t="shared" si="0"/>
        <v/>
      </c>
      <c r="K40" s="35"/>
      <c r="L40" s="35"/>
      <c r="M40" s="35"/>
      <c r="N40" s="6" t="str">
        <f t="shared" si="1"/>
        <v/>
      </c>
      <c r="P40" s="12"/>
    </row>
    <row r="41" spans="1:16">
      <c r="A41" s="2">
        <f t="shared" si="2"/>
        <v>37</v>
      </c>
      <c r="B41" s="2" t="str">
        <f>IF('Student Data'!C41=0,"",'Student Data'!C41)</f>
        <v/>
      </c>
      <c r="C41" s="2" t="str">
        <f>IF('Student Data'!D41=0,"",'Student Data'!D41)</f>
        <v/>
      </c>
      <c r="D41" s="35"/>
      <c r="E41" s="35"/>
      <c r="F41" s="35"/>
      <c r="G41" s="35"/>
      <c r="H41" s="35"/>
      <c r="I41" s="6" t="str">
        <f t="shared" ref="I41:I44" si="3">IFERROR(AVERAGE(D41:H41),"")</f>
        <v/>
      </c>
      <c r="K41" s="35"/>
      <c r="L41" s="35"/>
      <c r="M41" s="35"/>
      <c r="N41" s="6" t="str">
        <f t="shared" si="1"/>
        <v/>
      </c>
      <c r="P41" s="12"/>
    </row>
    <row r="42" spans="1:16">
      <c r="A42" s="2">
        <f t="shared" si="2"/>
        <v>38</v>
      </c>
      <c r="B42" s="2" t="str">
        <f>IF('Student Data'!C42=0,"",'Student Data'!C42)</f>
        <v/>
      </c>
      <c r="C42" s="2" t="str">
        <f>IF('Student Data'!D42=0,"",'Student Data'!D42)</f>
        <v/>
      </c>
      <c r="D42" s="35"/>
      <c r="E42" s="35"/>
      <c r="F42" s="35"/>
      <c r="G42" s="35"/>
      <c r="H42" s="35"/>
      <c r="I42" s="6" t="str">
        <f t="shared" si="3"/>
        <v/>
      </c>
      <c r="K42" s="35"/>
      <c r="L42" s="35"/>
      <c r="M42" s="35"/>
      <c r="N42" s="6" t="str">
        <f t="shared" si="1"/>
        <v/>
      </c>
      <c r="P42" s="12"/>
    </row>
    <row r="43" spans="1:16">
      <c r="A43" s="2">
        <f t="shared" si="2"/>
        <v>39</v>
      </c>
      <c r="B43" s="2" t="str">
        <f>IF('Student Data'!C43=0,"",'Student Data'!C43)</f>
        <v/>
      </c>
      <c r="C43" s="2" t="str">
        <f>IF('Student Data'!D43=0,"",'Student Data'!D43)</f>
        <v/>
      </c>
      <c r="D43" s="35"/>
      <c r="E43" s="35"/>
      <c r="F43" s="35"/>
      <c r="G43" s="35"/>
      <c r="H43" s="35"/>
      <c r="I43" s="6" t="str">
        <f t="shared" si="3"/>
        <v/>
      </c>
      <c r="K43" s="35"/>
      <c r="L43" s="35"/>
      <c r="M43" s="35"/>
      <c r="N43" s="6" t="str">
        <f t="shared" si="1"/>
        <v/>
      </c>
      <c r="P43" s="12"/>
    </row>
    <row r="44" spans="1:16" ht="15" thickBot="1">
      <c r="A44" s="2">
        <f t="shared" si="2"/>
        <v>40</v>
      </c>
      <c r="B44" s="2" t="str">
        <f>IF('Student Data'!C44=0,"",'Student Data'!C44)</f>
        <v/>
      </c>
      <c r="C44" s="2" t="str">
        <f>IF('Student Data'!D44=0,"",'Student Data'!D44)</f>
        <v/>
      </c>
      <c r="D44" s="35"/>
      <c r="E44" s="35"/>
      <c r="F44" s="35"/>
      <c r="G44" s="35"/>
      <c r="H44" s="35"/>
      <c r="I44" s="6" t="str">
        <f t="shared" si="3"/>
        <v/>
      </c>
      <c r="K44" s="35"/>
      <c r="L44" s="35"/>
      <c r="M44" s="35"/>
      <c r="N44" s="6" t="str">
        <f t="shared" si="1"/>
        <v/>
      </c>
      <c r="P44" s="12"/>
    </row>
    <row r="45" spans="1:16" ht="15" thickBot="1">
      <c r="C45" s="36" t="s">
        <v>530</v>
      </c>
      <c r="D45" s="37" t="str">
        <f t="shared" ref="D45:I45" si="4">IFERROR(AVERAGE(D5:D44),"")</f>
        <v/>
      </c>
      <c r="E45" s="37" t="str">
        <f t="shared" si="4"/>
        <v/>
      </c>
      <c r="F45" s="37" t="str">
        <f t="shared" si="4"/>
        <v/>
      </c>
      <c r="G45" s="37" t="str">
        <f t="shared" si="4"/>
        <v/>
      </c>
      <c r="H45" s="37" t="str">
        <f t="shared" si="4"/>
        <v/>
      </c>
      <c r="I45" s="37" t="str">
        <f t="shared" si="4"/>
        <v/>
      </c>
      <c r="J45" s="38"/>
      <c r="K45" s="37" t="str">
        <f t="shared" ref="K45:N45" si="5">IFERROR(AVERAGE(K5:K44),"")</f>
        <v/>
      </c>
      <c r="L45" s="37" t="str">
        <f t="shared" si="5"/>
        <v/>
      </c>
      <c r="M45" s="37" t="str">
        <f t="shared" si="5"/>
        <v/>
      </c>
      <c r="N45" s="37" t="str">
        <f t="shared" si="5"/>
        <v/>
      </c>
    </row>
    <row r="46" spans="1:16">
      <c r="C46" s="1" t="s">
        <v>531</v>
      </c>
      <c r="D46" s="39">
        <v>0.8</v>
      </c>
      <c r="E46" s="39">
        <v>0.8</v>
      </c>
      <c r="F46" s="39">
        <v>0.8</v>
      </c>
      <c r="G46" s="39">
        <v>0.8</v>
      </c>
      <c r="H46" s="39">
        <v>0.8</v>
      </c>
      <c r="I46" s="39">
        <v>0.8</v>
      </c>
      <c r="J46" s="39"/>
      <c r="K46" s="39">
        <v>0.8</v>
      </c>
      <c r="L46" s="39">
        <v>0.8</v>
      </c>
      <c r="M46" s="39">
        <v>0.8</v>
      </c>
      <c r="N46" s="39">
        <v>0.8</v>
      </c>
    </row>
  </sheetData>
  <sheetProtection selectLockedCells="1"/>
  <mergeCells count="3">
    <mergeCell ref="K3:P3"/>
    <mergeCell ref="D2:I2"/>
    <mergeCell ref="K2:P2"/>
  </mergeCells>
  <conditionalFormatting sqref="A5:A44">
    <cfRule type="expression" dxfId="1463" priority="30">
      <formula>IF($D5="Terminated-Nesting",TRUE,FALSE)</formula>
    </cfRule>
    <cfRule type="expression" dxfId="1462" priority="31">
      <formula>IF($D5="Resigned",TRUE,FALSE)</formula>
    </cfRule>
    <cfRule type="expression" dxfId="1461" priority="32">
      <formula>IF($D5="Terminated",TRUE,FALSE)</formula>
    </cfRule>
    <cfRule type="expression" dxfId="1460" priority="33">
      <formula>IF($D5="Resigned-Nesting",TRUE,FALSE)</formula>
    </cfRule>
  </conditionalFormatting>
  <conditionalFormatting sqref="B5:C44">
    <cfRule type="expression" dxfId="1459" priority="34">
      <formula>IF($D6="Terminated-Nesting",TRUE,FALSE)</formula>
    </cfRule>
    <cfRule type="expression" dxfId="1458" priority="35">
      <formula>IF($D6="Resigned",TRUE,FALSE)</formula>
    </cfRule>
    <cfRule type="expression" dxfId="1457" priority="36">
      <formula>IF($D6="Terminated",TRUE,FALSE)</formula>
    </cfRule>
    <cfRule type="expression" dxfId="1456" priority="37">
      <formula>IF($D6="Resigned-Nesting",TRUE,FALSE)</formula>
    </cfRule>
  </conditionalFormatting>
  <conditionalFormatting sqref="D5:I40">
    <cfRule type="cellIs" dxfId="1455" priority="27" operator="between">
      <formula>0.00014</formula>
      <formula>0.69998</formula>
    </cfRule>
    <cfRule type="cellIs" dxfId="1454" priority="28" operator="between">
      <formula>0.69999</formula>
      <formula>0.79998</formula>
    </cfRule>
    <cfRule type="cellIs" dxfId="1453" priority="29" operator="greaterThan">
      <formula>0.79999</formula>
    </cfRule>
  </conditionalFormatting>
  <conditionalFormatting sqref="N5">
    <cfRule type="cellIs" dxfId="1452" priority="24" operator="between">
      <formula>0.00014</formula>
      <formula>0.69998</formula>
    </cfRule>
    <cfRule type="cellIs" dxfId="1451" priority="25" operator="between">
      <formula>0.69999</formula>
      <formula>0.79998</formula>
    </cfRule>
    <cfRule type="cellIs" dxfId="1450" priority="26" operator="greaterThan">
      <formula>0.79999</formula>
    </cfRule>
  </conditionalFormatting>
  <conditionalFormatting sqref="N6:N40">
    <cfRule type="cellIs" dxfId="1449" priority="21" operator="between">
      <formula>0.00014</formula>
      <formula>0.69998</formula>
    </cfRule>
    <cfRule type="cellIs" dxfId="1448" priority="22" operator="between">
      <formula>0.69999</formula>
      <formula>0.79998</formula>
    </cfRule>
    <cfRule type="cellIs" dxfId="1447" priority="23" operator="greaterThan">
      <formula>0.79999</formula>
    </cfRule>
  </conditionalFormatting>
  <conditionalFormatting sqref="K5:M40">
    <cfRule type="cellIs" dxfId="1446" priority="18" operator="between">
      <formula>0.00014</formula>
      <formula>0.69998</formula>
    </cfRule>
    <cfRule type="cellIs" dxfId="1445" priority="19" operator="between">
      <formula>0.69999</formula>
      <formula>0.79998</formula>
    </cfRule>
    <cfRule type="cellIs" dxfId="1444" priority="20" operator="greaterThan">
      <formula>0.79999</formula>
    </cfRule>
  </conditionalFormatting>
  <conditionalFormatting sqref="D41:I44">
    <cfRule type="cellIs" dxfId="1443" priority="7" operator="between">
      <formula>0.00014</formula>
      <formula>0.69998</formula>
    </cfRule>
    <cfRule type="cellIs" dxfId="1442" priority="8" operator="between">
      <formula>0.69999</formula>
      <formula>0.79998</formula>
    </cfRule>
    <cfRule type="cellIs" dxfId="1441" priority="9" operator="greaterThan">
      <formula>0.79999</formula>
    </cfRule>
  </conditionalFormatting>
  <conditionalFormatting sqref="N41:N44">
    <cfRule type="cellIs" dxfId="1440" priority="4" operator="between">
      <formula>0.00014</formula>
      <formula>0.69998</formula>
    </cfRule>
    <cfRule type="cellIs" dxfId="1439" priority="5" operator="between">
      <formula>0.69999</formula>
      <formula>0.79998</formula>
    </cfRule>
    <cfRule type="cellIs" dxfId="1438" priority="6" operator="greaterThan">
      <formula>0.79999</formula>
    </cfRule>
  </conditionalFormatting>
  <conditionalFormatting sqref="K41:M44">
    <cfRule type="cellIs" dxfId="1437" priority="1" operator="between">
      <formula>0.00014</formula>
      <formula>0.69998</formula>
    </cfRule>
    <cfRule type="cellIs" dxfId="1436" priority="2" operator="between">
      <formula>0.69999</formula>
      <formula>0.79998</formula>
    </cfRule>
    <cfRule type="cellIs" dxfId="1435" priority="3" operator="greaterThan">
      <formula>0.79999</formula>
    </cfRule>
  </conditionalFormatting>
  <hyperlinks>
    <hyperlink ref="A1" location="'Quick Links'!A1" display="Home" xr:uid="{88753C21-9429-4D49-AD3C-F6C35211415A}"/>
  </hyperlink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38572-734C-4C0B-9935-FEFF16C55369}">
  <dimension ref="A1:OP58"/>
  <sheetViews>
    <sheetView tabSelected="1" workbookViewId="0">
      <pane xSplit="1" topLeftCell="B1" activePane="topRight" state="frozen"/>
      <selection pane="topRight" activeCell="G13" sqref="G13"/>
    </sheetView>
  </sheetViews>
  <sheetFormatPr defaultRowHeight="15"/>
  <cols>
    <col min="1" max="1" width="15.5703125" customWidth="1"/>
    <col min="2" max="2" width="5.28515625" customWidth="1"/>
    <col min="3" max="5" width="3.85546875" customWidth="1"/>
    <col min="6" max="6" width="7.5703125" customWidth="1"/>
    <col min="7" max="7" width="38.5703125" customWidth="1"/>
    <col min="8" max="8" width="5.28515625" customWidth="1"/>
    <col min="9" max="11" width="3.85546875" customWidth="1"/>
    <col min="12" max="12" width="7.5703125" customWidth="1"/>
    <col min="13" max="13" width="38.5703125" customWidth="1"/>
    <col min="14" max="14" width="5.28515625" customWidth="1"/>
    <col min="15" max="17" width="3.85546875" customWidth="1"/>
    <col min="18" max="18" width="7.5703125" customWidth="1"/>
    <col min="19" max="19" width="38.5703125" customWidth="1"/>
    <col min="20" max="20" width="5.28515625" customWidth="1"/>
    <col min="21" max="23" width="3.85546875" customWidth="1"/>
    <col min="24" max="24" width="7.5703125" customWidth="1"/>
    <col min="25" max="25" width="38.5703125" customWidth="1"/>
    <col min="26" max="26" width="5.28515625" customWidth="1"/>
    <col min="27" max="29" width="3.85546875" customWidth="1"/>
    <col min="30" max="30" width="7.5703125" customWidth="1"/>
    <col min="31" max="31" width="38.5703125" customWidth="1"/>
    <col min="32" max="32" width="5.28515625" customWidth="1"/>
    <col min="33" max="35" width="3.85546875" customWidth="1"/>
    <col min="36" max="36" width="7.5703125" customWidth="1"/>
    <col min="37" max="37" width="38.5703125" customWidth="1"/>
    <col min="38" max="38" width="5.28515625" customWidth="1"/>
    <col min="39" max="41" width="3.85546875" customWidth="1"/>
    <col min="42" max="42" width="7.5703125" customWidth="1"/>
    <col min="43" max="43" width="38.5703125" customWidth="1"/>
    <col min="44" max="44" width="5.28515625" customWidth="1"/>
    <col min="45" max="47" width="3.85546875" customWidth="1"/>
    <col min="48" max="48" width="7.5703125" customWidth="1"/>
    <col min="49" max="49" width="38.5703125" customWidth="1"/>
    <col min="50" max="50" width="5.28515625" customWidth="1"/>
    <col min="51" max="53" width="3.85546875" customWidth="1"/>
    <col min="54" max="54" width="7.5703125" customWidth="1"/>
    <col min="55" max="55" width="38.5703125" customWidth="1"/>
    <col min="56" max="56" width="5.28515625" customWidth="1"/>
    <col min="57" max="59" width="3.85546875" customWidth="1"/>
    <col min="60" max="60" width="7.5703125" customWidth="1"/>
    <col min="61" max="61" width="38.5703125" customWidth="1"/>
    <col min="62" max="62" width="5.28515625" customWidth="1"/>
    <col min="63" max="65" width="3.85546875" customWidth="1"/>
    <col min="66" max="66" width="7.5703125" customWidth="1"/>
    <col min="67" max="67" width="38.5703125" customWidth="1"/>
    <col min="68" max="68" width="5.28515625" customWidth="1"/>
    <col min="69" max="71" width="3.85546875" customWidth="1"/>
    <col min="72" max="72" width="7.5703125" customWidth="1"/>
    <col min="73" max="73" width="38.5703125" customWidth="1"/>
    <col min="74" max="74" width="5.28515625" customWidth="1"/>
    <col min="75" max="77" width="3.85546875" customWidth="1"/>
    <col min="78" max="78" width="7.5703125" customWidth="1"/>
    <col min="79" max="79" width="38.5703125" customWidth="1"/>
    <col min="80" max="80" width="5.28515625" customWidth="1"/>
    <col min="81" max="83" width="3.85546875" customWidth="1"/>
    <col min="84" max="84" width="7.5703125" customWidth="1"/>
    <col min="85" max="85" width="38.5703125" customWidth="1"/>
    <col min="86" max="86" width="5.28515625" customWidth="1"/>
    <col min="87" max="89" width="3.85546875" customWidth="1"/>
    <col min="90" max="90" width="7.5703125" customWidth="1"/>
    <col min="91" max="91" width="38.5703125" customWidth="1"/>
    <col min="92" max="92" width="5.28515625" customWidth="1"/>
    <col min="93" max="95" width="3.85546875" customWidth="1"/>
    <col min="96" max="96" width="7.5703125" customWidth="1"/>
    <col min="97" max="97" width="38.5703125" customWidth="1"/>
    <col min="98" max="98" width="5.28515625" customWidth="1"/>
    <col min="99" max="101" width="3.85546875" customWidth="1"/>
    <col min="102" max="102" width="7.5703125" customWidth="1"/>
    <col min="103" max="103" width="38.5703125" customWidth="1"/>
    <col min="104" max="104" width="5.28515625" customWidth="1"/>
    <col min="105" max="107" width="3.85546875" customWidth="1"/>
    <col min="108" max="108" width="7.5703125" customWidth="1"/>
    <col min="109" max="109" width="38.5703125" customWidth="1"/>
    <col min="110" max="110" width="5.28515625" customWidth="1"/>
    <col min="111" max="113" width="3.85546875" customWidth="1"/>
    <col min="114" max="114" width="7.5703125" customWidth="1"/>
    <col min="115" max="115" width="38.5703125" customWidth="1"/>
    <col min="116" max="116" width="5.28515625" customWidth="1"/>
    <col min="117" max="119" width="3.85546875" customWidth="1"/>
    <col min="120" max="120" width="7.5703125" customWidth="1"/>
    <col min="121" max="121" width="38.5703125" customWidth="1"/>
    <col min="122" max="122" width="5.28515625" customWidth="1"/>
    <col min="123" max="125" width="3.85546875" customWidth="1"/>
    <col min="126" max="126" width="7.5703125" customWidth="1"/>
    <col min="127" max="127" width="38.5703125" customWidth="1"/>
    <col min="128" max="128" width="5.28515625" customWidth="1"/>
    <col min="129" max="131" width="3.85546875" customWidth="1"/>
    <col min="132" max="132" width="7.5703125" customWidth="1"/>
    <col min="133" max="133" width="38.5703125" customWidth="1"/>
    <col min="134" max="134" width="5.28515625" customWidth="1"/>
    <col min="135" max="142" width="3.85546875" customWidth="1"/>
    <col min="143" max="143" width="7.5703125" customWidth="1"/>
    <col min="144" max="144" width="38.5703125" customWidth="1"/>
    <col min="145" max="145" width="5.28515625" customWidth="1"/>
    <col min="146" max="153" width="3.85546875" customWidth="1"/>
    <col min="154" max="154" width="7.5703125" customWidth="1"/>
    <col min="155" max="155" width="38.5703125" customWidth="1"/>
    <col min="156" max="156" width="5.28515625" customWidth="1"/>
    <col min="157" max="164" width="3.85546875" customWidth="1"/>
    <col min="165" max="165" width="7.5703125" customWidth="1"/>
    <col min="166" max="166" width="38.5703125" customWidth="1"/>
    <col min="167" max="167" width="5.28515625" customWidth="1"/>
    <col min="168" max="175" width="3.85546875" customWidth="1"/>
    <col min="176" max="176" width="7.5703125" customWidth="1"/>
    <col min="177" max="177" width="38.5703125" customWidth="1"/>
    <col min="178" max="178" width="5.28515625" customWidth="1"/>
    <col min="179" max="186" width="3.85546875" customWidth="1"/>
    <col min="187" max="187" width="7.5703125" customWidth="1"/>
    <col min="188" max="188" width="38.5703125" customWidth="1"/>
    <col min="189" max="189" width="5.28515625" customWidth="1"/>
    <col min="190" max="193" width="3.85546875" customWidth="1"/>
    <col min="194" max="194" width="7.5703125" customWidth="1"/>
    <col min="195" max="195" width="38.5703125" customWidth="1"/>
    <col min="196" max="196" width="5.28515625" customWidth="1"/>
    <col min="197" max="200" width="3.85546875" customWidth="1"/>
    <col min="201" max="201" width="7.5703125" customWidth="1"/>
    <col min="202" max="202" width="38.5703125" customWidth="1"/>
    <col min="203" max="203" width="5.28515625" customWidth="1"/>
    <col min="204" max="207" width="3.85546875" customWidth="1"/>
    <col min="208" max="208" width="7.5703125" customWidth="1"/>
    <col min="209" max="209" width="38.5703125" customWidth="1"/>
    <col min="210" max="210" width="5.28515625" customWidth="1"/>
    <col min="211" max="214" width="3.85546875" customWidth="1"/>
    <col min="215" max="215" width="7.5703125" customWidth="1"/>
    <col min="216" max="216" width="38.5703125" customWidth="1"/>
    <col min="217" max="217" width="5.28515625" customWidth="1"/>
    <col min="218" max="221" width="3.85546875" customWidth="1"/>
    <col min="222" max="222" width="7.5703125" customWidth="1"/>
    <col min="223" max="223" width="38.5703125" customWidth="1"/>
    <col min="224" max="224" width="5.28515625" customWidth="1"/>
    <col min="225" max="228" width="3.85546875" customWidth="1"/>
    <col min="229" max="229" width="7.5703125" customWidth="1"/>
    <col min="230" max="230" width="38.5703125" customWidth="1"/>
    <col min="231" max="231" width="5.28515625" customWidth="1"/>
    <col min="232" max="239" width="3.85546875" customWidth="1"/>
    <col min="240" max="240" width="7.5703125" customWidth="1"/>
    <col min="241" max="241" width="38.5703125" customWidth="1"/>
    <col min="242" max="242" width="5.28515625" customWidth="1"/>
    <col min="243" max="250" width="3.85546875" customWidth="1"/>
    <col min="251" max="251" width="7.5703125" customWidth="1"/>
    <col min="252" max="252" width="38.5703125" customWidth="1"/>
    <col min="253" max="253" width="5.28515625" customWidth="1"/>
    <col min="254" max="261" width="3.85546875" customWidth="1"/>
    <col min="262" max="262" width="7.5703125" customWidth="1"/>
    <col min="263" max="263" width="38.5703125" customWidth="1"/>
    <col min="264" max="264" width="5.28515625" customWidth="1"/>
    <col min="265" max="272" width="3.85546875" customWidth="1"/>
    <col min="273" max="273" width="7.5703125" customWidth="1"/>
    <col min="274" max="274" width="38.5703125" customWidth="1"/>
    <col min="275" max="275" width="5.28515625" customWidth="1"/>
    <col min="276" max="283" width="3.85546875" customWidth="1"/>
    <col min="284" max="284" width="7.5703125" customWidth="1"/>
    <col min="285" max="285" width="38.5703125" customWidth="1"/>
    <col min="286" max="286" width="5.28515625" customWidth="1"/>
    <col min="287" max="294" width="3.85546875" customWidth="1"/>
    <col min="295" max="295" width="7.5703125" customWidth="1"/>
    <col min="296" max="296" width="38.5703125" customWidth="1"/>
    <col min="297" max="297" width="5.28515625" customWidth="1"/>
    <col min="298" max="305" width="3.85546875" customWidth="1"/>
    <col min="306" max="306" width="7.5703125" customWidth="1"/>
    <col min="307" max="307" width="38.5703125" customWidth="1"/>
    <col min="308" max="308" width="5.28515625" customWidth="1"/>
    <col min="309" max="316" width="3.85546875" customWidth="1"/>
    <col min="317" max="317" width="7.5703125" customWidth="1"/>
    <col min="318" max="318" width="38.5703125" customWidth="1"/>
    <col min="319" max="319" width="5.28515625" customWidth="1"/>
    <col min="320" max="327" width="3.85546875" customWidth="1"/>
    <col min="328" max="328" width="7.5703125" customWidth="1"/>
    <col min="329" max="329" width="38.5703125" customWidth="1"/>
    <col min="330" max="330" width="5.28515625" customWidth="1"/>
    <col min="331" max="338" width="3.85546875" customWidth="1"/>
    <col min="339" max="339" width="7.5703125" customWidth="1"/>
    <col min="340" max="340" width="38.5703125" customWidth="1"/>
    <col min="341" max="341" width="5.28515625" customWidth="1"/>
    <col min="342" max="349" width="3.85546875" customWidth="1"/>
    <col min="350" max="350" width="7.5703125" customWidth="1"/>
    <col min="351" max="351" width="38.5703125" customWidth="1"/>
    <col min="352" max="352" width="5.28515625" customWidth="1"/>
    <col min="353" max="360" width="3.85546875" customWidth="1"/>
    <col min="361" max="361" width="7.5703125" customWidth="1"/>
    <col min="362" max="362" width="38.5703125" customWidth="1"/>
    <col min="363" max="363" width="5.28515625" customWidth="1"/>
    <col min="364" max="371" width="3.85546875" customWidth="1"/>
    <col min="372" max="372" width="7.5703125" customWidth="1"/>
    <col min="373" max="373" width="38.5703125" customWidth="1"/>
    <col min="374" max="374" width="5.28515625" customWidth="1"/>
    <col min="375" max="382" width="3.85546875" customWidth="1"/>
    <col min="383" max="383" width="7.5703125" customWidth="1"/>
    <col min="384" max="384" width="38.5703125" customWidth="1"/>
    <col min="385" max="385" width="5.28515625" customWidth="1"/>
    <col min="386" max="393" width="3.85546875" customWidth="1"/>
    <col min="394" max="394" width="7.5703125" customWidth="1"/>
    <col min="395" max="395" width="38.5703125" customWidth="1"/>
    <col min="396" max="396" width="5.28515625" customWidth="1"/>
    <col min="397" max="404" width="3.85546875" customWidth="1"/>
    <col min="405" max="405" width="7.5703125" customWidth="1"/>
    <col min="406" max="406" width="38.5703125" customWidth="1"/>
  </cols>
  <sheetData>
    <row r="1" spans="1:406" ht="24">
      <c r="A1" s="663"/>
      <c r="B1" s="663"/>
      <c r="C1" s="663"/>
      <c r="D1" s="663"/>
      <c r="E1" s="663"/>
      <c r="F1" s="663"/>
      <c r="G1" s="682" t="s">
        <v>532</v>
      </c>
    </row>
    <row r="2" spans="1:406" ht="15" customHeight="1">
      <c r="A2" s="943" t="s">
        <v>339</v>
      </c>
      <c r="B2" s="944"/>
      <c r="C2" s="944"/>
      <c r="D2" s="945"/>
      <c r="E2" s="946" t="s">
        <v>533</v>
      </c>
      <c r="F2" s="947"/>
      <c r="G2" s="948"/>
      <c r="H2" s="952" t="s">
        <v>339</v>
      </c>
      <c r="I2" s="953"/>
      <c r="J2" s="953"/>
      <c r="K2" s="953"/>
      <c r="L2" s="954"/>
      <c r="M2" s="932"/>
      <c r="N2" s="942" t="s">
        <v>339</v>
      </c>
      <c r="O2" s="942"/>
      <c r="P2" s="942"/>
      <c r="Q2" s="942"/>
      <c r="R2" s="942"/>
      <c r="S2" s="932"/>
      <c r="T2" s="942" t="s">
        <v>339</v>
      </c>
      <c r="U2" s="942"/>
      <c r="V2" s="942"/>
      <c r="W2" s="942"/>
      <c r="X2" s="942"/>
      <c r="Y2" s="932"/>
      <c r="Z2" s="942" t="s">
        <v>339</v>
      </c>
      <c r="AA2" s="942"/>
      <c r="AB2" s="942"/>
      <c r="AC2" s="942"/>
      <c r="AD2" s="942"/>
      <c r="AE2" s="932"/>
      <c r="AF2" s="942" t="s">
        <v>339</v>
      </c>
      <c r="AG2" s="942"/>
      <c r="AH2" s="942"/>
      <c r="AI2" s="942"/>
      <c r="AJ2" s="942"/>
      <c r="AK2" s="932"/>
      <c r="AL2" s="942" t="s">
        <v>339</v>
      </c>
      <c r="AM2" s="942"/>
      <c r="AN2" s="942"/>
      <c r="AO2" s="942"/>
      <c r="AP2" s="942"/>
      <c r="AQ2" s="932"/>
      <c r="AR2" s="942" t="s">
        <v>339</v>
      </c>
      <c r="AS2" s="942"/>
      <c r="AT2" s="942"/>
      <c r="AU2" s="942"/>
      <c r="AV2" s="942"/>
      <c r="AW2" s="932"/>
      <c r="AX2" s="941" t="s">
        <v>231</v>
      </c>
      <c r="AY2" s="941"/>
      <c r="AZ2" s="941"/>
      <c r="BA2" s="941"/>
      <c r="BB2" s="941"/>
      <c r="BC2" s="932"/>
      <c r="BD2" s="941" t="s">
        <v>231</v>
      </c>
      <c r="BE2" s="941"/>
      <c r="BF2" s="941"/>
      <c r="BG2" s="941"/>
      <c r="BH2" s="941"/>
      <c r="BI2" s="932"/>
      <c r="BJ2" s="941" t="s">
        <v>231</v>
      </c>
      <c r="BK2" s="941"/>
      <c r="BL2" s="941"/>
      <c r="BM2" s="941"/>
      <c r="BN2" s="941"/>
      <c r="BO2" s="932"/>
      <c r="BP2" s="941" t="s">
        <v>231</v>
      </c>
      <c r="BQ2" s="941"/>
      <c r="BR2" s="941"/>
      <c r="BS2" s="941"/>
      <c r="BT2" s="941"/>
      <c r="BU2" s="932"/>
      <c r="BV2" s="941" t="s">
        <v>231</v>
      </c>
      <c r="BW2" s="941"/>
      <c r="BX2" s="941"/>
      <c r="BY2" s="941"/>
      <c r="BZ2" s="941"/>
      <c r="CA2" s="932"/>
      <c r="CB2" s="941" t="s">
        <v>231</v>
      </c>
      <c r="CC2" s="941"/>
      <c r="CD2" s="941"/>
      <c r="CE2" s="941"/>
      <c r="CF2" s="941"/>
      <c r="CG2" s="932"/>
      <c r="CH2" s="941" t="s">
        <v>231</v>
      </c>
      <c r="CI2" s="941"/>
      <c r="CJ2" s="941"/>
      <c r="CK2" s="941"/>
      <c r="CL2" s="941"/>
      <c r="CM2" s="932"/>
      <c r="CN2" s="941" t="s">
        <v>231</v>
      </c>
      <c r="CO2" s="941"/>
      <c r="CP2" s="941"/>
      <c r="CQ2" s="941"/>
      <c r="CR2" s="941"/>
      <c r="CS2" s="932"/>
      <c r="CT2" s="941" t="s">
        <v>231</v>
      </c>
      <c r="CU2" s="941"/>
      <c r="CV2" s="941"/>
      <c r="CW2" s="941"/>
      <c r="CX2" s="941"/>
      <c r="CY2" s="932"/>
      <c r="CZ2" s="933" t="s">
        <v>231</v>
      </c>
      <c r="DA2" s="934"/>
      <c r="DB2" s="934"/>
      <c r="DC2" s="934"/>
      <c r="DD2" s="935"/>
      <c r="DE2" s="936"/>
      <c r="DF2" s="933" t="s">
        <v>231</v>
      </c>
      <c r="DG2" s="934"/>
      <c r="DH2" s="934"/>
      <c r="DI2" s="934"/>
      <c r="DJ2" s="935"/>
      <c r="DK2" s="936"/>
      <c r="DL2" s="933" t="s">
        <v>231</v>
      </c>
      <c r="DM2" s="934"/>
      <c r="DN2" s="934"/>
      <c r="DO2" s="934"/>
      <c r="DP2" s="935"/>
      <c r="DQ2" s="936"/>
      <c r="DR2" s="933" t="s">
        <v>231</v>
      </c>
      <c r="DS2" s="934"/>
      <c r="DT2" s="934"/>
      <c r="DU2" s="934"/>
      <c r="DV2" s="935"/>
      <c r="DW2" s="936"/>
      <c r="DX2" s="933" t="s">
        <v>231</v>
      </c>
      <c r="DY2" s="934"/>
      <c r="DZ2" s="934"/>
      <c r="EA2" s="934"/>
      <c r="EB2" s="935"/>
      <c r="EC2" s="936"/>
      <c r="ED2" s="929" t="s">
        <v>534</v>
      </c>
      <c r="EE2" s="930"/>
      <c r="EF2" s="930"/>
      <c r="EG2" s="930"/>
      <c r="EH2" s="930"/>
      <c r="EI2" s="930"/>
      <c r="EJ2" s="930"/>
      <c r="EK2" s="930"/>
      <c r="EL2" s="930"/>
      <c r="EM2" s="931"/>
      <c r="EN2" s="932"/>
      <c r="EO2" s="938" t="s">
        <v>534</v>
      </c>
      <c r="EP2" s="938"/>
      <c r="EQ2" s="938"/>
      <c r="ER2" s="938"/>
      <c r="ES2" s="938"/>
      <c r="ET2" s="938"/>
      <c r="EU2" s="938"/>
      <c r="EV2" s="938"/>
      <c r="EW2" s="938"/>
      <c r="EX2" s="938"/>
      <c r="EY2" s="932"/>
      <c r="EZ2" s="938" t="s">
        <v>534</v>
      </c>
      <c r="FA2" s="938"/>
      <c r="FB2" s="938"/>
      <c r="FC2" s="938"/>
      <c r="FD2" s="938"/>
      <c r="FE2" s="938"/>
      <c r="FF2" s="938"/>
      <c r="FG2" s="938"/>
      <c r="FH2" s="938"/>
      <c r="FI2" s="938"/>
      <c r="FJ2" s="932"/>
      <c r="FK2" s="938" t="s">
        <v>534</v>
      </c>
      <c r="FL2" s="938"/>
      <c r="FM2" s="938"/>
      <c r="FN2" s="938"/>
      <c r="FO2" s="938"/>
      <c r="FP2" s="938"/>
      <c r="FQ2" s="938"/>
      <c r="FR2" s="938"/>
      <c r="FS2" s="938"/>
      <c r="FT2" s="938"/>
      <c r="FU2" s="932"/>
      <c r="FV2" s="938" t="s">
        <v>534</v>
      </c>
      <c r="FW2" s="938"/>
      <c r="FX2" s="938"/>
      <c r="FY2" s="938"/>
      <c r="FZ2" s="938"/>
      <c r="GA2" s="938"/>
      <c r="GB2" s="938"/>
      <c r="GC2" s="938"/>
      <c r="GD2" s="938"/>
      <c r="GE2" s="938"/>
      <c r="GF2" s="932"/>
      <c r="GG2" s="933" t="s">
        <v>281</v>
      </c>
      <c r="GH2" s="934"/>
      <c r="GI2" s="934"/>
      <c r="GJ2" s="934"/>
      <c r="GK2" s="934"/>
      <c r="GL2" s="935"/>
      <c r="GM2" s="936"/>
      <c r="GN2" s="933" t="s">
        <v>281</v>
      </c>
      <c r="GO2" s="934"/>
      <c r="GP2" s="934"/>
      <c r="GQ2" s="934"/>
      <c r="GR2" s="934"/>
      <c r="GS2" s="935"/>
      <c r="GT2" s="936"/>
      <c r="GU2" s="933" t="s">
        <v>281</v>
      </c>
      <c r="GV2" s="934"/>
      <c r="GW2" s="934"/>
      <c r="GX2" s="934"/>
      <c r="GY2" s="934"/>
      <c r="GZ2" s="935"/>
      <c r="HA2" s="936"/>
      <c r="HB2" s="933" t="s">
        <v>281</v>
      </c>
      <c r="HC2" s="934"/>
      <c r="HD2" s="934"/>
      <c r="HE2" s="934"/>
      <c r="HF2" s="934"/>
      <c r="HG2" s="935"/>
      <c r="HH2" s="936"/>
      <c r="HI2" s="933" t="s">
        <v>281</v>
      </c>
      <c r="HJ2" s="934"/>
      <c r="HK2" s="934"/>
      <c r="HL2" s="934"/>
      <c r="HM2" s="934"/>
      <c r="HN2" s="935"/>
      <c r="HO2" s="936"/>
      <c r="HP2" s="933" t="s">
        <v>281</v>
      </c>
      <c r="HQ2" s="934"/>
      <c r="HR2" s="934"/>
      <c r="HS2" s="934"/>
      <c r="HT2" s="934"/>
      <c r="HU2" s="935"/>
      <c r="HV2" s="936"/>
      <c r="HW2" s="929" t="s">
        <v>535</v>
      </c>
      <c r="HX2" s="930"/>
      <c r="HY2" s="930"/>
      <c r="HZ2" s="930"/>
      <c r="IA2" s="930"/>
      <c r="IB2" s="930"/>
      <c r="IC2" s="930"/>
      <c r="ID2" s="930"/>
      <c r="IE2" s="930"/>
      <c r="IF2" s="931"/>
      <c r="IG2" s="932"/>
      <c r="IH2" s="929" t="s">
        <v>535</v>
      </c>
      <c r="II2" s="930"/>
      <c r="IJ2" s="930"/>
      <c r="IK2" s="930"/>
      <c r="IL2" s="930"/>
      <c r="IM2" s="930"/>
      <c r="IN2" s="930"/>
      <c r="IO2" s="930"/>
      <c r="IP2" s="930"/>
      <c r="IQ2" s="931"/>
      <c r="IR2" s="932"/>
      <c r="IS2" s="929" t="s">
        <v>535</v>
      </c>
      <c r="IT2" s="930"/>
      <c r="IU2" s="930"/>
      <c r="IV2" s="930"/>
      <c r="IW2" s="930"/>
      <c r="IX2" s="930"/>
      <c r="IY2" s="930"/>
      <c r="IZ2" s="930"/>
      <c r="JA2" s="930"/>
      <c r="JB2" s="931"/>
      <c r="JC2" s="932"/>
      <c r="JD2" s="929" t="s">
        <v>535</v>
      </c>
      <c r="JE2" s="930"/>
      <c r="JF2" s="930"/>
      <c r="JG2" s="930"/>
      <c r="JH2" s="930"/>
      <c r="JI2" s="930"/>
      <c r="JJ2" s="930"/>
      <c r="JK2" s="930"/>
      <c r="JL2" s="930"/>
      <c r="JM2" s="931"/>
      <c r="JN2" s="932"/>
      <c r="JO2" s="929" t="s">
        <v>535</v>
      </c>
      <c r="JP2" s="930"/>
      <c r="JQ2" s="930"/>
      <c r="JR2" s="930"/>
      <c r="JS2" s="930"/>
      <c r="JT2" s="930"/>
      <c r="JU2" s="930"/>
      <c r="JV2" s="930"/>
      <c r="JW2" s="930"/>
      <c r="JX2" s="931"/>
      <c r="JY2" s="932"/>
      <c r="JZ2" s="929" t="s">
        <v>535</v>
      </c>
      <c r="KA2" s="930"/>
      <c r="KB2" s="930"/>
      <c r="KC2" s="930"/>
      <c r="KD2" s="930"/>
      <c r="KE2" s="930"/>
      <c r="KF2" s="930"/>
      <c r="KG2" s="930"/>
      <c r="KH2" s="930"/>
      <c r="KI2" s="931"/>
      <c r="KJ2" s="932"/>
      <c r="KK2" s="929" t="s">
        <v>536</v>
      </c>
      <c r="KL2" s="930"/>
      <c r="KM2" s="930"/>
      <c r="KN2" s="930"/>
      <c r="KO2" s="930"/>
      <c r="KP2" s="930"/>
      <c r="KQ2" s="930"/>
      <c r="KR2" s="930"/>
      <c r="KS2" s="930"/>
      <c r="KT2" s="931"/>
      <c r="KU2" s="932"/>
      <c r="KV2" s="929" t="s">
        <v>536</v>
      </c>
      <c r="KW2" s="930"/>
      <c r="KX2" s="930"/>
      <c r="KY2" s="930"/>
      <c r="KZ2" s="930"/>
      <c r="LA2" s="930"/>
      <c r="LB2" s="930"/>
      <c r="LC2" s="930"/>
      <c r="LD2" s="930"/>
      <c r="LE2" s="931"/>
      <c r="LF2" s="932"/>
      <c r="LG2" s="929" t="s">
        <v>536</v>
      </c>
      <c r="LH2" s="930"/>
      <c r="LI2" s="930"/>
      <c r="LJ2" s="930"/>
      <c r="LK2" s="930"/>
      <c r="LL2" s="930"/>
      <c r="LM2" s="930"/>
      <c r="LN2" s="930"/>
      <c r="LO2" s="930"/>
      <c r="LP2" s="931"/>
      <c r="LQ2" s="932"/>
      <c r="LR2" s="929" t="s">
        <v>536</v>
      </c>
      <c r="LS2" s="930"/>
      <c r="LT2" s="930"/>
      <c r="LU2" s="930"/>
      <c r="LV2" s="930"/>
      <c r="LW2" s="930"/>
      <c r="LX2" s="930"/>
      <c r="LY2" s="930"/>
      <c r="LZ2" s="930"/>
      <c r="MA2" s="931"/>
      <c r="MB2" s="932"/>
      <c r="MC2" s="929" t="s">
        <v>536</v>
      </c>
      <c r="MD2" s="930"/>
      <c r="ME2" s="930"/>
      <c r="MF2" s="930"/>
      <c r="MG2" s="930"/>
      <c r="MH2" s="930"/>
      <c r="MI2" s="930"/>
      <c r="MJ2" s="930"/>
      <c r="MK2" s="930"/>
      <c r="ML2" s="931"/>
      <c r="MM2" s="932"/>
      <c r="MN2" s="929" t="s">
        <v>536</v>
      </c>
      <c r="MO2" s="930"/>
      <c r="MP2" s="930"/>
      <c r="MQ2" s="930"/>
      <c r="MR2" s="930"/>
      <c r="MS2" s="930"/>
      <c r="MT2" s="930"/>
      <c r="MU2" s="930"/>
      <c r="MV2" s="930"/>
      <c r="MW2" s="931"/>
      <c r="MX2" s="932"/>
      <c r="MY2" s="929" t="s">
        <v>536</v>
      </c>
      <c r="MZ2" s="930"/>
      <c r="NA2" s="930"/>
      <c r="NB2" s="930"/>
      <c r="NC2" s="930"/>
      <c r="ND2" s="930"/>
      <c r="NE2" s="930"/>
      <c r="NF2" s="930"/>
      <c r="NG2" s="930"/>
      <c r="NH2" s="931"/>
      <c r="NI2" s="932"/>
      <c r="NJ2" s="929" t="s">
        <v>536</v>
      </c>
      <c r="NK2" s="930"/>
      <c r="NL2" s="930"/>
      <c r="NM2" s="930"/>
      <c r="NN2" s="930"/>
      <c r="NO2" s="930"/>
      <c r="NP2" s="930"/>
      <c r="NQ2" s="930"/>
      <c r="NR2" s="930"/>
      <c r="NS2" s="931"/>
      <c r="NT2" s="932"/>
      <c r="NU2" s="929" t="s">
        <v>536</v>
      </c>
      <c r="NV2" s="930"/>
      <c r="NW2" s="930"/>
      <c r="NX2" s="930"/>
      <c r="NY2" s="930"/>
      <c r="NZ2" s="930"/>
      <c r="OA2" s="930"/>
      <c r="OB2" s="930"/>
      <c r="OC2" s="930"/>
      <c r="OD2" s="931"/>
      <c r="OE2" s="932"/>
      <c r="OF2" s="929" t="s">
        <v>536</v>
      </c>
      <c r="OG2" s="930"/>
      <c r="OH2" s="930"/>
      <c r="OI2" s="930"/>
      <c r="OJ2" s="930"/>
      <c r="OK2" s="930"/>
      <c r="OL2" s="930"/>
      <c r="OM2" s="930"/>
      <c r="ON2" s="930"/>
      <c r="OO2" s="931"/>
      <c r="OP2" s="932"/>
    </row>
    <row r="3" spans="1:406" ht="65.25" customHeight="1">
      <c r="A3" s="664" t="s">
        <v>537</v>
      </c>
      <c r="B3" s="665">
        <v>45966</v>
      </c>
      <c r="C3" s="1075" t="s">
        <v>538</v>
      </c>
      <c r="D3" s="1076"/>
      <c r="E3" s="949"/>
      <c r="F3" s="950"/>
      <c r="G3" s="951"/>
      <c r="H3" s="923" t="s">
        <v>537</v>
      </c>
      <c r="I3" s="925"/>
      <c r="J3" s="926"/>
      <c r="K3" s="928"/>
      <c r="L3" s="669" t="s">
        <v>538</v>
      </c>
      <c r="M3" s="932"/>
      <c r="N3" s="939" t="s">
        <v>537</v>
      </c>
      <c r="O3" s="939"/>
      <c r="P3" s="940"/>
      <c r="Q3" s="940"/>
      <c r="R3" s="669" t="s">
        <v>538</v>
      </c>
      <c r="S3" s="932"/>
      <c r="T3" s="939" t="s">
        <v>537</v>
      </c>
      <c r="U3" s="939"/>
      <c r="V3" s="940"/>
      <c r="W3" s="940"/>
      <c r="X3" s="669" t="s">
        <v>538</v>
      </c>
      <c r="Y3" s="932"/>
      <c r="Z3" s="939" t="s">
        <v>537</v>
      </c>
      <c r="AA3" s="939"/>
      <c r="AB3" s="940"/>
      <c r="AC3" s="940"/>
      <c r="AD3" s="669" t="s">
        <v>538</v>
      </c>
      <c r="AE3" s="932"/>
      <c r="AF3" s="939" t="s">
        <v>537</v>
      </c>
      <c r="AG3" s="939"/>
      <c r="AH3" s="940"/>
      <c r="AI3" s="940"/>
      <c r="AJ3" s="669" t="s">
        <v>538</v>
      </c>
      <c r="AK3" s="932"/>
      <c r="AL3" s="939" t="s">
        <v>537</v>
      </c>
      <c r="AM3" s="939"/>
      <c r="AN3" s="940"/>
      <c r="AO3" s="940"/>
      <c r="AP3" s="669" t="s">
        <v>538</v>
      </c>
      <c r="AQ3" s="932"/>
      <c r="AR3" s="939" t="s">
        <v>537</v>
      </c>
      <c r="AS3" s="939"/>
      <c r="AT3" s="940"/>
      <c r="AU3" s="940"/>
      <c r="AV3" s="669" t="s">
        <v>538</v>
      </c>
      <c r="AW3" s="932"/>
      <c r="AX3" s="939" t="s">
        <v>537</v>
      </c>
      <c r="AY3" s="939"/>
      <c r="AZ3" s="940"/>
      <c r="BA3" s="940"/>
      <c r="BB3" s="669" t="s">
        <v>538</v>
      </c>
      <c r="BC3" s="932"/>
      <c r="BD3" s="939" t="s">
        <v>537</v>
      </c>
      <c r="BE3" s="939"/>
      <c r="BF3" s="940"/>
      <c r="BG3" s="940"/>
      <c r="BH3" s="669" t="s">
        <v>538</v>
      </c>
      <c r="BI3" s="932"/>
      <c r="BJ3" s="939" t="s">
        <v>537</v>
      </c>
      <c r="BK3" s="939"/>
      <c r="BL3" s="940"/>
      <c r="BM3" s="940"/>
      <c r="BN3" s="669" t="s">
        <v>538</v>
      </c>
      <c r="BO3" s="932"/>
      <c r="BP3" s="939" t="s">
        <v>537</v>
      </c>
      <c r="BQ3" s="939"/>
      <c r="BR3" s="940"/>
      <c r="BS3" s="940"/>
      <c r="BT3" s="669" t="s">
        <v>538</v>
      </c>
      <c r="BU3" s="932"/>
      <c r="BV3" s="939" t="s">
        <v>537</v>
      </c>
      <c r="BW3" s="939"/>
      <c r="BX3" s="940"/>
      <c r="BY3" s="940"/>
      <c r="BZ3" s="669" t="s">
        <v>538</v>
      </c>
      <c r="CA3" s="932"/>
      <c r="CB3" s="939" t="s">
        <v>537</v>
      </c>
      <c r="CC3" s="939"/>
      <c r="CD3" s="940"/>
      <c r="CE3" s="940"/>
      <c r="CF3" s="669" t="s">
        <v>538</v>
      </c>
      <c r="CG3" s="932"/>
      <c r="CH3" s="939" t="s">
        <v>537</v>
      </c>
      <c r="CI3" s="939"/>
      <c r="CJ3" s="940"/>
      <c r="CK3" s="940"/>
      <c r="CL3" s="669" t="s">
        <v>538</v>
      </c>
      <c r="CM3" s="932"/>
      <c r="CN3" s="939" t="s">
        <v>537</v>
      </c>
      <c r="CO3" s="939"/>
      <c r="CP3" s="940"/>
      <c r="CQ3" s="940"/>
      <c r="CR3" s="669" t="s">
        <v>538</v>
      </c>
      <c r="CS3" s="932"/>
      <c r="CT3" s="939" t="s">
        <v>537</v>
      </c>
      <c r="CU3" s="939"/>
      <c r="CV3" s="940"/>
      <c r="CW3" s="940"/>
      <c r="CX3" s="669" t="s">
        <v>538</v>
      </c>
      <c r="CY3" s="932"/>
      <c r="CZ3" s="923" t="s">
        <v>537</v>
      </c>
      <c r="DA3" s="925"/>
      <c r="DB3" s="926"/>
      <c r="DC3" s="928"/>
      <c r="DD3" s="669" t="s">
        <v>538</v>
      </c>
      <c r="DE3" s="937"/>
      <c r="DF3" s="923" t="s">
        <v>537</v>
      </c>
      <c r="DG3" s="925"/>
      <c r="DH3" s="926"/>
      <c r="DI3" s="928"/>
      <c r="DJ3" s="669" t="s">
        <v>538</v>
      </c>
      <c r="DK3" s="937"/>
      <c r="DL3" s="923" t="s">
        <v>537</v>
      </c>
      <c r="DM3" s="925"/>
      <c r="DN3" s="926"/>
      <c r="DO3" s="928"/>
      <c r="DP3" s="669" t="s">
        <v>538</v>
      </c>
      <c r="DQ3" s="937"/>
      <c r="DR3" s="923" t="s">
        <v>537</v>
      </c>
      <c r="DS3" s="925"/>
      <c r="DT3" s="926"/>
      <c r="DU3" s="928"/>
      <c r="DV3" s="669" t="s">
        <v>538</v>
      </c>
      <c r="DW3" s="937"/>
      <c r="DX3" s="923" t="s">
        <v>537</v>
      </c>
      <c r="DY3" s="925"/>
      <c r="DZ3" s="926"/>
      <c r="EA3" s="928"/>
      <c r="EB3" s="669" t="s">
        <v>538</v>
      </c>
      <c r="EC3" s="937"/>
      <c r="ED3" s="923" t="s">
        <v>537</v>
      </c>
      <c r="EE3" s="924"/>
      <c r="EF3" s="925"/>
      <c r="EG3" s="926"/>
      <c r="EH3" s="927"/>
      <c r="EI3" s="928"/>
      <c r="EJ3" s="923" t="s">
        <v>538</v>
      </c>
      <c r="EK3" s="924"/>
      <c r="EL3" s="924"/>
      <c r="EM3" s="925"/>
      <c r="EN3" s="932"/>
      <c r="EO3" s="923" t="s">
        <v>537</v>
      </c>
      <c r="EP3" s="924"/>
      <c r="EQ3" s="925"/>
      <c r="ER3" s="926"/>
      <c r="ES3" s="927"/>
      <c r="ET3" s="928"/>
      <c r="EU3" s="923" t="s">
        <v>538</v>
      </c>
      <c r="EV3" s="924"/>
      <c r="EW3" s="924"/>
      <c r="EX3" s="925"/>
      <c r="EY3" s="932"/>
      <c r="EZ3" s="923" t="s">
        <v>537</v>
      </c>
      <c r="FA3" s="924"/>
      <c r="FB3" s="925"/>
      <c r="FC3" s="926"/>
      <c r="FD3" s="927"/>
      <c r="FE3" s="928"/>
      <c r="FF3" s="923" t="s">
        <v>538</v>
      </c>
      <c r="FG3" s="924"/>
      <c r="FH3" s="924"/>
      <c r="FI3" s="925"/>
      <c r="FJ3" s="932"/>
      <c r="FK3" s="923" t="s">
        <v>537</v>
      </c>
      <c r="FL3" s="924"/>
      <c r="FM3" s="925"/>
      <c r="FN3" s="926"/>
      <c r="FO3" s="927"/>
      <c r="FP3" s="928"/>
      <c r="FQ3" s="923" t="s">
        <v>538</v>
      </c>
      <c r="FR3" s="924"/>
      <c r="FS3" s="924"/>
      <c r="FT3" s="925"/>
      <c r="FU3" s="932"/>
      <c r="FV3" s="923" t="s">
        <v>537</v>
      </c>
      <c r="FW3" s="924"/>
      <c r="FX3" s="925"/>
      <c r="FY3" s="926"/>
      <c r="FZ3" s="927"/>
      <c r="GA3" s="928"/>
      <c r="GB3" s="923" t="s">
        <v>538</v>
      </c>
      <c r="GC3" s="924"/>
      <c r="GD3" s="924"/>
      <c r="GE3" s="925"/>
      <c r="GF3" s="932"/>
      <c r="GG3" s="680" t="s">
        <v>537</v>
      </c>
      <c r="GH3" s="681"/>
      <c r="GI3" s="679"/>
      <c r="GJ3" s="927"/>
      <c r="GK3" s="928"/>
      <c r="GL3" s="669" t="s">
        <v>538</v>
      </c>
      <c r="GM3" s="937"/>
      <c r="GN3" s="923" t="s">
        <v>537</v>
      </c>
      <c r="GO3" s="925"/>
      <c r="GP3" s="926"/>
      <c r="GQ3" s="927"/>
      <c r="GR3" s="928"/>
      <c r="GS3" s="669" t="s">
        <v>538</v>
      </c>
      <c r="GT3" s="937"/>
      <c r="GU3" s="923" t="s">
        <v>537</v>
      </c>
      <c r="GV3" s="925"/>
      <c r="GW3" s="926"/>
      <c r="GX3" s="927"/>
      <c r="GY3" s="928"/>
      <c r="GZ3" s="669" t="s">
        <v>538</v>
      </c>
      <c r="HA3" s="937"/>
      <c r="HB3" s="923" t="s">
        <v>537</v>
      </c>
      <c r="HC3" s="925"/>
      <c r="HD3" s="926"/>
      <c r="HE3" s="927"/>
      <c r="HF3" s="928"/>
      <c r="HG3" s="669" t="s">
        <v>538</v>
      </c>
      <c r="HH3" s="937"/>
      <c r="HI3" s="923" t="s">
        <v>537</v>
      </c>
      <c r="HJ3" s="925"/>
      <c r="HK3" s="926"/>
      <c r="HL3" s="927"/>
      <c r="HM3" s="928"/>
      <c r="HN3" s="669" t="s">
        <v>538</v>
      </c>
      <c r="HO3" s="937"/>
      <c r="HP3" s="923" t="s">
        <v>537</v>
      </c>
      <c r="HQ3" s="925"/>
      <c r="HR3" s="926"/>
      <c r="HS3" s="927"/>
      <c r="HT3" s="928"/>
      <c r="HU3" s="669" t="s">
        <v>538</v>
      </c>
      <c r="HV3" s="937"/>
      <c r="HW3" s="923" t="s">
        <v>537</v>
      </c>
      <c r="HX3" s="924"/>
      <c r="HY3" s="925"/>
      <c r="HZ3" s="926"/>
      <c r="IA3" s="927"/>
      <c r="IB3" s="928"/>
      <c r="IC3" s="923" t="s">
        <v>538</v>
      </c>
      <c r="ID3" s="924"/>
      <c r="IE3" s="924"/>
      <c r="IF3" s="925"/>
      <c r="IG3" s="932"/>
      <c r="IH3" s="923" t="s">
        <v>537</v>
      </c>
      <c r="II3" s="924"/>
      <c r="IJ3" s="925"/>
      <c r="IK3" s="926"/>
      <c r="IL3" s="927"/>
      <c r="IM3" s="928"/>
      <c r="IN3" s="923" t="s">
        <v>538</v>
      </c>
      <c r="IO3" s="924"/>
      <c r="IP3" s="924"/>
      <c r="IQ3" s="925"/>
      <c r="IR3" s="932"/>
      <c r="IS3" s="923" t="s">
        <v>537</v>
      </c>
      <c r="IT3" s="924"/>
      <c r="IU3" s="925"/>
      <c r="IV3" s="926"/>
      <c r="IW3" s="927"/>
      <c r="IX3" s="928"/>
      <c r="IY3" s="923" t="s">
        <v>538</v>
      </c>
      <c r="IZ3" s="924"/>
      <c r="JA3" s="924"/>
      <c r="JB3" s="925"/>
      <c r="JC3" s="932"/>
      <c r="JD3" s="923" t="s">
        <v>537</v>
      </c>
      <c r="JE3" s="924"/>
      <c r="JF3" s="925"/>
      <c r="JG3" s="926"/>
      <c r="JH3" s="927"/>
      <c r="JI3" s="928"/>
      <c r="JJ3" s="923" t="s">
        <v>538</v>
      </c>
      <c r="JK3" s="924"/>
      <c r="JL3" s="924"/>
      <c r="JM3" s="925"/>
      <c r="JN3" s="932"/>
      <c r="JO3" s="923" t="s">
        <v>537</v>
      </c>
      <c r="JP3" s="924"/>
      <c r="JQ3" s="925"/>
      <c r="JR3" s="926"/>
      <c r="JS3" s="927"/>
      <c r="JT3" s="928"/>
      <c r="JU3" s="923" t="s">
        <v>538</v>
      </c>
      <c r="JV3" s="924"/>
      <c r="JW3" s="924"/>
      <c r="JX3" s="925"/>
      <c r="JY3" s="932"/>
      <c r="JZ3" s="923" t="s">
        <v>537</v>
      </c>
      <c r="KA3" s="924"/>
      <c r="KB3" s="925"/>
      <c r="KC3" s="926"/>
      <c r="KD3" s="927"/>
      <c r="KE3" s="928"/>
      <c r="KF3" s="923" t="s">
        <v>538</v>
      </c>
      <c r="KG3" s="924"/>
      <c r="KH3" s="924"/>
      <c r="KI3" s="925"/>
      <c r="KJ3" s="932"/>
      <c r="KK3" s="923" t="s">
        <v>537</v>
      </c>
      <c r="KL3" s="924"/>
      <c r="KM3" s="925"/>
      <c r="KN3" s="926"/>
      <c r="KO3" s="927"/>
      <c r="KP3" s="928"/>
      <c r="KQ3" s="923" t="s">
        <v>538</v>
      </c>
      <c r="KR3" s="924"/>
      <c r="KS3" s="924"/>
      <c r="KT3" s="925"/>
      <c r="KU3" s="932"/>
      <c r="KV3" s="923" t="s">
        <v>537</v>
      </c>
      <c r="KW3" s="924"/>
      <c r="KX3" s="925"/>
      <c r="KY3" s="926"/>
      <c r="KZ3" s="927"/>
      <c r="LA3" s="928"/>
      <c r="LB3" s="923" t="s">
        <v>538</v>
      </c>
      <c r="LC3" s="924"/>
      <c r="LD3" s="924"/>
      <c r="LE3" s="925"/>
      <c r="LF3" s="932"/>
      <c r="LG3" s="923" t="s">
        <v>537</v>
      </c>
      <c r="LH3" s="924"/>
      <c r="LI3" s="925"/>
      <c r="LJ3" s="926"/>
      <c r="LK3" s="927"/>
      <c r="LL3" s="928"/>
      <c r="LM3" s="923" t="s">
        <v>538</v>
      </c>
      <c r="LN3" s="924"/>
      <c r="LO3" s="924"/>
      <c r="LP3" s="925"/>
      <c r="LQ3" s="932"/>
      <c r="LR3" s="923" t="s">
        <v>537</v>
      </c>
      <c r="LS3" s="924"/>
      <c r="LT3" s="925"/>
      <c r="LU3" s="926"/>
      <c r="LV3" s="927"/>
      <c r="LW3" s="928"/>
      <c r="LX3" s="923" t="s">
        <v>538</v>
      </c>
      <c r="LY3" s="924"/>
      <c r="LZ3" s="924"/>
      <c r="MA3" s="925"/>
      <c r="MB3" s="932"/>
      <c r="MC3" s="923" t="s">
        <v>537</v>
      </c>
      <c r="MD3" s="924"/>
      <c r="ME3" s="925"/>
      <c r="MF3" s="926"/>
      <c r="MG3" s="927"/>
      <c r="MH3" s="928"/>
      <c r="MI3" s="923" t="s">
        <v>538</v>
      </c>
      <c r="MJ3" s="924"/>
      <c r="MK3" s="924"/>
      <c r="ML3" s="925"/>
      <c r="MM3" s="932"/>
      <c r="MN3" s="923" t="s">
        <v>537</v>
      </c>
      <c r="MO3" s="924"/>
      <c r="MP3" s="925"/>
      <c r="MQ3" s="926"/>
      <c r="MR3" s="927"/>
      <c r="MS3" s="928"/>
      <c r="MT3" s="923" t="s">
        <v>538</v>
      </c>
      <c r="MU3" s="924"/>
      <c r="MV3" s="924"/>
      <c r="MW3" s="925"/>
      <c r="MX3" s="932"/>
      <c r="MY3" s="923" t="s">
        <v>537</v>
      </c>
      <c r="MZ3" s="924"/>
      <c r="NA3" s="925"/>
      <c r="NB3" s="926"/>
      <c r="NC3" s="927"/>
      <c r="ND3" s="928"/>
      <c r="NE3" s="923" t="s">
        <v>538</v>
      </c>
      <c r="NF3" s="924"/>
      <c r="NG3" s="924"/>
      <c r="NH3" s="925"/>
      <c r="NI3" s="932"/>
      <c r="NJ3" s="923" t="s">
        <v>537</v>
      </c>
      <c r="NK3" s="924"/>
      <c r="NL3" s="925"/>
      <c r="NM3" s="926"/>
      <c r="NN3" s="927"/>
      <c r="NO3" s="928"/>
      <c r="NP3" s="923" t="s">
        <v>538</v>
      </c>
      <c r="NQ3" s="924"/>
      <c r="NR3" s="924"/>
      <c r="NS3" s="925"/>
      <c r="NT3" s="932"/>
      <c r="NU3" s="923" t="s">
        <v>537</v>
      </c>
      <c r="NV3" s="924"/>
      <c r="NW3" s="925"/>
      <c r="NX3" s="926"/>
      <c r="NY3" s="927"/>
      <c r="NZ3" s="928"/>
      <c r="OA3" s="923" t="s">
        <v>538</v>
      </c>
      <c r="OB3" s="924"/>
      <c r="OC3" s="924"/>
      <c r="OD3" s="925"/>
      <c r="OE3" s="932"/>
      <c r="OF3" s="923" t="s">
        <v>537</v>
      </c>
      <c r="OG3" s="924"/>
      <c r="OH3" s="925"/>
      <c r="OI3" s="926"/>
      <c r="OJ3" s="927"/>
      <c r="OK3" s="928"/>
      <c r="OL3" s="923" t="s">
        <v>538</v>
      </c>
      <c r="OM3" s="924"/>
      <c r="ON3" s="924"/>
      <c r="OO3" s="925"/>
      <c r="OP3" s="932"/>
    </row>
    <row r="4" spans="1:406" ht="54.75" customHeight="1">
      <c r="A4" s="689" t="s">
        <v>539</v>
      </c>
      <c r="B4" s="666" t="s">
        <v>7</v>
      </c>
      <c r="C4" s="666" t="s">
        <v>16</v>
      </c>
      <c r="D4" s="666" t="s">
        <v>25</v>
      </c>
      <c r="E4" s="666" t="s">
        <v>34</v>
      </c>
      <c r="F4" s="666" t="s">
        <v>540</v>
      </c>
      <c r="G4" s="672" t="s">
        <v>541</v>
      </c>
      <c r="H4" s="670" t="s">
        <v>7</v>
      </c>
      <c r="I4" s="670" t="s">
        <v>16</v>
      </c>
      <c r="J4" s="670" t="s">
        <v>25</v>
      </c>
      <c r="K4" s="670" t="s">
        <v>34</v>
      </c>
      <c r="L4" s="670" t="s">
        <v>540</v>
      </c>
      <c r="M4" s="671" t="s">
        <v>541</v>
      </c>
      <c r="N4" s="670" t="s">
        <v>7</v>
      </c>
      <c r="O4" s="670" t="s">
        <v>16</v>
      </c>
      <c r="P4" s="670" t="s">
        <v>25</v>
      </c>
      <c r="Q4" s="670" t="s">
        <v>34</v>
      </c>
      <c r="R4" s="670" t="s">
        <v>540</v>
      </c>
      <c r="S4" s="671" t="s">
        <v>541</v>
      </c>
      <c r="T4" s="670" t="s">
        <v>7</v>
      </c>
      <c r="U4" s="670" t="s">
        <v>16</v>
      </c>
      <c r="V4" s="670" t="s">
        <v>25</v>
      </c>
      <c r="W4" s="670" t="s">
        <v>34</v>
      </c>
      <c r="X4" s="670" t="s">
        <v>540</v>
      </c>
      <c r="Y4" s="671" t="s">
        <v>541</v>
      </c>
      <c r="Z4" s="670" t="s">
        <v>7</v>
      </c>
      <c r="AA4" s="670" t="s">
        <v>16</v>
      </c>
      <c r="AB4" s="670" t="s">
        <v>25</v>
      </c>
      <c r="AC4" s="670" t="s">
        <v>34</v>
      </c>
      <c r="AD4" s="670" t="s">
        <v>540</v>
      </c>
      <c r="AE4" s="671" t="s">
        <v>541</v>
      </c>
      <c r="AF4" s="670" t="s">
        <v>7</v>
      </c>
      <c r="AG4" s="670" t="s">
        <v>16</v>
      </c>
      <c r="AH4" s="670" t="s">
        <v>25</v>
      </c>
      <c r="AI4" s="670" t="s">
        <v>34</v>
      </c>
      <c r="AJ4" s="670" t="s">
        <v>540</v>
      </c>
      <c r="AK4" s="671" t="s">
        <v>541</v>
      </c>
      <c r="AL4" s="670" t="s">
        <v>7</v>
      </c>
      <c r="AM4" s="670" t="s">
        <v>16</v>
      </c>
      <c r="AN4" s="670" t="s">
        <v>25</v>
      </c>
      <c r="AO4" s="670" t="s">
        <v>34</v>
      </c>
      <c r="AP4" s="670" t="s">
        <v>540</v>
      </c>
      <c r="AQ4" s="671" t="s">
        <v>541</v>
      </c>
      <c r="AR4" s="670" t="s">
        <v>7</v>
      </c>
      <c r="AS4" s="670" t="s">
        <v>16</v>
      </c>
      <c r="AT4" s="670" t="s">
        <v>25</v>
      </c>
      <c r="AU4" s="670" t="s">
        <v>34</v>
      </c>
      <c r="AV4" s="670" t="s">
        <v>540</v>
      </c>
      <c r="AW4" s="671" t="s">
        <v>541</v>
      </c>
      <c r="AX4" s="675" t="s">
        <v>7</v>
      </c>
      <c r="AY4" s="675" t="s">
        <v>16</v>
      </c>
      <c r="AZ4" s="675" t="s">
        <v>25</v>
      </c>
      <c r="BA4" s="675" t="s">
        <v>34</v>
      </c>
      <c r="BB4" s="675" t="s">
        <v>540</v>
      </c>
      <c r="BC4" s="676" t="s">
        <v>541</v>
      </c>
      <c r="BD4" s="675" t="s">
        <v>7</v>
      </c>
      <c r="BE4" s="675" t="s">
        <v>16</v>
      </c>
      <c r="BF4" s="675" t="s">
        <v>25</v>
      </c>
      <c r="BG4" s="675" t="s">
        <v>34</v>
      </c>
      <c r="BH4" s="675" t="s">
        <v>540</v>
      </c>
      <c r="BI4" s="676" t="s">
        <v>541</v>
      </c>
      <c r="BJ4" s="675" t="s">
        <v>7</v>
      </c>
      <c r="BK4" s="675" t="s">
        <v>16</v>
      </c>
      <c r="BL4" s="675" t="s">
        <v>25</v>
      </c>
      <c r="BM4" s="675" t="s">
        <v>34</v>
      </c>
      <c r="BN4" s="675" t="s">
        <v>540</v>
      </c>
      <c r="BO4" s="676" t="s">
        <v>541</v>
      </c>
      <c r="BP4" s="675" t="s">
        <v>7</v>
      </c>
      <c r="BQ4" s="675" t="s">
        <v>16</v>
      </c>
      <c r="BR4" s="675" t="s">
        <v>25</v>
      </c>
      <c r="BS4" s="675" t="s">
        <v>34</v>
      </c>
      <c r="BT4" s="675" t="s">
        <v>540</v>
      </c>
      <c r="BU4" s="676" t="s">
        <v>541</v>
      </c>
      <c r="BV4" s="675" t="s">
        <v>7</v>
      </c>
      <c r="BW4" s="675" t="s">
        <v>16</v>
      </c>
      <c r="BX4" s="675" t="s">
        <v>25</v>
      </c>
      <c r="BY4" s="675" t="s">
        <v>34</v>
      </c>
      <c r="BZ4" s="675" t="s">
        <v>540</v>
      </c>
      <c r="CA4" s="676" t="s">
        <v>541</v>
      </c>
      <c r="CB4" s="675" t="s">
        <v>7</v>
      </c>
      <c r="CC4" s="675" t="s">
        <v>16</v>
      </c>
      <c r="CD4" s="675" t="s">
        <v>25</v>
      </c>
      <c r="CE4" s="675" t="s">
        <v>34</v>
      </c>
      <c r="CF4" s="675" t="s">
        <v>540</v>
      </c>
      <c r="CG4" s="676" t="s">
        <v>541</v>
      </c>
      <c r="CH4" s="675" t="s">
        <v>7</v>
      </c>
      <c r="CI4" s="675" t="s">
        <v>16</v>
      </c>
      <c r="CJ4" s="675" t="s">
        <v>25</v>
      </c>
      <c r="CK4" s="675" t="s">
        <v>34</v>
      </c>
      <c r="CL4" s="675" t="s">
        <v>540</v>
      </c>
      <c r="CM4" s="676" t="s">
        <v>541</v>
      </c>
      <c r="CN4" s="675" t="s">
        <v>7</v>
      </c>
      <c r="CO4" s="675" t="s">
        <v>16</v>
      </c>
      <c r="CP4" s="675" t="s">
        <v>25</v>
      </c>
      <c r="CQ4" s="675" t="s">
        <v>34</v>
      </c>
      <c r="CR4" s="675" t="s">
        <v>540</v>
      </c>
      <c r="CS4" s="676" t="s">
        <v>541</v>
      </c>
      <c r="CT4" s="675" t="s">
        <v>7</v>
      </c>
      <c r="CU4" s="675" t="s">
        <v>16</v>
      </c>
      <c r="CV4" s="675" t="s">
        <v>25</v>
      </c>
      <c r="CW4" s="675" t="s">
        <v>34</v>
      </c>
      <c r="CX4" s="675" t="s">
        <v>540</v>
      </c>
      <c r="CY4" s="676" t="s">
        <v>541</v>
      </c>
      <c r="CZ4" s="675" t="s">
        <v>7</v>
      </c>
      <c r="DA4" s="675" t="s">
        <v>16</v>
      </c>
      <c r="DB4" s="675" t="s">
        <v>25</v>
      </c>
      <c r="DC4" s="675" t="s">
        <v>34</v>
      </c>
      <c r="DD4" s="675" t="s">
        <v>540</v>
      </c>
      <c r="DE4" s="676" t="s">
        <v>541</v>
      </c>
      <c r="DF4" s="675" t="s">
        <v>7</v>
      </c>
      <c r="DG4" s="675" t="s">
        <v>16</v>
      </c>
      <c r="DH4" s="675" t="s">
        <v>25</v>
      </c>
      <c r="DI4" s="675" t="s">
        <v>34</v>
      </c>
      <c r="DJ4" s="675" t="s">
        <v>540</v>
      </c>
      <c r="DK4" s="676" t="s">
        <v>541</v>
      </c>
      <c r="DL4" s="675" t="s">
        <v>7</v>
      </c>
      <c r="DM4" s="675" t="s">
        <v>16</v>
      </c>
      <c r="DN4" s="675" t="s">
        <v>25</v>
      </c>
      <c r="DO4" s="675" t="s">
        <v>34</v>
      </c>
      <c r="DP4" s="675" t="s">
        <v>540</v>
      </c>
      <c r="DQ4" s="676" t="s">
        <v>541</v>
      </c>
      <c r="DR4" s="675" t="s">
        <v>7</v>
      </c>
      <c r="DS4" s="675" t="s">
        <v>16</v>
      </c>
      <c r="DT4" s="675" t="s">
        <v>25</v>
      </c>
      <c r="DU4" s="675" t="s">
        <v>34</v>
      </c>
      <c r="DV4" s="675" t="s">
        <v>540</v>
      </c>
      <c r="DW4" s="676" t="s">
        <v>541</v>
      </c>
      <c r="DX4" s="675" t="s">
        <v>7</v>
      </c>
      <c r="DY4" s="675" t="s">
        <v>16</v>
      </c>
      <c r="DZ4" s="675" t="s">
        <v>25</v>
      </c>
      <c r="EA4" s="675" t="s">
        <v>34</v>
      </c>
      <c r="EB4" s="675" t="s">
        <v>540</v>
      </c>
      <c r="EC4" s="676" t="s">
        <v>541</v>
      </c>
      <c r="ED4" s="677" t="s">
        <v>7</v>
      </c>
      <c r="EE4" s="677" t="s">
        <v>25</v>
      </c>
      <c r="EF4" s="677" t="s">
        <v>34</v>
      </c>
      <c r="EG4" s="677" t="s">
        <v>542</v>
      </c>
      <c r="EH4" s="677" t="s">
        <v>543</v>
      </c>
      <c r="EI4" s="677" t="s">
        <v>57</v>
      </c>
      <c r="EJ4" s="677" t="s">
        <v>63</v>
      </c>
      <c r="EK4" s="677" t="s">
        <v>544</v>
      </c>
      <c r="EL4" s="677" t="s">
        <v>545</v>
      </c>
      <c r="EM4" s="677" t="s">
        <v>540</v>
      </c>
      <c r="EN4" s="678" t="s">
        <v>541</v>
      </c>
      <c r="EO4" s="677" t="s">
        <v>7</v>
      </c>
      <c r="EP4" s="677" t="s">
        <v>25</v>
      </c>
      <c r="EQ4" s="677" t="s">
        <v>34</v>
      </c>
      <c r="ER4" s="677" t="s">
        <v>542</v>
      </c>
      <c r="ES4" s="677" t="s">
        <v>543</v>
      </c>
      <c r="ET4" s="677" t="s">
        <v>57</v>
      </c>
      <c r="EU4" s="677" t="s">
        <v>63</v>
      </c>
      <c r="EV4" s="677" t="s">
        <v>544</v>
      </c>
      <c r="EW4" s="677" t="s">
        <v>545</v>
      </c>
      <c r="EX4" s="677" t="s">
        <v>540</v>
      </c>
      <c r="EY4" s="678" t="s">
        <v>541</v>
      </c>
      <c r="EZ4" s="677" t="s">
        <v>7</v>
      </c>
      <c r="FA4" s="677" t="s">
        <v>25</v>
      </c>
      <c r="FB4" s="677" t="s">
        <v>34</v>
      </c>
      <c r="FC4" s="677" t="s">
        <v>542</v>
      </c>
      <c r="FD4" s="677" t="s">
        <v>543</v>
      </c>
      <c r="FE4" s="677" t="s">
        <v>57</v>
      </c>
      <c r="FF4" s="677" t="s">
        <v>63</v>
      </c>
      <c r="FG4" s="677" t="s">
        <v>544</v>
      </c>
      <c r="FH4" s="677" t="s">
        <v>545</v>
      </c>
      <c r="FI4" s="677" t="s">
        <v>540</v>
      </c>
      <c r="FJ4" s="678" t="s">
        <v>541</v>
      </c>
      <c r="FK4" s="677" t="s">
        <v>7</v>
      </c>
      <c r="FL4" s="677" t="s">
        <v>25</v>
      </c>
      <c r="FM4" s="677" t="s">
        <v>34</v>
      </c>
      <c r="FN4" s="677" t="s">
        <v>542</v>
      </c>
      <c r="FO4" s="677" t="s">
        <v>543</v>
      </c>
      <c r="FP4" s="677" t="s">
        <v>57</v>
      </c>
      <c r="FQ4" s="677" t="s">
        <v>63</v>
      </c>
      <c r="FR4" s="677" t="s">
        <v>544</v>
      </c>
      <c r="FS4" s="677" t="s">
        <v>545</v>
      </c>
      <c r="FT4" s="677" t="s">
        <v>540</v>
      </c>
      <c r="FU4" s="678" t="s">
        <v>541</v>
      </c>
      <c r="FV4" s="677" t="s">
        <v>7</v>
      </c>
      <c r="FW4" s="677" t="s">
        <v>25</v>
      </c>
      <c r="FX4" s="677" t="s">
        <v>34</v>
      </c>
      <c r="FY4" s="677" t="s">
        <v>542</v>
      </c>
      <c r="FZ4" s="677" t="s">
        <v>543</v>
      </c>
      <c r="GA4" s="677" t="s">
        <v>57</v>
      </c>
      <c r="GB4" s="677" t="s">
        <v>63</v>
      </c>
      <c r="GC4" s="677" t="s">
        <v>544</v>
      </c>
      <c r="GD4" s="677" t="s">
        <v>545</v>
      </c>
      <c r="GE4" s="677" t="s">
        <v>540</v>
      </c>
      <c r="GF4" s="678" t="s">
        <v>541</v>
      </c>
      <c r="GG4" s="675" t="s">
        <v>7</v>
      </c>
      <c r="GH4" s="675" t="s">
        <v>16</v>
      </c>
      <c r="GI4" s="675" t="s">
        <v>25</v>
      </c>
      <c r="GJ4" s="675" t="s">
        <v>34</v>
      </c>
      <c r="GK4" s="675" t="s">
        <v>52</v>
      </c>
      <c r="GL4" s="675" t="s">
        <v>540</v>
      </c>
      <c r="GM4" s="676" t="s">
        <v>541</v>
      </c>
      <c r="GN4" s="675" t="s">
        <v>7</v>
      </c>
      <c r="GO4" s="675" t="s">
        <v>16</v>
      </c>
      <c r="GP4" s="675" t="s">
        <v>25</v>
      </c>
      <c r="GQ4" s="675" t="s">
        <v>34</v>
      </c>
      <c r="GR4" s="675" t="s">
        <v>52</v>
      </c>
      <c r="GS4" s="675" t="s">
        <v>540</v>
      </c>
      <c r="GT4" s="676" t="s">
        <v>541</v>
      </c>
      <c r="GU4" s="675" t="s">
        <v>7</v>
      </c>
      <c r="GV4" s="675" t="s">
        <v>16</v>
      </c>
      <c r="GW4" s="675" t="s">
        <v>25</v>
      </c>
      <c r="GX4" s="675" t="s">
        <v>34</v>
      </c>
      <c r="GY4" s="675" t="s">
        <v>52</v>
      </c>
      <c r="GZ4" s="675" t="s">
        <v>540</v>
      </c>
      <c r="HA4" s="676" t="s">
        <v>541</v>
      </c>
      <c r="HB4" s="675" t="s">
        <v>7</v>
      </c>
      <c r="HC4" s="675" t="s">
        <v>16</v>
      </c>
      <c r="HD4" s="675" t="s">
        <v>25</v>
      </c>
      <c r="HE4" s="675" t="s">
        <v>34</v>
      </c>
      <c r="HF4" s="675" t="s">
        <v>52</v>
      </c>
      <c r="HG4" s="675" t="s">
        <v>540</v>
      </c>
      <c r="HH4" s="676" t="s">
        <v>541</v>
      </c>
      <c r="HI4" s="675" t="s">
        <v>7</v>
      </c>
      <c r="HJ4" s="675" t="s">
        <v>16</v>
      </c>
      <c r="HK4" s="675" t="s">
        <v>25</v>
      </c>
      <c r="HL4" s="675" t="s">
        <v>34</v>
      </c>
      <c r="HM4" s="675" t="s">
        <v>52</v>
      </c>
      <c r="HN4" s="675" t="s">
        <v>540</v>
      </c>
      <c r="HO4" s="676" t="s">
        <v>541</v>
      </c>
      <c r="HP4" s="675" t="s">
        <v>7</v>
      </c>
      <c r="HQ4" s="675" t="s">
        <v>16</v>
      </c>
      <c r="HR4" s="675" t="s">
        <v>25</v>
      </c>
      <c r="HS4" s="675" t="s">
        <v>34</v>
      </c>
      <c r="HT4" s="675" t="s">
        <v>52</v>
      </c>
      <c r="HU4" s="675" t="s">
        <v>540</v>
      </c>
      <c r="HV4" s="676" t="s">
        <v>541</v>
      </c>
      <c r="HW4" s="677" t="s">
        <v>7</v>
      </c>
      <c r="HX4" s="677" t="s">
        <v>25</v>
      </c>
      <c r="HY4" s="677" t="s">
        <v>34</v>
      </c>
      <c r="HZ4" s="677" t="s">
        <v>542</v>
      </c>
      <c r="IA4" s="677" t="s">
        <v>543</v>
      </c>
      <c r="IB4" s="677" t="s">
        <v>57</v>
      </c>
      <c r="IC4" s="677" t="s">
        <v>63</v>
      </c>
      <c r="ID4" s="677" t="s">
        <v>544</v>
      </c>
      <c r="IE4" s="677" t="s">
        <v>545</v>
      </c>
      <c r="IF4" s="677" t="s">
        <v>540</v>
      </c>
      <c r="IG4" s="678" t="s">
        <v>541</v>
      </c>
      <c r="IH4" s="677" t="s">
        <v>7</v>
      </c>
      <c r="II4" s="677" t="s">
        <v>25</v>
      </c>
      <c r="IJ4" s="677" t="s">
        <v>34</v>
      </c>
      <c r="IK4" s="677" t="s">
        <v>542</v>
      </c>
      <c r="IL4" s="677" t="s">
        <v>543</v>
      </c>
      <c r="IM4" s="677" t="s">
        <v>57</v>
      </c>
      <c r="IN4" s="677" t="s">
        <v>63</v>
      </c>
      <c r="IO4" s="677" t="s">
        <v>544</v>
      </c>
      <c r="IP4" s="677" t="s">
        <v>545</v>
      </c>
      <c r="IQ4" s="677" t="s">
        <v>540</v>
      </c>
      <c r="IR4" s="678" t="s">
        <v>541</v>
      </c>
      <c r="IS4" s="677" t="s">
        <v>7</v>
      </c>
      <c r="IT4" s="677" t="s">
        <v>25</v>
      </c>
      <c r="IU4" s="677" t="s">
        <v>34</v>
      </c>
      <c r="IV4" s="677" t="s">
        <v>542</v>
      </c>
      <c r="IW4" s="677" t="s">
        <v>543</v>
      </c>
      <c r="IX4" s="677" t="s">
        <v>57</v>
      </c>
      <c r="IY4" s="677" t="s">
        <v>63</v>
      </c>
      <c r="IZ4" s="677" t="s">
        <v>544</v>
      </c>
      <c r="JA4" s="677" t="s">
        <v>545</v>
      </c>
      <c r="JB4" s="677" t="s">
        <v>540</v>
      </c>
      <c r="JC4" s="678" t="s">
        <v>541</v>
      </c>
      <c r="JD4" s="677" t="s">
        <v>7</v>
      </c>
      <c r="JE4" s="677" t="s">
        <v>25</v>
      </c>
      <c r="JF4" s="677" t="s">
        <v>34</v>
      </c>
      <c r="JG4" s="677" t="s">
        <v>542</v>
      </c>
      <c r="JH4" s="677" t="s">
        <v>543</v>
      </c>
      <c r="JI4" s="677" t="s">
        <v>57</v>
      </c>
      <c r="JJ4" s="677" t="s">
        <v>63</v>
      </c>
      <c r="JK4" s="677" t="s">
        <v>544</v>
      </c>
      <c r="JL4" s="677" t="s">
        <v>545</v>
      </c>
      <c r="JM4" s="677" t="s">
        <v>540</v>
      </c>
      <c r="JN4" s="678" t="s">
        <v>541</v>
      </c>
      <c r="JO4" s="677" t="s">
        <v>7</v>
      </c>
      <c r="JP4" s="677" t="s">
        <v>25</v>
      </c>
      <c r="JQ4" s="677" t="s">
        <v>34</v>
      </c>
      <c r="JR4" s="677" t="s">
        <v>542</v>
      </c>
      <c r="JS4" s="677" t="s">
        <v>543</v>
      </c>
      <c r="JT4" s="677" t="s">
        <v>57</v>
      </c>
      <c r="JU4" s="677" t="s">
        <v>63</v>
      </c>
      <c r="JV4" s="677" t="s">
        <v>544</v>
      </c>
      <c r="JW4" s="677" t="s">
        <v>545</v>
      </c>
      <c r="JX4" s="677" t="s">
        <v>540</v>
      </c>
      <c r="JY4" s="678" t="s">
        <v>541</v>
      </c>
      <c r="JZ4" s="677" t="s">
        <v>7</v>
      </c>
      <c r="KA4" s="677" t="s">
        <v>25</v>
      </c>
      <c r="KB4" s="677" t="s">
        <v>34</v>
      </c>
      <c r="KC4" s="677" t="s">
        <v>542</v>
      </c>
      <c r="KD4" s="677" t="s">
        <v>543</v>
      </c>
      <c r="KE4" s="677" t="s">
        <v>57</v>
      </c>
      <c r="KF4" s="677" t="s">
        <v>63</v>
      </c>
      <c r="KG4" s="677" t="s">
        <v>544</v>
      </c>
      <c r="KH4" s="677" t="s">
        <v>545</v>
      </c>
      <c r="KI4" s="677" t="s">
        <v>540</v>
      </c>
      <c r="KJ4" s="678" t="s">
        <v>541</v>
      </c>
      <c r="KK4" s="677" t="s">
        <v>7</v>
      </c>
      <c r="KL4" s="677" t="s">
        <v>25</v>
      </c>
      <c r="KM4" s="677" t="s">
        <v>34</v>
      </c>
      <c r="KN4" s="677" t="s">
        <v>542</v>
      </c>
      <c r="KO4" s="677" t="s">
        <v>543</v>
      </c>
      <c r="KP4" s="677" t="s">
        <v>57</v>
      </c>
      <c r="KQ4" s="677" t="s">
        <v>63</v>
      </c>
      <c r="KR4" s="677" t="s">
        <v>544</v>
      </c>
      <c r="KS4" s="677" t="s">
        <v>545</v>
      </c>
      <c r="KT4" s="677" t="s">
        <v>540</v>
      </c>
      <c r="KU4" s="678" t="s">
        <v>541</v>
      </c>
      <c r="KV4" s="677" t="s">
        <v>7</v>
      </c>
      <c r="KW4" s="677" t="s">
        <v>25</v>
      </c>
      <c r="KX4" s="677" t="s">
        <v>34</v>
      </c>
      <c r="KY4" s="677" t="s">
        <v>542</v>
      </c>
      <c r="KZ4" s="677" t="s">
        <v>543</v>
      </c>
      <c r="LA4" s="677" t="s">
        <v>57</v>
      </c>
      <c r="LB4" s="677" t="s">
        <v>63</v>
      </c>
      <c r="LC4" s="677" t="s">
        <v>544</v>
      </c>
      <c r="LD4" s="677" t="s">
        <v>545</v>
      </c>
      <c r="LE4" s="677" t="s">
        <v>540</v>
      </c>
      <c r="LF4" s="678" t="s">
        <v>541</v>
      </c>
      <c r="LG4" s="677" t="s">
        <v>7</v>
      </c>
      <c r="LH4" s="677" t="s">
        <v>25</v>
      </c>
      <c r="LI4" s="677" t="s">
        <v>34</v>
      </c>
      <c r="LJ4" s="677" t="s">
        <v>542</v>
      </c>
      <c r="LK4" s="677" t="s">
        <v>543</v>
      </c>
      <c r="LL4" s="677" t="s">
        <v>57</v>
      </c>
      <c r="LM4" s="677" t="s">
        <v>63</v>
      </c>
      <c r="LN4" s="677" t="s">
        <v>544</v>
      </c>
      <c r="LO4" s="677" t="s">
        <v>545</v>
      </c>
      <c r="LP4" s="677" t="s">
        <v>540</v>
      </c>
      <c r="LQ4" s="678" t="s">
        <v>541</v>
      </c>
      <c r="LR4" s="677" t="s">
        <v>7</v>
      </c>
      <c r="LS4" s="677" t="s">
        <v>25</v>
      </c>
      <c r="LT4" s="677" t="s">
        <v>34</v>
      </c>
      <c r="LU4" s="677" t="s">
        <v>542</v>
      </c>
      <c r="LV4" s="677" t="s">
        <v>543</v>
      </c>
      <c r="LW4" s="677" t="s">
        <v>57</v>
      </c>
      <c r="LX4" s="677" t="s">
        <v>63</v>
      </c>
      <c r="LY4" s="677" t="s">
        <v>544</v>
      </c>
      <c r="LZ4" s="677" t="s">
        <v>545</v>
      </c>
      <c r="MA4" s="677" t="s">
        <v>540</v>
      </c>
      <c r="MB4" s="678" t="s">
        <v>541</v>
      </c>
      <c r="MC4" s="677" t="s">
        <v>7</v>
      </c>
      <c r="MD4" s="677" t="s">
        <v>25</v>
      </c>
      <c r="ME4" s="677" t="s">
        <v>34</v>
      </c>
      <c r="MF4" s="677" t="s">
        <v>542</v>
      </c>
      <c r="MG4" s="677" t="s">
        <v>543</v>
      </c>
      <c r="MH4" s="677" t="s">
        <v>57</v>
      </c>
      <c r="MI4" s="677" t="s">
        <v>63</v>
      </c>
      <c r="MJ4" s="677" t="s">
        <v>544</v>
      </c>
      <c r="MK4" s="677" t="s">
        <v>545</v>
      </c>
      <c r="ML4" s="677" t="s">
        <v>540</v>
      </c>
      <c r="MM4" s="678" t="s">
        <v>541</v>
      </c>
      <c r="MN4" s="677" t="s">
        <v>7</v>
      </c>
      <c r="MO4" s="677" t="s">
        <v>25</v>
      </c>
      <c r="MP4" s="677" t="s">
        <v>34</v>
      </c>
      <c r="MQ4" s="677" t="s">
        <v>542</v>
      </c>
      <c r="MR4" s="677" t="s">
        <v>543</v>
      </c>
      <c r="MS4" s="677" t="s">
        <v>57</v>
      </c>
      <c r="MT4" s="677" t="s">
        <v>63</v>
      </c>
      <c r="MU4" s="677" t="s">
        <v>544</v>
      </c>
      <c r="MV4" s="677" t="s">
        <v>545</v>
      </c>
      <c r="MW4" s="677" t="s">
        <v>540</v>
      </c>
      <c r="MX4" s="678" t="s">
        <v>541</v>
      </c>
      <c r="MY4" s="677" t="s">
        <v>7</v>
      </c>
      <c r="MZ4" s="677" t="s">
        <v>25</v>
      </c>
      <c r="NA4" s="677" t="s">
        <v>34</v>
      </c>
      <c r="NB4" s="677" t="s">
        <v>542</v>
      </c>
      <c r="NC4" s="677" t="s">
        <v>543</v>
      </c>
      <c r="ND4" s="677" t="s">
        <v>57</v>
      </c>
      <c r="NE4" s="677" t="s">
        <v>63</v>
      </c>
      <c r="NF4" s="677" t="s">
        <v>544</v>
      </c>
      <c r="NG4" s="677" t="s">
        <v>545</v>
      </c>
      <c r="NH4" s="677" t="s">
        <v>540</v>
      </c>
      <c r="NI4" s="678" t="s">
        <v>541</v>
      </c>
      <c r="NJ4" s="677" t="s">
        <v>7</v>
      </c>
      <c r="NK4" s="677" t="s">
        <v>25</v>
      </c>
      <c r="NL4" s="677" t="s">
        <v>34</v>
      </c>
      <c r="NM4" s="677" t="s">
        <v>542</v>
      </c>
      <c r="NN4" s="677" t="s">
        <v>543</v>
      </c>
      <c r="NO4" s="677" t="s">
        <v>57</v>
      </c>
      <c r="NP4" s="677" t="s">
        <v>63</v>
      </c>
      <c r="NQ4" s="677" t="s">
        <v>544</v>
      </c>
      <c r="NR4" s="677" t="s">
        <v>545</v>
      </c>
      <c r="NS4" s="677" t="s">
        <v>540</v>
      </c>
      <c r="NT4" s="678" t="s">
        <v>541</v>
      </c>
      <c r="NU4" s="677" t="s">
        <v>7</v>
      </c>
      <c r="NV4" s="677" t="s">
        <v>25</v>
      </c>
      <c r="NW4" s="677" t="s">
        <v>34</v>
      </c>
      <c r="NX4" s="677" t="s">
        <v>542</v>
      </c>
      <c r="NY4" s="677" t="s">
        <v>543</v>
      </c>
      <c r="NZ4" s="677" t="s">
        <v>57</v>
      </c>
      <c r="OA4" s="677" t="s">
        <v>63</v>
      </c>
      <c r="OB4" s="677" t="s">
        <v>544</v>
      </c>
      <c r="OC4" s="677" t="s">
        <v>545</v>
      </c>
      <c r="OD4" s="677" t="s">
        <v>540</v>
      </c>
      <c r="OE4" s="678" t="s">
        <v>541</v>
      </c>
      <c r="OF4" s="677" t="s">
        <v>7</v>
      </c>
      <c r="OG4" s="677" t="s">
        <v>25</v>
      </c>
      <c r="OH4" s="677" t="s">
        <v>34</v>
      </c>
      <c r="OI4" s="677" t="s">
        <v>542</v>
      </c>
      <c r="OJ4" s="677" t="s">
        <v>543</v>
      </c>
      <c r="OK4" s="677" t="s">
        <v>57</v>
      </c>
      <c r="OL4" s="677" t="s">
        <v>63</v>
      </c>
      <c r="OM4" s="677" t="s">
        <v>544</v>
      </c>
      <c r="ON4" s="677" t="s">
        <v>545</v>
      </c>
      <c r="OO4" s="677" t="s">
        <v>540</v>
      </c>
      <c r="OP4" s="678" t="s">
        <v>541</v>
      </c>
    </row>
    <row r="5" spans="1:406">
      <c r="A5" s="687" t="str" cm="1">
        <f t="array" ref="A5:A31">Reporting!F4:F30</f>
        <v>Donna Rnne</v>
      </c>
      <c r="B5" s="688" t="s">
        <v>546</v>
      </c>
      <c r="C5" s="688" t="s">
        <v>547</v>
      </c>
      <c r="D5" s="688" t="s">
        <v>547</v>
      </c>
      <c r="E5" s="688" t="s">
        <v>548</v>
      </c>
      <c r="F5" s="668" t="s">
        <v>549</v>
      </c>
      <c r="G5" s="663" t="s">
        <v>550</v>
      </c>
      <c r="H5" s="688" t="s">
        <v>546</v>
      </c>
      <c r="I5" s="688" t="s">
        <v>547</v>
      </c>
      <c r="J5" s="688" t="s">
        <v>547</v>
      </c>
      <c r="K5" s="688" t="s">
        <v>547</v>
      </c>
      <c r="L5" s="668" t="s">
        <v>551</v>
      </c>
      <c r="M5" s="663"/>
      <c r="N5" s="688"/>
      <c r="O5" s="688"/>
      <c r="P5" s="688"/>
      <c r="Q5" s="688"/>
      <c r="R5" s="668"/>
      <c r="S5" s="663"/>
      <c r="T5" s="688"/>
      <c r="U5" s="688"/>
      <c r="V5" s="688"/>
      <c r="W5" s="688"/>
      <c r="X5" s="668"/>
      <c r="Y5" s="663"/>
      <c r="Z5" s="688"/>
      <c r="AA5" s="688"/>
      <c r="AB5" s="688"/>
      <c r="AC5" s="688"/>
      <c r="AD5" s="668"/>
      <c r="AE5" s="663"/>
      <c r="AF5" s="688"/>
      <c r="AG5" s="688"/>
      <c r="AH5" s="688"/>
      <c r="AI5" s="688"/>
      <c r="AJ5" s="668"/>
      <c r="AK5" s="663"/>
      <c r="AL5" s="688"/>
      <c r="AM5" s="688"/>
      <c r="AN5" s="688"/>
      <c r="AO5" s="688"/>
      <c r="AP5" s="668"/>
      <c r="AQ5" s="663"/>
      <c r="AR5" s="688"/>
      <c r="AS5" s="688"/>
      <c r="AT5" s="688"/>
      <c r="AU5" s="688"/>
      <c r="AV5" s="668"/>
      <c r="AW5" s="663"/>
      <c r="AX5" s="688"/>
      <c r="AY5" s="688"/>
      <c r="AZ5" s="688"/>
      <c r="BA5" s="688"/>
      <c r="BB5" s="668"/>
      <c r="BC5" s="663"/>
      <c r="BD5" s="688"/>
      <c r="BE5" s="688"/>
      <c r="BF5" s="688"/>
      <c r="BG5" s="688"/>
      <c r="BH5" s="668"/>
      <c r="BI5" s="663"/>
      <c r="BJ5" s="688"/>
      <c r="BK5" s="688"/>
      <c r="BL5" s="688"/>
      <c r="BM5" s="688"/>
      <c r="BN5" s="668"/>
      <c r="BO5" s="663"/>
      <c r="BP5" s="688"/>
      <c r="BQ5" s="688"/>
      <c r="BR5" s="688"/>
      <c r="BS5" s="688"/>
      <c r="BT5" s="668"/>
      <c r="BU5" s="663"/>
      <c r="BV5" s="688"/>
      <c r="BW5" s="688"/>
      <c r="BX5" s="688"/>
      <c r="BY5" s="688"/>
      <c r="BZ5" s="668"/>
      <c r="CA5" s="663"/>
      <c r="CB5" s="688"/>
      <c r="CC5" s="688"/>
      <c r="CD5" s="688"/>
      <c r="CE5" s="688"/>
      <c r="CF5" s="668"/>
      <c r="CG5" s="663"/>
      <c r="CH5" s="688"/>
      <c r="CI5" s="688"/>
      <c r="CJ5" s="688"/>
      <c r="CK5" s="688"/>
      <c r="CL5" s="668"/>
      <c r="CM5" s="663"/>
      <c r="CN5" s="688"/>
      <c r="CO5" s="688"/>
      <c r="CP5" s="688"/>
      <c r="CQ5" s="688"/>
      <c r="CR5" s="668"/>
      <c r="CS5" s="663"/>
      <c r="CT5" s="688"/>
      <c r="CU5" s="688"/>
      <c r="CV5" s="688"/>
      <c r="CW5" s="688"/>
      <c r="CX5" s="668"/>
      <c r="CY5" s="663"/>
      <c r="CZ5" s="688"/>
      <c r="DA5" s="688"/>
      <c r="DB5" s="688"/>
      <c r="DC5" s="688"/>
      <c r="DD5" s="668"/>
      <c r="DE5" s="663"/>
      <c r="DF5" s="688"/>
      <c r="DG5" s="688"/>
      <c r="DH5" s="688"/>
      <c r="DI5" s="688"/>
      <c r="DJ5" s="668"/>
      <c r="DK5" s="663"/>
      <c r="DL5" s="688"/>
      <c r="DM5" s="688"/>
      <c r="DN5" s="688"/>
      <c r="DO5" s="688"/>
      <c r="DP5" s="668"/>
      <c r="DQ5" s="663"/>
      <c r="DR5" s="688"/>
      <c r="DS5" s="688"/>
      <c r="DT5" s="688"/>
      <c r="DU5" s="688"/>
      <c r="DV5" s="668"/>
      <c r="DW5" s="663"/>
      <c r="DX5" s="688"/>
      <c r="DY5" s="688"/>
      <c r="DZ5" s="688"/>
      <c r="EA5" s="688"/>
      <c r="EB5" s="668" t="s">
        <v>551</v>
      </c>
      <c r="EC5" s="663"/>
      <c r="ED5" s="688"/>
      <c r="EE5" s="688"/>
      <c r="EF5" s="688"/>
      <c r="EG5" s="688"/>
      <c r="EH5" s="688"/>
      <c r="EI5" s="688"/>
      <c r="EJ5" s="688"/>
      <c r="EK5" s="688"/>
      <c r="EL5" s="688"/>
      <c r="EM5" s="668" t="s">
        <v>551</v>
      </c>
      <c r="EO5" s="688"/>
      <c r="EP5" s="688"/>
      <c r="EQ5" s="688"/>
      <c r="ER5" s="688"/>
      <c r="ES5" s="688"/>
      <c r="ET5" s="688"/>
      <c r="EU5" s="688"/>
      <c r="EV5" s="688"/>
      <c r="EW5" s="688"/>
      <c r="EX5" s="668" t="s">
        <v>551</v>
      </c>
      <c r="EZ5" s="688" t="s">
        <v>547</v>
      </c>
      <c r="FA5" s="688" t="s">
        <v>546</v>
      </c>
      <c r="FB5" s="688"/>
      <c r="FC5" s="688" t="s">
        <v>548</v>
      </c>
      <c r="FD5" s="688" t="s">
        <v>552</v>
      </c>
      <c r="FE5" s="688"/>
      <c r="FF5" s="688"/>
      <c r="FG5" s="688"/>
      <c r="FH5" s="688"/>
      <c r="FI5" s="668" t="s">
        <v>551</v>
      </c>
      <c r="FK5" s="688"/>
      <c r="FL5" s="688"/>
      <c r="FM5" s="688"/>
      <c r="FN5" s="688"/>
      <c r="FO5" s="688"/>
      <c r="FP5" s="688"/>
      <c r="FQ5" s="688"/>
      <c r="FR5" s="688"/>
      <c r="FS5" s="688"/>
      <c r="FT5" s="668" t="s">
        <v>551</v>
      </c>
      <c r="FV5" s="688"/>
      <c r="FW5" s="688"/>
      <c r="FX5" s="688"/>
      <c r="FY5" s="688"/>
      <c r="FZ5" s="688"/>
      <c r="GA5" s="688"/>
      <c r="GB5" s="688"/>
      <c r="GC5" s="688"/>
      <c r="GD5" s="688"/>
      <c r="GE5" s="668" t="s">
        <v>551</v>
      </c>
      <c r="GG5" s="688"/>
      <c r="GH5" s="688"/>
      <c r="GI5" s="688"/>
      <c r="GJ5" s="688"/>
      <c r="GK5" s="688"/>
      <c r="GL5" s="668"/>
      <c r="GM5" s="663"/>
      <c r="GN5" s="688"/>
      <c r="GO5" s="688"/>
      <c r="GP5" s="688"/>
      <c r="GQ5" s="688"/>
      <c r="GR5" s="688"/>
      <c r="GS5" s="668"/>
      <c r="GT5" s="663"/>
      <c r="GU5" s="688"/>
      <c r="GV5" s="688"/>
      <c r="GW5" s="688"/>
      <c r="GX5" s="688"/>
      <c r="GY5" s="688"/>
      <c r="GZ5" s="668"/>
      <c r="HA5" s="663"/>
      <c r="HB5" s="688"/>
      <c r="HC5" s="688"/>
      <c r="HD5" s="688"/>
      <c r="HE5" s="688"/>
      <c r="HF5" s="688"/>
      <c r="HG5" s="668"/>
      <c r="HH5" s="663"/>
      <c r="HI5" s="688"/>
      <c r="HJ5" s="688"/>
      <c r="HK5" s="688"/>
      <c r="HL5" s="688"/>
      <c r="HM5" s="688"/>
      <c r="HN5" s="668" t="s">
        <v>551</v>
      </c>
      <c r="HO5" s="663"/>
      <c r="HP5" s="688"/>
      <c r="HQ5" s="688"/>
      <c r="HR5" s="688"/>
      <c r="HS5" s="688"/>
      <c r="HT5" s="688"/>
      <c r="HU5" s="668" t="s">
        <v>551</v>
      </c>
      <c r="HV5" s="663"/>
      <c r="HW5" s="688"/>
      <c r="HX5" s="688"/>
      <c r="HY5" s="688"/>
      <c r="HZ5" s="688"/>
      <c r="IA5" s="688"/>
      <c r="IB5" s="688"/>
      <c r="IC5" s="688"/>
      <c r="ID5" s="688"/>
      <c r="IE5" s="688"/>
      <c r="IF5" s="668" t="s">
        <v>551</v>
      </c>
      <c r="IH5" s="688"/>
      <c r="II5" s="688"/>
      <c r="IJ5" s="688"/>
      <c r="IK5" s="688"/>
      <c r="IL5" s="688"/>
      <c r="IM5" s="688"/>
      <c r="IN5" s="688"/>
      <c r="IO5" s="688"/>
      <c r="IP5" s="688"/>
      <c r="IQ5" s="668" t="s">
        <v>551</v>
      </c>
      <c r="IS5" s="688"/>
      <c r="IT5" s="688"/>
      <c r="IU5" s="688"/>
      <c r="IV5" s="688"/>
      <c r="IW5" s="688"/>
      <c r="IX5" s="688"/>
      <c r="IY5" s="688"/>
      <c r="IZ5" s="688"/>
      <c r="JA5" s="688"/>
      <c r="JB5" s="668" t="s">
        <v>551</v>
      </c>
      <c r="JD5" s="688"/>
      <c r="JE5" s="688"/>
      <c r="JF5" s="688"/>
      <c r="JG5" s="688"/>
      <c r="JH5" s="688"/>
      <c r="JI5" s="688"/>
      <c r="JJ5" s="688"/>
      <c r="JK5" s="688"/>
      <c r="JL5" s="688"/>
      <c r="JM5" s="668" t="s">
        <v>551</v>
      </c>
      <c r="JO5" s="688"/>
      <c r="JP5" s="688"/>
      <c r="JQ5" s="688"/>
      <c r="JR5" s="688"/>
      <c r="JS5" s="688"/>
      <c r="JT5" s="688"/>
      <c r="JU5" s="688"/>
      <c r="JV5" s="688"/>
      <c r="JW5" s="688"/>
      <c r="JX5" s="668" t="s">
        <v>551</v>
      </c>
      <c r="JZ5" s="688"/>
      <c r="KA5" s="688"/>
      <c r="KB5" s="688"/>
      <c r="KC5" s="688"/>
      <c r="KD5" s="688"/>
      <c r="KE5" s="688"/>
      <c r="KF5" s="688"/>
      <c r="KG5" s="688"/>
      <c r="KH5" s="688"/>
      <c r="KI5" s="668" t="s">
        <v>551</v>
      </c>
      <c r="KK5" s="688"/>
      <c r="KL5" s="688"/>
      <c r="KM5" s="688"/>
      <c r="KN5" s="688"/>
      <c r="KO5" s="688"/>
      <c r="KP5" s="688"/>
      <c r="KQ5" s="688"/>
      <c r="KR5" s="688"/>
      <c r="KS5" s="688"/>
      <c r="KT5" s="668" t="s">
        <v>551</v>
      </c>
      <c r="KV5" s="688"/>
      <c r="KW5" s="688"/>
      <c r="KX5" s="688"/>
      <c r="KY5" s="688"/>
      <c r="KZ5" s="688"/>
      <c r="LA5" s="688"/>
      <c r="LB5" s="688"/>
      <c r="LC5" s="688"/>
      <c r="LD5" s="688"/>
      <c r="LE5" s="668" t="s">
        <v>551</v>
      </c>
      <c r="LG5" s="688"/>
      <c r="LH5" s="688"/>
      <c r="LI5" s="688"/>
      <c r="LJ5" s="688"/>
      <c r="LK5" s="688"/>
      <c r="LL5" s="688"/>
      <c r="LM5" s="688"/>
      <c r="LN5" s="688"/>
      <c r="LO5" s="688"/>
      <c r="LP5" s="668" t="s">
        <v>551</v>
      </c>
      <c r="LR5" s="688"/>
      <c r="LS5" s="688"/>
      <c r="LT5" s="688"/>
      <c r="LU5" s="688"/>
      <c r="LV5" s="688"/>
      <c r="LW5" s="688"/>
      <c r="LX5" s="688"/>
      <c r="LY5" s="688"/>
      <c r="LZ5" s="688"/>
      <c r="MA5" s="668" t="s">
        <v>551</v>
      </c>
      <c r="MC5" s="688"/>
      <c r="MD5" s="688"/>
      <c r="ME5" s="688"/>
      <c r="MF5" s="688"/>
      <c r="MG5" s="688"/>
      <c r="MH5" s="688"/>
      <c r="MI5" s="688"/>
      <c r="MJ5" s="688"/>
      <c r="MK5" s="688"/>
      <c r="ML5" s="668" t="s">
        <v>551</v>
      </c>
      <c r="MN5" s="688"/>
      <c r="MO5" s="688"/>
      <c r="MP5" s="688"/>
      <c r="MQ5" s="688"/>
      <c r="MR5" s="688"/>
      <c r="MS5" s="688"/>
      <c r="MT5" s="688"/>
      <c r="MU5" s="688"/>
      <c r="MV5" s="688"/>
      <c r="MW5" s="668" t="s">
        <v>551</v>
      </c>
      <c r="MY5" s="688"/>
      <c r="MZ5" s="688"/>
      <c r="NA5" s="688"/>
      <c r="NB5" s="688"/>
      <c r="NC5" s="688"/>
      <c r="ND5" s="688"/>
      <c r="NE5" s="688"/>
      <c r="NF5" s="688"/>
      <c r="NG5" s="688"/>
      <c r="NH5" s="668" t="s">
        <v>551</v>
      </c>
      <c r="NJ5" s="688"/>
      <c r="NK5" s="688"/>
      <c r="NL5" s="688"/>
      <c r="NM5" s="688"/>
      <c r="NN5" s="688"/>
      <c r="NO5" s="688"/>
      <c r="NP5" s="688"/>
      <c r="NQ5" s="688"/>
      <c r="NR5" s="688"/>
      <c r="NS5" s="668" t="s">
        <v>551</v>
      </c>
      <c r="NU5" s="688"/>
      <c r="NV5" s="688"/>
      <c r="NW5" s="688"/>
      <c r="NX5" s="688"/>
      <c r="NY5" s="688"/>
      <c r="NZ5" s="688"/>
      <c r="OA5" s="688"/>
      <c r="OB5" s="688"/>
      <c r="OC5" s="688"/>
      <c r="OD5" s="668" t="s">
        <v>551</v>
      </c>
      <c r="OF5" s="688"/>
      <c r="OG5" s="688"/>
      <c r="OH5" s="688"/>
      <c r="OI5" s="688"/>
      <c r="OJ5" s="688"/>
      <c r="OK5" s="688"/>
      <c r="OL5" s="688"/>
      <c r="OM5" s="688"/>
      <c r="ON5" s="688"/>
      <c r="OO5" s="668" t="s">
        <v>551</v>
      </c>
    </row>
    <row r="6" spans="1:406">
      <c r="A6" s="663" t="str">
        <v xml:space="preserve">Summer Aquino </v>
      </c>
      <c r="B6" s="688" t="s">
        <v>547</v>
      </c>
      <c r="C6" s="688" t="s">
        <v>548</v>
      </c>
      <c r="D6" s="688" t="s">
        <v>548</v>
      </c>
      <c r="E6" s="688" t="s">
        <v>546</v>
      </c>
      <c r="F6" s="668" t="s">
        <v>553</v>
      </c>
      <c r="G6" s="663" t="s">
        <v>550</v>
      </c>
      <c r="H6" s="688" t="s">
        <v>547</v>
      </c>
      <c r="I6" s="688" t="s">
        <v>547</v>
      </c>
      <c r="J6" s="688" t="s">
        <v>547</v>
      </c>
      <c r="K6" s="688" t="s">
        <v>547</v>
      </c>
      <c r="L6" s="668" t="s">
        <v>549</v>
      </c>
      <c r="N6" s="688"/>
      <c r="O6" s="688"/>
      <c r="P6" s="688"/>
      <c r="Q6" s="688"/>
      <c r="R6" s="668"/>
      <c r="T6" s="688"/>
      <c r="U6" s="688"/>
      <c r="V6" s="688"/>
      <c r="W6" s="688"/>
      <c r="X6" s="668"/>
      <c r="Z6" s="688"/>
      <c r="AA6" s="688"/>
      <c r="AB6" s="688"/>
      <c r="AC6" s="688"/>
      <c r="AD6" s="668"/>
      <c r="AF6" s="688"/>
      <c r="AG6" s="688"/>
      <c r="AH6" s="688"/>
      <c r="AI6" s="688"/>
      <c r="AJ6" s="668"/>
      <c r="AL6" s="688"/>
      <c r="AM6" s="688"/>
      <c r="AN6" s="688"/>
      <c r="AO6" s="688"/>
      <c r="AP6" s="668"/>
      <c r="AR6" s="688"/>
      <c r="AS6" s="688"/>
      <c r="AT6" s="688"/>
      <c r="AU6" s="688"/>
      <c r="AV6" s="668"/>
      <c r="AX6" s="688"/>
      <c r="AY6" s="688"/>
      <c r="AZ6" s="688"/>
      <c r="BA6" s="688"/>
      <c r="BB6" s="668"/>
      <c r="BD6" s="688"/>
      <c r="BE6" s="688"/>
      <c r="BF6" s="688"/>
      <c r="BG6" s="688"/>
      <c r="BH6" s="668"/>
      <c r="BJ6" s="688"/>
      <c r="BK6" s="688"/>
      <c r="BL6" s="688"/>
      <c r="BM6" s="688"/>
      <c r="BN6" s="668"/>
      <c r="BP6" s="688"/>
      <c r="BQ6" s="688"/>
      <c r="BR6" s="688"/>
      <c r="BS6" s="688"/>
      <c r="BT6" s="668"/>
      <c r="BV6" s="688"/>
      <c r="BW6" s="688"/>
      <c r="BX6" s="688"/>
      <c r="BY6" s="688"/>
      <c r="BZ6" s="668"/>
      <c r="CB6" s="688"/>
      <c r="CC6" s="688"/>
      <c r="CD6" s="688"/>
      <c r="CE6" s="688"/>
      <c r="CF6" s="668"/>
      <c r="CH6" s="688"/>
      <c r="CI6" s="688"/>
      <c r="CJ6" s="688"/>
      <c r="CK6" s="688"/>
      <c r="CL6" s="668"/>
      <c r="CN6" s="688"/>
      <c r="CO6" s="688"/>
      <c r="CP6" s="688"/>
      <c r="CQ6" s="688"/>
      <c r="CR6" s="668"/>
      <c r="CT6" s="688"/>
      <c r="CU6" s="688"/>
      <c r="CV6" s="688"/>
      <c r="CW6" s="688"/>
      <c r="CX6" s="668"/>
      <c r="CZ6" s="688"/>
      <c r="DA6" s="688"/>
      <c r="DB6" s="688"/>
      <c r="DC6" s="688"/>
      <c r="DD6" s="668"/>
      <c r="DF6" s="688"/>
      <c r="DG6" s="688"/>
      <c r="DH6" s="688"/>
      <c r="DI6" s="688"/>
      <c r="DJ6" s="668"/>
      <c r="DL6" s="688"/>
      <c r="DM6" s="688"/>
      <c r="DN6" s="688"/>
      <c r="DO6" s="688"/>
      <c r="DP6" s="668"/>
      <c r="DR6" s="688"/>
      <c r="DS6" s="688"/>
      <c r="DT6" s="688"/>
      <c r="DU6" s="688"/>
      <c r="DV6" s="668"/>
      <c r="DX6" s="688"/>
      <c r="DY6" s="688"/>
      <c r="DZ6" s="688"/>
      <c r="EA6" s="688"/>
      <c r="EB6" s="668"/>
      <c r="ED6" s="688"/>
      <c r="EE6" s="688"/>
      <c r="EF6" s="688"/>
      <c r="EG6" s="688"/>
      <c r="EH6" s="688"/>
      <c r="EI6" s="688"/>
      <c r="EJ6" s="688"/>
      <c r="EK6" s="688"/>
      <c r="EL6" s="688"/>
      <c r="EM6" s="668"/>
      <c r="EO6" s="688"/>
      <c r="EP6" s="688"/>
      <c r="EQ6" s="688"/>
      <c r="ER6" s="688"/>
      <c r="ES6" s="688"/>
      <c r="ET6" s="688"/>
      <c r="EU6" s="688"/>
      <c r="EV6" s="688"/>
      <c r="EW6" s="688"/>
      <c r="EX6" s="668"/>
      <c r="EZ6" s="688"/>
      <c r="FA6" s="688"/>
      <c r="FB6" s="688"/>
      <c r="FC6" s="688"/>
      <c r="FD6" s="688"/>
      <c r="FE6" s="688"/>
      <c r="FF6" s="688"/>
      <c r="FG6" s="688"/>
      <c r="FH6" s="688"/>
      <c r="FI6" s="668" t="s">
        <v>549</v>
      </c>
      <c r="FK6" s="688"/>
      <c r="FL6" s="688"/>
      <c r="FM6" s="688"/>
      <c r="FN6" s="688"/>
      <c r="FO6" s="688"/>
      <c r="FP6" s="688"/>
      <c r="FQ6" s="688"/>
      <c r="FR6" s="688"/>
      <c r="FS6" s="688"/>
      <c r="FT6" s="668"/>
      <c r="FV6" s="688"/>
      <c r="FW6" s="688"/>
      <c r="FX6" s="688"/>
      <c r="FY6" s="688"/>
      <c r="FZ6" s="688"/>
      <c r="GA6" s="688"/>
      <c r="GB6" s="688"/>
      <c r="GC6" s="688"/>
      <c r="GD6" s="688"/>
      <c r="GE6" s="668"/>
      <c r="GG6" s="688"/>
      <c r="GH6" s="688"/>
      <c r="GI6" s="688"/>
      <c r="GJ6" s="688"/>
      <c r="GK6" s="688"/>
      <c r="GL6" s="668"/>
      <c r="GN6" s="688"/>
      <c r="GO6" s="688"/>
      <c r="GP6" s="688"/>
      <c r="GQ6" s="688"/>
      <c r="GR6" s="688"/>
      <c r="GS6" s="668"/>
      <c r="GU6" s="688"/>
      <c r="GV6" s="688"/>
      <c r="GW6" s="688"/>
      <c r="GX6" s="688"/>
      <c r="GY6" s="688"/>
      <c r="GZ6" s="668"/>
      <c r="HB6" s="688"/>
      <c r="HC6" s="688"/>
      <c r="HD6" s="688"/>
      <c r="HE6" s="688"/>
      <c r="HF6" s="688"/>
      <c r="HG6" s="668"/>
      <c r="HI6" s="688"/>
      <c r="HJ6" s="688"/>
      <c r="HK6" s="688"/>
      <c r="HL6" s="688"/>
      <c r="HM6" s="688"/>
      <c r="HN6" s="668"/>
      <c r="HP6" s="688"/>
      <c r="HQ6" s="688"/>
      <c r="HR6" s="688"/>
      <c r="HS6" s="688"/>
      <c r="HT6" s="688"/>
      <c r="HU6" s="668"/>
      <c r="HW6" s="688"/>
      <c r="HX6" s="688"/>
      <c r="HY6" s="688"/>
      <c r="HZ6" s="688"/>
      <c r="IA6" s="688"/>
      <c r="IB6" s="688"/>
      <c r="IC6" s="688"/>
      <c r="ID6" s="688"/>
      <c r="IE6" s="688"/>
      <c r="IF6" s="668"/>
      <c r="IH6" s="688"/>
      <c r="II6" s="688"/>
      <c r="IJ6" s="688"/>
      <c r="IK6" s="688"/>
      <c r="IL6" s="688"/>
      <c r="IM6" s="688"/>
      <c r="IN6" s="688"/>
      <c r="IO6" s="688"/>
      <c r="IP6" s="688"/>
      <c r="IQ6" s="668"/>
      <c r="IS6" s="688"/>
      <c r="IT6" s="688"/>
      <c r="IU6" s="688"/>
      <c r="IV6" s="688"/>
      <c r="IW6" s="688"/>
      <c r="IX6" s="688"/>
      <c r="IY6" s="688"/>
      <c r="IZ6" s="688"/>
      <c r="JA6" s="688"/>
      <c r="JB6" s="668"/>
      <c r="JD6" s="688"/>
      <c r="JE6" s="688"/>
      <c r="JF6" s="688"/>
      <c r="JG6" s="688"/>
      <c r="JH6" s="688"/>
      <c r="JI6" s="688"/>
      <c r="JJ6" s="688"/>
      <c r="JK6" s="688"/>
      <c r="JL6" s="688"/>
      <c r="JM6" s="668"/>
      <c r="JO6" s="688"/>
      <c r="JP6" s="688"/>
      <c r="JQ6" s="688"/>
      <c r="JR6" s="688"/>
      <c r="JS6" s="688"/>
      <c r="JT6" s="688"/>
      <c r="JU6" s="688"/>
      <c r="JV6" s="688"/>
      <c r="JW6" s="688"/>
      <c r="JX6" s="668"/>
      <c r="JZ6" s="688"/>
      <c r="KA6" s="688"/>
      <c r="KB6" s="688"/>
      <c r="KC6" s="688"/>
      <c r="KD6" s="688"/>
      <c r="KE6" s="688"/>
      <c r="KF6" s="688"/>
      <c r="KG6" s="688"/>
      <c r="KH6" s="688"/>
      <c r="KI6" s="668"/>
      <c r="KK6" s="688"/>
      <c r="KL6" s="688"/>
      <c r="KM6" s="688"/>
      <c r="KN6" s="688"/>
      <c r="KO6" s="688"/>
      <c r="KP6" s="688"/>
      <c r="KQ6" s="688"/>
      <c r="KR6" s="688"/>
      <c r="KS6" s="688"/>
      <c r="KT6" s="668"/>
      <c r="KV6" s="688"/>
      <c r="KW6" s="688"/>
      <c r="KX6" s="688"/>
      <c r="KY6" s="688"/>
      <c r="KZ6" s="688"/>
      <c r="LA6" s="688"/>
      <c r="LB6" s="688"/>
      <c r="LC6" s="688"/>
      <c r="LD6" s="688"/>
      <c r="LE6" s="668"/>
      <c r="LG6" s="688"/>
      <c r="LH6" s="688"/>
      <c r="LI6" s="688"/>
      <c r="LJ6" s="688"/>
      <c r="LK6" s="688"/>
      <c r="LL6" s="688"/>
      <c r="LM6" s="688"/>
      <c r="LN6" s="688"/>
      <c r="LO6" s="688"/>
      <c r="LP6" s="668"/>
      <c r="LR6" s="688"/>
      <c r="LS6" s="688"/>
      <c r="LT6" s="688"/>
      <c r="LU6" s="688"/>
      <c r="LV6" s="688"/>
      <c r="LW6" s="688"/>
      <c r="LX6" s="688"/>
      <c r="LY6" s="688"/>
      <c r="LZ6" s="688"/>
      <c r="MA6" s="668"/>
      <c r="MC6" s="688"/>
      <c r="MD6" s="688"/>
      <c r="ME6" s="688"/>
      <c r="MF6" s="688"/>
      <c r="MG6" s="688"/>
      <c r="MH6" s="688"/>
      <c r="MI6" s="688"/>
      <c r="MJ6" s="688"/>
      <c r="MK6" s="688"/>
      <c r="ML6" s="668"/>
      <c r="MN6" s="688"/>
      <c r="MO6" s="688"/>
      <c r="MP6" s="688"/>
      <c r="MQ6" s="688"/>
      <c r="MR6" s="688"/>
      <c r="MS6" s="688"/>
      <c r="MT6" s="688"/>
      <c r="MU6" s="688"/>
      <c r="MV6" s="688"/>
      <c r="MW6" s="668"/>
      <c r="MY6" s="688"/>
      <c r="MZ6" s="688"/>
      <c r="NA6" s="688"/>
      <c r="NB6" s="688"/>
      <c r="NC6" s="688"/>
      <c r="ND6" s="688"/>
      <c r="NE6" s="688"/>
      <c r="NF6" s="688"/>
      <c r="NG6" s="688"/>
      <c r="NH6" s="668"/>
      <c r="NJ6" s="688"/>
      <c r="NK6" s="688"/>
      <c r="NL6" s="688"/>
      <c r="NM6" s="688"/>
      <c r="NN6" s="688"/>
      <c r="NO6" s="688"/>
      <c r="NP6" s="688"/>
      <c r="NQ6" s="688"/>
      <c r="NR6" s="688"/>
      <c r="NS6" s="668"/>
      <c r="NU6" s="688"/>
      <c r="NV6" s="688"/>
      <c r="NW6" s="688"/>
      <c r="NX6" s="688"/>
      <c r="NY6" s="688"/>
      <c r="NZ6" s="688"/>
      <c r="OA6" s="688"/>
      <c r="OB6" s="688"/>
      <c r="OC6" s="688"/>
      <c r="OD6" s="668"/>
      <c r="OF6" s="688"/>
      <c r="OG6" s="688"/>
      <c r="OH6" s="688"/>
      <c r="OI6" s="688"/>
      <c r="OJ6" s="688"/>
      <c r="OK6" s="688"/>
      <c r="OL6" s="688"/>
      <c r="OM6" s="688"/>
      <c r="ON6" s="688"/>
      <c r="OO6" s="668"/>
    </row>
    <row r="7" spans="1:406">
      <c r="A7" s="663" t="str">
        <v xml:space="preserve">Joana Reyes </v>
      </c>
      <c r="B7" s="688" t="s">
        <v>548</v>
      </c>
      <c r="C7" s="688" t="s">
        <v>547</v>
      </c>
      <c r="D7" s="688" t="s">
        <v>547</v>
      </c>
      <c r="E7" s="688" t="s">
        <v>547</v>
      </c>
      <c r="F7" s="668" t="s">
        <v>551</v>
      </c>
      <c r="G7" s="663" t="s">
        <v>550</v>
      </c>
      <c r="H7" s="688" t="s">
        <v>547</v>
      </c>
      <c r="I7" s="688" t="s">
        <v>547</v>
      </c>
      <c r="J7" s="688" t="s">
        <v>547</v>
      </c>
      <c r="K7" s="688" t="s">
        <v>547</v>
      </c>
      <c r="L7" s="668" t="s">
        <v>551</v>
      </c>
      <c r="N7" s="688"/>
      <c r="O7" s="688"/>
      <c r="P7" s="688"/>
      <c r="Q7" s="688"/>
      <c r="R7" s="668"/>
      <c r="T7" s="688"/>
      <c r="U7" s="688"/>
      <c r="V7" s="688"/>
      <c r="W7" s="688"/>
      <c r="X7" s="668"/>
      <c r="Z7" s="688"/>
      <c r="AA7" s="688"/>
      <c r="AB7" s="688"/>
      <c r="AC7" s="688"/>
      <c r="AD7" s="668"/>
      <c r="AF7" s="688"/>
      <c r="AG7" s="688"/>
      <c r="AH7" s="688"/>
      <c r="AI7" s="688"/>
      <c r="AJ7" s="668"/>
      <c r="AL7" s="688"/>
      <c r="AM7" s="688"/>
      <c r="AN7" s="688"/>
      <c r="AO7" s="688"/>
      <c r="AP7" s="668"/>
      <c r="AR7" s="688"/>
      <c r="AS7" s="688"/>
      <c r="AT7" s="688"/>
      <c r="AU7" s="688"/>
      <c r="AV7" s="668"/>
      <c r="AX7" s="688"/>
      <c r="AY7" s="688"/>
      <c r="AZ7" s="688"/>
      <c r="BA7" s="688"/>
      <c r="BB7" s="668"/>
      <c r="BD7" s="688"/>
      <c r="BE7" s="688"/>
      <c r="BF7" s="688"/>
      <c r="BG7" s="688"/>
      <c r="BH7" s="668"/>
      <c r="BJ7" s="688"/>
      <c r="BK7" s="688"/>
      <c r="BL7" s="688"/>
      <c r="BM7" s="688"/>
      <c r="BN7" s="668"/>
      <c r="BP7" s="688"/>
      <c r="BQ7" s="688"/>
      <c r="BR7" s="688"/>
      <c r="BS7" s="688"/>
      <c r="BT7" s="668"/>
      <c r="BV7" s="688"/>
      <c r="BW7" s="688"/>
      <c r="BX7" s="688"/>
      <c r="BY7" s="688"/>
      <c r="BZ7" s="668"/>
      <c r="CB7" s="688"/>
      <c r="CC7" s="688"/>
      <c r="CD7" s="688"/>
      <c r="CE7" s="688"/>
      <c r="CF7" s="668"/>
      <c r="CH7" s="688"/>
      <c r="CI7" s="688"/>
      <c r="CJ7" s="688"/>
      <c r="CK7" s="688"/>
      <c r="CL7" s="668"/>
      <c r="CN7" s="688"/>
      <c r="CO7" s="688"/>
      <c r="CP7" s="688"/>
      <c r="CQ7" s="688"/>
      <c r="CR7" s="668"/>
      <c r="CT7" s="688"/>
      <c r="CU7" s="688"/>
      <c r="CV7" s="688"/>
      <c r="CW7" s="688"/>
      <c r="CX7" s="668"/>
      <c r="CZ7" s="688"/>
      <c r="DA7" s="688"/>
      <c r="DB7" s="688"/>
      <c r="DC7" s="688"/>
      <c r="DD7" s="668"/>
      <c r="DF7" s="688"/>
      <c r="DG7" s="688"/>
      <c r="DH7" s="688"/>
      <c r="DI7" s="688"/>
      <c r="DJ7" s="668"/>
      <c r="DL7" s="688"/>
      <c r="DM7" s="688"/>
      <c r="DN7" s="688"/>
      <c r="DO7" s="688"/>
      <c r="DP7" s="668"/>
      <c r="DR7" s="688"/>
      <c r="DS7" s="688"/>
      <c r="DT7" s="688"/>
      <c r="DU7" s="688"/>
      <c r="DV7" s="668"/>
      <c r="DX7" s="688"/>
      <c r="DY7" s="688"/>
      <c r="DZ7" s="688"/>
      <c r="EA7" s="688"/>
      <c r="EB7" s="668"/>
      <c r="ED7" s="688"/>
      <c r="EE7" s="688"/>
      <c r="EF7" s="688"/>
      <c r="EG7" s="688"/>
      <c r="EH7" s="688"/>
      <c r="EI7" s="688"/>
      <c r="EJ7" s="688"/>
      <c r="EK7" s="688"/>
      <c r="EL7" s="688"/>
      <c r="EM7" s="668"/>
      <c r="EO7" s="688"/>
      <c r="EP7" s="688"/>
      <c r="EQ7" s="688"/>
      <c r="ER7" s="688"/>
      <c r="ES7" s="688"/>
      <c r="ET7" s="688"/>
      <c r="EU7" s="688"/>
      <c r="EV7" s="688"/>
      <c r="EW7" s="688"/>
      <c r="EX7" s="668"/>
      <c r="EZ7" s="688"/>
      <c r="FA7" s="688"/>
      <c r="FB7" s="688"/>
      <c r="FC7" s="688"/>
      <c r="FD7" s="688"/>
      <c r="FE7" s="688"/>
      <c r="FF7" s="688"/>
      <c r="FG7" s="688"/>
      <c r="FH7" s="688"/>
      <c r="FI7" s="668" t="s">
        <v>553</v>
      </c>
      <c r="FK7" s="688"/>
      <c r="FL7" s="688"/>
      <c r="FM7" s="688"/>
      <c r="FN7" s="688"/>
      <c r="FO7" s="688"/>
      <c r="FP7" s="688"/>
      <c r="FQ7" s="688"/>
      <c r="FR7" s="688"/>
      <c r="FS7" s="688"/>
      <c r="FT7" s="668"/>
      <c r="FV7" s="688"/>
      <c r="FW7" s="688"/>
      <c r="FX7" s="688"/>
      <c r="FY7" s="688"/>
      <c r="FZ7" s="688"/>
      <c r="GA7" s="688"/>
      <c r="GB7" s="688"/>
      <c r="GC7" s="688"/>
      <c r="GD7" s="688"/>
      <c r="GE7" s="668"/>
      <c r="GG7" s="688"/>
      <c r="GH7" s="688"/>
      <c r="GI7" s="688"/>
      <c r="GJ7" s="688"/>
      <c r="GK7" s="688"/>
      <c r="GL7" s="668"/>
      <c r="GN7" s="688"/>
      <c r="GO7" s="688"/>
      <c r="GP7" s="688"/>
      <c r="GQ7" s="688"/>
      <c r="GR7" s="688"/>
      <c r="GS7" s="668"/>
      <c r="GU7" s="688"/>
      <c r="GV7" s="688"/>
      <c r="GW7" s="688"/>
      <c r="GX7" s="688"/>
      <c r="GY7" s="688"/>
      <c r="GZ7" s="668"/>
      <c r="HB7" s="688"/>
      <c r="HC7" s="688"/>
      <c r="HD7" s="688"/>
      <c r="HE7" s="688"/>
      <c r="HF7" s="688"/>
      <c r="HG7" s="668"/>
      <c r="HI7" s="688"/>
      <c r="HJ7" s="688"/>
      <c r="HK7" s="688"/>
      <c r="HL7" s="688"/>
      <c r="HM7" s="688"/>
      <c r="HN7" s="668"/>
      <c r="HP7" s="688"/>
      <c r="HQ7" s="688"/>
      <c r="HR7" s="688"/>
      <c r="HS7" s="688"/>
      <c r="HT7" s="688"/>
      <c r="HU7" s="668"/>
      <c r="HW7" s="688"/>
      <c r="HX7" s="688"/>
      <c r="HY7" s="688"/>
      <c r="HZ7" s="688"/>
      <c r="IA7" s="688"/>
      <c r="IB7" s="688"/>
      <c r="IC7" s="688"/>
      <c r="ID7" s="688"/>
      <c r="IE7" s="688"/>
      <c r="IF7" s="668"/>
      <c r="IH7" s="688"/>
      <c r="II7" s="688"/>
      <c r="IJ7" s="688"/>
      <c r="IK7" s="688"/>
      <c r="IL7" s="688"/>
      <c r="IM7" s="688"/>
      <c r="IN7" s="688"/>
      <c r="IO7" s="688"/>
      <c r="IP7" s="688"/>
      <c r="IQ7" s="668"/>
      <c r="IS7" s="688"/>
      <c r="IT7" s="688"/>
      <c r="IU7" s="688"/>
      <c r="IV7" s="688"/>
      <c r="IW7" s="688"/>
      <c r="IX7" s="688"/>
      <c r="IY7" s="688"/>
      <c r="IZ7" s="688"/>
      <c r="JA7" s="688"/>
      <c r="JB7" s="668"/>
      <c r="JD7" s="688"/>
      <c r="JE7" s="688"/>
      <c r="JF7" s="688"/>
      <c r="JG7" s="688"/>
      <c r="JH7" s="688"/>
      <c r="JI7" s="688"/>
      <c r="JJ7" s="688"/>
      <c r="JK7" s="688"/>
      <c r="JL7" s="688"/>
      <c r="JM7" s="668"/>
      <c r="JO7" s="688"/>
      <c r="JP7" s="688"/>
      <c r="JQ7" s="688"/>
      <c r="JR7" s="688"/>
      <c r="JS7" s="688"/>
      <c r="JT7" s="688"/>
      <c r="JU7" s="688"/>
      <c r="JV7" s="688"/>
      <c r="JW7" s="688"/>
      <c r="JX7" s="668"/>
      <c r="JZ7" s="688"/>
      <c r="KA7" s="688"/>
      <c r="KB7" s="688"/>
      <c r="KC7" s="688"/>
      <c r="KD7" s="688"/>
      <c r="KE7" s="688"/>
      <c r="KF7" s="688"/>
      <c r="KG7" s="688"/>
      <c r="KH7" s="688"/>
      <c r="KI7" s="668"/>
      <c r="KK7" s="688"/>
      <c r="KL7" s="688"/>
      <c r="KM7" s="688"/>
      <c r="KN7" s="688"/>
      <c r="KO7" s="688"/>
      <c r="KP7" s="688"/>
      <c r="KQ7" s="688"/>
      <c r="KR7" s="688"/>
      <c r="KS7" s="688"/>
      <c r="KT7" s="668"/>
      <c r="KV7" s="688"/>
      <c r="KW7" s="688"/>
      <c r="KX7" s="688"/>
      <c r="KY7" s="688"/>
      <c r="KZ7" s="688"/>
      <c r="LA7" s="688"/>
      <c r="LB7" s="688"/>
      <c r="LC7" s="688"/>
      <c r="LD7" s="688"/>
      <c r="LE7" s="668"/>
      <c r="LG7" s="688"/>
      <c r="LH7" s="688"/>
      <c r="LI7" s="688"/>
      <c r="LJ7" s="688"/>
      <c r="LK7" s="688"/>
      <c r="LL7" s="688"/>
      <c r="LM7" s="688"/>
      <c r="LN7" s="688"/>
      <c r="LO7" s="688"/>
      <c r="LP7" s="668"/>
      <c r="LR7" s="688"/>
      <c r="LS7" s="688"/>
      <c r="LT7" s="688"/>
      <c r="LU7" s="688"/>
      <c r="LV7" s="688"/>
      <c r="LW7" s="688"/>
      <c r="LX7" s="688"/>
      <c r="LY7" s="688"/>
      <c r="LZ7" s="688"/>
      <c r="MA7" s="668"/>
      <c r="MC7" s="688"/>
      <c r="MD7" s="688"/>
      <c r="ME7" s="688"/>
      <c r="MF7" s="688"/>
      <c r="MG7" s="688"/>
      <c r="MH7" s="688"/>
      <c r="MI7" s="688"/>
      <c r="MJ7" s="688"/>
      <c r="MK7" s="688"/>
      <c r="ML7" s="668"/>
      <c r="MN7" s="688"/>
      <c r="MO7" s="688"/>
      <c r="MP7" s="688"/>
      <c r="MQ7" s="688"/>
      <c r="MR7" s="688"/>
      <c r="MS7" s="688"/>
      <c r="MT7" s="688"/>
      <c r="MU7" s="688"/>
      <c r="MV7" s="688"/>
      <c r="MW7" s="668"/>
      <c r="MY7" s="688"/>
      <c r="MZ7" s="688"/>
      <c r="NA7" s="688"/>
      <c r="NB7" s="688"/>
      <c r="NC7" s="688"/>
      <c r="ND7" s="688"/>
      <c r="NE7" s="688"/>
      <c r="NF7" s="688"/>
      <c r="NG7" s="688"/>
      <c r="NH7" s="668"/>
      <c r="NJ7" s="688"/>
      <c r="NK7" s="688"/>
      <c r="NL7" s="688"/>
      <c r="NM7" s="688"/>
      <c r="NN7" s="688"/>
      <c r="NO7" s="688"/>
      <c r="NP7" s="688"/>
      <c r="NQ7" s="688"/>
      <c r="NR7" s="688"/>
      <c r="NS7" s="668"/>
      <c r="NU7" s="688"/>
      <c r="NV7" s="688"/>
      <c r="NW7" s="688"/>
      <c r="NX7" s="688"/>
      <c r="NY7" s="688"/>
      <c r="NZ7" s="688"/>
      <c r="OA7" s="688"/>
      <c r="OB7" s="688"/>
      <c r="OC7" s="688"/>
      <c r="OD7" s="668"/>
      <c r="OF7" s="688"/>
      <c r="OG7" s="688"/>
      <c r="OH7" s="688"/>
      <c r="OI7" s="688"/>
      <c r="OJ7" s="688"/>
      <c r="OK7" s="688"/>
      <c r="OL7" s="688"/>
      <c r="OM7" s="688"/>
      <c r="ON7" s="688"/>
      <c r="OO7" s="668"/>
    </row>
    <row r="8" spans="1:406">
      <c r="A8" s="663" t="str">
        <v>Quezon Manuel</v>
      </c>
      <c r="B8" s="667" t="s">
        <v>552</v>
      </c>
      <c r="C8" s="667" t="s">
        <v>552</v>
      </c>
      <c r="D8" s="667" t="s">
        <v>546</v>
      </c>
      <c r="E8" s="667" t="s">
        <v>547</v>
      </c>
      <c r="F8" s="668" t="s">
        <v>549</v>
      </c>
      <c r="G8" s="663"/>
      <c r="H8" s="667"/>
      <c r="I8" s="667"/>
      <c r="J8" s="667"/>
      <c r="K8" s="667"/>
      <c r="L8" s="668"/>
      <c r="N8" s="667"/>
      <c r="O8" s="667"/>
      <c r="P8" s="667"/>
      <c r="Q8" s="667"/>
      <c r="R8" s="668"/>
      <c r="T8" s="667"/>
      <c r="U8" s="667"/>
      <c r="V8" s="667"/>
      <c r="W8" s="667"/>
      <c r="X8" s="668"/>
      <c r="Z8" s="667"/>
      <c r="AA8" s="667"/>
      <c r="AB8" s="667"/>
      <c r="AC8" s="667"/>
      <c r="AD8" s="668"/>
      <c r="AF8" s="667"/>
      <c r="AG8" s="667"/>
      <c r="AH8" s="667"/>
      <c r="AI8" s="667"/>
      <c r="AJ8" s="668"/>
      <c r="AL8" s="667"/>
      <c r="AM8" s="667"/>
      <c r="AN8" s="667"/>
      <c r="AO8" s="667"/>
      <c r="AP8" s="668"/>
      <c r="AR8" s="667"/>
      <c r="AS8" s="667"/>
      <c r="AT8" s="667"/>
      <c r="AU8" s="667"/>
      <c r="AV8" s="668"/>
      <c r="AX8" s="667"/>
      <c r="AY8" s="667"/>
      <c r="AZ8" s="667"/>
      <c r="BA8" s="667"/>
      <c r="BB8" s="668"/>
      <c r="BD8" s="667"/>
      <c r="BE8" s="667"/>
      <c r="BF8" s="667"/>
      <c r="BG8" s="667"/>
      <c r="BH8" s="668"/>
      <c r="BJ8" s="667"/>
      <c r="BK8" s="667"/>
      <c r="BL8" s="667"/>
      <c r="BM8" s="667"/>
      <c r="BN8" s="668"/>
      <c r="BP8" s="667"/>
      <c r="BQ8" s="667"/>
      <c r="BR8" s="667"/>
      <c r="BS8" s="667"/>
      <c r="BT8" s="668"/>
      <c r="BV8" s="667"/>
      <c r="BW8" s="667"/>
      <c r="BX8" s="667"/>
      <c r="BY8" s="667"/>
      <c r="BZ8" s="668"/>
      <c r="CB8" s="667"/>
      <c r="CC8" s="667"/>
      <c r="CD8" s="667"/>
      <c r="CE8" s="667"/>
      <c r="CF8" s="668"/>
      <c r="CH8" s="667"/>
      <c r="CI8" s="667"/>
      <c r="CJ8" s="667"/>
      <c r="CK8" s="667"/>
      <c r="CL8" s="668"/>
      <c r="CN8" s="667"/>
      <c r="CO8" s="667"/>
      <c r="CP8" s="667"/>
      <c r="CQ8" s="667"/>
      <c r="CR8" s="668"/>
      <c r="CT8" s="667"/>
      <c r="CU8" s="667"/>
      <c r="CV8" s="667"/>
      <c r="CW8" s="667"/>
      <c r="CX8" s="668"/>
      <c r="CZ8" s="667"/>
      <c r="DA8" s="667"/>
      <c r="DB8" s="667"/>
      <c r="DC8" s="667"/>
      <c r="DD8" s="668"/>
      <c r="DF8" s="667"/>
      <c r="DG8" s="667"/>
      <c r="DH8" s="667"/>
      <c r="DI8" s="667"/>
      <c r="DJ8" s="668"/>
      <c r="DL8" s="667"/>
      <c r="DM8" s="667"/>
      <c r="DN8" s="667"/>
      <c r="DO8" s="667"/>
      <c r="DP8" s="668"/>
      <c r="DR8" s="667"/>
      <c r="DS8" s="667"/>
      <c r="DT8" s="667"/>
      <c r="DU8" s="667"/>
      <c r="DV8" s="668"/>
      <c r="DX8" s="667"/>
      <c r="DY8" s="667"/>
      <c r="DZ8" s="667"/>
      <c r="EA8" s="667"/>
      <c r="EB8" s="668"/>
      <c r="ED8" s="667"/>
      <c r="EE8" s="667"/>
      <c r="EF8" s="667"/>
      <c r="EG8" s="667"/>
      <c r="EH8" s="667"/>
      <c r="EI8" s="667"/>
      <c r="EJ8" s="667"/>
      <c r="EK8" s="667"/>
      <c r="EL8" s="667"/>
      <c r="EM8" s="668"/>
      <c r="EO8" s="667"/>
      <c r="EP8" s="667"/>
      <c r="EQ8" s="667"/>
      <c r="ER8" s="667"/>
      <c r="ES8" s="667"/>
      <c r="ET8" s="667"/>
      <c r="EU8" s="667"/>
      <c r="EV8" s="667"/>
      <c r="EW8" s="667"/>
      <c r="EX8" s="668"/>
      <c r="EZ8" s="667"/>
      <c r="FA8" s="667"/>
      <c r="FB8" s="667"/>
      <c r="FC8" s="667"/>
      <c r="FD8" s="667"/>
      <c r="FE8" s="667"/>
      <c r="FF8" s="667"/>
      <c r="FG8" s="667"/>
      <c r="FH8" s="667"/>
      <c r="FI8" s="668"/>
      <c r="FK8" s="667"/>
      <c r="FL8" s="667"/>
      <c r="FM8" s="667"/>
      <c r="FN8" s="667"/>
      <c r="FO8" s="667"/>
      <c r="FP8" s="667"/>
      <c r="FQ8" s="667"/>
      <c r="FR8" s="667"/>
      <c r="FS8" s="667"/>
      <c r="FT8" s="668"/>
      <c r="FV8" s="667"/>
      <c r="FW8" s="667"/>
      <c r="FX8" s="667"/>
      <c r="FY8" s="667"/>
      <c r="FZ8" s="667"/>
      <c r="GA8" s="667"/>
      <c r="GB8" s="667"/>
      <c r="GC8" s="667"/>
      <c r="GD8" s="667"/>
      <c r="GE8" s="668"/>
      <c r="GG8" s="667"/>
      <c r="GH8" s="667"/>
      <c r="GI8" s="667"/>
      <c r="GJ8" s="667"/>
      <c r="GK8" s="667"/>
      <c r="GL8" s="668"/>
      <c r="GN8" s="667"/>
      <c r="GO8" s="667"/>
      <c r="GP8" s="667"/>
      <c r="GQ8" s="667"/>
      <c r="GR8" s="667"/>
      <c r="GS8" s="668"/>
      <c r="GU8" s="667"/>
      <c r="GV8" s="667"/>
      <c r="GW8" s="667"/>
      <c r="GX8" s="667"/>
      <c r="GY8" s="667"/>
      <c r="GZ8" s="668"/>
      <c r="HB8" s="667"/>
      <c r="HC8" s="667"/>
      <c r="HD8" s="667"/>
      <c r="HE8" s="667"/>
      <c r="HF8" s="667"/>
      <c r="HG8" s="668"/>
      <c r="HI8" s="667"/>
      <c r="HJ8" s="667"/>
      <c r="HK8" s="667"/>
      <c r="HL8" s="667"/>
      <c r="HM8" s="667"/>
      <c r="HN8" s="668"/>
      <c r="HP8" s="667"/>
      <c r="HQ8" s="667"/>
      <c r="HR8" s="667"/>
      <c r="HS8" s="667"/>
      <c r="HT8" s="667"/>
      <c r="HU8" s="668"/>
      <c r="HW8" s="667"/>
      <c r="HX8" s="667"/>
      <c r="HY8" s="667"/>
      <c r="HZ8" s="667"/>
      <c r="IA8" s="667"/>
      <c r="IB8" s="667"/>
      <c r="IC8" s="667"/>
      <c r="ID8" s="667"/>
      <c r="IE8" s="667"/>
      <c r="IF8" s="668"/>
      <c r="IH8" s="667"/>
      <c r="II8" s="667"/>
      <c r="IJ8" s="667"/>
      <c r="IK8" s="667"/>
      <c r="IL8" s="667"/>
      <c r="IM8" s="667"/>
      <c r="IN8" s="667"/>
      <c r="IO8" s="667"/>
      <c r="IP8" s="667"/>
      <c r="IQ8" s="668"/>
      <c r="IS8" s="667"/>
      <c r="IT8" s="667"/>
      <c r="IU8" s="667"/>
      <c r="IV8" s="667"/>
      <c r="IW8" s="667"/>
      <c r="IX8" s="667"/>
      <c r="IY8" s="667"/>
      <c r="IZ8" s="667"/>
      <c r="JA8" s="667"/>
      <c r="JB8" s="668"/>
      <c r="JD8" s="667"/>
      <c r="JE8" s="667"/>
      <c r="JF8" s="667"/>
      <c r="JG8" s="667"/>
      <c r="JH8" s="667"/>
      <c r="JI8" s="667"/>
      <c r="JJ8" s="667"/>
      <c r="JK8" s="667"/>
      <c r="JL8" s="667"/>
      <c r="JM8" s="668"/>
      <c r="JO8" s="667"/>
      <c r="JP8" s="667"/>
      <c r="JQ8" s="667"/>
      <c r="JR8" s="667"/>
      <c r="JS8" s="667"/>
      <c r="JT8" s="667"/>
      <c r="JU8" s="667"/>
      <c r="JV8" s="667"/>
      <c r="JW8" s="667"/>
      <c r="JX8" s="668"/>
      <c r="JZ8" s="667"/>
      <c r="KA8" s="667"/>
      <c r="KB8" s="667"/>
      <c r="KC8" s="667"/>
      <c r="KD8" s="667"/>
      <c r="KE8" s="667"/>
      <c r="KF8" s="667"/>
      <c r="KG8" s="667"/>
      <c r="KH8" s="667"/>
      <c r="KI8" s="668"/>
      <c r="KK8" s="667"/>
      <c r="KL8" s="667"/>
      <c r="KM8" s="667"/>
      <c r="KN8" s="667"/>
      <c r="KO8" s="667"/>
      <c r="KP8" s="667"/>
      <c r="KQ8" s="667"/>
      <c r="KR8" s="667"/>
      <c r="KS8" s="667"/>
      <c r="KT8" s="668"/>
      <c r="KV8" s="667"/>
      <c r="KW8" s="667"/>
      <c r="KX8" s="667"/>
      <c r="KY8" s="667"/>
      <c r="KZ8" s="667"/>
      <c r="LA8" s="667"/>
      <c r="LB8" s="667"/>
      <c r="LC8" s="667"/>
      <c r="LD8" s="667"/>
      <c r="LE8" s="668"/>
      <c r="LG8" s="667"/>
      <c r="LH8" s="667"/>
      <c r="LI8" s="667"/>
      <c r="LJ8" s="667"/>
      <c r="LK8" s="667"/>
      <c r="LL8" s="667"/>
      <c r="LM8" s="667"/>
      <c r="LN8" s="667"/>
      <c r="LO8" s="667"/>
      <c r="LP8" s="668"/>
      <c r="LR8" s="667"/>
      <c r="LS8" s="667"/>
      <c r="LT8" s="667"/>
      <c r="LU8" s="667"/>
      <c r="LV8" s="667"/>
      <c r="LW8" s="667"/>
      <c r="LX8" s="667"/>
      <c r="LY8" s="667"/>
      <c r="LZ8" s="667"/>
      <c r="MA8" s="668"/>
      <c r="MC8" s="667"/>
      <c r="MD8" s="667"/>
      <c r="ME8" s="667"/>
      <c r="MF8" s="667"/>
      <c r="MG8" s="667"/>
      <c r="MH8" s="667"/>
      <c r="MI8" s="667"/>
      <c r="MJ8" s="667"/>
      <c r="MK8" s="667"/>
      <c r="ML8" s="668"/>
      <c r="MN8" s="667"/>
      <c r="MO8" s="667"/>
      <c r="MP8" s="667"/>
      <c r="MQ8" s="667"/>
      <c r="MR8" s="667"/>
      <c r="MS8" s="667"/>
      <c r="MT8" s="667"/>
      <c r="MU8" s="667"/>
      <c r="MV8" s="667"/>
      <c r="MW8" s="668"/>
      <c r="MY8" s="667"/>
      <c r="MZ8" s="667"/>
      <c r="NA8" s="667"/>
      <c r="NB8" s="667"/>
      <c r="NC8" s="667"/>
      <c r="ND8" s="667"/>
      <c r="NE8" s="667"/>
      <c r="NF8" s="667"/>
      <c r="NG8" s="667"/>
      <c r="NH8" s="668"/>
      <c r="NJ8" s="667"/>
      <c r="NK8" s="667"/>
      <c r="NL8" s="667"/>
      <c r="NM8" s="667"/>
      <c r="NN8" s="667"/>
      <c r="NO8" s="667"/>
      <c r="NP8" s="667"/>
      <c r="NQ8" s="667"/>
      <c r="NR8" s="667"/>
      <c r="NS8" s="668"/>
      <c r="NU8" s="667"/>
      <c r="NV8" s="667"/>
      <c r="NW8" s="667"/>
      <c r="NX8" s="667"/>
      <c r="NY8" s="667"/>
      <c r="NZ8" s="667"/>
      <c r="OA8" s="667"/>
      <c r="OB8" s="667"/>
      <c r="OC8" s="667"/>
      <c r="OD8" s="668"/>
      <c r="OF8" s="667"/>
      <c r="OG8" s="667"/>
      <c r="OH8" s="667"/>
      <c r="OI8" s="667"/>
      <c r="OJ8" s="667"/>
      <c r="OK8" s="667"/>
      <c r="OL8" s="667"/>
      <c r="OM8" s="667"/>
      <c r="ON8" s="667"/>
      <c r="OO8" s="668"/>
    </row>
    <row r="9" spans="1:406">
      <c r="A9" s="663" t="str">
        <v xml:space="preserve"> </v>
      </c>
      <c r="B9" s="667" t="s">
        <v>546</v>
      </c>
      <c r="C9" s="667" t="s">
        <v>547</v>
      </c>
      <c r="D9" s="667" t="s">
        <v>547</v>
      </c>
      <c r="E9" s="667" t="s">
        <v>548</v>
      </c>
      <c r="F9" s="668" t="s">
        <v>549</v>
      </c>
      <c r="G9" s="663"/>
      <c r="H9" s="667"/>
      <c r="I9" s="667"/>
      <c r="J9" s="667"/>
      <c r="K9" s="667"/>
      <c r="L9" s="668"/>
      <c r="N9" s="667"/>
      <c r="O9" s="667"/>
      <c r="P9" s="667"/>
      <c r="Q9" s="667"/>
      <c r="R9" s="668"/>
      <c r="T9" s="667"/>
      <c r="U9" s="667"/>
      <c r="V9" s="667"/>
      <c r="W9" s="667"/>
      <c r="X9" s="668"/>
      <c r="Z9" s="667"/>
      <c r="AA9" s="667"/>
      <c r="AB9" s="667"/>
      <c r="AC9" s="667"/>
      <c r="AD9" s="668"/>
      <c r="AF9" s="667"/>
      <c r="AG9" s="667"/>
      <c r="AH9" s="667"/>
      <c r="AI9" s="667"/>
      <c r="AJ9" s="668"/>
      <c r="AL9" s="667"/>
      <c r="AM9" s="667"/>
      <c r="AN9" s="667"/>
      <c r="AO9" s="667"/>
      <c r="AP9" s="668"/>
      <c r="AR9" s="667"/>
      <c r="AS9" s="667"/>
      <c r="AT9" s="667"/>
      <c r="AU9" s="667"/>
      <c r="AV9" s="668"/>
      <c r="AX9" s="667"/>
      <c r="AY9" s="667"/>
      <c r="AZ9" s="667"/>
      <c r="BA9" s="667"/>
      <c r="BB9" s="668"/>
      <c r="BD9" s="667"/>
      <c r="BE9" s="667"/>
      <c r="BF9" s="667"/>
      <c r="BG9" s="667"/>
      <c r="BH9" s="668"/>
      <c r="BJ9" s="667"/>
      <c r="BK9" s="667"/>
      <c r="BL9" s="667"/>
      <c r="BM9" s="667"/>
      <c r="BN9" s="668"/>
      <c r="BP9" s="667"/>
      <c r="BQ9" s="667"/>
      <c r="BR9" s="667"/>
      <c r="BS9" s="667"/>
      <c r="BT9" s="668"/>
      <c r="BV9" s="667"/>
      <c r="BW9" s="667"/>
      <c r="BX9" s="667"/>
      <c r="BY9" s="667"/>
      <c r="BZ9" s="668"/>
      <c r="CB9" s="667"/>
      <c r="CC9" s="667"/>
      <c r="CD9" s="667"/>
      <c r="CE9" s="667"/>
      <c r="CF9" s="668"/>
      <c r="CH9" s="667"/>
      <c r="CI9" s="667"/>
      <c r="CJ9" s="667"/>
      <c r="CK9" s="667"/>
      <c r="CL9" s="668"/>
      <c r="CN9" s="667"/>
      <c r="CO9" s="667"/>
      <c r="CP9" s="667"/>
      <c r="CQ9" s="667"/>
      <c r="CR9" s="668"/>
      <c r="CT9" s="667"/>
      <c r="CU9" s="667"/>
      <c r="CV9" s="667"/>
      <c r="CW9" s="667"/>
      <c r="CX9" s="668"/>
      <c r="CZ9" s="667"/>
      <c r="DA9" s="667"/>
      <c r="DB9" s="667"/>
      <c r="DC9" s="667"/>
      <c r="DD9" s="668"/>
      <c r="DF9" s="667"/>
      <c r="DG9" s="667"/>
      <c r="DH9" s="667"/>
      <c r="DI9" s="667"/>
      <c r="DJ9" s="668"/>
      <c r="DL9" s="667"/>
      <c r="DM9" s="667"/>
      <c r="DN9" s="667"/>
      <c r="DO9" s="667"/>
      <c r="DP9" s="668"/>
      <c r="DR9" s="667"/>
      <c r="DS9" s="667"/>
      <c r="DT9" s="667"/>
      <c r="DU9" s="667"/>
      <c r="DV9" s="668"/>
      <c r="DX9" s="667"/>
      <c r="DY9" s="667"/>
      <c r="DZ9" s="667"/>
      <c r="EA9" s="667"/>
      <c r="EB9" s="668"/>
      <c r="ED9" s="667"/>
      <c r="EE9" s="667"/>
      <c r="EF9" s="667"/>
      <c r="EG9" s="667"/>
      <c r="EH9" s="667"/>
      <c r="EI9" s="667"/>
      <c r="EJ9" s="667"/>
      <c r="EK9" s="667"/>
      <c r="EL9" s="667"/>
      <c r="EM9" s="668"/>
      <c r="EO9" s="667"/>
      <c r="EP9" s="667"/>
      <c r="EQ9" s="667"/>
      <c r="ER9" s="667"/>
      <c r="ES9" s="667"/>
      <c r="ET9" s="667"/>
      <c r="EU9" s="667"/>
      <c r="EV9" s="667"/>
      <c r="EW9" s="667"/>
      <c r="EX9" s="668"/>
      <c r="EZ9" s="667"/>
      <c r="FA9" s="667"/>
      <c r="FB9" s="667"/>
      <c r="FC9" s="667"/>
      <c r="FD9" s="667"/>
      <c r="FE9" s="667"/>
      <c r="FF9" s="667"/>
      <c r="FG9" s="667"/>
      <c r="FH9" s="667"/>
      <c r="FI9" s="668"/>
      <c r="FK9" s="667"/>
      <c r="FL9" s="667"/>
      <c r="FM9" s="667"/>
      <c r="FN9" s="667"/>
      <c r="FO9" s="667"/>
      <c r="FP9" s="667"/>
      <c r="FQ9" s="667"/>
      <c r="FR9" s="667"/>
      <c r="FS9" s="667"/>
      <c r="FT9" s="668"/>
      <c r="FV9" s="667"/>
      <c r="FW9" s="667"/>
      <c r="FX9" s="667"/>
      <c r="FY9" s="667"/>
      <c r="FZ9" s="667"/>
      <c r="GA9" s="667"/>
      <c r="GB9" s="667"/>
      <c r="GC9" s="667"/>
      <c r="GD9" s="667"/>
      <c r="GE9" s="668"/>
      <c r="GG9" s="667"/>
      <c r="GH9" s="667"/>
      <c r="GI9" s="667"/>
      <c r="GJ9" s="667"/>
      <c r="GK9" s="667"/>
      <c r="GL9" s="668"/>
      <c r="GN9" s="667"/>
      <c r="GO9" s="667"/>
      <c r="GP9" s="667"/>
      <c r="GQ9" s="667"/>
      <c r="GR9" s="667"/>
      <c r="GS9" s="668"/>
      <c r="GU9" s="667"/>
      <c r="GV9" s="667"/>
      <c r="GW9" s="667"/>
      <c r="GX9" s="667"/>
      <c r="GY9" s="667"/>
      <c r="GZ9" s="668"/>
      <c r="HB9" s="667"/>
      <c r="HC9" s="667"/>
      <c r="HD9" s="667"/>
      <c r="HE9" s="667"/>
      <c r="HF9" s="667"/>
      <c r="HG9" s="668"/>
      <c r="HI9" s="667"/>
      <c r="HJ9" s="667"/>
      <c r="HK9" s="667"/>
      <c r="HL9" s="667"/>
      <c r="HM9" s="667"/>
      <c r="HN9" s="668"/>
      <c r="HP9" s="667"/>
      <c r="HQ9" s="667"/>
      <c r="HR9" s="667"/>
      <c r="HS9" s="667"/>
      <c r="HT9" s="667"/>
      <c r="HU9" s="668"/>
      <c r="HW9" s="667"/>
      <c r="HX9" s="667"/>
      <c r="HY9" s="667"/>
      <c r="HZ9" s="667"/>
      <c r="IA9" s="667"/>
      <c r="IB9" s="667"/>
      <c r="IC9" s="667"/>
      <c r="ID9" s="667"/>
      <c r="IE9" s="667"/>
      <c r="IF9" s="668"/>
      <c r="IH9" s="667"/>
      <c r="II9" s="667"/>
      <c r="IJ9" s="667"/>
      <c r="IK9" s="667"/>
      <c r="IL9" s="667"/>
      <c r="IM9" s="667"/>
      <c r="IN9" s="667"/>
      <c r="IO9" s="667"/>
      <c r="IP9" s="667"/>
      <c r="IQ9" s="668"/>
      <c r="IS9" s="667"/>
      <c r="IT9" s="667"/>
      <c r="IU9" s="667"/>
      <c r="IV9" s="667"/>
      <c r="IW9" s="667"/>
      <c r="IX9" s="667"/>
      <c r="IY9" s="667"/>
      <c r="IZ9" s="667"/>
      <c r="JA9" s="667"/>
      <c r="JB9" s="668"/>
      <c r="JD9" s="667"/>
      <c r="JE9" s="667"/>
      <c r="JF9" s="667"/>
      <c r="JG9" s="667"/>
      <c r="JH9" s="667"/>
      <c r="JI9" s="667"/>
      <c r="JJ9" s="667"/>
      <c r="JK9" s="667"/>
      <c r="JL9" s="667"/>
      <c r="JM9" s="668"/>
      <c r="JO9" s="667"/>
      <c r="JP9" s="667"/>
      <c r="JQ9" s="667"/>
      <c r="JR9" s="667"/>
      <c r="JS9" s="667"/>
      <c r="JT9" s="667"/>
      <c r="JU9" s="667"/>
      <c r="JV9" s="667"/>
      <c r="JW9" s="667"/>
      <c r="JX9" s="668"/>
      <c r="JZ9" s="667"/>
      <c r="KA9" s="667"/>
      <c r="KB9" s="667"/>
      <c r="KC9" s="667"/>
      <c r="KD9" s="667"/>
      <c r="KE9" s="667"/>
      <c r="KF9" s="667"/>
      <c r="KG9" s="667"/>
      <c r="KH9" s="667"/>
      <c r="KI9" s="668"/>
      <c r="KK9" s="667"/>
      <c r="KL9" s="667"/>
      <c r="KM9" s="667"/>
      <c r="KN9" s="667"/>
      <c r="KO9" s="667"/>
      <c r="KP9" s="667"/>
      <c r="KQ9" s="667"/>
      <c r="KR9" s="667"/>
      <c r="KS9" s="667"/>
      <c r="KT9" s="668"/>
      <c r="KV9" s="667"/>
      <c r="KW9" s="667"/>
      <c r="KX9" s="667"/>
      <c r="KY9" s="667"/>
      <c r="KZ9" s="667"/>
      <c r="LA9" s="667"/>
      <c r="LB9" s="667"/>
      <c r="LC9" s="667"/>
      <c r="LD9" s="667"/>
      <c r="LE9" s="668"/>
      <c r="LG9" s="667"/>
      <c r="LH9" s="667"/>
      <c r="LI9" s="667"/>
      <c r="LJ9" s="667"/>
      <c r="LK9" s="667"/>
      <c r="LL9" s="667"/>
      <c r="LM9" s="667"/>
      <c r="LN9" s="667"/>
      <c r="LO9" s="667"/>
      <c r="LP9" s="668"/>
      <c r="LR9" s="667"/>
      <c r="LS9" s="667"/>
      <c r="LT9" s="667"/>
      <c r="LU9" s="667"/>
      <c r="LV9" s="667"/>
      <c r="LW9" s="667"/>
      <c r="LX9" s="667"/>
      <c r="LY9" s="667"/>
      <c r="LZ9" s="667"/>
      <c r="MA9" s="668"/>
      <c r="MC9" s="667"/>
      <c r="MD9" s="667"/>
      <c r="ME9" s="667"/>
      <c r="MF9" s="667"/>
      <c r="MG9" s="667"/>
      <c r="MH9" s="667"/>
      <c r="MI9" s="667"/>
      <c r="MJ9" s="667"/>
      <c r="MK9" s="667"/>
      <c r="ML9" s="668"/>
      <c r="MN9" s="667"/>
      <c r="MO9" s="667"/>
      <c r="MP9" s="667"/>
      <c r="MQ9" s="667"/>
      <c r="MR9" s="667"/>
      <c r="MS9" s="667"/>
      <c r="MT9" s="667"/>
      <c r="MU9" s="667"/>
      <c r="MV9" s="667"/>
      <c r="MW9" s="668"/>
      <c r="MY9" s="667"/>
      <c r="MZ9" s="667"/>
      <c r="NA9" s="667"/>
      <c r="NB9" s="667"/>
      <c r="NC9" s="667"/>
      <c r="ND9" s="667"/>
      <c r="NE9" s="667"/>
      <c r="NF9" s="667"/>
      <c r="NG9" s="667"/>
      <c r="NH9" s="668"/>
      <c r="NJ9" s="667"/>
      <c r="NK9" s="667"/>
      <c r="NL9" s="667"/>
      <c r="NM9" s="667"/>
      <c r="NN9" s="667"/>
      <c r="NO9" s="667"/>
      <c r="NP9" s="667"/>
      <c r="NQ9" s="667"/>
      <c r="NR9" s="667"/>
      <c r="NS9" s="668"/>
      <c r="NU9" s="667"/>
      <c r="NV9" s="667"/>
      <c r="NW9" s="667"/>
      <c r="NX9" s="667"/>
      <c r="NY9" s="667"/>
      <c r="NZ9" s="667"/>
      <c r="OA9" s="667"/>
      <c r="OB9" s="667"/>
      <c r="OC9" s="667"/>
      <c r="OD9" s="668"/>
      <c r="OF9" s="667"/>
      <c r="OG9" s="667"/>
      <c r="OH9" s="667"/>
      <c r="OI9" s="667"/>
      <c r="OJ9" s="667"/>
      <c r="OK9" s="667"/>
      <c r="OL9" s="667"/>
      <c r="OM9" s="667"/>
      <c r="ON9" s="667"/>
      <c r="OO9" s="668"/>
    </row>
    <row r="10" spans="1:406">
      <c r="A10" s="663" t="str">
        <v xml:space="preserve"> </v>
      </c>
      <c r="B10" s="667" t="s">
        <v>546</v>
      </c>
      <c r="C10" s="667" t="s">
        <v>547</v>
      </c>
      <c r="D10" s="667" t="s">
        <v>547</v>
      </c>
      <c r="E10" s="667" t="s">
        <v>548</v>
      </c>
      <c r="F10" s="668" t="s">
        <v>551</v>
      </c>
      <c r="G10" s="663"/>
      <c r="H10" s="667"/>
      <c r="I10" s="667"/>
      <c r="J10" s="667"/>
      <c r="K10" s="667"/>
      <c r="L10" s="668"/>
      <c r="N10" s="667"/>
      <c r="O10" s="667"/>
      <c r="P10" s="667"/>
      <c r="Q10" s="667"/>
      <c r="R10" s="668"/>
      <c r="T10" s="667"/>
      <c r="U10" s="667"/>
      <c r="V10" s="667"/>
      <c r="W10" s="667"/>
      <c r="X10" s="668"/>
      <c r="Z10" s="667"/>
      <c r="AA10" s="667"/>
      <c r="AB10" s="667"/>
      <c r="AC10" s="667"/>
      <c r="AD10" s="668"/>
      <c r="AF10" s="667"/>
      <c r="AG10" s="667"/>
      <c r="AH10" s="667"/>
      <c r="AI10" s="667"/>
      <c r="AJ10" s="668"/>
      <c r="AL10" s="667"/>
      <c r="AM10" s="667"/>
      <c r="AN10" s="667"/>
      <c r="AO10" s="667"/>
      <c r="AP10" s="668"/>
      <c r="AR10" s="667"/>
      <c r="AS10" s="667"/>
      <c r="AT10" s="667"/>
      <c r="AU10" s="667"/>
      <c r="AV10" s="668"/>
      <c r="AX10" s="667"/>
      <c r="AY10" s="667"/>
      <c r="AZ10" s="667"/>
      <c r="BA10" s="667"/>
      <c r="BB10" s="668"/>
      <c r="BD10" s="667"/>
      <c r="BE10" s="667"/>
      <c r="BF10" s="667"/>
      <c r="BG10" s="667"/>
      <c r="BH10" s="668"/>
      <c r="BJ10" s="667"/>
      <c r="BK10" s="667"/>
      <c r="BL10" s="667"/>
      <c r="BM10" s="667"/>
      <c r="BN10" s="668"/>
      <c r="BP10" s="667"/>
      <c r="BQ10" s="667"/>
      <c r="BR10" s="667"/>
      <c r="BS10" s="667"/>
      <c r="BT10" s="668"/>
      <c r="BV10" s="667"/>
      <c r="BW10" s="667"/>
      <c r="BX10" s="667"/>
      <c r="BY10" s="667"/>
      <c r="BZ10" s="668"/>
      <c r="CB10" s="667"/>
      <c r="CC10" s="667"/>
      <c r="CD10" s="667"/>
      <c r="CE10" s="667"/>
      <c r="CF10" s="668"/>
      <c r="CH10" s="667"/>
      <c r="CI10" s="667"/>
      <c r="CJ10" s="667"/>
      <c r="CK10" s="667"/>
      <c r="CL10" s="668"/>
      <c r="CN10" s="667"/>
      <c r="CO10" s="667"/>
      <c r="CP10" s="667"/>
      <c r="CQ10" s="667"/>
      <c r="CR10" s="668"/>
      <c r="CT10" s="667"/>
      <c r="CU10" s="667"/>
      <c r="CV10" s="667"/>
      <c r="CW10" s="667"/>
      <c r="CX10" s="668"/>
      <c r="CZ10" s="667"/>
      <c r="DA10" s="667"/>
      <c r="DB10" s="667"/>
      <c r="DC10" s="667"/>
      <c r="DD10" s="668"/>
      <c r="DF10" s="667"/>
      <c r="DG10" s="667"/>
      <c r="DH10" s="667"/>
      <c r="DI10" s="667"/>
      <c r="DJ10" s="668"/>
      <c r="DL10" s="667"/>
      <c r="DM10" s="667"/>
      <c r="DN10" s="667"/>
      <c r="DO10" s="667"/>
      <c r="DP10" s="668"/>
      <c r="DR10" s="667"/>
      <c r="DS10" s="667"/>
      <c r="DT10" s="667"/>
      <c r="DU10" s="667"/>
      <c r="DV10" s="668"/>
      <c r="DX10" s="667"/>
      <c r="DY10" s="667"/>
      <c r="DZ10" s="667"/>
      <c r="EA10" s="667"/>
      <c r="EB10" s="668"/>
      <c r="ED10" s="667"/>
      <c r="EE10" s="667"/>
      <c r="EF10" s="667"/>
      <c r="EG10" s="667"/>
      <c r="EH10" s="667"/>
      <c r="EI10" s="667"/>
      <c r="EJ10" s="667"/>
      <c r="EK10" s="667"/>
      <c r="EL10" s="667"/>
      <c r="EM10" s="668"/>
      <c r="EO10" s="667"/>
      <c r="EP10" s="667"/>
      <c r="EQ10" s="667"/>
      <c r="ER10" s="667"/>
      <c r="ES10" s="667"/>
      <c r="ET10" s="667"/>
      <c r="EU10" s="667"/>
      <c r="EV10" s="667"/>
      <c r="EW10" s="667"/>
      <c r="EX10" s="668"/>
      <c r="EZ10" s="667"/>
      <c r="FA10" s="667"/>
      <c r="FB10" s="667"/>
      <c r="FC10" s="667"/>
      <c r="FD10" s="667"/>
      <c r="FE10" s="667"/>
      <c r="FF10" s="667"/>
      <c r="FG10" s="667"/>
      <c r="FH10" s="667"/>
      <c r="FI10" s="668"/>
      <c r="FK10" s="667"/>
      <c r="FL10" s="667"/>
      <c r="FM10" s="667"/>
      <c r="FN10" s="667"/>
      <c r="FO10" s="667"/>
      <c r="FP10" s="667"/>
      <c r="FQ10" s="667"/>
      <c r="FR10" s="667"/>
      <c r="FS10" s="667"/>
      <c r="FT10" s="668"/>
      <c r="FV10" s="667"/>
      <c r="FW10" s="667"/>
      <c r="FX10" s="667"/>
      <c r="FY10" s="667"/>
      <c r="FZ10" s="667"/>
      <c r="GA10" s="667"/>
      <c r="GB10" s="667"/>
      <c r="GC10" s="667"/>
      <c r="GD10" s="667"/>
      <c r="GE10" s="668"/>
      <c r="GG10" s="667"/>
      <c r="GH10" s="667"/>
      <c r="GI10" s="667"/>
      <c r="GJ10" s="667"/>
      <c r="GK10" s="667"/>
      <c r="GL10" s="668"/>
      <c r="GN10" s="667"/>
      <c r="GO10" s="667"/>
      <c r="GP10" s="667"/>
      <c r="GQ10" s="667"/>
      <c r="GR10" s="667"/>
      <c r="GS10" s="668"/>
      <c r="GU10" s="667"/>
      <c r="GV10" s="667"/>
      <c r="GW10" s="667"/>
      <c r="GX10" s="667"/>
      <c r="GY10" s="667"/>
      <c r="GZ10" s="668"/>
      <c r="HB10" s="667"/>
      <c r="HC10" s="667"/>
      <c r="HD10" s="667"/>
      <c r="HE10" s="667"/>
      <c r="HF10" s="667"/>
      <c r="HG10" s="668"/>
      <c r="HI10" s="667"/>
      <c r="HJ10" s="667"/>
      <c r="HK10" s="667"/>
      <c r="HL10" s="667"/>
      <c r="HM10" s="667"/>
      <c r="HN10" s="668"/>
      <c r="HP10" s="667"/>
      <c r="HQ10" s="667"/>
      <c r="HR10" s="667"/>
      <c r="HS10" s="667"/>
      <c r="HT10" s="667"/>
      <c r="HU10" s="668"/>
      <c r="HW10" s="667"/>
      <c r="HX10" s="667"/>
      <c r="HY10" s="667"/>
      <c r="HZ10" s="667"/>
      <c r="IA10" s="667"/>
      <c r="IB10" s="667"/>
      <c r="IC10" s="667"/>
      <c r="ID10" s="667"/>
      <c r="IE10" s="667"/>
      <c r="IF10" s="668"/>
      <c r="IH10" s="667"/>
      <c r="II10" s="667"/>
      <c r="IJ10" s="667"/>
      <c r="IK10" s="667"/>
      <c r="IL10" s="667"/>
      <c r="IM10" s="667"/>
      <c r="IN10" s="667"/>
      <c r="IO10" s="667"/>
      <c r="IP10" s="667"/>
      <c r="IQ10" s="668"/>
      <c r="IS10" s="667"/>
      <c r="IT10" s="667"/>
      <c r="IU10" s="667"/>
      <c r="IV10" s="667"/>
      <c r="IW10" s="667"/>
      <c r="IX10" s="667"/>
      <c r="IY10" s="667"/>
      <c r="IZ10" s="667"/>
      <c r="JA10" s="667"/>
      <c r="JB10" s="668"/>
      <c r="JD10" s="667"/>
      <c r="JE10" s="667"/>
      <c r="JF10" s="667"/>
      <c r="JG10" s="667"/>
      <c r="JH10" s="667"/>
      <c r="JI10" s="667"/>
      <c r="JJ10" s="667"/>
      <c r="JK10" s="667"/>
      <c r="JL10" s="667"/>
      <c r="JM10" s="668"/>
      <c r="JO10" s="667"/>
      <c r="JP10" s="667"/>
      <c r="JQ10" s="667"/>
      <c r="JR10" s="667"/>
      <c r="JS10" s="667"/>
      <c r="JT10" s="667"/>
      <c r="JU10" s="667"/>
      <c r="JV10" s="667"/>
      <c r="JW10" s="667"/>
      <c r="JX10" s="668"/>
      <c r="JZ10" s="667"/>
      <c r="KA10" s="667"/>
      <c r="KB10" s="667"/>
      <c r="KC10" s="667"/>
      <c r="KD10" s="667"/>
      <c r="KE10" s="667"/>
      <c r="KF10" s="667"/>
      <c r="KG10" s="667"/>
      <c r="KH10" s="667"/>
      <c r="KI10" s="668"/>
      <c r="KK10" s="667"/>
      <c r="KL10" s="667"/>
      <c r="KM10" s="667"/>
      <c r="KN10" s="667"/>
      <c r="KO10" s="667"/>
      <c r="KP10" s="667"/>
      <c r="KQ10" s="667"/>
      <c r="KR10" s="667"/>
      <c r="KS10" s="667"/>
      <c r="KT10" s="668"/>
      <c r="KV10" s="667"/>
      <c r="KW10" s="667"/>
      <c r="KX10" s="667"/>
      <c r="KY10" s="667"/>
      <c r="KZ10" s="667"/>
      <c r="LA10" s="667"/>
      <c r="LB10" s="667"/>
      <c r="LC10" s="667"/>
      <c r="LD10" s="667"/>
      <c r="LE10" s="668"/>
      <c r="LG10" s="667"/>
      <c r="LH10" s="667"/>
      <c r="LI10" s="667"/>
      <c r="LJ10" s="667"/>
      <c r="LK10" s="667"/>
      <c r="LL10" s="667"/>
      <c r="LM10" s="667"/>
      <c r="LN10" s="667"/>
      <c r="LO10" s="667"/>
      <c r="LP10" s="668"/>
      <c r="LR10" s="667"/>
      <c r="LS10" s="667"/>
      <c r="LT10" s="667"/>
      <c r="LU10" s="667"/>
      <c r="LV10" s="667"/>
      <c r="LW10" s="667"/>
      <c r="LX10" s="667"/>
      <c r="LY10" s="667"/>
      <c r="LZ10" s="667"/>
      <c r="MA10" s="668"/>
      <c r="MC10" s="667"/>
      <c r="MD10" s="667"/>
      <c r="ME10" s="667"/>
      <c r="MF10" s="667"/>
      <c r="MG10" s="667"/>
      <c r="MH10" s="667"/>
      <c r="MI10" s="667"/>
      <c r="MJ10" s="667"/>
      <c r="MK10" s="667"/>
      <c r="ML10" s="668"/>
      <c r="MN10" s="667"/>
      <c r="MO10" s="667"/>
      <c r="MP10" s="667"/>
      <c r="MQ10" s="667"/>
      <c r="MR10" s="667"/>
      <c r="MS10" s="667"/>
      <c r="MT10" s="667"/>
      <c r="MU10" s="667"/>
      <c r="MV10" s="667"/>
      <c r="MW10" s="668"/>
      <c r="MY10" s="667"/>
      <c r="MZ10" s="667"/>
      <c r="NA10" s="667"/>
      <c r="NB10" s="667"/>
      <c r="NC10" s="667"/>
      <c r="ND10" s="667"/>
      <c r="NE10" s="667"/>
      <c r="NF10" s="667"/>
      <c r="NG10" s="667"/>
      <c r="NH10" s="668"/>
      <c r="NJ10" s="667"/>
      <c r="NK10" s="667"/>
      <c r="NL10" s="667"/>
      <c r="NM10" s="667"/>
      <c r="NN10" s="667"/>
      <c r="NO10" s="667"/>
      <c r="NP10" s="667"/>
      <c r="NQ10" s="667"/>
      <c r="NR10" s="667"/>
      <c r="NS10" s="668"/>
      <c r="NU10" s="667"/>
      <c r="NV10" s="667"/>
      <c r="NW10" s="667"/>
      <c r="NX10" s="667"/>
      <c r="NY10" s="667"/>
      <c r="NZ10" s="667"/>
      <c r="OA10" s="667"/>
      <c r="OB10" s="667"/>
      <c r="OC10" s="667"/>
      <c r="OD10" s="668"/>
      <c r="OF10" s="667"/>
      <c r="OG10" s="667"/>
      <c r="OH10" s="667"/>
      <c r="OI10" s="667"/>
      <c r="OJ10" s="667"/>
      <c r="OK10" s="667"/>
      <c r="OL10" s="667"/>
      <c r="OM10" s="667"/>
      <c r="ON10" s="667"/>
      <c r="OO10" s="668"/>
    </row>
    <row r="11" spans="1:406">
      <c r="A11" s="663" t="str">
        <v xml:space="preserve"> </v>
      </c>
      <c r="B11" s="667" t="s">
        <v>546</v>
      </c>
      <c r="C11" s="667" t="s">
        <v>547</v>
      </c>
      <c r="D11" s="667" t="s">
        <v>547</v>
      </c>
      <c r="E11" s="667" t="s">
        <v>548</v>
      </c>
      <c r="F11" s="668" t="s">
        <v>549</v>
      </c>
      <c r="G11" s="663"/>
      <c r="H11" s="667"/>
      <c r="I11" s="667"/>
      <c r="J11" s="667"/>
      <c r="K11" s="667"/>
      <c r="L11" s="668" t="s">
        <v>551</v>
      </c>
      <c r="N11" s="667"/>
      <c r="O11" s="667"/>
      <c r="P11" s="667"/>
      <c r="Q11" s="667"/>
      <c r="R11" s="668" t="s">
        <v>551</v>
      </c>
      <c r="T11" s="667"/>
      <c r="U11" s="667"/>
      <c r="V11" s="667"/>
      <c r="W11" s="667"/>
      <c r="X11" s="668" t="s">
        <v>551</v>
      </c>
      <c r="Z11" s="667"/>
      <c r="AA11" s="667"/>
      <c r="AB11" s="667"/>
      <c r="AC11" s="667"/>
      <c r="AD11" s="668" t="s">
        <v>551</v>
      </c>
      <c r="AF11" s="667"/>
      <c r="AG11" s="667"/>
      <c r="AH11" s="667"/>
      <c r="AI11" s="667"/>
      <c r="AJ11" s="668" t="s">
        <v>551</v>
      </c>
      <c r="AL11" s="667"/>
      <c r="AM11" s="667"/>
      <c r="AN11" s="667"/>
      <c r="AO11" s="667"/>
      <c r="AP11" s="668" t="s">
        <v>551</v>
      </c>
      <c r="AR11" s="667"/>
      <c r="AS11" s="667"/>
      <c r="AT11" s="667"/>
      <c r="AU11" s="667"/>
      <c r="AV11" s="668" t="s">
        <v>551</v>
      </c>
      <c r="AX11" s="667"/>
      <c r="AY11" s="667"/>
      <c r="AZ11" s="667"/>
      <c r="BA11" s="667"/>
      <c r="BB11" s="668" t="s">
        <v>551</v>
      </c>
      <c r="BD11" s="667"/>
      <c r="BE11" s="667"/>
      <c r="BF11" s="667"/>
      <c r="BG11" s="667"/>
      <c r="BH11" s="668" t="s">
        <v>551</v>
      </c>
      <c r="BJ11" s="667"/>
      <c r="BK11" s="667"/>
      <c r="BL11" s="667"/>
      <c r="BM11" s="667"/>
      <c r="BN11" s="668" t="s">
        <v>551</v>
      </c>
      <c r="BP11" s="667"/>
      <c r="BQ11" s="667"/>
      <c r="BR11" s="667"/>
      <c r="BS11" s="667"/>
      <c r="BT11" s="668" t="s">
        <v>551</v>
      </c>
      <c r="BV11" s="667"/>
      <c r="BW11" s="667"/>
      <c r="BX11" s="667"/>
      <c r="BY11" s="667"/>
      <c r="BZ11" s="668" t="s">
        <v>551</v>
      </c>
      <c r="CB11" s="667"/>
      <c r="CC11" s="667"/>
      <c r="CD11" s="667"/>
      <c r="CE11" s="667"/>
      <c r="CF11" s="668" t="s">
        <v>551</v>
      </c>
      <c r="CH11" s="667"/>
      <c r="CI11" s="667"/>
      <c r="CJ11" s="667"/>
      <c r="CK11" s="667"/>
      <c r="CL11" s="668" t="s">
        <v>551</v>
      </c>
      <c r="CN11" s="667"/>
      <c r="CO11" s="667"/>
      <c r="CP11" s="667"/>
      <c r="CQ11" s="667"/>
      <c r="CR11" s="668" t="s">
        <v>551</v>
      </c>
      <c r="CT11" s="667"/>
      <c r="CU11" s="667"/>
      <c r="CV11" s="667"/>
      <c r="CW11" s="667"/>
      <c r="CX11" s="668" t="s">
        <v>551</v>
      </c>
      <c r="CZ11" s="667"/>
      <c r="DA11" s="667"/>
      <c r="DB11" s="667"/>
      <c r="DC11" s="667"/>
      <c r="DD11" s="668" t="s">
        <v>551</v>
      </c>
      <c r="DF11" s="667"/>
      <c r="DG11" s="667"/>
      <c r="DH11" s="667"/>
      <c r="DI11" s="667"/>
      <c r="DJ11" s="668" t="s">
        <v>551</v>
      </c>
      <c r="DL11" s="667"/>
      <c r="DM11" s="667"/>
      <c r="DN11" s="667"/>
      <c r="DO11" s="667"/>
      <c r="DP11" s="668" t="s">
        <v>551</v>
      </c>
      <c r="DR11" s="667"/>
      <c r="DS11" s="667"/>
      <c r="DT11" s="667"/>
      <c r="DU11" s="667"/>
      <c r="DV11" s="668" t="s">
        <v>551</v>
      </c>
      <c r="DX11" s="667"/>
      <c r="DY11" s="667"/>
      <c r="DZ11" s="667"/>
      <c r="EA11" s="667"/>
      <c r="EB11" s="668" t="s">
        <v>551</v>
      </c>
      <c r="ED11" s="667"/>
      <c r="EE11" s="667"/>
      <c r="EF11" s="667"/>
      <c r="EG11" s="667"/>
      <c r="EH11" s="667"/>
      <c r="EI11" s="667"/>
      <c r="EJ11" s="667"/>
      <c r="EK11" s="667"/>
      <c r="EL11" s="667"/>
      <c r="EM11" s="668" t="s">
        <v>551</v>
      </c>
      <c r="EO11" s="667"/>
      <c r="EP11" s="667"/>
      <c r="EQ11" s="667"/>
      <c r="ER11" s="667"/>
      <c r="ES11" s="667"/>
      <c r="ET11" s="667"/>
      <c r="EU11" s="667"/>
      <c r="EV11" s="667"/>
      <c r="EW11" s="667"/>
      <c r="EX11" s="668" t="s">
        <v>551</v>
      </c>
      <c r="EZ11" s="667"/>
      <c r="FA11" s="667"/>
      <c r="FB11" s="667"/>
      <c r="FC11" s="667"/>
      <c r="FD11" s="667"/>
      <c r="FE11" s="667"/>
      <c r="FF11" s="667"/>
      <c r="FG11" s="667"/>
      <c r="FH11" s="667"/>
      <c r="FI11" s="668" t="s">
        <v>551</v>
      </c>
      <c r="FK11" s="667"/>
      <c r="FL11" s="667"/>
      <c r="FM11" s="667"/>
      <c r="FN11" s="667"/>
      <c r="FO11" s="667"/>
      <c r="FP11" s="667"/>
      <c r="FQ11" s="667"/>
      <c r="FR11" s="667"/>
      <c r="FS11" s="667"/>
      <c r="FT11" s="668" t="s">
        <v>551</v>
      </c>
      <c r="FV11" s="667"/>
      <c r="FW11" s="667"/>
      <c r="FX11" s="667"/>
      <c r="FY11" s="667"/>
      <c r="FZ11" s="667"/>
      <c r="GA11" s="667"/>
      <c r="GB11" s="667"/>
      <c r="GC11" s="667"/>
      <c r="GD11" s="667"/>
      <c r="GE11" s="668" t="s">
        <v>551</v>
      </c>
      <c r="GG11" s="667"/>
      <c r="GH11" s="667"/>
      <c r="GI11" s="667"/>
      <c r="GJ11" s="667"/>
      <c r="GK11" s="667"/>
      <c r="GL11" s="668" t="s">
        <v>551</v>
      </c>
      <c r="GN11" s="667"/>
      <c r="GO11" s="667"/>
      <c r="GP11" s="667"/>
      <c r="GQ11" s="667"/>
      <c r="GR11" s="667"/>
      <c r="GS11" s="668" t="s">
        <v>551</v>
      </c>
      <c r="GU11" s="667"/>
      <c r="GV11" s="667"/>
      <c r="GW11" s="667"/>
      <c r="GX11" s="667"/>
      <c r="GY11" s="667"/>
      <c r="GZ11" s="668" t="s">
        <v>551</v>
      </c>
      <c r="HB11" s="667"/>
      <c r="HC11" s="667"/>
      <c r="HD11" s="667"/>
      <c r="HE11" s="667"/>
      <c r="HF11" s="667"/>
      <c r="HG11" s="668" t="s">
        <v>551</v>
      </c>
      <c r="HI11" s="667"/>
      <c r="HJ11" s="667"/>
      <c r="HK11" s="667"/>
      <c r="HL11" s="667"/>
      <c r="HM11" s="667"/>
      <c r="HN11" s="668" t="s">
        <v>551</v>
      </c>
      <c r="HP11" s="667"/>
      <c r="HQ11" s="667"/>
      <c r="HR11" s="667"/>
      <c r="HS11" s="667"/>
      <c r="HT11" s="667"/>
      <c r="HU11" s="668" t="s">
        <v>551</v>
      </c>
      <c r="HW11" s="667"/>
      <c r="HX11" s="667"/>
      <c r="HY11" s="667"/>
      <c r="HZ11" s="667"/>
      <c r="IA11" s="667"/>
      <c r="IB11" s="667"/>
      <c r="IC11" s="667"/>
      <c r="ID11" s="667"/>
      <c r="IE11" s="667"/>
      <c r="IF11" s="668" t="s">
        <v>551</v>
      </c>
      <c r="IH11" s="667"/>
      <c r="II11" s="667"/>
      <c r="IJ11" s="667"/>
      <c r="IK11" s="667"/>
      <c r="IL11" s="667"/>
      <c r="IM11" s="667"/>
      <c r="IN11" s="667"/>
      <c r="IO11" s="667"/>
      <c r="IP11" s="667"/>
      <c r="IQ11" s="668" t="s">
        <v>551</v>
      </c>
      <c r="IS11" s="667"/>
      <c r="IT11" s="667"/>
      <c r="IU11" s="667"/>
      <c r="IV11" s="667"/>
      <c r="IW11" s="667"/>
      <c r="IX11" s="667"/>
      <c r="IY11" s="667"/>
      <c r="IZ11" s="667"/>
      <c r="JA11" s="667"/>
      <c r="JB11" s="668" t="s">
        <v>551</v>
      </c>
      <c r="JD11" s="667"/>
      <c r="JE11" s="667"/>
      <c r="JF11" s="667"/>
      <c r="JG11" s="667"/>
      <c r="JH11" s="667"/>
      <c r="JI11" s="667"/>
      <c r="JJ11" s="667"/>
      <c r="JK11" s="667"/>
      <c r="JL11" s="667"/>
      <c r="JM11" s="668" t="s">
        <v>551</v>
      </c>
      <c r="JO11" s="667"/>
      <c r="JP11" s="667"/>
      <c r="JQ11" s="667"/>
      <c r="JR11" s="667"/>
      <c r="JS11" s="667"/>
      <c r="JT11" s="667"/>
      <c r="JU11" s="667"/>
      <c r="JV11" s="667"/>
      <c r="JW11" s="667"/>
      <c r="JX11" s="668" t="s">
        <v>551</v>
      </c>
      <c r="JZ11" s="667"/>
      <c r="KA11" s="667"/>
      <c r="KB11" s="667"/>
      <c r="KC11" s="667"/>
      <c r="KD11" s="667"/>
      <c r="KE11" s="667"/>
      <c r="KF11" s="667"/>
      <c r="KG11" s="667"/>
      <c r="KH11" s="667"/>
      <c r="KI11" s="668" t="s">
        <v>551</v>
      </c>
      <c r="KK11" s="667"/>
      <c r="KL11" s="667"/>
      <c r="KM11" s="667"/>
      <c r="KN11" s="667"/>
      <c r="KO11" s="667"/>
      <c r="KP11" s="667"/>
      <c r="KQ11" s="667"/>
      <c r="KR11" s="667"/>
      <c r="KS11" s="667"/>
      <c r="KT11" s="668" t="s">
        <v>551</v>
      </c>
      <c r="KV11" s="667"/>
      <c r="KW11" s="667"/>
      <c r="KX11" s="667"/>
      <c r="KY11" s="667"/>
      <c r="KZ11" s="667"/>
      <c r="LA11" s="667"/>
      <c r="LB11" s="667"/>
      <c r="LC11" s="667"/>
      <c r="LD11" s="667"/>
      <c r="LE11" s="668" t="s">
        <v>551</v>
      </c>
      <c r="LG11" s="667"/>
      <c r="LH11" s="667"/>
      <c r="LI11" s="667"/>
      <c r="LJ11" s="667"/>
      <c r="LK11" s="667"/>
      <c r="LL11" s="667"/>
      <c r="LM11" s="667"/>
      <c r="LN11" s="667"/>
      <c r="LO11" s="667"/>
      <c r="LP11" s="668" t="s">
        <v>551</v>
      </c>
      <c r="LR11" s="667"/>
      <c r="LS11" s="667"/>
      <c r="LT11" s="667"/>
      <c r="LU11" s="667"/>
      <c r="LV11" s="667"/>
      <c r="LW11" s="667"/>
      <c r="LX11" s="667"/>
      <c r="LY11" s="667"/>
      <c r="LZ11" s="667"/>
      <c r="MA11" s="668" t="s">
        <v>551</v>
      </c>
      <c r="MC11" s="667"/>
      <c r="MD11" s="667"/>
      <c r="ME11" s="667"/>
      <c r="MF11" s="667"/>
      <c r="MG11" s="667"/>
      <c r="MH11" s="667"/>
      <c r="MI11" s="667"/>
      <c r="MJ11" s="667"/>
      <c r="MK11" s="667"/>
      <c r="ML11" s="668" t="s">
        <v>551</v>
      </c>
      <c r="MN11" s="667"/>
      <c r="MO11" s="667"/>
      <c r="MP11" s="667"/>
      <c r="MQ11" s="667"/>
      <c r="MR11" s="667"/>
      <c r="MS11" s="667"/>
      <c r="MT11" s="667"/>
      <c r="MU11" s="667"/>
      <c r="MV11" s="667"/>
      <c r="MW11" s="668" t="s">
        <v>551</v>
      </c>
      <c r="MY11" s="667"/>
      <c r="MZ11" s="667"/>
      <c r="NA11" s="667"/>
      <c r="NB11" s="667"/>
      <c r="NC11" s="667"/>
      <c r="ND11" s="667"/>
      <c r="NE11" s="667"/>
      <c r="NF11" s="667"/>
      <c r="NG11" s="667"/>
      <c r="NH11" s="668" t="s">
        <v>551</v>
      </c>
      <c r="NJ11" s="667"/>
      <c r="NK11" s="667"/>
      <c r="NL11" s="667"/>
      <c r="NM11" s="667"/>
      <c r="NN11" s="667"/>
      <c r="NO11" s="667"/>
      <c r="NP11" s="667"/>
      <c r="NQ11" s="667"/>
      <c r="NR11" s="667"/>
      <c r="NS11" s="668" t="s">
        <v>551</v>
      </c>
      <c r="NU11" s="667"/>
      <c r="NV11" s="667"/>
      <c r="NW11" s="667"/>
      <c r="NX11" s="667"/>
      <c r="NY11" s="667"/>
      <c r="NZ11" s="667"/>
      <c r="OA11" s="667"/>
      <c r="OB11" s="667"/>
      <c r="OC11" s="667"/>
      <c r="OD11" s="668" t="s">
        <v>551</v>
      </c>
      <c r="OF11" s="667"/>
      <c r="OG11" s="667"/>
      <c r="OH11" s="667"/>
      <c r="OI11" s="667"/>
      <c r="OJ11" s="667"/>
      <c r="OK11" s="667"/>
      <c r="OL11" s="667"/>
      <c r="OM11" s="667"/>
      <c r="ON11" s="667"/>
      <c r="OO11" s="668" t="s">
        <v>551</v>
      </c>
    </row>
    <row r="12" spans="1:406">
      <c r="A12" s="663" t="str">
        <v xml:space="preserve"> </v>
      </c>
      <c r="B12" s="667" t="s">
        <v>546</v>
      </c>
      <c r="C12" s="667" t="s">
        <v>547</v>
      </c>
      <c r="D12" s="667" t="s">
        <v>547</v>
      </c>
      <c r="E12" s="667" t="s">
        <v>548</v>
      </c>
      <c r="F12" s="668" t="s">
        <v>553</v>
      </c>
      <c r="G12" s="663"/>
      <c r="H12" s="667"/>
      <c r="I12" s="667"/>
      <c r="J12" s="667"/>
      <c r="K12" s="667"/>
      <c r="L12" s="668"/>
      <c r="N12" s="667"/>
      <c r="O12" s="667"/>
      <c r="P12" s="667"/>
      <c r="Q12" s="667"/>
      <c r="R12" s="668"/>
      <c r="T12" s="667"/>
      <c r="U12" s="667"/>
      <c r="V12" s="667"/>
      <c r="W12" s="667"/>
      <c r="X12" s="668"/>
      <c r="Z12" s="667"/>
      <c r="AA12" s="667"/>
      <c r="AB12" s="667"/>
      <c r="AC12" s="667"/>
      <c r="AD12" s="668"/>
      <c r="AF12" s="667"/>
      <c r="AG12" s="667"/>
      <c r="AH12" s="667"/>
      <c r="AI12" s="667"/>
      <c r="AJ12" s="668"/>
      <c r="AL12" s="667"/>
      <c r="AM12" s="667"/>
      <c r="AN12" s="667"/>
      <c r="AO12" s="667"/>
      <c r="AP12" s="668"/>
      <c r="AR12" s="667"/>
      <c r="AS12" s="667"/>
      <c r="AT12" s="667"/>
      <c r="AU12" s="667"/>
      <c r="AV12" s="668"/>
      <c r="AX12" s="667"/>
      <c r="AY12" s="667"/>
      <c r="AZ12" s="667"/>
      <c r="BA12" s="667"/>
      <c r="BB12" s="668"/>
      <c r="BD12" s="667"/>
      <c r="BE12" s="667"/>
      <c r="BF12" s="667"/>
      <c r="BG12" s="667"/>
      <c r="BH12" s="668"/>
      <c r="BJ12" s="667"/>
      <c r="BK12" s="667"/>
      <c r="BL12" s="667"/>
      <c r="BM12" s="667"/>
      <c r="BN12" s="668"/>
      <c r="BP12" s="667"/>
      <c r="BQ12" s="667"/>
      <c r="BR12" s="667"/>
      <c r="BS12" s="667"/>
      <c r="BT12" s="668"/>
      <c r="BV12" s="667"/>
      <c r="BW12" s="667"/>
      <c r="BX12" s="667"/>
      <c r="BY12" s="667"/>
      <c r="BZ12" s="668"/>
      <c r="CB12" s="667"/>
      <c r="CC12" s="667"/>
      <c r="CD12" s="667"/>
      <c r="CE12" s="667"/>
      <c r="CF12" s="668"/>
      <c r="CH12" s="667"/>
      <c r="CI12" s="667"/>
      <c r="CJ12" s="667"/>
      <c r="CK12" s="667"/>
      <c r="CL12" s="668"/>
      <c r="CN12" s="667"/>
      <c r="CO12" s="667"/>
      <c r="CP12" s="667"/>
      <c r="CQ12" s="667"/>
      <c r="CR12" s="668"/>
      <c r="CT12" s="667"/>
      <c r="CU12" s="667"/>
      <c r="CV12" s="667"/>
      <c r="CW12" s="667"/>
      <c r="CX12" s="668"/>
      <c r="CZ12" s="667"/>
      <c r="DA12" s="667"/>
      <c r="DB12" s="667"/>
      <c r="DC12" s="667"/>
      <c r="DD12" s="668"/>
      <c r="DF12" s="667"/>
      <c r="DG12" s="667"/>
      <c r="DH12" s="667"/>
      <c r="DI12" s="667"/>
      <c r="DJ12" s="668"/>
      <c r="DL12" s="667"/>
      <c r="DM12" s="667"/>
      <c r="DN12" s="667"/>
      <c r="DO12" s="667"/>
      <c r="DP12" s="668"/>
      <c r="DR12" s="667"/>
      <c r="DS12" s="667"/>
      <c r="DT12" s="667"/>
      <c r="DU12" s="667"/>
      <c r="DV12" s="668"/>
      <c r="DX12" s="667"/>
      <c r="DY12" s="667"/>
      <c r="DZ12" s="667"/>
      <c r="EA12" s="667"/>
      <c r="EB12" s="668"/>
      <c r="ED12" s="667"/>
      <c r="EE12" s="667"/>
      <c r="EF12" s="667"/>
      <c r="EG12" s="667"/>
      <c r="EH12" s="667"/>
      <c r="EI12" s="667"/>
      <c r="EJ12" s="667"/>
      <c r="EK12" s="667"/>
      <c r="EL12" s="667"/>
      <c r="EM12" s="668"/>
      <c r="EO12" s="667"/>
      <c r="EP12" s="667"/>
      <c r="EQ12" s="667"/>
      <c r="ER12" s="667"/>
      <c r="ES12" s="667"/>
      <c r="ET12" s="667"/>
      <c r="EU12" s="667"/>
      <c r="EV12" s="667"/>
      <c r="EW12" s="667"/>
      <c r="EX12" s="668"/>
      <c r="EZ12" s="667"/>
      <c r="FA12" s="667"/>
      <c r="FB12" s="667"/>
      <c r="FC12" s="667"/>
      <c r="FD12" s="667"/>
      <c r="FE12" s="667"/>
      <c r="FF12" s="667"/>
      <c r="FG12" s="667"/>
      <c r="FH12" s="667"/>
      <c r="FI12" s="668"/>
      <c r="FK12" s="667"/>
      <c r="FL12" s="667"/>
      <c r="FM12" s="667"/>
      <c r="FN12" s="667"/>
      <c r="FO12" s="667"/>
      <c r="FP12" s="667"/>
      <c r="FQ12" s="667"/>
      <c r="FR12" s="667"/>
      <c r="FS12" s="667"/>
      <c r="FT12" s="668"/>
      <c r="FV12" s="667"/>
      <c r="FW12" s="667"/>
      <c r="FX12" s="667"/>
      <c r="FY12" s="667"/>
      <c r="FZ12" s="667"/>
      <c r="GA12" s="667"/>
      <c r="GB12" s="667"/>
      <c r="GC12" s="667"/>
      <c r="GD12" s="667"/>
      <c r="GE12" s="668"/>
      <c r="GG12" s="667"/>
      <c r="GH12" s="667"/>
      <c r="GI12" s="667"/>
      <c r="GJ12" s="667"/>
      <c r="GK12" s="667"/>
      <c r="GL12" s="668"/>
      <c r="GN12" s="667"/>
      <c r="GO12" s="667"/>
      <c r="GP12" s="667"/>
      <c r="GQ12" s="667"/>
      <c r="GR12" s="667"/>
      <c r="GS12" s="668"/>
      <c r="GU12" s="667"/>
      <c r="GV12" s="667"/>
      <c r="GW12" s="667"/>
      <c r="GX12" s="667"/>
      <c r="GY12" s="667"/>
      <c r="GZ12" s="668"/>
      <c r="HB12" s="667"/>
      <c r="HC12" s="667"/>
      <c r="HD12" s="667"/>
      <c r="HE12" s="667"/>
      <c r="HF12" s="667"/>
      <c r="HG12" s="668"/>
      <c r="HI12" s="667"/>
      <c r="HJ12" s="667"/>
      <c r="HK12" s="667"/>
      <c r="HL12" s="667"/>
      <c r="HM12" s="667"/>
      <c r="HN12" s="668"/>
      <c r="HP12" s="667"/>
      <c r="HQ12" s="667"/>
      <c r="HR12" s="667"/>
      <c r="HS12" s="667"/>
      <c r="HT12" s="667"/>
      <c r="HU12" s="668"/>
      <c r="HW12" s="667"/>
      <c r="HX12" s="667"/>
      <c r="HY12" s="667"/>
      <c r="HZ12" s="667"/>
      <c r="IA12" s="667"/>
      <c r="IB12" s="667"/>
      <c r="IC12" s="667"/>
      <c r="ID12" s="667"/>
      <c r="IE12" s="667"/>
      <c r="IF12" s="668"/>
      <c r="IH12" s="667"/>
      <c r="II12" s="667"/>
      <c r="IJ12" s="667"/>
      <c r="IK12" s="667"/>
      <c r="IL12" s="667"/>
      <c r="IM12" s="667"/>
      <c r="IN12" s="667"/>
      <c r="IO12" s="667"/>
      <c r="IP12" s="667"/>
      <c r="IQ12" s="668"/>
      <c r="IS12" s="667"/>
      <c r="IT12" s="667"/>
      <c r="IU12" s="667"/>
      <c r="IV12" s="667"/>
      <c r="IW12" s="667"/>
      <c r="IX12" s="667"/>
      <c r="IY12" s="667"/>
      <c r="IZ12" s="667"/>
      <c r="JA12" s="667"/>
      <c r="JB12" s="668"/>
      <c r="JD12" s="667"/>
      <c r="JE12" s="667"/>
      <c r="JF12" s="667"/>
      <c r="JG12" s="667"/>
      <c r="JH12" s="667"/>
      <c r="JI12" s="667"/>
      <c r="JJ12" s="667"/>
      <c r="JK12" s="667"/>
      <c r="JL12" s="667"/>
      <c r="JM12" s="668"/>
      <c r="JO12" s="667"/>
      <c r="JP12" s="667"/>
      <c r="JQ12" s="667"/>
      <c r="JR12" s="667"/>
      <c r="JS12" s="667"/>
      <c r="JT12" s="667"/>
      <c r="JU12" s="667"/>
      <c r="JV12" s="667"/>
      <c r="JW12" s="667"/>
      <c r="JX12" s="668"/>
      <c r="JZ12" s="667"/>
      <c r="KA12" s="667"/>
      <c r="KB12" s="667"/>
      <c r="KC12" s="667"/>
      <c r="KD12" s="667"/>
      <c r="KE12" s="667"/>
      <c r="KF12" s="667"/>
      <c r="KG12" s="667"/>
      <c r="KH12" s="667"/>
      <c r="KI12" s="668"/>
      <c r="KK12" s="667"/>
      <c r="KL12" s="667"/>
      <c r="KM12" s="667"/>
      <c r="KN12" s="667"/>
      <c r="KO12" s="667"/>
      <c r="KP12" s="667"/>
      <c r="KQ12" s="667"/>
      <c r="KR12" s="667"/>
      <c r="KS12" s="667"/>
      <c r="KT12" s="668"/>
      <c r="KV12" s="667"/>
      <c r="KW12" s="667"/>
      <c r="KX12" s="667"/>
      <c r="KY12" s="667"/>
      <c r="KZ12" s="667"/>
      <c r="LA12" s="667"/>
      <c r="LB12" s="667"/>
      <c r="LC12" s="667"/>
      <c r="LD12" s="667"/>
      <c r="LE12" s="668"/>
      <c r="LG12" s="667"/>
      <c r="LH12" s="667"/>
      <c r="LI12" s="667"/>
      <c r="LJ12" s="667"/>
      <c r="LK12" s="667"/>
      <c r="LL12" s="667"/>
      <c r="LM12" s="667"/>
      <c r="LN12" s="667"/>
      <c r="LO12" s="667"/>
      <c r="LP12" s="668"/>
      <c r="LR12" s="667"/>
      <c r="LS12" s="667"/>
      <c r="LT12" s="667"/>
      <c r="LU12" s="667"/>
      <c r="LV12" s="667"/>
      <c r="LW12" s="667"/>
      <c r="LX12" s="667"/>
      <c r="LY12" s="667"/>
      <c r="LZ12" s="667"/>
      <c r="MA12" s="668"/>
      <c r="MC12" s="667"/>
      <c r="MD12" s="667"/>
      <c r="ME12" s="667"/>
      <c r="MF12" s="667"/>
      <c r="MG12" s="667"/>
      <c r="MH12" s="667"/>
      <c r="MI12" s="667"/>
      <c r="MJ12" s="667"/>
      <c r="MK12" s="667"/>
      <c r="ML12" s="668"/>
      <c r="MN12" s="667"/>
      <c r="MO12" s="667"/>
      <c r="MP12" s="667"/>
      <c r="MQ12" s="667"/>
      <c r="MR12" s="667"/>
      <c r="MS12" s="667"/>
      <c r="MT12" s="667"/>
      <c r="MU12" s="667"/>
      <c r="MV12" s="667"/>
      <c r="MW12" s="668"/>
      <c r="MY12" s="667"/>
      <c r="MZ12" s="667"/>
      <c r="NA12" s="667"/>
      <c r="NB12" s="667"/>
      <c r="NC12" s="667"/>
      <c r="ND12" s="667"/>
      <c r="NE12" s="667"/>
      <c r="NF12" s="667"/>
      <c r="NG12" s="667"/>
      <c r="NH12" s="668"/>
      <c r="NJ12" s="667"/>
      <c r="NK12" s="667"/>
      <c r="NL12" s="667"/>
      <c r="NM12" s="667"/>
      <c r="NN12" s="667"/>
      <c r="NO12" s="667"/>
      <c r="NP12" s="667"/>
      <c r="NQ12" s="667"/>
      <c r="NR12" s="667"/>
      <c r="NS12" s="668"/>
      <c r="NU12" s="667"/>
      <c r="NV12" s="667"/>
      <c r="NW12" s="667"/>
      <c r="NX12" s="667"/>
      <c r="NY12" s="667"/>
      <c r="NZ12" s="667"/>
      <c r="OA12" s="667"/>
      <c r="OB12" s="667"/>
      <c r="OC12" s="667"/>
      <c r="OD12" s="668"/>
      <c r="OF12" s="667"/>
      <c r="OG12" s="667"/>
      <c r="OH12" s="667"/>
      <c r="OI12" s="667"/>
      <c r="OJ12" s="667"/>
      <c r="OK12" s="667"/>
      <c r="OL12" s="667"/>
      <c r="OM12" s="667"/>
      <c r="ON12" s="667"/>
      <c r="OO12" s="668"/>
    </row>
    <row r="13" spans="1:406">
      <c r="A13" s="663" t="str">
        <v xml:space="preserve"> </v>
      </c>
      <c r="B13" s="667" t="s">
        <v>546</v>
      </c>
      <c r="C13" s="667" t="s">
        <v>547</v>
      </c>
      <c r="D13" s="667" t="s">
        <v>547</v>
      </c>
      <c r="E13" s="667" t="s">
        <v>548</v>
      </c>
      <c r="F13" s="668" t="s">
        <v>551</v>
      </c>
      <c r="G13" s="663"/>
      <c r="H13" s="667"/>
      <c r="I13" s="667"/>
      <c r="J13" s="667"/>
      <c r="K13" s="667"/>
      <c r="L13" s="668"/>
      <c r="N13" s="667"/>
      <c r="O13" s="667"/>
      <c r="P13" s="667"/>
      <c r="Q13" s="667"/>
      <c r="R13" s="668"/>
      <c r="T13" s="667"/>
      <c r="U13" s="667"/>
      <c r="V13" s="667"/>
      <c r="W13" s="667"/>
      <c r="X13" s="668"/>
      <c r="Z13" s="667"/>
      <c r="AA13" s="667"/>
      <c r="AB13" s="667"/>
      <c r="AC13" s="667"/>
      <c r="AD13" s="668"/>
      <c r="AF13" s="667"/>
      <c r="AG13" s="667"/>
      <c r="AH13" s="667"/>
      <c r="AI13" s="667"/>
      <c r="AJ13" s="668"/>
      <c r="AL13" s="667"/>
      <c r="AM13" s="667"/>
      <c r="AN13" s="667"/>
      <c r="AO13" s="667"/>
      <c r="AP13" s="668"/>
      <c r="AR13" s="667"/>
      <c r="AS13" s="667"/>
      <c r="AT13" s="667"/>
      <c r="AU13" s="667"/>
      <c r="AV13" s="668"/>
      <c r="AX13" s="667"/>
      <c r="AY13" s="667"/>
      <c r="AZ13" s="667"/>
      <c r="BA13" s="667"/>
      <c r="BB13" s="668"/>
      <c r="BD13" s="667"/>
      <c r="BE13" s="667"/>
      <c r="BF13" s="667"/>
      <c r="BG13" s="667"/>
      <c r="BH13" s="668"/>
      <c r="BJ13" s="667"/>
      <c r="BK13" s="667"/>
      <c r="BL13" s="667"/>
      <c r="BM13" s="667"/>
      <c r="BN13" s="668"/>
      <c r="BP13" s="667"/>
      <c r="BQ13" s="667"/>
      <c r="BR13" s="667"/>
      <c r="BS13" s="667"/>
      <c r="BT13" s="668"/>
      <c r="BV13" s="667"/>
      <c r="BW13" s="667"/>
      <c r="BX13" s="667"/>
      <c r="BY13" s="667"/>
      <c r="BZ13" s="668"/>
      <c r="CB13" s="667"/>
      <c r="CC13" s="667"/>
      <c r="CD13" s="667"/>
      <c r="CE13" s="667"/>
      <c r="CF13" s="668"/>
      <c r="CH13" s="667"/>
      <c r="CI13" s="667"/>
      <c r="CJ13" s="667"/>
      <c r="CK13" s="667"/>
      <c r="CL13" s="668"/>
      <c r="CN13" s="667"/>
      <c r="CO13" s="667"/>
      <c r="CP13" s="667"/>
      <c r="CQ13" s="667"/>
      <c r="CR13" s="668"/>
      <c r="CT13" s="667"/>
      <c r="CU13" s="667"/>
      <c r="CV13" s="667"/>
      <c r="CW13" s="667"/>
      <c r="CX13" s="668"/>
      <c r="CZ13" s="667"/>
      <c r="DA13" s="667"/>
      <c r="DB13" s="667"/>
      <c r="DC13" s="667"/>
      <c r="DD13" s="668"/>
      <c r="DF13" s="667"/>
      <c r="DG13" s="667"/>
      <c r="DH13" s="667"/>
      <c r="DI13" s="667"/>
      <c r="DJ13" s="668"/>
      <c r="DL13" s="667"/>
      <c r="DM13" s="667"/>
      <c r="DN13" s="667"/>
      <c r="DO13" s="667"/>
      <c r="DP13" s="668"/>
      <c r="DR13" s="667"/>
      <c r="DS13" s="667"/>
      <c r="DT13" s="667"/>
      <c r="DU13" s="667"/>
      <c r="DV13" s="668"/>
      <c r="DX13" s="667"/>
      <c r="DY13" s="667"/>
      <c r="DZ13" s="667"/>
      <c r="EA13" s="667"/>
      <c r="EB13" s="668"/>
      <c r="ED13" s="667"/>
      <c r="EE13" s="667"/>
      <c r="EF13" s="667"/>
      <c r="EG13" s="667"/>
      <c r="EH13" s="667"/>
      <c r="EI13" s="667"/>
      <c r="EJ13" s="667"/>
      <c r="EK13" s="667"/>
      <c r="EL13" s="667"/>
      <c r="EM13" s="668"/>
      <c r="EO13" s="667"/>
      <c r="EP13" s="667"/>
      <c r="EQ13" s="667"/>
      <c r="ER13" s="667"/>
      <c r="ES13" s="667"/>
      <c r="ET13" s="667"/>
      <c r="EU13" s="667"/>
      <c r="EV13" s="667"/>
      <c r="EW13" s="667"/>
      <c r="EX13" s="668"/>
      <c r="EZ13" s="667"/>
      <c r="FA13" s="667"/>
      <c r="FB13" s="667"/>
      <c r="FC13" s="667"/>
      <c r="FD13" s="667"/>
      <c r="FE13" s="667"/>
      <c r="FF13" s="667"/>
      <c r="FG13" s="667"/>
      <c r="FH13" s="667"/>
      <c r="FI13" s="668"/>
      <c r="FK13" s="667"/>
      <c r="FL13" s="667"/>
      <c r="FM13" s="667"/>
      <c r="FN13" s="667"/>
      <c r="FO13" s="667"/>
      <c r="FP13" s="667"/>
      <c r="FQ13" s="667"/>
      <c r="FR13" s="667"/>
      <c r="FS13" s="667"/>
      <c r="FT13" s="668"/>
      <c r="FV13" s="667"/>
      <c r="FW13" s="667"/>
      <c r="FX13" s="667"/>
      <c r="FY13" s="667"/>
      <c r="FZ13" s="667"/>
      <c r="GA13" s="667"/>
      <c r="GB13" s="667"/>
      <c r="GC13" s="667"/>
      <c r="GD13" s="667"/>
      <c r="GE13" s="668"/>
      <c r="GG13" s="667"/>
      <c r="GH13" s="667"/>
      <c r="GI13" s="667"/>
      <c r="GJ13" s="667"/>
      <c r="GK13" s="667"/>
      <c r="GL13" s="668"/>
      <c r="GN13" s="667"/>
      <c r="GO13" s="667"/>
      <c r="GP13" s="667"/>
      <c r="GQ13" s="667"/>
      <c r="GR13" s="667"/>
      <c r="GS13" s="668"/>
      <c r="GU13" s="667"/>
      <c r="GV13" s="667"/>
      <c r="GW13" s="667"/>
      <c r="GX13" s="667"/>
      <c r="GY13" s="667"/>
      <c r="GZ13" s="668"/>
      <c r="HB13" s="667"/>
      <c r="HC13" s="667"/>
      <c r="HD13" s="667"/>
      <c r="HE13" s="667"/>
      <c r="HF13" s="667"/>
      <c r="HG13" s="668"/>
      <c r="HI13" s="667"/>
      <c r="HJ13" s="667"/>
      <c r="HK13" s="667"/>
      <c r="HL13" s="667"/>
      <c r="HM13" s="667"/>
      <c r="HN13" s="668"/>
      <c r="HP13" s="667"/>
      <c r="HQ13" s="667"/>
      <c r="HR13" s="667"/>
      <c r="HS13" s="667"/>
      <c r="HT13" s="667"/>
      <c r="HU13" s="668"/>
      <c r="HW13" s="667"/>
      <c r="HX13" s="667"/>
      <c r="HY13" s="667"/>
      <c r="HZ13" s="667"/>
      <c r="IA13" s="667"/>
      <c r="IB13" s="667"/>
      <c r="IC13" s="667"/>
      <c r="ID13" s="667"/>
      <c r="IE13" s="667"/>
      <c r="IF13" s="668"/>
      <c r="IH13" s="667"/>
      <c r="II13" s="667"/>
      <c r="IJ13" s="667"/>
      <c r="IK13" s="667"/>
      <c r="IL13" s="667"/>
      <c r="IM13" s="667"/>
      <c r="IN13" s="667"/>
      <c r="IO13" s="667"/>
      <c r="IP13" s="667"/>
      <c r="IQ13" s="668"/>
      <c r="IS13" s="667"/>
      <c r="IT13" s="667"/>
      <c r="IU13" s="667"/>
      <c r="IV13" s="667"/>
      <c r="IW13" s="667"/>
      <c r="IX13" s="667"/>
      <c r="IY13" s="667"/>
      <c r="IZ13" s="667"/>
      <c r="JA13" s="667"/>
      <c r="JB13" s="668"/>
      <c r="JD13" s="667"/>
      <c r="JE13" s="667"/>
      <c r="JF13" s="667"/>
      <c r="JG13" s="667"/>
      <c r="JH13" s="667"/>
      <c r="JI13" s="667"/>
      <c r="JJ13" s="667"/>
      <c r="JK13" s="667"/>
      <c r="JL13" s="667"/>
      <c r="JM13" s="668"/>
      <c r="JO13" s="667"/>
      <c r="JP13" s="667"/>
      <c r="JQ13" s="667"/>
      <c r="JR13" s="667"/>
      <c r="JS13" s="667"/>
      <c r="JT13" s="667"/>
      <c r="JU13" s="667"/>
      <c r="JV13" s="667"/>
      <c r="JW13" s="667"/>
      <c r="JX13" s="668"/>
      <c r="JZ13" s="667"/>
      <c r="KA13" s="667"/>
      <c r="KB13" s="667"/>
      <c r="KC13" s="667"/>
      <c r="KD13" s="667"/>
      <c r="KE13" s="667"/>
      <c r="KF13" s="667"/>
      <c r="KG13" s="667"/>
      <c r="KH13" s="667"/>
      <c r="KI13" s="668"/>
      <c r="KK13" s="667"/>
      <c r="KL13" s="667"/>
      <c r="KM13" s="667"/>
      <c r="KN13" s="667"/>
      <c r="KO13" s="667"/>
      <c r="KP13" s="667"/>
      <c r="KQ13" s="667"/>
      <c r="KR13" s="667"/>
      <c r="KS13" s="667"/>
      <c r="KT13" s="668"/>
      <c r="KV13" s="667"/>
      <c r="KW13" s="667"/>
      <c r="KX13" s="667"/>
      <c r="KY13" s="667"/>
      <c r="KZ13" s="667"/>
      <c r="LA13" s="667"/>
      <c r="LB13" s="667"/>
      <c r="LC13" s="667"/>
      <c r="LD13" s="667"/>
      <c r="LE13" s="668"/>
      <c r="LG13" s="667"/>
      <c r="LH13" s="667"/>
      <c r="LI13" s="667"/>
      <c r="LJ13" s="667"/>
      <c r="LK13" s="667"/>
      <c r="LL13" s="667"/>
      <c r="LM13" s="667"/>
      <c r="LN13" s="667"/>
      <c r="LO13" s="667"/>
      <c r="LP13" s="668"/>
      <c r="LR13" s="667"/>
      <c r="LS13" s="667"/>
      <c r="LT13" s="667"/>
      <c r="LU13" s="667"/>
      <c r="LV13" s="667"/>
      <c r="LW13" s="667"/>
      <c r="LX13" s="667"/>
      <c r="LY13" s="667"/>
      <c r="LZ13" s="667"/>
      <c r="MA13" s="668"/>
      <c r="MC13" s="667"/>
      <c r="MD13" s="667"/>
      <c r="ME13" s="667"/>
      <c r="MF13" s="667"/>
      <c r="MG13" s="667"/>
      <c r="MH13" s="667"/>
      <c r="MI13" s="667"/>
      <c r="MJ13" s="667"/>
      <c r="MK13" s="667"/>
      <c r="ML13" s="668"/>
      <c r="MN13" s="667"/>
      <c r="MO13" s="667"/>
      <c r="MP13" s="667"/>
      <c r="MQ13" s="667"/>
      <c r="MR13" s="667"/>
      <c r="MS13" s="667"/>
      <c r="MT13" s="667"/>
      <c r="MU13" s="667"/>
      <c r="MV13" s="667"/>
      <c r="MW13" s="668"/>
      <c r="MY13" s="667"/>
      <c r="MZ13" s="667"/>
      <c r="NA13" s="667"/>
      <c r="NB13" s="667"/>
      <c r="NC13" s="667"/>
      <c r="ND13" s="667"/>
      <c r="NE13" s="667"/>
      <c r="NF13" s="667"/>
      <c r="NG13" s="667"/>
      <c r="NH13" s="668"/>
      <c r="NJ13" s="667"/>
      <c r="NK13" s="667"/>
      <c r="NL13" s="667"/>
      <c r="NM13" s="667"/>
      <c r="NN13" s="667"/>
      <c r="NO13" s="667"/>
      <c r="NP13" s="667"/>
      <c r="NQ13" s="667"/>
      <c r="NR13" s="667"/>
      <c r="NS13" s="668"/>
      <c r="NU13" s="667"/>
      <c r="NV13" s="667"/>
      <c r="NW13" s="667"/>
      <c r="NX13" s="667"/>
      <c r="NY13" s="667"/>
      <c r="NZ13" s="667"/>
      <c r="OA13" s="667"/>
      <c r="OB13" s="667"/>
      <c r="OC13" s="667"/>
      <c r="OD13" s="668"/>
      <c r="OF13" s="667"/>
      <c r="OG13" s="667"/>
      <c r="OH13" s="667"/>
      <c r="OI13" s="667"/>
      <c r="OJ13" s="667"/>
      <c r="OK13" s="667"/>
      <c r="OL13" s="667"/>
      <c r="OM13" s="667"/>
      <c r="ON13" s="667"/>
      <c r="OO13" s="668"/>
    </row>
    <row r="14" spans="1:406">
      <c r="A14" s="663" t="str">
        <v xml:space="preserve"> </v>
      </c>
      <c r="B14" s="667" t="s">
        <v>546</v>
      </c>
      <c r="C14" s="667" t="s">
        <v>547</v>
      </c>
      <c r="D14" s="667" t="s">
        <v>547</v>
      </c>
      <c r="E14" s="667" t="s">
        <v>548</v>
      </c>
      <c r="F14" s="668" t="s">
        <v>549</v>
      </c>
      <c r="G14" s="663"/>
      <c r="H14" s="667"/>
      <c r="I14" s="667"/>
      <c r="J14" s="667"/>
      <c r="K14" s="667"/>
      <c r="L14" s="668"/>
      <c r="N14" s="667"/>
      <c r="O14" s="667"/>
      <c r="P14" s="667"/>
      <c r="Q14" s="667"/>
      <c r="R14" s="668"/>
      <c r="T14" s="667"/>
      <c r="U14" s="667"/>
      <c r="V14" s="667"/>
      <c r="W14" s="667"/>
      <c r="X14" s="668"/>
      <c r="Z14" s="667"/>
      <c r="AA14" s="667"/>
      <c r="AB14" s="667"/>
      <c r="AC14" s="667"/>
      <c r="AD14" s="668"/>
      <c r="AF14" s="667"/>
      <c r="AG14" s="667"/>
      <c r="AH14" s="667"/>
      <c r="AI14" s="667"/>
      <c r="AJ14" s="668"/>
      <c r="AL14" s="667"/>
      <c r="AM14" s="667"/>
      <c r="AN14" s="667"/>
      <c r="AO14" s="667"/>
      <c r="AP14" s="668"/>
      <c r="AR14" s="667"/>
      <c r="AS14" s="667"/>
      <c r="AT14" s="667"/>
      <c r="AU14" s="667"/>
      <c r="AV14" s="668"/>
      <c r="AX14" s="667"/>
      <c r="AY14" s="667"/>
      <c r="AZ14" s="667"/>
      <c r="BA14" s="667"/>
      <c r="BB14" s="668"/>
      <c r="BD14" s="667"/>
      <c r="BE14" s="667"/>
      <c r="BF14" s="667"/>
      <c r="BG14" s="667"/>
      <c r="BH14" s="668"/>
      <c r="BJ14" s="667"/>
      <c r="BK14" s="667"/>
      <c r="BL14" s="667"/>
      <c r="BM14" s="667"/>
      <c r="BN14" s="668"/>
      <c r="BP14" s="667"/>
      <c r="BQ14" s="667"/>
      <c r="BR14" s="667"/>
      <c r="BS14" s="667"/>
      <c r="BT14" s="668"/>
      <c r="BV14" s="667"/>
      <c r="BW14" s="667"/>
      <c r="BX14" s="667"/>
      <c r="BY14" s="667"/>
      <c r="BZ14" s="668"/>
      <c r="CB14" s="667"/>
      <c r="CC14" s="667"/>
      <c r="CD14" s="667"/>
      <c r="CE14" s="667"/>
      <c r="CF14" s="668"/>
      <c r="CH14" s="667"/>
      <c r="CI14" s="667"/>
      <c r="CJ14" s="667"/>
      <c r="CK14" s="667"/>
      <c r="CL14" s="668"/>
      <c r="CN14" s="667"/>
      <c r="CO14" s="667"/>
      <c r="CP14" s="667"/>
      <c r="CQ14" s="667"/>
      <c r="CR14" s="668"/>
      <c r="CT14" s="667"/>
      <c r="CU14" s="667"/>
      <c r="CV14" s="667"/>
      <c r="CW14" s="667"/>
      <c r="CX14" s="668"/>
      <c r="CZ14" s="667"/>
      <c r="DA14" s="667"/>
      <c r="DB14" s="667"/>
      <c r="DC14" s="667"/>
      <c r="DD14" s="668"/>
      <c r="DF14" s="667"/>
      <c r="DG14" s="667"/>
      <c r="DH14" s="667"/>
      <c r="DI14" s="667"/>
      <c r="DJ14" s="668"/>
      <c r="DL14" s="667"/>
      <c r="DM14" s="667"/>
      <c r="DN14" s="667"/>
      <c r="DO14" s="667"/>
      <c r="DP14" s="668"/>
      <c r="DR14" s="667"/>
      <c r="DS14" s="667"/>
      <c r="DT14" s="667"/>
      <c r="DU14" s="667"/>
      <c r="DV14" s="668"/>
      <c r="DX14" s="667"/>
      <c r="DY14" s="667"/>
      <c r="DZ14" s="667"/>
      <c r="EA14" s="667"/>
      <c r="EB14" s="668"/>
      <c r="ED14" s="667"/>
      <c r="EE14" s="667"/>
      <c r="EF14" s="667"/>
      <c r="EG14" s="667"/>
      <c r="EH14" s="667"/>
      <c r="EI14" s="667"/>
      <c r="EJ14" s="667"/>
      <c r="EK14" s="667"/>
      <c r="EL14" s="667"/>
      <c r="EM14" s="668"/>
      <c r="EO14" s="667"/>
      <c r="EP14" s="667"/>
      <c r="EQ14" s="667"/>
      <c r="ER14" s="667"/>
      <c r="ES14" s="667"/>
      <c r="ET14" s="667"/>
      <c r="EU14" s="667"/>
      <c r="EV14" s="667"/>
      <c r="EW14" s="667"/>
      <c r="EX14" s="668"/>
      <c r="EZ14" s="667"/>
      <c r="FA14" s="667"/>
      <c r="FB14" s="667"/>
      <c r="FC14" s="667"/>
      <c r="FD14" s="667"/>
      <c r="FE14" s="667"/>
      <c r="FF14" s="667"/>
      <c r="FG14" s="667"/>
      <c r="FH14" s="667"/>
      <c r="FI14" s="668"/>
      <c r="FK14" s="667"/>
      <c r="FL14" s="667"/>
      <c r="FM14" s="667"/>
      <c r="FN14" s="667"/>
      <c r="FO14" s="667"/>
      <c r="FP14" s="667"/>
      <c r="FQ14" s="667"/>
      <c r="FR14" s="667"/>
      <c r="FS14" s="667"/>
      <c r="FT14" s="668"/>
      <c r="FV14" s="667"/>
      <c r="FW14" s="667"/>
      <c r="FX14" s="667"/>
      <c r="FY14" s="667"/>
      <c r="FZ14" s="667"/>
      <c r="GA14" s="667"/>
      <c r="GB14" s="667"/>
      <c r="GC14" s="667"/>
      <c r="GD14" s="667"/>
      <c r="GE14" s="668"/>
      <c r="GG14" s="667"/>
      <c r="GH14" s="667"/>
      <c r="GI14" s="667"/>
      <c r="GJ14" s="667"/>
      <c r="GK14" s="667"/>
      <c r="GL14" s="668"/>
      <c r="GN14" s="667"/>
      <c r="GO14" s="667"/>
      <c r="GP14" s="667"/>
      <c r="GQ14" s="667"/>
      <c r="GR14" s="667"/>
      <c r="GS14" s="668"/>
      <c r="GU14" s="667"/>
      <c r="GV14" s="667"/>
      <c r="GW14" s="667"/>
      <c r="GX14" s="667"/>
      <c r="GY14" s="667"/>
      <c r="GZ14" s="668"/>
      <c r="HB14" s="667"/>
      <c r="HC14" s="667"/>
      <c r="HD14" s="667"/>
      <c r="HE14" s="667"/>
      <c r="HF14" s="667"/>
      <c r="HG14" s="668"/>
      <c r="HI14" s="667"/>
      <c r="HJ14" s="667"/>
      <c r="HK14" s="667"/>
      <c r="HL14" s="667"/>
      <c r="HM14" s="667"/>
      <c r="HN14" s="668"/>
      <c r="HP14" s="667"/>
      <c r="HQ14" s="667"/>
      <c r="HR14" s="667"/>
      <c r="HS14" s="667"/>
      <c r="HT14" s="667"/>
      <c r="HU14" s="668"/>
      <c r="HW14" s="667"/>
      <c r="HX14" s="667"/>
      <c r="HY14" s="667"/>
      <c r="HZ14" s="667"/>
      <c r="IA14" s="667"/>
      <c r="IB14" s="667"/>
      <c r="IC14" s="667"/>
      <c r="ID14" s="667"/>
      <c r="IE14" s="667"/>
      <c r="IF14" s="668"/>
      <c r="IH14" s="667"/>
      <c r="II14" s="667"/>
      <c r="IJ14" s="667"/>
      <c r="IK14" s="667"/>
      <c r="IL14" s="667"/>
      <c r="IM14" s="667"/>
      <c r="IN14" s="667"/>
      <c r="IO14" s="667"/>
      <c r="IP14" s="667"/>
      <c r="IQ14" s="668"/>
      <c r="IS14" s="667"/>
      <c r="IT14" s="667"/>
      <c r="IU14" s="667"/>
      <c r="IV14" s="667"/>
      <c r="IW14" s="667"/>
      <c r="IX14" s="667"/>
      <c r="IY14" s="667"/>
      <c r="IZ14" s="667"/>
      <c r="JA14" s="667"/>
      <c r="JB14" s="668"/>
      <c r="JD14" s="667"/>
      <c r="JE14" s="667"/>
      <c r="JF14" s="667"/>
      <c r="JG14" s="667"/>
      <c r="JH14" s="667"/>
      <c r="JI14" s="667"/>
      <c r="JJ14" s="667"/>
      <c r="JK14" s="667"/>
      <c r="JL14" s="667"/>
      <c r="JM14" s="668"/>
      <c r="JO14" s="667"/>
      <c r="JP14" s="667"/>
      <c r="JQ14" s="667"/>
      <c r="JR14" s="667"/>
      <c r="JS14" s="667"/>
      <c r="JT14" s="667"/>
      <c r="JU14" s="667"/>
      <c r="JV14" s="667"/>
      <c r="JW14" s="667"/>
      <c r="JX14" s="668"/>
      <c r="JZ14" s="667"/>
      <c r="KA14" s="667"/>
      <c r="KB14" s="667"/>
      <c r="KC14" s="667"/>
      <c r="KD14" s="667"/>
      <c r="KE14" s="667"/>
      <c r="KF14" s="667"/>
      <c r="KG14" s="667"/>
      <c r="KH14" s="667"/>
      <c r="KI14" s="668"/>
      <c r="KK14" s="667"/>
      <c r="KL14" s="667"/>
      <c r="KM14" s="667"/>
      <c r="KN14" s="667"/>
      <c r="KO14" s="667"/>
      <c r="KP14" s="667"/>
      <c r="KQ14" s="667"/>
      <c r="KR14" s="667"/>
      <c r="KS14" s="667"/>
      <c r="KT14" s="668"/>
      <c r="KV14" s="667"/>
      <c r="KW14" s="667"/>
      <c r="KX14" s="667"/>
      <c r="KY14" s="667"/>
      <c r="KZ14" s="667"/>
      <c r="LA14" s="667"/>
      <c r="LB14" s="667"/>
      <c r="LC14" s="667"/>
      <c r="LD14" s="667"/>
      <c r="LE14" s="668"/>
      <c r="LG14" s="667"/>
      <c r="LH14" s="667"/>
      <c r="LI14" s="667"/>
      <c r="LJ14" s="667"/>
      <c r="LK14" s="667"/>
      <c r="LL14" s="667"/>
      <c r="LM14" s="667"/>
      <c r="LN14" s="667"/>
      <c r="LO14" s="667"/>
      <c r="LP14" s="668"/>
      <c r="LR14" s="667"/>
      <c r="LS14" s="667"/>
      <c r="LT14" s="667"/>
      <c r="LU14" s="667"/>
      <c r="LV14" s="667"/>
      <c r="LW14" s="667"/>
      <c r="LX14" s="667"/>
      <c r="LY14" s="667"/>
      <c r="LZ14" s="667"/>
      <c r="MA14" s="668"/>
      <c r="MC14" s="667"/>
      <c r="MD14" s="667"/>
      <c r="ME14" s="667"/>
      <c r="MF14" s="667"/>
      <c r="MG14" s="667"/>
      <c r="MH14" s="667"/>
      <c r="MI14" s="667"/>
      <c r="MJ14" s="667"/>
      <c r="MK14" s="667"/>
      <c r="ML14" s="668"/>
      <c r="MN14" s="667"/>
      <c r="MO14" s="667"/>
      <c r="MP14" s="667"/>
      <c r="MQ14" s="667"/>
      <c r="MR14" s="667"/>
      <c r="MS14" s="667"/>
      <c r="MT14" s="667"/>
      <c r="MU14" s="667"/>
      <c r="MV14" s="667"/>
      <c r="MW14" s="668"/>
      <c r="MY14" s="667"/>
      <c r="MZ14" s="667"/>
      <c r="NA14" s="667"/>
      <c r="NB14" s="667"/>
      <c r="NC14" s="667"/>
      <c r="ND14" s="667"/>
      <c r="NE14" s="667"/>
      <c r="NF14" s="667"/>
      <c r="NG14" s="667"/>
      <c r="NH14" s="668"/>
      <c r="NJ14" s="667"/>
      <c r="NK14" s="667"/>
      <c r="NL14" s="667"/>
      <c r="NM14" s="667"/>
      <c r="NN14" s="667"/>
      <c r="NO14" s="667"/>
      <c r="NP14" s="667"/>
      <c r="NQ14" s="667"/>
      <c r="NR14" s="667"/>
      <c r="NS14" s="668"/>
      <c r="NU14" s="667"/>
      <c r="NV14" s="667"/>
      <c r="NW14" s="667"/>
      <c r="NX14" s="667"/>
      <c r="NY14" s="667"/>
      <c r="NZ14" s="667"/>
      <c r="OA14" s="667"/>
      <c r="OB14" s="667"/>
      <c r="OC14" s="667"/>
      <c r="OD14" s="668"/>
      <c r="OF14" s="667"/>
      <c r="OG14" s="667"/>
      <c r="OH14" s="667"/>
      <c r="OI14" s="667"/>
      <c r="OJ14" s="667"/>
      <c r="OK14" s="667"/>
      <c r="OL14" s="667"/>
      <c r="OM14" s="667"/>
      <c r="ON14" s="667"/>
      <c r="OO14" s="668"/>
    </row>
    <row r="15" spans="1:406">
      <c r="A15" s="663" t="str">
        <v xml:space="preserve"> </v>
      </c>
      <c r="B15" s="667" t="s">
        <v>546</v>
      </c>
      <c r="C15" s="667" t="s">
        <v>547</v>
      </c>
      <c r="D15" s="667" t="s">
        <v>547</v>
      </c>
      <c r="E15" s="667" t="s">
        <v>548</v>
      </c>
      <c r="F15" s="668" t="s">
        <v>553</v>
      </c>
      <c r="G15" s="663"/>
      <c r="H15" s="667"/>
      <c r="I15" s="667"/>
      <c r="J15" s="667"/>
      <c r="K15" s="667"/>
      <c r="L15" s="668"/>
      <c r="N15" s="667"/>
      <c r="O15" s="667"/>
      <c r="P15" s="667"/>
      <c r="Q15" s="667"/>
      <c r="R15" s="668"/>
      <c r="T15" s="667"/>
      <c r="U15" s="667"/>
      <c r="V15" s="667"/>
      <c r="W15" s="667"/>
      <c r="X15" s="668"/>
      <c r="Z15" s="667"/>
      <c r="AA15" s="667"/>
      <c r="AB15" s="667"/>
      <c r="AC15" s="667"/>
      <c r="AD15" s="668"/>
      <c r="AF15" s="667"/>
      <c r="AG15" s="667"/>
      <c r="AH15" s="667"/>
      <c r="AI15" s="667"/>
      <c r="AJ15" s="668"/>
      <c r="AL15" s="667"/>
      <c r="AM15" s="667"/>
      <c r="AN15" s="667"/>
      <c r="AO15" s="667"/>
      <c r="AP15" s="668"/>
      <c r="AR15" s="667"/>
      <c r="AS15" s="667"/>
      <c r="AT15" s="667"/>
      <c r="AU15" s="667"/>
      <c r="AV15" s="668"/>
      <c r="AX15" s="667"/>
      <c r="AY15" s="667"/>
      <c r="AZ15" s="667"/>
      <c r="BA15" s="667"/>
      <c r="BB15" s="668"/>
      <c r="BD15" s="667"/>
      <c r="BE15" s="667"/>
      <c r="BF15" s="667"/>
      <c r="BG15" s="667"/>
      <c r="BH15" s="668"/>
      <c r="BJ15" s="667"/>
      <c r="BK15" s="667"/>
      <c r="BL15" s="667"/>
      <c r="BM15" s="667"/>
      <c r="BN15" s="668"/>
      <c r="BP15" s="667"/>
      <c r="BQ15" s="667"/>
      <c r="BR15" s="667"/>
      <c r="BS15" s="667"/>
      <c r="BT15" s="668"/>
      <c r="BV15" s="667"/>
      <c r="BW15" s="667"/>
      <c r="BX15" s="667"/>
      <c r="BY15" s="667"/>
      <c r="BZ15" s="668"/>
      <c r="CB15" s="667"/>
      <c r="CC15" s="667"/>
      <c r="CD15" s="667"/>
      <c r="CE15" s="667"/>
      <c r="CF15" s="668"/>
      <c r="CH15" s="667"/>
      <c r="CI15" s="667"/>
      <c r="CJ15" s="667"/>
      <c r="CK15" s="667"/>
      <c r="CL15" s="668"/>
      <c r="CN15" s="667"/>
      <c r="CO15" s="667"/>
      <c r="CP15" s="667"/>
      <c r="CQ15" s="667"/>
      <c r="CR15" s="668"/>
      <c r="CT15" s="667"/>
      <c r="CU15" s="667"/>
      <c r="CV15" s="667"/>
      <c r="CW15" s="667"/>
      <c r="CX15" s="668"/>
      <c r="CZ15" s="667"/>
      <c r="DA15" s="667"/>
      <c r="DB15" s="667"/>
      <c r="DC15" s="667"/>
      <c r="DD15" s="668"/>
      <c r="DF15" s="667"/>
      <c r="DG15" s="667"/>
      <c r="DH15" s="667"/>
      <c r="DI15" s="667"/>
      <c r="DJ15" s="668"/>
      <c r="DL15" s="667"/>
      <c r="DM15" s="667"/>
      <c r="DN15" s="667"/>
      <c r="DO15" s="667"/>
      <c r="DP15" s="668"/>
      <c r="DR15" s="667"/>
      <c r="DS15" s="667"/>
      <c r="DT15" s="667"/>
      <c r="DU15" s="667"/>
      <c r="DV15" s="668"/>
      <c r="DX15" s="667"/>
      <c r="DY15" s="667"/>
      <c r="DZ15" s="667"/>
      <c r="EA15" s="667"/>
      <c r="EB15" s="668"/>
      <c r="ED15" s="667"/>
      <c r="EE15" s="667"/>
      <c r="EF15" s="667"/>
      <c r="EG15" s="667"/>
      <c r="EH15" s="667"/>
      <c r="EI15" s="667"/>
      <c r="EJ15" s="667"/>
      <c r="EK15" s="667"/>
      <c r="EL15" s="667"/>
      <c r="EM15" s="668"/>
      <c r="EO15" s="667"/>
      <c r="EP15" s="667"/>
      <c r="EQ15" s="667"/>
      <c r="ER15" s="667"/>
      <c r="ES15" s="667"/>
      <c r="ET15" s="667"/>
      <c r="EU15" s="667"/>
      <c r="EV15" s="667"/>
      <c r="EW15" s="667"/>
      <c r="EX15" s="668"/>
      <c r="EZ15" s="667"/>
      <c r="FA15" s="667"/>
      <c r="FB15" s="667"/>
      <c r="FC15" s="667"/>
      <c r="FD15" s="667"/>
      <c r="FE15" s="667"/>
      <c r="FF15" s="667"/>
      <c r="FG15" s="667"/>
      <c r="FH15" s="667"/>
      <c r="FI15" s="668"/>
      <c r="FK15" s="667"/>
      <c r="FL15" s="667"/>
      <c r="FM15" s="667"/>
      <c r="FN15" s="667"/>
      <c r="FO15" s="667"/>
      <c r="FP15" s="667"/>
      <c r="FQ15" s="667"/>
      <c r="FR15" s="667"/>
      <c r="FS15" s="667"/>
      <c r="FT15" s="668"/>
      <c r="FV15" s="667"/>
      <c r="FW15" s="667"/>
      <c r="FX15" s="667"/>
      <c r="FY15" s="667"/>
      <c r="FZ15" s="667"/>
      <c r="GA15" s="667"/>
      <c r="GB15" s="667"/>
      <c r="GC15" s="667"/>
      <c r="GD15" s="667"/>
      <c r="GE15" s="668"/>
      <c r="GG15" s="667"/>
      <c r="GH15" s="667"/>
      <c r="GI15" s="667"/>
      <c r="GJ15" s="667"/>
      <c r="GK15" s="667"/>
      <c r="GL15" s="668"/>
      <c r="GN15" s="667"/>
      <c r="GO15" s="667"/>
      <c r="GP15" s="667"/>
      <c r="GQ15" s="667"/>
      <c r="GR15" s="667"/>
      <c r="GS15" s="668"/>
      <c r="GU15" s="667"/>
      <c r="GV15" s="667"/>
      <c r="GW15" s="667"/>
      <c r="GX15" s="667"/>
      <c r="GY15" s="667"/>
      <c r="GZ15" s="668"/>
      <c r="HB15" s="667"/>
      <c r="HC15" s="667"/>
      <c r="HD15" s="667"/>
      <c r="HE15" s="667"/>
      <c r="HF15" s="667"/>
      <c r="HG15" s="668"/>
      <c r="HI15" s="667"/>
      <c r="HJ15" s="667"/>
      <c r="HK15" s="667"/>
      <c r="HL15" s="667"/>
      <c r="HM15" s="667"/>
      <c r="HN15" s="668"/>
      <c r="HP15" s="667"/>
      <c r="HQ15" s="667"/>
      <c r="HR15" s="667"/>
      <c r="HS15" s="667"/>
      <c r="HT15" s="667"/>
      <c r="HU15" s="668"/>
      <c r="HW15" s="667"/>
      <c r="HX15" s="667"/>
      <c r="HY15" s="667"/>
      <c r="HZ15" s="667"/>
      <c r="IA15" s="667"/>
      <c r="IB15" s="667"/>
      <c r="IC15" s="667"/>
      <c r="ID15" s="667"/>
      <c r="IE15" s="667"/>
      <c r="IF15" s="668"/>
      <c r="IH15" s="667"/>
      <c r="II15" s="667"/>
      <c r="IJ15" s="667"/>
      <c r="IK15" s="667"/>
      <c r="IL15" s="667"/>
      <c r="IM15" s="667"/>
      <c r="IN15" s="667"/>
      <c r="IO15" s="667"/>
      <c r="IP15" s="667"/>
      <c r="IQ15" s="668"/>
      <c r="IS15" s="667"/>
      <c r="IT15" s="667"/>
      <c r="IU15" s="667"/>
      <c r="IV15" s="667"/>
      <c r="IW15" s="667"/>
      <c r="IX15" s="667"/>
      <c r="IY15" s="667"/>
      <c r="IZ15" s="667"/>
      <c r="JA15" s="667"/>
      <c r="JB15" s="668"/>
      <c r="JD15" s="667"/>
      <c r="JE15" s="667"/>
      <c r="JF15" s="667"/>
      <c r="JG15" s="667"/>
      <c r="JH15" s="667"/>
      <c r="JI15" s="667"/>
      <c r="JJ15" s="667"/>
      <c r="JK15" s="667"/>
      <c r="JL15" s="667"/>
      <c r="JM15" s="668"/>
      <c r="JO15" s="667"/>
      <c r="JP15" s="667"/>
      <c r="JQ15" s="667"/>
      <c r="JR15" s="667"/>
      <c r="JS15" s="667"/>
      <c r="JT15" s="667"/>
      <c r="JU15" s="667"/>
      <c r="JV15" s="667"/>
      <c r="JW15" s="667"/>
      <c r="JX15" s="668"/>
      <c r="JZ15" s="667"/>
      <c r="KA15" s="667"/>
      <c r="KB15" s="667"/>
      <c r="KC15" s="667"/>
      <c r="KD15" s="667"/>
      <c r="KE15" s="667"/>
      <c r="KF15" s="667"/>
      <c r="KG15" s="667"/>
      <c r="KH15" s="667"/>
      <c r="KI15" s="668"/>
      <c r="KK15" s="667"/>
      <c r="KL15" s="667"/>
      <c r="KM15" s="667"/>
      <c r="KN15" s="667"/>
      <c r="KO15" s="667"/>
      <c r="KP15" s="667"/>
      <c r="KQ15" s="667"/>
      <c r="KR15" s="667"/>
      <c r="KS15" s="667"/>
      <c r="KT15" s="668"/>
      <c r="KV15" s="667"/>
      <c r="KW15" s="667"/>
      <c r="KX15" s="667"/>
      <c r="KY15" s="667"/>
      <c r="KZ15" s="667"/>
      <c r="LA15" s="667"/>
      <c r="LB15" s="667"/>
      <c r="LC15" s="667"/>
      <c r="LD15" s="667"/>
      <c r="LE15" s="668"/>
      <c r="LG15" s="667"/>
      <c r="LH15" s="667"/>
      <c r="LI15" s="667"/>
      <c r="LJ15" s="667"/>
      <c r="LK15" s="667"/>
      <c r="LL15" s="667"/>
      <c r="LM15" s="667"/>
      <c r="LN15" s="667"/>
      <c r="LO15" s="667"/>
      <c r="LP15" s="668"/>
      <c r="LR15" s="667"/>
      <c r="LS15" s="667"/>
      <c r="LT15" s="667"/>
      <c r="LU15" s="667"/>
      <c r="LV15" s="667"/>
      <c r="LW15" s="667"/>
      <c r="LX15" s="667"/>
      <c r="LY15" s="667"/>
      <c r="LZ15" s="667"/>
      <c r="MA15" s="668"/>
      <c r="MC15" s="667"/>
      <c r="MD15" s="667"/>
      <c r="ME15" s="667"/>
      <c r="MF15" s="667"/>
      <c r="MG15" s="667"/>
      <c r="MH15" s="667"/>
      <c r="MI15" s="667"/>
      <c r="MJ15" s="667"/>
      <c r="MK15" s="667"/>
      <c r="ML15" s="668"/>
      <c r="MN15" s="667"/>
      <c r="MO15" s="667"/>
      <c r="MP15" s="667"/>
      <c r="MQ15" s="667"/>
      <c r="MR15" s="667"/>
      <c r="MS15" s="667"/>
      <c r="MT15" s="667"/>
      <c r="MU15" s="667"/>
      <c r="MV15" s="667"/>
      <c r="MW15" s="668"/>
      <c r="MY15" s="667"/>
      <c r="MZ15" s="667"/>
      <c r="NA15" s="667"/>
      <c r="NB15" s="667"/>
      <c r="NC15" s="667"/>
      <c r="ND15" s="667"/>
      <c r="NE15" s="667"/>
      <c r="NF15" s="667"/>
      <c r="NG15" s="667"/>
      <c r="NH15" s="668"/>
      <c r="NJ15" s="667"/>
      <c r="NK15" s="667"/>
      <c r="NL15" s="667"/>
      <c r="NM15" s="667"/>
      <c r="NN15" s="667"/>
      <c r="NO15" s="667"/>
      <c r="NP15" s="667"/>
      <c r="NQ15" s="667"/>
      <c r="NR15" s="667"/>
      <c r="NS15" s="668"/>
      <c r="NU15" s="667"/>
      <c r="NV15" s="667"/>
      <c r="NW15" s="667"/>
      <c r="NX15" s="667"/>
      <c r="NY15" s="667"/>
      <c r="NZ15" s="667"/>
      <c r="OA15" s="667"/>
      <c r="OB15" s="667"/>
      <c r="OC15" s="667"/>
      <c r="OD15" s="668"/>
      <c r="OF15" s="667"/>
      <c r="OG15" s="667"/>
      <c r="OH15" s="667"/>
      <c r="OI15" s="667"/>
      <c r="OJ15" s="667"/>
      <c r="OK15" s="667"/>
      <c r="OL15" s="667"/>
      <c r="OM15" s="667"/>
      <c r="ON15" s="667"/>
      <c r="OO15" s="668"/>
    </row>
    <row r="16" spans="1:406">
      <c r="A16" s="663" t="str">
        <v xml:space="preserve"> </v>
      </c>
      <c r="B16" s="667" t="s">
        <v>547</v>
      </c>
      <c r="C16" s="667" t="s">
        <v>548</v>
      </c>
      <c r="D16" s="667" t="s">
        <v>548</v>
      </c>
      <c r="E16" s="667" t="s">
        <v>546</v>
      </c>
      <c r="F16" s="668" t="s">
        <v>551</v>
      </c>
      <c r="G16" s="663"/>
      <c r="H16" s="667"/>
      <c r="I16" s="667"/>
      <c r="J16" s="667"/>
      <c r="K16" s="667"/>
      <c r="L16" s="668"/>
      <c r="N16" s="667"/>
      <c r="O16" s="667"/>
      <c r="P16" s="667"/>
      <c r="Q16" s="667"/>
      <c r="R16" s="668"/>
      <c r="T16" s="667"/>
      <c r="U16" s="667"/>
      <c r="V16" s="667"/>
      <c r="W16" s="667"/>
      <c r="X16" s="668"/>
      <c r="Z16" s="667"/>
      <c r="AA16" s="667"/>
      <c r="AB16" s="667"/>
      <c r="AC16" s="667"/>
      <c r="AD16" s="668"/>
      <c r="AF16" s="667"/>
      <c r="AG16" s="667"/>
      <c r="AH16" s="667"/>
      <c r="AI16" s="667"/>
      <c r="AJ16" s="668"/>
      <c r="AL16" s="667"/>
      <c r="AM16" s="667"/>
      <c r="AN16" s="667"/>
      <c r="AO16" s="667"/>
      <c r="AP16" s="668"/>
      <c r="AR16" s="667"/>
      <c r="AS16" s="667"/>
      <c r="AT16" s="667"/>
      <c r="AU16" s="667"/>
      <c r="AV16" s="668"/>
      <c r="AX16" s="667"/>
      <c r="AY16" s="667"/>
      <c r="AZ16" s="667"/>
      <c r="BA16" s="667"/>
      <c r="BB16" s="668"/>
      <c r="BD16" s="667"/>
      <c r="BE16" s="667"/>
      <c r="BF16" s="667"/>
      <c r="BG16" s="667"/>
      <c r="BH16" s="668"/>
      <c r="BJ16" s="667"/>
      <c r="BK16" s="667"/>
      <c r="BL16" s="667"/>
      <c r="BM16" s="667"/>
      <c r="BN16" s="668"/>
      <c r="BP16" s="667"/>
      <c r="BQ16" s="667"/>
      <c r="BR16" s="667"/>
      <c r="BS16" s="667"/>
      <c r="BT16" s="668"/>
      <c r="BV16" s="667"/>
      <c r="BW16" s="667"/>
      <c r="BX16" s="667"/>
      <c r="BY16" s="667"/>
      <c r="BZ16" s="668"/>
      <c r="CB16" s="667"/>
      <c r="CC16" s="667"/>
      <c r="CD16" s="667"/>
      <c r="CE16" s="667"/>
      <c r="CF16" s="668"/>
      <c r="CH16" s="667"/>
      <c r="CI16" s="667"/>
      <c r="CJ16" s="667"/>
      <c r="CK16" s="667"/>
      <c r="CL16" s="668"/>
      <c r="CN16" s="667"/>
      <c r="CO16" s="667"/>
      <c r="CP16" s="667"/>
      <c r="CQ16" s="667"/>
      <c r="CR16" s="668"/>
      <c r="CT16" s="667"/>
      <c r="CU16" s="667"/>
      <c r="CV16" s="667"/>
      <c r="CW16" s="667"/>
      <c r="CX16" s="668"/>
      <c r="CZ16" s="667"/>
      <c r="DA16" s="667"/>
      <c r="DB16" s="667"/>
      <c r="DC16" s="667"/>
      <c r="DD16" s="668"/>
      <c r="DF16" s="667"/>
      <c r="DG16" s="667"/>
      <c r="DH16" s="667"/>
      <c r="DI16" s="667"/>
      <c r="DJ16" s="668"/>
      <c r="DL16" s="667"/>
      <c r="DM16" s="667"/>
      <c r="DN16" s="667"/>
      <c r="DO16" s="667"/>
      <c r="DP16" s="668"/>
      <c r="DR16" s="667"/>
      <c r="DS16" s="667"/>
      <c r="DT16" s="667"/>
      <c r="DU16" s="667"/>
      <c r="DV16" s="668"/>
      <c r="DX16" s="667"/>
      <c r="DY16" s="667"/>
      <c r="DZ16" s="667"/>
      <c r="EA16" s="667"/>
      <c r="EB16" s="668"/>
      <c r="ED16" s="667"/>
      <c r="EE16" s="667"/>
      <c r="EF16" s="667"/>
      <c r="EG16" s="667"/>
      <c r="EH16" s="667"/>
      <c r="EI16" s="667"/>
      <c r="EJ16" s="667"/>
      <c r="EK16" s="667"/>
      <c r="EL16" s="667"/>
      <c r="EM16" s="668"/>
      <c r="EO16" s="667"/>
      <c r="EP16" s="667"/>
      <c r="EQ16" s="667"/>
      <c r="ER16" s="667"/>
      <c r="ES16" s="667"/>
      <c r="ET16" s="667"/>
      <c r="EU16" s="667"/>
      <c r="EV16" s="667"/>
      <c r="EW16" s="667"/>
      <c r="EX16" s="668"/>
      <c r="EZ16" s="667"/>
      <c r="FA16" s="667"/>
      <c r="FB16" s="667"/>
      <c r="FC16" s="667"/>
      <c r="FD16" s="667"/>
      <c r="FE16" s="667"/>
      <c r="FF16" s="667"/>
      <c r="FG16" s="667"/>
      <c r="FH16" s="667"/>
      <c r="FI16" s="668"/>
      <c r="FK16" s="667"/>
      <c r="FL16" s="667"/>
      <c r="FM16" s="667"/>
      <c r="FN16" s="667"/>
      <c r="FO16" s="667"/>
      <c r="FP16" s="667"/>
      <c r="FQ16" s="667"/>
      <c r="FR16" s="667"/>
      <c r="FS16" s="667"/>
      <c r="FT16" s="668"/>
      <c r="FV16" s="667"/>
      <c r="FW16" s="667"/>
      <c r="FX16" s="667"/>
      <c r="FY16" s="667"/>
      <c r="FZ16" s="667"/>
      <c r="GA16" s="667"/>
      <c r="GB16" s="667"/>
      <c r="GC16" s="667"/>
      <c r="GD16" s="667"/>
      <c r="GE16" s="668"/>
      <c r="GG16" s="667"/>
      <c r="GH16" s="667"/>
      <c r="GI16" s="667"/>
      <c r="GJ16" s="667"/>
      <c r="GK16" s="667"/>
      <c r="GL16" s="668"/>
      <c r="GN16" s="667"/>
      <c r="GO16" s="667"/>
      <c r="GP16" s="667"/>
      <c r="GQ16" s="667"/>
      <c r="GR16" s="667"/>
      <c r="GS16" s="668"/>
      <c r="GU16" s="667"/>
      <c r="GV16" s="667"/>
      <c r="GW16" s="667"/>
      <c r="GX16" s="667"/>
      <c r="GY16" s="667"/>
      <c r="GZ16" s="668"/>
      <c r="HB16" s="667"/>
      <c r="HC16" s="667"/>
      <c r="HD16" s="667"/>
      <c r="HE16" s="667"/>
      <c r="HF16" s="667"/>
      <c r="HG16" s="668"/>
      <c r="HI16" s="667"/>
      <c r="HJ16" s="667"/>
      <c r="HK16" s="667"/>
      <c r="HL16" s="667"/>
      <c r="HM16" s="667"/>
      <c r="HN16" s="668"/>
      <c r="HP16" s="667"/>
      <c r="HQ16" s="667"/>
      <c r="HR16" s="667"/>
      <c r="HS16" s="667"/>
      <c r="HT16" s="667"/>
      <c r="HU16" s="668"/>
      <c r="HW16" s="667"/>
      <c r="HX16" s="667"/>
      <c r="HY16" s="667"/>
      <c r="HZ16" s="667"/>
      <c r="IA16" s="667"/>
      <c r="IB16" s="667"/>
      <c r="IC16" s="667"/>
      <c r="ID16" s="667"/>
      <c r="IE16" s="667"/>
      <c r="IF16" s="668"/>
      <c r="IH16" s="667"/>
      <c r="II16" s="667"/>
      <c r="IJ16" s="667"/>
      <c r="IK16" s="667"/>
      <c r="IL16" s="667"/>
      <c r="IM16" s="667"/>
      <c r="IN16" s="667"/>
      <c r="IO16" s="667"/>
      <c r="IP16" s="667"/>
      <c r="IQ16" s="668"/>
      <c r="IS16" s="667"/>
      <c r="IT16" s="667"/>
      <c r="IU16" s="667"/>
      <c r="IV16" s="667"/>
      <c r="IW16" s="667"/>
      <c r="IX16" s="667"/>
      <c r="IY16" s="667"/>
      <c r="IZ16" s="667"/>
      <c r="JA16" s="667"/>
      <c r="JB16" s="668"/>
      <c r="JD16" s="667"/>
      <c r="JE16" s="667"/>
      <c r="JF16" s="667"/>
      <c r="JG16" s="667"/>
      <c r="JH16" s="667"/>
      <c r="JI16" s="667"/>
      <c r="JJ16" s="667"/>
      <c r="JK16" s="667"/>
      <c r="JL16" s="667"/>
      <c r="JM16" s="668"/>
      <c r="JO16" s="667"/>
      <c r="JP16" s="667"/>
      <c r="JQ16" s="667"/>
      <c r="JR16" s="667"/>
      <c r="JS16" s="667"/>
      <c r="JT16" s="667"/>
      <c r="JU16" s="667"/>
      <c r="JV16" s="667"/>
      <c r="JW16" s="667"/>
      <c r="JX16" s="668"/>
      <c r="JZ16" s="667"/>
      <c r="KA16" s="667"/>
      <c r="KB16" s="667"/>
      <c r="KC16" s="667"/>
      <c r="KD16" s="667"/>
      <c r="KE16" s="667"/>
      <c r="KF16" s="667"/>
      <c r="KG16" s="667"/>
      <c r="KH16" s="667"/>
      <c r="KI16" s="668"/>
      <c r="KK16" s="667"/>
      <c r="KL16" s="667"/>
      <c r="KM16" s="667"/>
      <c r="KN16" s="667"/>
      <c r="KO16" s="667"/>
      <c r="KP16" s="667"/>
      <c r="KQ16" s="667"/>
      <c r="KR16" s="667"/>
      <c r="KS16" s="667"/>
      <c r="KT16" s="668"/>
      <c r="KV16" s="667"/>
      <c r="KW16" s="667"/>
      <c r="KX16" s="667"/>
      <c r="KY16" s="667"/>
      <c r="KZ16" s="667"/>
      <c r="LA16" s="667"/>
      <c r="LB16" s="667"/>
      <c r="LC16" s="667"/>
      <c r="LD16" s="667"/>
      <c r="LE16" s="668"/>
      <c r="LG16" s="667"/>
      <c r="LH16" s="667"/>
      <c r="LI16" s="667"/>
      <c r="LJ16" s="667"/>
      <c r="LK16" s="667"/>
      <c r="LL16" s="667"/>
      <c r="LM16" s="667"/>
      <c r="LN16" s="667"/>
      <c r="LO16" s="667"/>
      <c r="LP16" s="668"/>
      <c r="LR16" s="667"/>
      <c r="LS16" s="667"/>
      <c r="LT16" s="667"/>
      <c r="LU16" s="667"/>
      <c r="LV16" s="667"/>
      <c r="LW16" s="667"/>
      <c r="LX16" s="667"/>
      <c r="LY16" s="667"/>
      <c r="LZ16" s="667"/>
      <c r="MA16" s="668"/>
      <c r="MC16" s="667"/>
      <c r="MD16" s="667"/>
      <c r="ME16" s="667"/>
      <c r="MF16" s="667"/>
      <c r="MG16" s="667"/>
      <c r="MH16" s="667"/>
      <c r="MI16" s="667"/>
      <c r="MJ16" s="667"/>
      <c r="MK16" s="667"/>
      <c r="ML16" s="668"/>
      <c r="MN16" s="667"/>
      <c r="MO16" s="667"/>
      <c r="MP16" s="667"/>
      <c r="MQ16" s="667"/>
      <c r="MR16" s="667"/>
      <c r="MS16" s="667"/>
      <c r="MT16" s="667"/>
      <c r="MU16" s="667"/>
      <c r="MV16" s="667"/>
      <c r="MW16" s="668"/>
      <c r="MY16" s="667"/>
      <c r="MZ16" s="667"/>
      <c r="NA16" s="667"/>
      <c r="NB16" s="667"/>
      <c r="NC16" s="667"/>
      <c r="ND16" s="667"/>
      <c r="NE16" s="667"/>
      <c r="NF16" s="667"/>
      <c r="NG16" s="667"/>
      <c r="NH16" s="668"/>
      <c r="NJ16" s="667"/>
      <c r="NK16" s="667"/>
      <c r="NL16" s="667"/>
      <c r="NM16" s="667"/>
      <c r="NN16" s="667"/>
      <c r="NO16" s="667"/>
      <c r="NP16" s="667"/>
      <c r="NQ16" s="667"/>
      <c r="NR16" s="667"/>
      <c r="NS16" s="668"/>
      <c r="NU16" s="667"/>
      <c r="NV16" s="667"/>
      <c r="NW16" s="667"/>
      <c r="NX16" s="667"/>
      <c r="NY16" s="667"/>
      <c r="NZ16" s="667"/>
      <c r="OA16" s="667"/>
      <c r="OB16" s="667"/>
      <c r="OC16" s="667"/>
      <c r="OD16" s="668"/>
      <c r="OF16" s="667"/>
      <c r="OG16" s="667"/>
      <c r="OH16" s="667"/>
      <c r="OI16" s="667"/>
      <c r="OJ16" s="667"/>
      <c r="OK16" s="667"/>
      <c r="OL16" s="667"/>
      <c r="OM16" s="667"/>
      <c r="ON16" s="667"/>
      <c r="OO16" s="668"/>
    </row>
    <row r="17" spans="1:405">
      <c r="A17" s="663" t="str">
        <v xml:space="preserve"> </v>
      </c>
      <c r="B17" s="667" t="s">
        <v>547</v>
      </c>
      <c r="C17" s="667" t="s">
        <v>548</v>
      </c>
      <c r="D17" s="667" t="s">
        <v>548</v>
      </c>
      <c r="E17" s="667" t="s">
        <v>546</v>
      </c>
      <c r="F17" s="668" t="s">
        <v>549</v>
      </c>
      <c r="G17" s="663"/>
      <c r="H17" s="667"/>
      <c r="I17" s="667"/>
      <c r="J17" s="667"/>
      <c r="K17" s="667"/>
      <c r="L17" s="668"/>
      <c r="N17" s="667"/>
      <c r="O17" s="667"/>
      <c r="P17" s="667"/>
      <c r="Q17" s="667"/>
      <c r="R17" s="668"/>
      <c r="T17" s="667"/>
      <c r="U17" s="667"/>
      <c r="V17" s="667"/>
      <c r="W17" s="667"/>
      <c r="X17" s="668"/>
      <c r="Z17" s="667"/>
      <c r="AA17" s="667"/>
      <c r="AB17" s="667"/>
      <c r="AC17" s="667"/>
      <c r="AD17" s="668"/>
      <c r="AF17" s="667"/>
      <c r="AG17" s="667"/>
      <c r="AH17" s="667"/>
      <c r="AI17" s="667"/>
      <c r="AJ17" s="668"/>
      <c r="AL17" s="667"/>
      <c r="AM17" s="667"/>
      <c r="AN17" s="667"/>
      <c r="AO17" s="667"/>
      <c r="AP17" s="668"/>
      <c r="AR17" s="667"/>
      <c r="AS17" s="667"/>
      <c r="AT17" s="667"/>
      <c r="AU17" s="667"/>
      <c r="AV17" s="668"/>
      <c r="AX17" s="667"/>
      <c r="AY17" s="667"/>
      <c r="AZ17" s="667"/>
      <c r="BA17" s="667"/>
      <c r="BB17" s="668"/>
      <c r="BD17" s="667"/>
      <c r="BE17" s="667"/>
      <c r="BF17" s="667"/>
      <c r="BG17" s="667"/>
      <c r="BH17" s="668"/>
      <c r="BJ17" s="667"/>
      <c r="BK17" s="667"/>
      <c r="BL17" s="667"/>
      <c r="BM17" s="667"/>
      <c r="BN17" s="668"/>
      <c r="BP17" s="667"/>
      <c r="BQ17" s="667"/>
      <c r="BR17" s="667"/>
      <c r="BS17" s="667"/>
      <c r="BT17" s="668"/>
      <c r="BV17" s="667"/>
      <c r="BW17" s="667"/>
      <c r="BX17" s="667"/>
      <c r="BY17" s="667"/>
      <c r="BZ17" s="668"/>
      <c r="CB17" s="667"/>
      <c r="CC17" s="667"/>
      <c r="CD17" s="667"/>
      <c r="CE17" s="667"/>
      <c r="CF17" s="668"/>
      <c r="CH17" s="667"/>
      <c r="CI17" s="667"/>
      <c r="CJ17" s="667"/>
      <c r="CK17" s="667"/>
      <c r="CL17" s="668"/>
      <c r="CN17" s="667"/>
      <c r="CO17" s="667"/>
      <c r="CP17" s="667"/>
      <c r="CQ17" s="667"/>
      <c r="CR17" s="668"/>
      <c r="CT17" s="667"/>
      <c r="CU17" s="667"/>
      <c r="CV17" s="667"/>
      <c r="CW17" s="667"/>
      <c r="CX17" s="668"/>
      <c r="CZ17" s="667"/>
      <c r="DA17" s="667"/>
      <c r="DB17" s="667"/>
      <c r="DC17" s="667"/>
      <c r="DD17" s="668"/>
      <c r="DF17" s="667"/>
      <c r="DG17" s="667"/>
      <c r="DH17" s="667"/>
      <c r="DI17" s="667"/>
      <c r="DJ17" s="668"/>
      <c r="DL17" s="667"/>
      <c r="DM17" s="667"/>
      <c r="DN17" s="667"/>
      <c r="DO17" s="667"/>
      <c r="DP17" s="668"/>
      <c r="DR17" s="667"/>
      <c r="DS17" s="667"/>
      <c r="DT17" s="667"/>
      <c r="DU17" s="667"/>
      <c r="DV17" s="668"/>
      <c r="DX17" s="667"/>
      <c r="DY17" s="667"/>
      <c r="DZ17" s="667"/>
      <c r="EA17" s="667"/>
      <c r="EB17" s="668"/>
      <c r="ED17" s="667"/>
      <c r="EE17" s="667"/>
      <c r="EF17" s="667"/>
      <c r="EG17" s="667"/>
      <c r="EH17" s="667"/>
      <c r="EI17" s="667"/>
      <c r="EJ17" s="667"/>
      <c r="EK17" s="667"/>
      <c r="EL17" s="667"/>
      <c r="EM17" s="668"/>
      <c r="EO17" s="667"/>
      <c r="EP17" s="667"/>
      <c r="EQ17" s="667"/>
      <c r="ER17" s="667"/>
      <c r="ES17" s="667"/>
      <c r="ET17" s="667"/>
      <c r="EU17" s="667"/>
      <c r="EV17" s="667"/>
      <c r="EW17" s="667"/>
      <c r="EX17" s="668"/>
      <c r="EZ17" s="667"/>
      <c r="FA17" s="667"/>
      <c r="FB17" s="667"/>
      <c r="FC17" s="667"/>
      <c r="FD17" s="667"/>
      <c r="FE17" s="667"/>
      <c r="FF17" s="667"/>
      <c r="FG17" s="667"/>
      <c r="FH17" s="667"/>
      <c r="FI17" s="668"/>
      <c r="FK17" s="667"/>
      <c r="FL17" s="667"/>
      <c r="FM17" s="667"/>
      <c r="FN17" s="667"/>
      <c r="FO17" s="667"/>
      <c r="FP17" s="667"/>
      <c r="FQ17" s="667"/>
      <c r="FR17" s="667"/>
      <c r="FS17" s="667"/>
      <c r="FT17" s="668"/>
      <c r="FV17" s="667"/>
      <c r="FW17" s="667"/>
      <c r="FX17" s="667"/>
      <c r="FY17" s="667"/>
      <c r="FZ17" s="667"/>
      <c r="GA17" s="667"/>
      <c r="GB17" s="667"/>
      <c r="GC17" s="667"/>
      <c r="GD17" s="667"/>
      <c r="GE17" s="668"/>
      <c r="GG17" s="667"/>
      <c r="GH17" s="667"/>
      <c r="GI17" s="667"/>
      <c r="GJ17" s="667"/>
      <c r="GK17" s="667"/>
      <c r="GL17" s="668"/>
      <c r="GN17" s="667"/>
      <c r="GO17" s="667"/>
      <c r="GP17" s="667"/>
      <c r="GQ17" s="667"/>
      <c r="GR17" s="667"/>
      <c r="GS17" s="668"/>
      <c r="GU17" s="667"/>
      <c r="GV17" s="667"/>
      <c r="GW17" s="667"/>
      <c r="GX17" s="667"/>
      <c r="GY17" s="667"/>
      <c r="GZ17" s="668"/>
      <c r="HB17" s="667"/>
      <c r="HC17" s="667"/>
      <c r="HD17" s="667"/>
      <c r="HE17" s="667"/>
      <c r="HF17" s="667"/>
      <c r="HG17" s="668"/>
      <c r="HI17" s="667"/>
      <c r="HJ17" s="667"/>
      <c r="HK17" s="667"/>
      <c r="HL17" s="667"/>
      <c r="HM17" s="667"/>
      <c r="HN17" s="668"/>
      <c r="HP17" s="667"/>
      <c r="HQ17" s="667"/>
      <c r="HR17" s="667"/>
      <c r="HS17" s="667"/>
      <c r="HT17" s="667"/>
      <c r="HU17" s="668"/>
      <c r="HW17" s="667"/>
      <c r="HX17" s="667"/>
      <c r="HY17" s="667"/>
      <c r="HZ17" s="667"/>
      <c r="IA17" s="667"/>
      <c r="IB17" s="667"/>
      <c r="IC17" s="667"/>
      <c r="ID17" s="667"/>
      <c r="IE17" s="667"/>
      <c r="IF17" s="668"/>
      <c r="IH17" s="667"/>
      <c r="II17" s="667"/>
      <c r="IJ17" s="667"/>
      <c r="IK17" s="667"/>
      <c r="IL17" s="667"/>
      <c r="IM17" s="667"/>
      <c r="IN17" s="667"/>
      <c r="IO17" s="667"/>
      <c r="IP17" s="667"/>
      <c r="IQ17" s="668"/>
      <c r="IS17" s="667"/>
      <c r="IT17" s="667"/>
      <c r="IU17" s="667"/>
      <c r="IV17" s="667"/>
      <c r="IW17" s="667"/>
      <c r="IX17" s="667"/>
      <c r="IY17" s="667"/>
      <c r="IZ17" s="667"/>
      <c r="JA17" s="667"/>
      <c r="JB17" s="668"/>
      <c r="JD17" s="667"/>
      <c r="JE17" s="667"/>
      <c r="JF17" s="667"/>
      <c r="JG17" s="667"/>
      <c r="JH17" s="667"/>
      <c r="JI17" s="667"/>
      <c r="JJ17" s="667"/>
      <c r="JK17" s="667"/>
      <c r="JL17" s="667"/>
      <c r="JM17" s="668"/>
      <c r="JO17" s="667"/>
      <c r="JP17" s="667"/>
      <c r="JQ17" s="667"/>
      <c r="JR17" s="667"/>
      <c r="JS17" s="667"/>
      <c r="JT17" s="667"/>
      <c r="JU17" s="667"/>
      <c r="JV17" s="667"/>
      <c r="JW17" s="667"/>
      <c r="JX17" s="668"/>
      <c r="JZ17" s="667"/>
      <c r="KA17" s="667"/>
      <c r="KB17" s="667"/>
      <c r="KC17" s="667"/>
      <c r="KD17" s="667"/>
      <c r="KE17" s="667"/>
      <c r="KF17" s="667"/>
      <c r="KG17" s="667"/>
      <c r="KH17" s="667"/>
      <c r="KI17" s="668"/>
      <c r="KK17" s="667"/>
      <c r="KL17" s="667"/>
      <c r="KM17" s="667"/>
      <c r="KN17" s="667"/>
      <c r="KO17" s="667"/>
      <c r="KP17" s="667"/>
      <c r="KQ17" s="667"/>
      <c r="KR17" s="667"/>
      <c r="KS17" s="667"/>
      <c r="KT17" s="668"/>
      <c r="KV17" s="667"/>
      <c r="KW17" s="667"/>
      <c r="KX17" s="667"/>
      <c r="KY17" s="667"/>
      <c r="KZ17" s="667"/>
      <c r="LA17" s="667"/>
      <c r="LB17" s="667"/>
      <c r="LC17" s="667"/>
      <c r="LD17" s="667"/>
      <c r="LE17" s="668"/>
      <c r="LG17" s="667"/>
      <c r="LH17" s="667"/>
      <c r="LI17" s="667"/>
      <c r="LJ17" s="667"/>
      <c r="LK17" s="667"/>
      <c r="LL17" s="667"/>
      <c r="LM17" s="667"/>
      <c r="LN17" s="667"/>
      <c r="LO17" s="667"/>
      <c r="LP17" s="668"/>
      <c r="LR17" s="667"/>
      <c r="LS17" s="667"/>
      <c r="LT17" s="667"/>
      <c r="LU17" s="667"/>
      <c r="LV17" s="667"/>
      <c r="LW17" s="667"/>
      <c r="LX17" s="667"/>
      <c r="LY17" s="667"/>
      <c r="LZ17" s="667"/>
      <c r="MA17" s="668"/>
      <c r="MC17" s="667"/>
      <c r="MD17" s="667"/>
      <c r="ME17" s="667"/>
      <c r="MF17" s="667"/>
      <c r="MG17" s="667"/>
      <c r="MH17" s="667"/>
      <c r="MI17" s="667"/>
      <c r="MJ17" s="667"/>
      <c r="MK17" s="667"/>
      <c r="ML17" s="668"/>
      <c r="MN17" s="667"/>
      <c r="MO17" s="667"/>
      <c r="MP17" s="667"/>
      <c r="MQ17" s="667"/>
      <c r="MR17" s="667"/>
      <c r="MS17" s="667"/>
      <c r="MT17" s="667"/>
      <c r="MU17" s="667"/>
      <c r="MV17" s="667"/>
      <c r="MW17" s="668"/>
      <c r="MY17" s="667"/>
      <c r="MZ17" s="667"/>
      <c r="NA17" s="667"/>
      <c r="NB17" s="667"/>
      <c r="NC17" s="667"/>
      <c r="ND17" s="667"/>
      <c r="NE17" s="667"/>
      <c r="NF17" s="667"/>
      <c r="NG17" s="667"/>
      <c r="NH17" s="668"/>
      <c r="NJ17" s="667"/>
      <c r="NK17" s="667"/>
      <c r="NL17" s="667"/>
      <c r="NM17" s="667"/>
      <c r="NN17" s="667"/>
      <c r="NO17" s="667"/>
      <c r="NP17" s="667"/>
      <c r="NQ17" s="667"/>
      <c r="NR17" s="667"/>
      <c r="NS17" s="668"/>
      <c r="NU17" s="667"/>
      <c r="NV17" s="667"/>
      <c r="NW17" s="667"/>
      <c r="NX17" s="667"/>
      <c r="NY17" s="667"/>
      <c r="NZ17" s="667"/>
      <c r="OA17" s="667"/>
      <c r="OB17" s="667"/>
      <c r="OC17" s="667"/>
      <c r="OD17" s="668"/>
      <c r="OF17" s="667"/>
      <c r="OG17" s="667"/>
      <c r="OH17" s="667"/>
      <c r="OI17" s="667"/>
      <c r="OJ17" s="667"/>
      <c r="OK17" s="667"/>
      <c r="OL17" s="667"/>
      <c r="OM17" s="667"/>
      <c r="ON17" s="667"/>
      <c r="OO17" s="668"/>
    </row>
    <row r="18" spans="1:405">
      <c r="A18" s="663" t="str">
        <v xml:space="preserve"> </v>
      </c>
      <c r="B18" s="667" t="s">
        <v>547</v>
      </c>
      <c r="C18" s="667" t="s">
        <v>548</v>
      </c>
      <c r="D18" s="667" t="s">
        <v>548</v>
      </c>
      <c r="E18" s="667" t="s">
        <v>546</v>
      </c>
      <c r="F18" s="668" t="s">
        <v>553</v>
      </c>
      <c r="G18" s="663"/>
      <c r="H18" s="667"/>
      <c r="I18" s="667"/>
      <c r="J18" s="667"/>
      <c r="K18" s="667"/>
      <c r="L18" s="668"/>
      <c r="N18" s="667"/>
      <c r="O18" s="667"/>
      <c r="P18" s="667"/>
      <c r="Q18" s="667"/>
      <c r="R18" s="668"/>
      <c r="T18" s="667"/>
      <c r="U18" s="667"/>
      <c r="V18" s="667"/>
      <c r="W18" s="667"/>
      <c r="X18" s="668"/>
      <c r="Z18" s="667"/>
      <c r="AA18" s="667"/>
      <c r="AB18" s="667"/>
      <c r="AC18" s="667"/>
      <c r="AD18" s="668"/>
      <c r="AF18" s="667"/>
      <c r="AG18" s="667"/>
      <c r="AH18" s="667"/>
      <c r="AI18" s="667"/>
      <c r="AJ18" s="668"/>
      <c r="AL18" s="667"/>
      <c r="AM18" s="667"/>
      <c r="AN18" s="667"/>
      <c r="AO18" s="667"/>
      <c r="AP18" s="668"/>
      <c r="AR18" s="667"/>
      <c r="AS18" s="667"/>
      <c r="AT18" s="667"/>
      <c r="AU18" s="667"/>
      <c r="AV18" s="668"/>
      <c r="AX18" s="667"/>
      <c r="AY18" s="667"/>
      <c r="AZ18" s="667"/>
      <c r="BA18" s="667"/>
      <c r="BB18" s="668"/>
      <c r="BD18" s="667"/>
      <c r="BE18" s="667"/>
      <c r="BF18" s="667"/>
      <c r="BG18" s="667"/>
      <c r="BH18" s="668"/>
      <c r="BJ18" s="667"/>
      <c r="BK18" s="667"/>
      <c r="BL18" s="667"/>
      <c r="BM18" s="667"/>
      <c r="BN18" s="668"/>
      <c r="BP18" s="667"/>
      <c r="BQ18" s="667"/>
      <c r="BR18" s="667"/>
      <c r="BS18" s="667"/>
      <c r="BT18" s="668"/>
      <c r="BV18" s="667"/>
      <c r="BW18" s="667"/>
      <c r="BX18" s="667"/>
      <c r="BY18" s="667"/>
      <c r="BZ18" s="668"/>
      <c r="CB18" s="667"/>
      <c r="CC18" s="667"/>
      <c r="CD18" s="667"/>
      <c r="CE18" s="667"/>
      <c r="CF18" s="668"/>
      <c r="CH18" s="667"/>
      <c r="CI18" s="667"/>
      <c r="CJ18" s="667"/>
      <c r="CK18" s="667"/>
      <c r="CL18" s="668"/>
      <c r="CN18" s="667"/>
      <c r="CO18" s="667"/>
      <c r="CP18" s="667"/>
      <c r="CQ18" s="667"/>
      <c r="CR18" s="668"/>
      <c r="CT18" s="667"/>
      <c r="CU18" s="667"/>
      <c r="CV18" s="667"/>
      <c r="CW18" s="667"/>
      <c r="CX18" s="668"/>
      <c r="CZ18" s="667"/>
      <c r="DA18" s="667"/>
      <c r="DB18" s="667"/>
      <c r="DC18" s="667"/>
      <c r="DD18" s="668"/>
      <c r="DF18" s="667"/>
      <c r="DG18" s="667"/>
      <c r="DH18" s="667"/>
      <c r="DI18" s="667"/>
      <c r="DJ18" s="668"/>
      <c r="DL18" s="667"/>
      <c r="DM18" s="667"/>
      <c r="DN18" s="667"/>
      <c r="DO18" s="667"/>
      <c r="DP18" s="668"/>
      <c r="DR18" s="667"/>
      <c r="DS18" s="667"/>
      <c r="DT18" s="667"/>
      <c r="DU18" s="667"/>
      <c r="DV18" s="668"/>
      <c r="DX18" s="667"/>
      <c r="DY18" s="667"/>
      <c r="DZ18" s="667"/>
      <c r="EA18" s="667"/>
      <c r="EB18" s="668"/>
      <c r="ED18" s="667"/>
      <c r="EE18" s="667"/>
      <c r="EF18" s="667"/>
      <c r="EG18" s="667"/>
      <c r="EH18" s="667"/>
      <c r="EI18" s="667"/>
      <c r="EJ18" s="667"/>
      <c r="EK18" s="667"/>
      <c r="EL18" s="667"/>
      <c r="EM18" s="668"/>
      <c r="EO18" s="667"/>
      <c r="EP18" s="667"/>
      <c r="EQ18" s="667"/>
      <c r="ER18" s="667"/>
      <c r="ES18" s="667"/>
      <c r="ET18" s="667"/>
      <c r="EU18" s="667"/>
      <c r="EV18" s="667"/>
      <c r="EW18" s="667"/>
      <c r="EX18" s="668"/>
      <c r="EZ18" s="667"/>
      <c r="FA18" s="667"/>
      <c r="FB18" s="667"/>
      <c r="FC18" s="667"/>
      <c r="FD18" s="667"/>
      <c r="FE18" s="667"/>
      <c r="FF18" s="667"/>
      <c r="FG18" s="667"/>
      <c r="FH18" s="667"/>
      <c r="FI18" s="668"/>
      <c r="FK18" s="667"/>
      <c r="FL18" s="667"/>
      <c r="FM18" s="667"/>
      <c r="FN18" s="667"/>
      <c r="FO18" s="667"/>
      <c r="FP18" s="667"/>
      <c r="FQ18" s="667"/>
      <c r="FR18" s="667"/>
      <c r="FS18" s="667"/>
      <c r="FT18" s="668"/>
      <c r="FV18" s="667"/>
      <c r="FW18" s="667"/>
      <c r="FX18" s="667"/>
      <c r="FY18" s="667"/>
      <c r="FZ18" s="667"/>
      <c r="GA18" s="667"/>
      <c r="GB18" s="667"/>
      <c r="GC18" s="667"/>
      <c r="GD18" s="667"/>
      <c r="GE18" s="668"/>
      <c r="GG18" s="667"/>
      <c r="GH18" s="667"/>
      <c r="GI18" s="667"/>
      <c r="GJ18" s="667"/>
      <c r="GK18" s="667"/>
      <c r="GL18" s="668"/>
      <c r="GN18" s="667"/>
      <c r="GO18" s="667"/>
      <c r="GP18" s="667"/>
      <c r="GQ18" s="667"/>
      <c r="GR18" s="667"/>
      <c r="GS18" s="668"/>
      <c r="GU18" s="667"/>
      <c r="GV18" s="667"/>
      <c r="GW18" s="667"/>
      <c r="GX18" s="667"/>
      <c r="GY18" s="667"/>
      <c r="GZ18" s="668"/>
      <c r="HB18" s="667"/>
      <c r="HC18" s="667"/>
      <c r="HD18" s="667"/>
      <c r="HE18" s="667"/>
      <c r="HF18" s="667"/>
      <c r="HG18" s="668"/>
      <c r="HI18" s="667"/>
      <c r="HJ18" s="667"/>
      <c r="HK18" s="667"/>
      <c r="HL18" s="667"/>
      <c r="HM18" s="667"/>
      <c r="HN18" s="668"/>
      <c r="HP18" s="667"/>
      <c r="HQ18" s="667"/>
      <c r="HR18" s="667"/>
      <c r="HS18" s="667"/>
      <c r="HT18" s="667"/>
      <c r="HU18" s="668"/>
      <c r="HW18" s="667"/>
      <c r="HX18" s="667"/>
      <c r="HY18" s="667"/>
      <c r="HZ18" s="667"/>
      <c r="IA18" s="667"/>
      <c r="IB18" s="667"/>
      <c r="IC18" s="667"/>
      <c r="ID18" s="667"/>
      <c r="IE18" s="667"/>
      <c r="IF18" s="668"/>
      <c r="IH18" s="667"/>
      <c r="II18" s="667"/>
      <c r="IJ18" s="667"/>
      <c r="IK18" s="667"/>
      <c r="IL18" s="667"/>
      <c r="IM18" s="667"/>
      <c r="IN18" s="667"/>
      <c r="IO18" s="667"/>
      <c r="IP18" s="667"/>
      <c r="IQ18" s="668"/>
      <c r="IS18" s="667"/>
      <c r="IT18" s="667"/>
      <c r="IU18" s="667"/>
      <c r="IV18" s="667"/>
      <c r="IW18" s="667"/>
      <c r="IX18" s="667"/>
      <c r="IY18" s="667"/>
      <c r="IZ18" s="667"/>
      <c r="JA18" s="667"/>
      <c r="JB18" s="668"/>
      <c r="JD18" s="667"/>
      <c r="JE18" s="667"/>
      <c r="JF18" s="667"/>
      <c r="JG18" s="667"/>
      <c r="JH18" s="667"/>
      <c r="JI18" s="667"/>
      <c r="JJ18" s="667"/>
      <c r="JK18" s="667"/>
      <c r="JL18" s="667"/>
      <c r="JM18" s="668"/>
      <c r="JO18" s="667"/>
      <c r="JP18" s="667"/>
      <c r="JQ18" s="667"/>
      <c r="JR18" s="667"/>
      <c r="JS18" s="667"/>
      <c r="JT18" s="667"/>
      <c r="JU18" s="667"/>
      <c r="JV18" s="667"/>
      <c r="JW18" s="667"/>
      <c r="JX18" s="668"/>
      <c r="JZ18" s="667"/>
      <c r="KA18" s="667"/>
      <c r="KB18" s="667"/>
      <c r="KC18" s="667"/>
      <c r="KD18" s="667"/>
      <c r="KE18" s="667"/>
      <c r="KF18" s="667"/>
      <c r="KG18" s="667"/>
      <c r="KH18" s="667"/>
      <c r="KI18" s="668"/>
      <c r="KK18" s="667"/>
      <c r="KL18" s="667"/>
      <c r="KM18" s="667"/>
      <c r="KN18" s="667"/>
      <c r="KO18" s="667"/>
      <c r="KP18" s="667"/>
      <c r="KQ18" s="667"/>
      <c r="KR18" s="667"/>
      <c r="KS18" s="667"/>
      <c r="KT18" s="668"/>
      <c r="KV18" s="667"/>
      <c r="KW18" s="667"/>
      <c r="KX18" s="667"/>
      <c r="KY18" s="667"/>
      <c r="KZ18" s="667"/>
      <c r="LA18" s="667"/>
      <c r="LB18" s="667"/>
      <c r="LC18" s="667"/>
      <c r="LD18" s="667"/>
      <c r="LE18" s="668"/>
      <c r="LG18" s="667"/>
      <c r="LH18" s="667"/>
      <c r="LI18" s="667"/>
      <c r="LJ18" s="667"/>
      <c r="LK18" s="667"/>
      <c r="LL18" s="667"/>
      <c r="LM18" s="667"/>
      <c r="LN18" s="667"/>
      <c r="LO18" s="667"/>
      <c r="LP18" s="668"/>
      <c r="LR18" s="667"/>
      <c r="LS18" s="667"/>
      <c r="LT18" s="667"/>
      <c r="LU18" s="667"/>
      <c r="LV18" s="667"/>
      <c r="LW18" s="667"/>
      <c r="LX18" s="667"/>
      <c r="LY18" s="667"/>
      <c r="LZ18" s="667"/>
      <c r="MA18" s="668"/>
      <c r="MC18" s="667"/>
      <c r="MD18" s="667"/>
      <c r="ME18" s="667"/>
      <c r="MF18" s="667"/>
      <c r="MG18" s="667"/>
      <c r="MH18" s="667"/>
      <c r="MI18" s="667"/>
      <c r="MJ18" s="667"/>
      <c r="MK18" s="667"/>
      <c r="ML18" s="668"/>
      <c r="MN18" s="667"/>
      <c r="MO18" s="667"/>
      <c r="MP18" s="667"/>
      <c r="MQ18" s="667"/>
      <c r="MR18" s="667"/>
      <c r="MS18" s="667"/>
      <c r="MT18" s="667"/>
      <c r="MU18" s="667"/>
      <c r="MV18" s="667"/>
      <c r="MW18" s="668"/>
      <c r="MY18" s="667"/>
      <c r="MZ18" s="667"/>
      <c r="NA18" s="667"/>
      <c r="NB18" s="667"/>
      <c r="NC18" s="667"/>
      <c r="ND18" s="667"/>
      <c r="NE18" s="667"/>
      <c r="NF18" s="667"/>
      <c r="NG18" s="667"/>
      <c r="NH18" s="668"/>
      <c r="NJ18" s="667"/>
      <c r="NK18" s="667"/>
      <c r="NL18" s="667"/>
      <c r="NM18" s="667"/>
      <c r="NN18" s="667"/>
      <c r="NO18" s="667"/>
      <c r="NP18" s="667"/>
      <c r="NQ18" s="667"/>
      <c r="NR18" s="667"/>
      <c r="NS18" s="668"/>
      <c r="NU18" s="667"/>
      <c r="NV18" s="667"/>
      <c r="NW18" s="667"/>
      <c r="NX18" s="667"/>
      <c r="NY18" s="667"/>
      <c r="NZ18" s="667"/>
      <c r="OA18" s="667"/>
      <c r="OB18" s="667"/>
      <c r="OC18" s="667"/>
      <c r="OD18" s="668"/>
      <c r="OF18" s="667"/>
      <c r="OG18" s="667"/>
      <c r="OH18" s="667"/>
      <c r="OI18" s="667"/>
      <c r="OJ18" s="667"/>
      <c r="OK18" s="667"/>
      <c r="OL18" s="667"/>
      <c r="OM18" s="667"/>
      <c r="ON18" s="667"/>
      <c r="OO18" s="668"/>
    </row>
    <row r="19" spans="1:405">
      <c r="A19" s="663" t="str">
        <v xml:space="preserve"> </v>
      </c>
      <c r="B19" s="667" t="s">
        <v>547</v>
      </c>
      <c r="C19" s="667" t="s">
        <v>548</v>
      </c>
      <c r="D19" s="667" t="s">
        <v>548</v>
      </c>
      <c r="E19" s="667" t="s">
        <v>546</v>
      </c>
      <c r="F19" s="668" t="s">
        <v>551</v>
      </c>
      <c r="G19" s="663"/>
      <c r="H19" s="667"/>
      <c r="I19" s="667"/>
      <c r="J19" s="667"/>
      <c r="K19" s="667"/>
      <c r="L19" s="668"/>
      <c r="N19" s="667"/>
      <c r="O19" s="667"/>
      <c r="P19" s="667"/>
      <c r="Q19" s="667"/>
      <c r="R19" s="668"/>
      <c r="T19" s="667"/>
      <c r="U19" s="667"/>
      <c r="V19" s="667"/>
      <c r="W19" s="667"/>
      <c r="X19" s="668"/>
      <c r="Z19" s="667"/>
      <c r="AA19" s="667"/>
      <c r="AB19" s="667"/>
      <c r="AC19" s="667"/>
      <c r="AD19" s="668"/>
      <c r="AF19" s="667"/>
      <c r="AG19" s="667"/>
      <c r="AH19" s="667"/>
      <c r="AI19" s="667"/>
      <c r="AJ19" s="668"/>
      <c r="AL19" s="667"/>
      <c r="AM19" s="667"/>
      <c r="AN19" s="667"/>
      <c r="AO19" s="667"/>
      <c r="AP19" s="668"/>
      <c r="AR19" s="667"/>
      <c r="AS19" s="667"/>
      <c r="AT19" s="667"/>
      <c r="AU19" s="667"/>
      <c r="AV19" s="668"/>
      <c r="AX19" s="667"/>
      <c r="AY19" s="667"/>
      <c r="AZ19" s="667"/>
      <c r="BA19" s="667"/>
      <c r="BB19" s="668"/>
      <c r="BD19" s="667"/>
      <c r="BE19" s="667"/>
      <c r="BF19" s="667"/>
      <c r="BG19" s="667"/>
      <c r="BH19" s="668"/>
      <c r="BJ19" s="667"/>
      <c r="BK19" s="667"/>
      <c r="BL19" s="667"/>
      <c r="BM19" s="667"/>
      <c r="BN19" s="668"/>
      <c r="BP19" s="667"/>
      <c r="BQ19" s="667"/>
      <c r="BR19" s="667"/>
      <c r="BS19" s="667"/>
      <c r="BT19" s="668"/>
      <c r="BV19" s="667"/>
      <c r="BW19" s="667"/>
      <c r="BX19" s="667"/>
      <c r="BY19" s="667"/>
      <c r="BZ19" s="668"/>
      <c r="CB19" s="667"/>
      <c r="CC19" s="667"/>
      <c r="CD19" s="667"/>
      <c r="CE19" s="667"/>
      <c r="CF19" s="668"/>
      <c r="CH19" s="667"/>
      <c r="CI19" s="667"/>
      <c r="CJ19" s="667"/>
      <c r="CK19" s="667"/>
      <c r="CL19" s="668"/>
      <c r="CN19" s="667"/>
      <c r="CO19" s="667"/>
      <c r="CP19" s="667"/>
      <c r="CQ19" s="667"/>
      <c r="CR19" s="668"/>
      <c r="CT19" s="667"/>
      <c r="CU19" s="667"/>
      <c r="CV19" s="667"/>
      <c r="CW19" s="667"/>
      <c r="CX19" s="668"/>
      <c r="CZ19" s="667"/>
      <c r="DA19" s="667"/>
      <c r="DB19" s="667"/>
      <c r="DC19" s="667"/>
      <c r="DD19" s="668"/>
      <c r="DF19" s="667"/>
      <c r="DG19" s="667"/>
      <c r="DH19" s="667"/>
      <c r="DI19" s="667"/>
      <c r="DJ19" s="668"/>
      <c r="DL19" s="667"/>
      <c r="DM19" s="667"/>
      <c r="DN19" s="667"/>
      <c r="DO19" s="667"/>
      <c r="DP19" s="668"/>
      <c r="DR19" s="667"/>
      <c r="DS19" s="667"/>
      <c r="DT19" s="667"/>
      <c r="DU19" s="667"/>
      <c r="DV19" s="668"/>
      <c r="DX19" s="667"/>
      <c r="DY19" s="667"/>
      <c r="DZ19" s="667"/>
      <c r="EA19" s="667"/>
      <c r="EB19" s="668"/>
      <c r="ED19" s="667"/>
      <c r="EE19" s="667"/>
      <c r="EF19" s="667"/>
      <c r="EG19" s="667"/>
      <c r="EH19" s="667"/>
      <c r="EI19" s="667"/>
      <c r="EJ19" s="667"/>
      <c r="EK19" s="667"/>
      <c r="EL19" s="667"/>
      <c r="EM19" s="668"/>
      <c r="EO19" s="667"/>
      <c r="EP19" s="667"/>
      <c r="EQ19" s="667"/>
      <c r="ER19" s="667"/>
      <c r="ES19" s="667"/>
      <c r="ET19" s="667"/>
      <c r="EU19" s="667"/>
      <c r="EV19" s="667"/>
      <c r="EW19" s="667"/>
      <c r="EX19" s="668"/>
      <c r="EZ19" s="667"/>
      <c r="FA19" s="667"/>
      <c r="FB19" s="667"/>
      <c r="FC19" s="667"/>
      <c r="FD19" s="667"/>
      <c r="FE19" s="667"/>
      <c r="FF19" s="667"/>
      <c r="FG19" s="667"/>
      <c r="FH19" s="667"/>
      <c r="FI19" s="668"/>
      <c r="FK19" s="667"/>
      <c r="FL19" s="667"/>
      <c r="FM19" s="667"/>
      <c r="FN19" s="667"/>
      <c r="FO19" s="667"/>
      <c r="FP19" s="667"/>
      <c r="FQ19" s="667"/>
      <c r="FR19" s="667"/>
      <c r="FS19" s="667"/>
      <c r="FT19" s="668"/>
      <c r="FV19" s="667"/>
      <c r="FW19" s="667"/>
      <c r="FX19" s="667"/>
      <c r="FY19" s="667"/>
      <c r="FZ19" s="667"/>
      <c r="GA19" s="667"/>
      <c r="GB19" s="667"/>
      <c r="GC19" s="667"/>
      <c r="GD19" s="667"/>
      <c r="GE19" s="668"/>
      <c r="GG19" s="667"/>
      <c r="GH19" s="667"/>
      <c r="GI19" s="667"/>
      <c r="GJ19" s="667"/>
      <c r="GK19" s="667"/>
      <c r="GL19" s="668"/>
      <c r="GN19" s="667"/>
      <c r="GO19" s="667"/>
      <c r="GP19" s="667"/>
      <c r="GQ19" s="667"/>
      <c r="GR19" s="667"/>
      <c r="GS19" s="668"/>
      <c r="GU19" s="667"/>
      <c r="GV19" s="667"/>
      <c r="GW19" s="667"/>
      <c r="GX19" s="667"/>
      <c r="GY19" s="667"/>
      <c r="GZ19" s="668"/>
      <c r="HB19" s="667"/>
      <c r="HC19" s="667"/>
      <c r="HD19" s="667"/>
      <c r="HE19" s="667"/>
      <c r="HF19" s="667"/>
      <c r="HG19" s="668"/>
      <c r="HI19" s="667"/>
      <c r="HJ19" s="667"/>
      <c r="HK19" s="667"/>
      <c r="HL19" s="667"/>
      <c r="HM19" s="667"/>
      <c r="HN19" s="668"/>
      <c r="HP19" s="667"/>
      <c r="HQ19" s="667"/>
      <c r="HR19" s="667"/>
      <c r="HS19" s="667"/>
      <c r="HT19" s="667"/>
      <c r="HU19" s="668"/>
      <c r="HW19" s="667"/>
      <c r="HX19" s="667"/>
      <c r="HY19" s="667"/>
      <c r="HZ19" s="667"/>
      <c r="IA19" s="667"/>
      <c r="IB19" s="667"/>
      <c r="IC19" s="667"/>
      <c r="ID19" s="667"/>
      <c r="IE19" s="667"/>
      <c r="IF19" s="668"/>
      <c r="IH19" s="667"/>
      <c r="II19" s="667"/>
      <c r="IJ19" s="667"/>
      <c r="IK19" s="667"/>
      <c r="IL19" s="667"/>
      <c r="IM19" s="667"/>
      <c r="IN19" s="667"/>
      <c r="IO19" s="667"/>
      <c r="IP19" s="667"/>
      <c r="IQ19" s="668"/>
      <c r="IS19" s="667"/>
      <c r="IT19" s="667"/>
      <c r="IU19" s="667"/>
      <c r="IV19" s="667"/>
      <c r="IW19" s="667"/>
      <c r="IX19" s="667"/>
      <c r="IY19" s="667"/>
      <c r="IZ19" s="667"/>
      <c r="JA19" s="667"/>
      <c r="JB19" s="668"/>
      <c r="JD19" s="667"/>
      <c r="JE19" s="667"/>
      <c r="JF19" s="667"/>
      <c r="JG19" s="667"/>
      <c r="JH19" s="667"/>
      <c r="JI19" s="667"/>
      <c r="JJ19" s="667"/>
      <c r="JK19" s="667"/>
      <c r="JL19" s="667"/>
      <c r="JM19" s="668"/>
      <c r="JO19" s="667"/>
      <c r="JP19" s="667"/>
      <c r="JQ19" s="667"/>
      <c r="JR19" s="667"/>
      <c r="JS19" s="667"/>
      <c r="JT19" s="667"/>
      <c r="JU19" s="667"/>
      <c r="JV19" s="667"/>
      <c r="JW19" s="667"/>
      <c r="JX19" s="668"/>
      <c r="JZ19" s="667"/>
      <c r="KA19" s="667"/>
      <c r="KB19" s="667"/>
      <c r="KC19" s="667"/>
      <c r="KD19" s="667"/>
      <c r="KE19" s="667"/>
      <c r="KF19" s="667"/>
      <c r="KG19" s="667"/>
      <c r="KH19" s="667"/>
      <c r="KI19" s="668"/>
      <c r="KK19" s="667"/>
      <c r="KL19" s="667"/>
      <c r="KM19" s="667"/>
      <c r="KN19" s="667"/>
      <c r="KO19" s="667"/>
      <c r="KP19" s="667"/>
      <c r="KQ19" s="667"/>
      <c r="KR19" s="667"/>
      <c r="KS19" s="667"/>
      <c r="KT19" s="668"/>
      <c r="KV19" s="667"/>
      <c r="KW19" s="667"/>
      <c r="KX19" s="667"/>
      <c r="KY19" s="667"/>
      <c r="KZ19" s="667"/>
      <c r="LA19" s="667"/>
      <c r="LB19" s="667"/>
      <c r="LC19" s="667"/>
      <c r="LD19" s="667"/>
      <c r="LE19" s="668"/>
      <c r="LG19" s="667"/>
      <c r="LH19" s="667"/>
      <c r="LI19" s="667"/>
      <c r="LJ19" s="667"/>
      <c r="LK19" s="667"/>
      <c r="LL19" s="667"/>
      <c r="LM19" s="667"/>
      <c r="LN19" s="667"/>
      <c r="LO19" s="667"/>
      <c r="LP19" s="668"/>
      <c r="LR19" s="667"/>
      <c r="LS19" s="667"/>
      <c r="LT19" s="667"/>
      <c r="LU19" s="667"/>
      <c r="LV19" s="667"/>
      <c r="LW19" s="667"/>
      <c r="LX19" s="667"/>
      <c r="LY19" s="667"/>
      <c r="LZ19" s="667"/>
      <c r="MA19" s="668"/>
      <c r="MC19" s="667"/>
      <c r="MD19" s="667"/>
      <c r="ME19" s="667"/>
      <c r="MF19" s="667"/>
      <c r="MG19" s="667"/>
      <c r="MH19" s="667"/>
      <c r="MI19" s="667"/>
      <c r="MJ19" s="667"/>
      <c r="MK19" s="667"/>
      <c r="ML19" s="668"/>
      <c r="MN19" s="667"/>
      <c r="MO19" s="667"/>
      <c r="MP19" s="667"/>
      <c r="MQ19" s="667"/>
      <c r="MR19" s="667"/>
      <c r="MS19" s="667"/>
      <c r="MT19" s="667"/>
      <c r="MU19" s="667"/>
      <c r="MV19" s="667"/>
      <c r="MW19" s="668"/>
      <c r="MY19" s="667"/>
      <c r="MZ19" s="667"/>
      <c r="NA19" s="667"/>
      <c r="NB19" s="667"/>
      <c r="NC19" s="667"/>
      <c r="ND19" s="667"/>
      <c r="NE19" s="667"/>
      <c r="NF19" s="667"/>
      <c r="NG19" s="667"/>
      <c r="NH19" s="668"/>
      <c r="NJ19" s="667"/>
      <c r="NK19" s="667"/>
      <c r="NL19" s="667"/>
      <c r="NM19" s="667"/>
      <c r="NN19" s="667"/>
      <c r="NO19" s="667"/>
      <c r="NP19" s="667"/>
      <c r="NQ19" s="667"/>
      <c r="NR19" s="667"/>
      <c r="NS19" s="668"/>
      <c r="NU19" s="667"/>
      <c r="NV19" s="667"/>
      <c r="NW19" s="667"/>
      <c r="NX19" s="667"/>
      <c r="NY19" s="667"/>
      <c r="NZ19" s="667"/>
      <c r="OA19" s="667"/>
      <c r="OB19" s="667"/>
      <c r="OC19" s="667"/>
      <c r="OD19" s="668"/>
      <c r="OF19" s="667"/>
      <c r="OG19" s="667"/>
      <c r="OH19" s="667"/>
      <c r="OI19" s="667"/>
      <c r="OJ19" s="667"/>
      <c r="OK19" s="667"/>
      <c r="OL19" s="667"/>
      <c r="OM19" s="667"/>
      <c r="ON19" s="667"/>
      <c r="OO19" s="668"/>
    </row>
    <row r="20" spans="1:405">
      <c r="A20" s="663" t="str">
        <v xml:space="preserve"> </v>
      </c>
      <c r="B20" s="667" t="s">
        <v>547</v>
      </c>
      <c r="C20" s="667" t="s">
        <v>548</v>
      </c>
      <c r="D20" s="667" t="s">
        <v>548</v>
      </c>
      <c r="E20" s="667" t="s">
        <v>546</v>
      </c>
      <c r="F20" s="668" t="s">
        <v>549</v>
      </c>
      <c r="G20" s="663"/>
      <c r="H20" s="667"/>
      <c r="I20" s="667"/>
      <c r="J20" s="667"/>
      <c r="K20" s="667"/>
      <c r="L20" s="668"/>
      <c r="N20" s="667"/>
      <c r="O20" s="667"/>
      <c r="P20" s="667"/>
      <c r="Q20" s="667"/>
      <c r="R20" s="668"/>
      <c r="T20" s="667"/>
      <c r="U20" s="667"/>
      <c r="V20" s="667"/>
      <c r="W20" s="667"/>
      <c r="X20" s="668"/>
      <c r="Z20" s="667"/>
      <c r="AA20" s="667"/>
      <c r="AB20" s="667"/>
      <c r="AC20" s="667"/>
      <c r="AD20" s="668"/>
      <c r="AF20" s="667"/>
      <c r="AG20" s="667"/>
      <c r="AH20" s="667"/>
      <c r="AI20" s="667"/>
      <c r="AJ20" s="668"/>
      <c r="AL20" s="667"/>
      <c r="AM20" s="667"/>
      <c r="AN20" s="667"/>
      <c r="AO20" s="667"/>
      <c r="AP20" s="668"/>
      <c r="AR20" s="667"/>
      <c r="AS20" s="667"/>
      <c r="AT20" s="667"/>
      <c r="AU20" s="667"/>
      <c r="AV20" s="668"/>
      <c r="AX20" s="667"/>
      <c r="AY20" s="667"/>
      <c r="AZ20" s="667"/>
      <c r="BA20" s="667"/>
      <c r="BB20" s="668"/>
      <c r="BD20" s="667"/>
      <c r="BE20" s="667"/>
      <c r="BF20" s="667"/>
      <c r="BG20" s="667"/>
      <c r="BH20" s="668"/>
      <c r="BJ20" s="667"/>
      <c r="BK20" s="667"/>
      <c r="BL20" s="667"/>
      <c r="BM20" s="667"/>
      <c r="BN20" s="668"/>
      <c r="BP20" s="667"/>
      <c r="BQ20" s="667"/>
      <c r="BR20" s="667"/>
      <c r="BS20" s="667"/>
      <c r="BT20" s="668"/>
      <c r="BV20" s="667"/>
      <c r="BW20" s="667"/>
      <c r="BX20" s="667"/>
      <c r="BY20" s="667"/>
      <c r="BZ20" s="668"/>
      <c r="CB20" s="667"/>
      <c r="CC20" s="667"/>
      <c r="CD20" s="667"/>
      <c r="CE20" s="667"/>
      <c r="CF20" s="668"/>
      <c r="CH20" s="667"/>
      <c r="CI20" s="667"/>
      <c r="CJ20" s="667"/>
      <c r="CK20" s="667"/>
      <c r="CL20" s="668"/>
      <c r="CN20" s="667"/>
      <c r="CO20" s="667"/>
      <c r="CP20" s="667"/>
      <c r="CQ20" s="667"/>
      <c r="CR20" s="668"/>
      <c r="CT20" s="667"/>
      <c r="CU20" s="667"/>
      <c r="CV20" s="667"/>
      <c r="CW20" s="667"/>
      <c r="CX20" s="668"/>
      <c r="CZ20" s="667"/>
      <c r="DA20" s="667"/>
      <c r="DB20" s="667"/>
      <c r="DC20" s="667"/>
      <c r="DD20" s="668"/>
      <c r="DF20" s="667"/>
      <c r="DG20" s="667"/>
      <c r="DH20" s="667"/>
      <c r="DI20" s="667"/>
      <c r="DJ20" s="668"/>
      <c r="DL20" s="667"/>
      <c r="DM20" s="667"/>
      <c r="DN20" s="667"/>
      <c r="DO20" s="667"/>
      <c r="DP20" s="668"/>
      <c r="DR20" s="667"/>
      <c r="DS20" s="667"/>
      <c r="DT20" s="667"/>
      <c r="DU20" s="667"/>
      <c r="DV20" s="668"/>
      <c r="DX20" s="667"/>
      <c r="DY20" s="667"/>
      <c r="DZ20" s="667"/>
      <c r="EA20" s="667"/>
      <c r="EB20" s="668"/>
      <c r="ED20" s="667"/>
      <c r="EE20" s="667"/>
      <c r="EF20" s="667"/>
      <c r="EG20" s="667"/>
      <c r="EH20" s="667"/>
      <c r="EI20" s="667"/>
      <c r="EJ20" s="667"/>
      <c r="EK20" s="667"/>
      <c r="EL20" s="667"/>
      <c r="EM20" s="668"/>
      <c r="EO20" s="667"/>
      <c r="EP20" s="667"/>
      <c r="EQ20" s="667"/>
      <c r="ER20" s="667"/>
      <c r="ES20" s="667"/>
      <c r="ET20" s="667"/>
      <c r="EU20" s="667"/>
      <c r="EV20" s="667"/>
      <c r="EW20" s="667"/>
      <c r="EX20" s="668"/>
      <c r="EZ20" s="667"/>
      <c r="FA20" s="667"/>
      <c r="FB20" s="667"/>
      <c r="FC20" s="667"/>
      <c r="FD20" s="667"/>
      <c r="FE20" s="667"/>
      <c r="FF20" s="667"/>
      <c r="FG20" s="667"/>
      <c r="FH20" s="667"/>
      <c r="FI20" s="668"/>
      <c r="FK20" s="667"/>
      <c r="FL20" s="667"/>
      <c r="FM20" s="667"/>
      <c r="FN20" s="667"/>
      <c r="FO20" s="667"/>
      <c r="FP20" s="667"/>
      <c r="FQ20" s="667"/>
      <c r="FR20" s="667"/>
      <c r="FS20" s="667"/>
      <c r="FT20" s="668"/>
      <c r="FV20" s="667"/>
      <c r="FW20" s="667"/>
      <c r="FX20" s="667"/>
      <c r="FY20" s="667"/>
      <c r="FZ20" s="667"/>
      <c r="GA20" s="667"/>
      <c r="GB20" s="667"/>
      <c r="GC20" s="667"/>
      <c r="GD20" s="667"/>
      <c r="GE20" s="668"/>
      <c r="GG20" s="667"/>
      <c r="GH20" s="667"/>
      <c r="GI20" s="667"/>
      <c r="GJ20" s="667"/>
      <c r="GK20" s="667"/>
      <c r="GL20" s="668"/>
      <c r="GN20" s="667"/>
      <c r="GO20" s="667"/>
      <c r="GP20" s="667"/>
      <c r="GQ20" s="667"/>
      <c r="GR20" s="667"/>
      <c r="GS20" s="668"/>
      <c r="GU20" s="667"/>
      <c r="GV20" s="667"/>
      <c r="GW20" s="667"/>
      <c r="GX20" s="667"/>
      <c r="GY20" s="667"/>
      <c r="GZ20" s="668"/>
      <c r="HB20" s="667"/>
      <c r="HC20" s="667"/>
      <c r="HD20" s="667"/>
      <c r="HE20" s="667"/>
      <c r="HF20" s="667"/>
      <c r="HG20" s="668"/>
      <c r="HI20" s="667"/>
      <c r="HJ20" s="667"/>
      <c r="HK20" s="667"/>
      <c r="HL20" s="667"/>
      <c r="HM20" s="667"/>
      <c r="HN20" s="668"/>
      <c r="HP20" s="667"/>
      <c r="HQ20" s="667"/>
      <c r="HR20" s="667"/>
      <c r="HS20" s="667"/>
      <c r="HT20" s="667"/>
      <c r="HU20" s="668"/>
      <c r="HW20" s="667"/>
      <c r="HX20" s="667"/>
      <c r="HY20" s="667"/>
      <c r="HZ20" s="667"/>
      <c r="IA20" s="667"/>
      <c r="IB20" s="667"/>
      <c r="IC20" s="667"/>
      <c r="ID20" s="667"/>
      <c r="IE20" s="667"/>
      <c r="IF20" s="668"/>
      <c r="IH20" s="667"/>
      <c r="II20" s="667"/>
      <c r="IJ20" s="667"/>
      <c r="IK20" s="667"/>
      <c r="IL20" s="667"/>
      <c r="IM20" s="667"/>
      <c r="IN20" s="667"/>
      <c r="IO20" s="667"/>
      <c r="IP20" s="667"/>
      <c r="IQ20" s="668"/>
      <c r="IS20" s="667"/>
      <c r="IT20" s="667"/>
      <c r="IU20" s="667"/>
      <c r="IV20" s="667"/>
      <c r="IW20" s="667"/>
      <c r="IX20" s="667"/>
      <c r="IY20" s="667"/>
      <c r="IZ20" s="667"/>
      <c r="JA20" s="667"/>
      <c r="JB20" s="668"/>
      <c r="JD20" s="667"/>
      <c r="JE20" s="667"/>
      <c r="JF20" s="667"/>
      <c r="JG20" s="667"/>
      <c r="JH20" s="667"/>
      <c r="JI20" s="667"/>
      <c r="JJ20" s="667"/>
      <c r="JK20" s="667"/>
      <c r="JL20" s="667"/>
      <c r="JM20" s="668"/>
      <c r="JO20" s="667"/>
      <c r="JP20" s="667"/>
      <c r="JQ20" s="667"/>
      <c r="JR20" s="667"/>
      <c r="JS20" s="667"/>
      <c r="JT20" s="667"/>
      <c r="JU20" s="667"/>
      <c r="JV20" s="667"/>
      <c r="JW20" s="667"/>
      <c r="JX20" s="668"/>
      <c r="JZ20" s="667"/>
      <c r="KA20" s="667"/>
      <c r="KB20" s="667"/>
      <c r="KC20" s="667"/>
      <c r="KD20" s="667"/>
      <c r="KE20" s="667"/>
      <c r="KF20" s="667"/>
      <c r="KG20" s="667"/>
      <c r="KH20" s="667"/>
      <c r="KI20" s="668"/>
      <c r="KK20" s="667"/>
      <c r="KL20" s="667"/>
      <c r="KM20" s="667"/>
      <c r="KN20" s="667"/>
      <c r="KO20" s="667"/>
      <c r="KP20" s="667"/>
      <c r="KQ20" s="667"/>
      <c r="KR20" s="667"/>
      <c r="KS20" s="667"/>
      <c r="KT20" s="668"/>
      <c r="KV20" s="667"/>
      <c r="KW20" s="667"/>
      <c r="KX20" s="667"/>
      <c r="KY20" s="667"/>
      <c r="KZ20" s="667"/>
      <c r="LA20" s="667"/>
      <c r="LB20" s="667"/>
      <c r="LC20" s="667"/>
      <c r="LD20" s="667"/>
      <c r="LE20" s="668"/>
      <c r="LG20" s="667"/>
      <c r="LH20" s="667"/>
      <c r="LI20" s="667"/>
      <c r="LJ20" s="667"/>
      <c r="LK20" s="667"/>
      <c r="LL20" s="667"/>
      <c r="LM20" s="667"/>
      <c r="LN20" s="667"/>
      <c r="LO20" s="667"/>
      <c r="LP20" s="668"/>
      <c r="LR20" s="667"/>
      <c r="LS20" s="667"/>
      <c r="LT20" s="667"/>
      <c r="LU20" s="667"/>
      <c r="LV20" s="667"/>
      <c r="LW20" s="667"/>
      <c r="LX20" s="667"/>
      <c r="LY20" s="667"/>
      <c r="LZ20" s="667"/>
      <c r="MA20" s="668"/>
      <c r="MC20" s="667"/>
      <c r="MD20" s="667"/>
      <c r="ME20" s="667"/>
      <c r="MF20" s="667"/>
      <c r="MG20" s="667"/>
      <c r="MH20" s="667"/>
      <c r="MI20" s="667"/>
      <c r="MJ20" s="667"/>
      <c r="MK20" s="667"/>
      <c r="ML20" s="668"/>
      <c r="MN20" s="667"/>
      <c r="MO20" s="667"/>
      <c r="MP20" s="667"/>
      <c r="MQ20" s="667"/>
      <c r="MR20" s="667"/>
      <c r="MS20" s="667"/>
      <c r="MT20" s="667"/>
      <c r="MU20" s="667"/>
      <c r="MV20" s="667"/>
      <c r="MW20" s="668"/>
      <c r="MY20" s="667"/>
      <c r="MZ20" s="667"/>
      <c r="NA20" s="667"/>
      <c r="NB20" s="667"/>
      <c r="NC20" s="667"/>
      <c r="ND20" s="667"/>
      <c r="NE20" s="667"/>
      <c r="NF20" s="667"/>
      <c r="NG20" s="667"/>
      <c r="NH20" s="668"/>
      <c r="NJ20" s="667"/>
      <c r="NK20" s="667"/>
      <c r="NL20" s="667"/>
      <c r="NM20" s="667"/>
      <c r="NN20" s="667"/>
      <c r="NO20" s="667"/>
      <c r="NP20" s="667"/>
      <c r="NQ20" s="667"/>
      <c r="NR20" s="667"/>
      <c r="NS20" s="668"/>
      <c r="NU20" s="667"/>
      <c r="NV20" s="667"/>
      <c r="NW20" s="667"/>
      <c r="NX20" s="667"/>
      <c r="NY20" s="667"/>
      <c r="NZ20" s="667"/>
      <c r="OA20" s="667"/>
      <c r="OB20" s="667"/>
      <c r="OC20" s="667"/>
      <c r="OD20" s="668"/>
      <c r="OF20" s="667"/>
      <c r="OG20" s="667"/>
      <c r="OH20" s="667"/>
      <c r="OI20" s="667"/>
      <c r="OJ20" s="667"/>
      <c r="OK20" s="667"/>
      <c r="OL20" s="667"/>
      <c r="OM20" s="667"/>
      <c r="ON20" s="667"/>
      <c r="OO20" s="668"/>
    </row>
    <row r="21" spans="1:405">
      <c r="A21" s="663" t="str">
        <v xml:space="preserve"> </v>
      </c>
      <c r="B21" s="667" t="s">
        <v>547</v>
      </c>
      <c r="C21" s="667" t="s">
        <v>548</v>
      </c>
      <c r="D21" s="667" t="s">
        <v>548</v>
      </c>
      <c r="E21" s="667" t="s">
        <v>546</v>
      </c>
      <c r="F21" s="668" t="s">
        <v>553</v>
      </c>
      <c r="G21" s="663"/>
      <c r="H21" s="667"/>
      <c r="I21" s="667"/>
      <c r="J21" s="667"/>
      <c r="K21" s="667"/>
      <c r="L21" s="668"/>
      <c r="N21" s="667"/>
      <c r="O21" s="667"/>
      <c r="P21" s="667"/>
      <c r="Q21" s="667"/>
      <c r="R21" s="668"/>
      <c r="T21" s="667"/>
      <c r="U21" s="667"/>
      <c r="V21" s="667"/>
      <c r="W21" s="667"/>
      <c r="X21" s="668"/>
      <c r="Z21" s="667"/>
      <c r="AA21" s="667"/>
      <c r="AB21" s="667"/>
      <c r="AC21" s="667"/>
      <c r="AD21" s="668"/>
      <c r="AF21" s="667"/>
      <c r="AG21" s="667"/>
      <c r="AH21" s="667"/>
      <c r="AI21" s="667"/>
      <c r="AJ21" s="668"/>
      <c r="AL21" s="667"/>
      <c r="AM21" s="667"/>
      <c r="AN21" s="667"/>
      <c r="AO21" s="667"/>
      <c r="AP21" s="668"/>
      <c r="AR21" s="667"/>
      <c r="AS21" s="667"/>
      <c r="AT21" s="667"/>
      <c r="AU21" s="667"/>
      <c r="AV21" s="668"/>
      <c r="AX21" s="667"/>
      <c r="AY21" s="667"/>
      <c r="AZ21" s="667"/>
      <c r="BA21" s="667"/>
      <c r="BB21" s="668"/>
      <c r="BD21" s="667"/>
      <c r="BE21" s="667"/>
      <c r="BF21" s="667"/>
      <c r="BG21" s="667"/>
      <c r="BH21" s="668"/>
      <c r="BJ21" s="667"/>
      <c r="BK21" s="667"/>
      <c r="BL21" s="667"/>
      <c r="BM21" s="667"/>
      <c r="BN21" s="668"/>
      <c r="BP21" s="667"/>
      <c r="BQ21" s="667"/>
      <c r="BR21" s="667"/>
      <c r="BS21" s="667"/>
      <c r="BT21" s="668"/>
      <c r="BV21" s="667"/>
      <c r="BW21" s="667"/>
      <c r="BX21" s="667"/>
      <c r="BY21" s="667"/>
      <c r="BZ21" s="668"/>
      <c r="CB21" s="667"/>
      <c r="CC21" s="667"/>
      <c r="CD21" s="667"/>
      <c r="CE21" s="667"/>
      <c r="CF21" s="668"/>
      <c r="CH21" s="667"/>
      <c r="CI21" s="667"/>
      <c r="CJ21" s="667"/>
      <c r="CK21" s="667"/>
      <c r="CL21" s="668"/>
      <c r="CN21" s="667"/>
      <c r="CO21" s="667"/>
      <c r="CP21" s="667"/>
      <c r="CQ21" s="667"/>
      <c r="CR21" s="668"/>
      <c r="CT21" s="667"/>
      <c r="CU21" s="667"/>
      <c r="CV21" s="667"/>
      <c r="CW21" s="667"/>
      <c r="CX21" s="668"/>
      <c r="CZ21" s="667"/>
      <c r="DA21" s="667"/>
      <c r="DB21" s="667"/>
      <c r="DC21" s="667"/>
      <c r="DD21" s="668"/>
      <c r="DF21" s="667"/>
      <c r="DG21" s="667"/>
      <c r="DH21" s="667"/>
      <c r="DI21" s="667"/>
      <c r="DJ21" s="668"/>
      <c r="DL21" s="667"/>
      <c r="DM21" s="667"/>
      <c r="DN21" s="667"/>
      <c r="DO21" s="667"/>
      <c r="DP21" s="668"/>
      <c r="DR21" s="667"/>
      <c r="DS21" s="667"/>
      <c r="DT21" s="667"/>
      <c r="DU21" s="667"/>
      <c r="DV21" s="668"/>
      <c r="DX21" s="667"/>
      <c r="DY21" s="667"/>
      <c r="DZ21" s="667"/>
      <c r="EA21" s="667"/>
      <c r="EB21" s="668"/>
      <c r="ED21" s="667"/>
      <c r="EE21" s="667"/>
      <c r="EF21" s="667"/>
      <c r="EG21" s="667"/>
      <c r="EH21" s="667"/>
      <c r="EI21" s="667"/>
      <c r="EJ21" s="667"/>
      <c r="EK21" s="667"/>
      <c r="EL21" s="667"/>
      <c r="EM21" s="668"/>
      <c r="EO21" s="667"/>
      <c r="EP21" s="667"/>
      <c r="EQ21" s="667"/>
      <c r="ER21" s="667"/>
      <c r="ES21" s="667"/>
      <c r="ET21" s="667"/>
      <c r="EU21" s="667"/>
      <c r="EV21" s="667"/>
      <c r="EW21" s="667"/>
      <c r="EX21" s="668"/>
      <c r="EZ21" s="667"/>
      <c r="FA21" s="667"/>
      <c r="FB21" s="667"/>
      <c r="FC21" s="667"/>
      <c r="FD21" s="667"/>
      <c r="FE21" s="667"/>
      <c r="FF21" s="667"/>
      <c r="FG21" s="667"/>
      <c r="FH21" s="667"/>
      <c r="FI21" s="668"/>
      <c r="FK21" s="667"/>
      <c r="FL21" s="667"/>
      <c r="FM21" s="667"/>
      <c r="FN21" s="667"/>
      <c r="FO21" s="667"/>
      <c r="FP21" s="667"/>
      <c r="FQ21" s="667"/>
      <c r="FR21" s="667"/>
      <c r="FS21" s="667"/>
      <c r="FT21" s="668"/>
      <c r="FV21" s="667"/>
      <c r="FW21" s="667"/>
      <c r="FX21" s="667"/>
      <c r="FY21" s="667"/>
      <c r="FZ21" s="667"/>
      <c r="GA21" s="667"/>
      <c r="GB21" s="667"/>
      <c r="GC21" s="667"/>
      <c r="GD21" s="667"/>
      <c r="GE21" s="668"/>
      <c r="GG21" s="667"/>
      <c r="GH21" s="667"/>
      <c r="GI21" s="667"/>
      <c r="GJ21" s="667"/>
      <c r="GK21" s="667"/>
      <c r="GL21" s="668"/>
      <c r="GN21" s="667"/>
      <c r="GO21" s="667"/>
      <c r="GP21" s="667"/>
      <c r="GQ21" s="667"/>
      <c r="GR21" s="667"/>
      <c r="GS21" s="668"/>
      <c r="GU21" s="667"/>
      <c r="GV21" s="667"/>
      <c r="GW21" s="667"/>
      <c r="GX21" s="667"/>
      <c r="GY21" s="667"/>
      <c r="GZ21" s="668"/>
      <c r="HB21" s="667"/>
      <c r="HC21" s="667"/>
      <c r="HD21" s="667"/>
      <c r="HE21" s="667"/>
      <c r="HF21" s="667"/>
      <c r="HG21" s="668"/>
      <c r="HI21" s="667"/>
      <c r="HJ21" s="667"/>
      <c r="HK21" s="667"/>
      <c r="HL21" s="667"/>
      <c r="HM21" s="667"/>
      <c r="HN21" s="668"/>
      <c r="HP21" s="667"/>
      <c r="HQ21" s="667"/>
      <c r="HR21" s="667"/>
      <c r="HS21" s="667"/>
      <c r="HT21" s="667"/>
      <c r="HU21" s="668"/>
      <c r="HW21" s="667"/>
      <c r="HX21" s="667"/>
      <c r="HY21" s="667"/>
      <c r="HZ21" s="667"/>
      <c r="IA21" s="667"/>
      <c r="IB21" s="667"/>
      <c r="IC21" s="667"/>
      <c r="ID21" s="667"/>
      <c r="IE21" s="667"/>
      <c r="IF21" s="668"/>
      <c r="IH21" s="667"/>
      <c r="II21" s="667"/>
      <c r="IJ21" s="667"/>
      <c r="IK21" s="667"/>
      <c r="IL21" s="667"/>
      <c r="IM21" s="667"/>
      <c r="IN21" s="667"/>
      <c r="IO21" s="667"/>
      <c r="IP21" s="667"/>
      <c r="IQ21" s="668"/>
      <c r="IS21" s="667"/>
      <c r="IT21" s="667"/>
      <c r="IU21" s="667"/>
      <c r="IV21" s="667"/>
      <c r="IW21" s="667"/>
      <c r="IX21" s="667"/>
      <c r="IY21" s="667"/>
      <c r="IZ21" s="667"/>
      <c r="JA21" s="667"/>
      <c r="JB21" s="668"/>
      <c r="JD21" s="667"/>
      <c r="JE21" s="667"/>
      <c r="JF21" s="667"/>
      <c r="JG21" s="667"/>
      <c r="JH21" s="667"/>
      <c r="JI21" s="667"/>
      <c r="JJ21" s="667"/>
      <c r="JK21" s="667"/>
      <c r="JL21" s="667"/>
      <c r="JM21" s="668"/>
      <c r="JO21" s="667"/>
      <c r="JP21" s="667"/>
      <c r="JQ21" s="667"/>
      <c r="JR21" s="667"/>
      <c r="JS21" s="667"/>
      <c r="JT21" s="667"/>
      <c r="JU21" s="667"/>
      <c r="JV21" s="667"/>
      <c r="JW21" s="667"/>
      <c r="JX21" s="668"/>
      <c r="JZ21" s="667"/>
      <c r="KA21" s="667"/>
      <c r="KB21" s="667"/>
      <c r="KC21" s="667"/>
      <c r="KD21" s="667"/>
      <c r="KE21" s="667"/>
      <c r="KF21" s="667"/>
      <c r="KG21" s="667"/>
      <c r="KH21" s="667"/>
      <c r="KI21" s="668"/>
      <c r="KK21" s="667"/>
      <c r="KL21" s="667"/>
      <c r="KM21" s="667"/>
      <c r="KN21" s="667"/>
      <c r="KO21" s="667"/>
      <c r="KP21" s="667"/>
      <c r="KQ21" s="667"/>
      <c r="KR21" s="667"/>
      <c r="KS21" s="667"/>
      <c r="KT21" s="668"/>
      <c r="KV21" s="667"/>
      <c r="KW21" s="667"/>
      <c r="KX21" s="667"/>
      <c r="KY21" s="667"/>
      <c r="KZ21" s="667"/>
      <c r="LA21" s="667"/>
      <c r="LB21" s="667"/>
      <c r="LC21" s="667"/>
      <c r="LD21" s="667"/>
      <c r="LE21" s="668"/>
      <c r="LG21" s="667"/>
      <c r="LH21" s="667"/>
      <c r="LI21" s="667"/>
      <c r="LJ21" s="667"/>
      <c r="LK21" s="667"/>
      <c r="LL21" s="667"/>
      <c r="LM21" s="667"/>
      <c r="LN21" s="667"/>
      <c r="LO21" s="667"/>
      <c r="LP21" s="668"/>
      <c r="LR21" s="667"/>
      <c r="LS21" s="667"/>
      <c r="LT21" s="667"/>
      <c r="LU21" s="667"/>
      <c r="LV21" s="667"/>
      <c r="LW21" s="667"/>
      <c r="LX21" s="667"/>
      <c r="LY21" s="667"/>
      <c r="LZ21" s="667"/>
      <c r="MA21" s="668"/>
      <c r="MC21" s="667"/>
      <c r="MD21" s="667"/>
      <c r="ME21" s="667"/>
      <c r="MF21" s="667"/>
      <c r="MG21" s="667"/>
      <c r="MH21" s="667"/>
      <c r="MI21" s="667"/>
      <c r="MJ21" s="667"/>
      <c r="MK21" s="667"/>
      <c r="ML21" s="668"/>
      <c r="MN21" s="667"/>
      <c r="MO21" s="667"/>
      <c r="MP21" s="667"/>
      <c r="MQ21" s="667"/>
      <c r="MR21" s="667"/>
      <c r="MS21" s="667"/>
      <c r="MT21" s="667"/>
      <c r="MU21" s="667"/>
      <c r="MV21" s="667"/>
      <c r="MW21" s="668"/>
      <c r="MY21" s="667"/>
      <c r="MZ21" s="667"/>
      <c r="NA21" s="667"/>
      <c r="NB21" s="667"/>
      <c r="NC21" s="667"/>
      <c r="ND21" s="667"/>
      <c r="NE21" s="667"/>
      <c r="NF21" s="667"/>
      <c r="NG21" s="667"/>
      <c r="NH21" s="668"/>
      <c r="NJ21" s="667"/>
      <c r="NK21" s="667"/>
      <c r="NL21" s="667"/>
      <c r="NM21" s="667"/>
      <c r="NN21" s="667"/>
      <c r="NO21" s="667"/>
      <c r="NP21" s="667"/>
      <c r="NQ21" s="667"/>
      <c r="NR21" s="667"/>
      <c r="NS21" s="668"/>
      <c r="NU21" s="667"/>
      <c r="NV21" s="667"/>
      <c r="NW21" s="667"/>
      <c r="NX21" s="667"/>
      <c r="NY21" s="667"/>
      <c r="NZ21" s="667"/>
      <c r="OA21" s="667"/>
      <c r="OB21" s="667"/>
      <c r="OC21" s="667"/>
      <c r="OD21" s="668"/>
      <c r="OF21" s="667"/>
      <c r="OG21" s="667"/>
      <c r="OH21" s="667"/>
      <c r="OI21" s="667"/>
      <c r="OJ21" s="667"/>
      <c r="OK21" s="667"/>
      <c r="OL21" s="667"/>
      <c r="OM21" s="667"/>
      <c r="ON21" s="667"/>
      <c r="OO21" s="668"/>
    </row>
    <row r="22" spans="1:405">
      <c r="A22" s="663" t="str">
        <v xml:space="preserve"> </v>
      </c>
      <c r="B22" s="667" t="s">
        <v>547</v>
      </c>
      <c r="C22" s="667" t="s">
        <v>548</v>
      </c>
      <c r="D22" s="667" t="s">
        <v>548</v>
      </c>
      <c r="E22" s="667" t="s">
        <v>546</v>
      </c>
      <c r="F22" s="668" t="s">
        <v>551</v>
      </c>
      <c r="G22" s="663"/>
      <c r="H22" s="667"/>
      <c r="I22" s="667"/>
      <c r="J22" s="667"/>
      <c r="K22" s="667"/>
      <c r="L22" s="668"/>
      <c r="N22" s="667"/>
      <c r="O22" s="667"/>
      <c r="P22" s="667"/>
      <c r="Q22" s="667"/>
      <c r="R22" s="668"/>
      <c r="T22" s="667"/>
      <c r="U22" s="667"/>
      <c r="V22" s="667"/>
      <c r="W22" s="667"/>
      <c r="X22" s="668"/>
      <c r="Z22" s="667"/>
      <c r="AA22" s="667"/>
      <c r="AB22" s="667"/>
      <c r="AC22" s="667"/>
      <c r="AD22" s="668"/>
      <c r="AF22" s="667"/>
      <c r="AG22" s="667"/>
      <c r="AH22" s="667"/>
      <c r="AI22" s="667"/>
      <c r="AJ22" s="668"/>
      <c r="AL22" s="667"/>
      <c r="AM22" s="667"/>
      <c r="AN22" s="667"/>
      <c r="AO22" s="667"/>
      <c r="AP22" s="668"/>
      <c r="AR22" s="667"/>
      <c r="AS22" s="667"/>
      <c r="AT22" s="667"/>
      <c r="AU22" s="667"/>
      <c r="AV22" s="668"/>
      <c r="AX22" s="667"/>
      <c r="AY22" s="667"/>
      <c r="AZ22" s="667"/>
      <c r="BA22" s="667"/>
      <c r="BB22" s="668"/>
      <c r="BD22" s="667"/>
      <c r="BE22" s="667"/>
      <c r="BF22" s="667"/>
      <c r="BG22" s="667"/>
      <c r="BH22" s="668"/>
      <c r="BJ22" s="667"/>
      <c r="BK22" s="667"/>
      <c r="BL22" s="667"/>
      <c r="BM22" s="667"/>
      <c r="BN22" s="668"/>
      <c r="BP22" s="667"/>
      <c r="BQ22" s="667"/>
      <c r="BR22" s="667"/>
      <c r="BS22" s="667"/>
      <c r="BT22" s="668"/>
      <c r="BV22" s="667"/>
      <c r="BW22" s="667"/>
      <c r="BX22" s="667"/>
      <c r="BY22" s="667"/>
      <c r="BZ22" s="668"/>
      <c r="CB22" s="667"/>
      <c r="CC22" s="667"/>
      <c r="CD22" s="667"/>
      <c r="CE22" s="667"/>
      <c r="CF22" s="668"/>
      <c r="CH22" s="667"/>
      <c r="CI22" s="667"/>
      <c r="CJ22" s="667"/>
      <c r="CK22" s="667"/>
      <c r="CL22" s="668"/>
      <c r="CN22" s="667"/>
      <c r="CO22" s="667"/>
      <c r="CP22" s="667"/>
      <c r="CQ22" s="667"/>
      <c r="CR22" s="668"/>
      <c r="CT22" s="667"/>
      <c r="CU22" s="667"/>
      <c r="CV22" s="667"/>
      <c r="CW22" s="667"/>
      <c r="CX22" s="668"/>
      <c r="CZ22" s="667"/>
      <c r="DA22" s="667"/>
      <c r="DB22" s="667"/>
      <c r="DC22" s="667"/>
      <c r="DD22" s="668"/>
      <c r="DF22" s="667"/>
      <c r="DG22" s="667"/>
      <c r="DH22" s="667"/>
      <c r="DI22" s="667"/>
      <c r="DJ22" s="668"/>
      <c r="DL22" s="667"/>
      <c r="DM22" s="667"/>
      <c r="DN22" s="667"/>
      <c r="DO22" s="667"/>
      <c r="DP22" s="668"/>
      <c r="DR22" s="667"/>
      <c r="DS22" s="667"/>
      <c r="DT22" s="667"/>
      <c r="DU22" s="667"/>
      <c r="DV22" s="668"/>
      <c r="DX22" s="667"/>
      <c r="DY22" s="667"/>
      <c r="DZ22" s="667"/>
      <c r="EA22" s="667"/>
      <c r="EB22" s="668"/>
      <c r="ED22" s="667"/>
      <c r="EE22" s="667"/>
      <c r="EF22" s="667"/>
      <c r="EG22" s="667"/>
      <c r="EH22" s="667"/>
      <c r="EI22" s="667"/>
      <c r="EJ22" s="667"/>
      <c r="EK22" s="667"/>
      <c r="EL22" s="667"/>
      <c r="EM22" s="668"/>
      <c r="EO22" s="667"/>
      <c r="EP22" s="667"/>
      <c r="EQ22" s="667"/>
      <c r="ER22" s="667"/>
      <c r="ES22" s="667"/>
      <c r="ET22" s="667"/>
      <c r="EU22" s="667"/>
      <c r="EV22" s="667"/>
      <c r="EW22" s="667"/>
      <c r="EX22" s="668"/>
      <c r="EZ22" s="667"/>
      <c r="FA22" s="667"/>
      <c r="FB22" s="667"/>
      <c r="FC22" s="667"/>
      <c r="FD22" s="667"/>
      <c r="FE22" s="667"/>
      <c r="FF22" s="667"/>
      <c r="FG22" s="667"/>
      <c r="FH22" s="667"/>
      <c r="FI22" s="668"/>
      <c r="FK22" s="667"/>
      <c r="FL22" s="667"/>
      <c r="FM22" s="667"/>
      <c r="FN22" s="667"/>
      <c r="FO22" s="667"/>
      <c r="FP22" s="667"/>
      <c r="FQ22" s="667"/>
      <c r="FR22" s="667"/>
      <c r="FS22" s="667"/>
      <c r="FT22" s="668"/>
      <c r="FV22" s="667"/>
      <c r="FW22" s="667"/>
      <c r="FX22" s="667"/>
      <c r="FY22" s="667"/>
      <c r="FZ22" s="667"/>
      <c r="GA22" s="667"/>
      <c r="GB22" s="667"/>
      <c r="GC22" s="667"/>
      <c r="GD22" s="667"/>
      <c r="GE22" s="668"/>
      <c r="GG22" s="667"/>
      <c r="GH22" s="667"/>
      <c r="GI22" s="667"/>
      <c r="GJ22" s="667"/>
      <c r="GK22" s="667"/>
      <c r="GL22" s="668"/>
      <c r="GN22" s="667"/>
      <c r="GO22" s="667"/>
      <c r="GP22" s="667"/>
      <c r="GQ22" s="667"/>
      <c r="GR22" s="667"/>
      <c r="GS22" s="668"/>
      <c r="GU22" s="667"/>
      <c r="GV22" s="667"/>
      <c r="GW22" s="667"/>
      <c r="GX22" s="667"/>
      <c r="GY22" s="667"/>
      <c r="GZ22" s="668"/>
      <c r="HB22" s="667"/>
      <c r="HC22" s="667"/>
      <c r="HD22" s="667"/>
      <c r="HE22" s="667"/>
      <c r="HF22" s="667"/>
      <c r="HG22" s="668"/>
      <c r="HI22" s="667"/>
      <c r="HJ22" s="667"/>
      <c r="HK22" s="667"/>
      <c r="HL22" s="667"/>
      <c r="HM22" s="667"/>
      <c r="HN22" s="668"/>
      <c r="HP22" s="667"/>
      <c r="HQ22" s="667"/>
      <c r="HR22" s="667"/>
      <c r="HS22" s="667"/>
      <c r="HT22" s="667"/>
      <c r="HU22" s="668"/>
      <c r="HW22" s="667"/>
      <c r="HX22" s="667"/>
      <c r="HY22" s="667"/>
      <c r="HZ22" s="667"/>
      <c r="IA22" s="667"/>
      <c r="IB22" s="667"/>
      <c r="IC22" s="667"/>
      <c r="ID22" s="667"/>
      <c r="IE22" s="667"/>
      <c r="IF22" s="668"/>
      <c r="IH22" s="667"/>
      <c r="II22" s="667"/>
      <c r="IJ22" s="667"/>
      <c r="IK22" s="667"/>
      <c r="IL22" s="667"/>
      <c r="IM22" s="667"/>
      <c r="IN22" s="667"/>
      <c r="IO22" s="667"/>
      <c r="IP22" s="667"/>
      <c r="IQ22" s="668"/>
      <c r="IS22" s="667"/>
      <c r="IT22" s="667"/>
      <c r="IU22" s="667"/>
      <c r="IV22" s="667"/>
      <c r="IW22" s="667"/>
      <c r="IX22" s="667"/>
      <c r="IY22" s="667"/>
      <c r="IZ22" s="667"/>
      <c r="JA22" s="667"/>
      <c r="JB22" s="668"/>
      <c r="JD22" s="667"/>
      <c r="JE22" s="667"/>
      <c r="JF22" s="667"/>
      <c r="JG22" s="667"/>
      <c r="JH22" s="667"/>
      <c r="JI22" s="667"/>
      <c r="JJ22" s="667"/>
      <c r="JK22" s="667"/>
      <c r="JL22" s="667"/>
      <c r="JM22" s="668"/>
      <c r="JO22" s="667"/>
      <c r="JP22" s="667"/>
      <c r="JQ22" s="667"/>
      <c r="JR22" s="667"/>
      <c r="JS22" s="667"/>
      <c r="JT22" s="667"/>
      <c r="JU22" s="667"/>
      <c r="JV22" s="667"/>
      <c r="JW22" s="667"/>
      <c r="JX22" s="668"/>
      <c r="JZ22" s="667"/>
      <c r="KA22" s="667"/>
      <c r="KB22" s="667"/>
      <c r="KC22" s="667"/>
      <c r="KD22" s="667"/>
      <c r="KE22" s="667"/>
      <c r="KF22" s="667"/>
      <c r="KG22" s="667"/>
      <c r="KH22" s="667"/>
      <c r="KI22" s="668"/>
      <c r="KK22" s="667"/>
      <c r="KL22" s="667"/>
      <c r="KM22" s="667"/>
      <c r="KN22" s="667"/>
      <c r="KO22" s="667"/>
      <c r="KP22" s="667"/>
      <c r="KQ22" s="667"/>
      <c r="KR22" s="667"/>
      <c r="KS22" s="667"/>
      <c r="KT22" s="668"/>
      <c r="KV22" s="667"/>
      <c r="KW22" s="667"/>
      <c r="KX22" s="667"/>
      <c r="KY22" s="667"/>
      <c r="KZ22" s="667"/>
      <c r="LA22" s="667"/>
      <c r="LB22" s="667"/>
      <c r="LC22" s="667"/>
      <c r="LD22" s="667"/>
      <c r="LE22" s="668"/>
      <c r="LG22" s="667"/>
      <c r="LH22" s="667"/>
      <c r="LI22" s="667"/>
      <c r="LJ22" s="667"/>
      <c r="LK22" s="667"/>
      <c r="LL22" s="667"/>
      <c r="LM22" s="667"/>
      <c r="LN22" s="667"/>
      <c r="LO22" s="667"/>
      <c r="LP22" s="668"/>
      <c r="LR22" s="667"/>
      <c r="LS22" s="667"/>
      <c r="LT22" s="667"/>
      <c r="LU22" s="667"/>
      <c r="LV22" s="667"/>
      <c r="LW22" s="667"/>
      <c r="LX22" s="667"/>
      <c r="LY22" s="667"/>
      <c r="LZ22" s="667"/>
      <c r="MA22" s="668"/>
      <c r="MC22" s="667"/>
      <c r="MD22" s="667"/>
      <c r="ME22" s="667"/>
      <c r="MF22" s="667"/>
      <c r="MG22" s="667"/>
      <c r="MH22" s="667"/>
      <c r="MI22" s="667"/>
      <c r="MJ22" s="667"/>
      <c r="MK22" s="667"/>
      <c r="ML22" s="668"/>
      <c r="MN22" s="667"/>
      <c r="MO22" s="667"/>
      <c r="MP22" s="667"/>
      <c r="MQ22" s="667"/>
      <c r="MR22" s="667"/>
      <c r="MS22" s="667"/>
      <c r="MT22" s="667"/>
      <c r="MU22" s="667"/>
      <c r="MV22" s="667"/>
      <c r="MW22" s="668"/>
      <c r="MY22" s="667"/>
      <c r="MZ22" s="667"/>
      <c r="NA22" s="667"/>
      <c r="NB22" s="667"/>
      <c r="NC22" s="667"/>
      <c r="ND22" s="667"/>
      <c r="NE22" s="667"/>
      <c r="NF22" s="667"/>
      <c r="NG22" s="667"/>
      <c r="NH22" s="668"/>
      <c r="NJ22" s="667"/>
      <c r="NK22" s="667"/>
      <c r="NL22" s="667"/>
      <c r="NM22" s="667"/>
      <c r="NN22" s="667"/>
      <c r="NO22" s="667"/>
      <c r="NP22" s="667"/>
      <c r="NQ22" s="667"/>
      <c r="NR22" s="667"/>
      <c r="NS22" s="668"/>
      <c r="NU22" s="667"/>
      <c r="NV22" s="667"/>
      <c r="NW22" s="667"/>
      <c r="NX22" s="667"/>
      <c r="NY22" s="667"/>
      <c r="NZ22" s="667"/>
      <c r="OA22" s="667"/>
      <c r="OB22" s="667"/>
      <c r="OC22" s="667"/>
      <c r="OD22" s="668"/>
      <c r="OF22" s="667"/>
      <c r="OG22" s="667"/>
      <c r="OH22" s="667"/>
      <c r="OI22" s="667"/>
      <c r="OJ22" s="667"/>
      <c r="OK22" s="667"/>
      <c r="OL22" s="667"/>
      <c r="OM22" s="667"/>
      <c r="ON22" s="667"/>
      <c r="OO22" s="668"/>
    </row>
    <row r="23" spans="1:405">
      <c r="A23" s="663" t="str">
        <v xml:space="preserve"> </v>
      </c>
      <c r="B23" s="667" t="s">
        <v>547</v>
      </c>
      <c r="C23" s="667" t="s">
        <v>548</v>
      </c>
      <c r="D23" s="667" t="s">
        <v>548</v>
      </c>
      <c r="E23" s="667" t="s">
        <v>546</v>
      </c>
      <c r="F23" s="668" t="s">
        <v>549</v>
      </c>
      <c r="G23" s="663"/>
      <c r="H23" s="667"/>
      <c r="I23" s="667"/>
      <c r="J23" s="667"/>
      <c r="K23" s="667"/>
      <c r="L23" s="668"/>
      <c r="N23" s="667"/>
      <c r="O23" s="667"/>
      <c r="P23" s="667"/>
      <c r="Q23" s="667"/>
      <c r="R23" s="668"/>
      <c r="T23" s="667"/>
      <c r="U23" s="667"/>
      <c r="V23" s="667"/>
      <c r="W23" s="667"/>
      <c r="X23" s="668"/>
      <c r="Z23" s="667"/>
      <c r="AA23" s="667"/>
      <c r="AB23" s="667"/>
      <c r="AC23" s="667"/>
      <c r="AD23" s="668"/>
      <c r="AF23" s="667"/>
      <c r="AG23" s="667"/>
      <c r="AH23" s="667"/>
      <c r="AI23" s="667"/>
      <c r="AJ23" s="668"/>
      <c r="AL23" s="667"/>
      <c r="AM23" s="667"/>
      <c r="AN23" s="667"/>
      <c r="AO23" s="667"/>
      <c r="AP23" s="668"/>
      <c r="AR23" s="667"/>
      <c r="AS23" s="667"/>
      <c r="AT23" s="667"/>
      <c r="AU23" s="667"/>
      <c r="AV23" s="668"/>
      <c r="AX23" s="667"/>
      <c r="AY23" s="667"/>
      <c r="AZ23" s="667"/>
      <c r="BA23" s="667"/>
      <c r="BB23" s="668"/>
      <c r="BD23" s="667"/>
      <c r="BE23" s="667"/>
      <c r="BF23" s="667"/>
      <c r="BG23" s="667"/>
      <c r="BH23" s="668"/>
      <c r="BJ23" s="667"/>
      <c r="BK23" s="667"/>
      <c r="BL23" s="667"/>
      <c r="BM23" s="667"/>
      <c r="BN23" s="668"/>
      <c r="BP23" s="667"/>
      <c r="BQ23" s="667"/>
      <c r="BR23" s="667"/>
      <c r="BS23" s="667"/>
      <c r="BT23" s="668"/>
      <c r="BV23" s="667"/>
      <c r="BW23" s="667"/>
      <c r="BX23" s="667"/>
      <c r="BY23" s="667"/>
      <c r="BZ23" s="668"/>
      <c r="CB23" s="667"/>
      <c r="CC23" s="667"/>
      <c r="CD23" s="667"/>
      <c r="CE23" s="667"/>
      <c r="CF23" s="668"/>
      <c r="CH23" s="667"/>
      <c r="CI23" s="667"/>
      <c r="CJ23" s="667"/>
      <c r="CK23" s="667"/>
      <c r="CL23" s="668"/>
      <c r="CN23" s="667"/>
      <c r="CO23" s="667"/>
      <c r="CP23" s="667"/>
      <c r="CQ23" s="667"/>
      <c r="CR23" s="668"/>
      <c r="CT23" s="667"/>
      <c r="CU23" s="667"/>
      <c r="CV23" s="667"/>
      <c r="CW23" s="667"/>
      <c r="CX23" s="668"/>
      <c r="CZ23" s="667"/>
      <c r="DA23" s="667"/>
      <c r="DB23" s="667"/>
      <c r="DC23" s="667"/>
      <c r="DD23" s="668"/>
      <c r="DF23" s="667"/>
      <c r="DG23" s="667"/>
      <c r="DH23" s="667"/>
      <c r="DI23" s="667"/>
      <c r="DJ23" s="668"/>
      <c r="DL23" s="667"/>
      <c r="DM23" s="667"/>
      <c r="DN23" s="667"/>
      <c r="DO23" s="667"/>
      <c r="DP23" s="668"/>
      <c r="DR23" s="667"/>
      <c r="DS23" s="667"/>
      <c r="DT23" s="667"/>
      <c r="DU23" s="667"/>
      <c r="DV23" s="668"/>
      <c r="DX23" s="667"/>
      <c r="DY23" s="667"/>
      <c r="DZ23" s="667"/>
      <c r="EA23" s="667"/>
      <c r="EB23" s="668"/>
      <c r="ED23" s="667"/>
      <c r="EE23" s="667"/>
      <c r="EF23" s="667"/>
      <c r="EG23" s="667"/>
      <c r="EH23" s="667"/>
      <c r="EI23" s="667"/>
      <c r="EJ23" s="667"/>
      <c r="EK23" s="667"/>
      <c r="EL23" s="667"/>
      <c r="EM23" s="668"/>
      <c r="EO23" s="667"/>
      <c r="EP23" s="667"/>
      <c r="EQ23" s="667"/>
      <c r="ER23" s="667"/>
      <c r="ES23" s="667"/>
      <c r="ET23" s="667"/>
      <c r="EU23" s="667"/>
      <c r="EV23" s="667"/>
      <c r="EW23" s="667"/>
      <c r="EX23" s="668"/>
      <c r="EZ23" s="667"/>
      <c r="FA23" s="667"/>
      <c r="FB23" s="667"/>
      <c r="FC23" s="667"/>
      <c r="FD23" s="667"/>
      <c r="FE23" s="667"/>
      <c r="FF23" s="667"/>
      <c r="FG23" s="667"/>
      <c r="FH23" s="667"/>
      <c r="FI23" s="668"/>
      <c r="FK23" s="667"/>
      <c r="FL23" s="667"/>
      <c r="FM23" s="667"/>
      <c r="FN23" s="667"/>
      <c r="FO23" s="667"/>
      <c r="FP23" s="667"/>
      <c r="FQ23" s="667"/>
      <c r="FR23" s="667"/>
      <c r="FS23" s="667"/>
      <c r="FT23" s="668"/>
      <c r="FV23" s="667"/>
      <c r="FW23" s="667"/>
      <c r="FX23" s="667"/>
      <c r="FY23" s="667"/>
      <c r="FZ23" s="667"/>
      <c r="GA23" s="667"/>
      <c r="GB23" s="667"/>
      <c r="GC23" s="667"/>
      <c r="GD23" s="667"/>
      <c r="GE23" s="668"/>
      <c r="GG23" s="667"/>
      <c r="GH23" s="667"/>
      <c r="GI23" s="667"/>
      <c r="GJ23" s="667"/>
      <c r="GK23" s="667"/>
      <c r="GL23" s="668"/>
      <c r="GN23" s="667"/>
      <c r="GO23" s="667"/>
      <c r="GP23" s="667"/>
      <c r="GQ23" s="667"/>
      <c r="GR23" s="667"/>
      <c r="GS23" s="668"/>
      <c r="GU23" s="667"/>
      <c r="GV23" s="667"/>
      <c r="GW23" s="667"/>
      <c r="GX23" s="667"/>
      <c r="GY23" s="667"/>
      <c r="GZ23" s="668"/>
      <c r="HB23" s="667"/>
      <c r="HC23" s="667"/>
      <c r="HD23" s="667"/>
      <c r="HE23" s="667"/>
      <c r="HF23" s="667"/>
      <c r="HG23" s="668"/>
      <c r="HI23" s="667"/>
      <c r="HJ23" s="667"/>
      <c r="HK23" s="667"/>
      <c r="HL23" s="667"/>
      <c r="HM23" s="667"/>
      <c r="HN23" s="668"/>
      <c r="HP23" s="667"/>
      <c r="HQ23" s="667"/>
      <c r="HR23" s="667"/>
      <c r="HS23" s="667"/>
      <c r="HT23" s="667"/>
      <c r="HU23" s="668"/>
      <c r="HW23" s="667"/>
      <c r="HX23" s="667"/>
      <c r="HY23" s="667"/>
      <c r="HZ23" s="667"/>
      <c r="IA23" s="667"/>
      <c r="IB23" s="667"/>
      <c r="IC23" s="667"/>
      <c r="ID23" s="667"/>
      <c r="IE23" s="667"/>
      <c r="IF23" s="668"/>
      <c r="IH23" s="667"/>
      <c r="II23" s="667"/>
      <c r="IJ23" s="667"/>
      <c r="IK23" s="667"/>
      <c r="IL23" s="667"/>
      <c r="IM23" s="667"/>
      <c r="IN23" s="667"/>
      <c r="IO23" s="667"/>
      <c r="IP23" s="667"/>
      <c r="IQ23" s="668"/>
      <c r="IS23" s="667"/>
      <c r="IT23" s="667"/>
      <c r="IU23" s="667"/>
      <c r="IV23" s="667"/>
      <c r="IW23" s="667"/>
      <c r="IX23" s="667"/>
      <c r="IY23" s="667"/>
      <c r="IZ23" s="667"/>
      <c r="JA23" s="667"/>
      <c r="JB23" s="668"/>
      <c r="JD23" s="667"/>
      <c r="JE23" s="667"/>
      <c r="JF23" s="667"/>
      <c r="JG23" s="667"/>
      <c r="JH23" s="667"/>
      <c r="JI23" s="667"/>
      <c r="JJ23" s="667"/>
      <c r="JK23" s="667"/>
      <c r="JL23" s="667"/>
      <c r="JM23" s="668"/>
      <c r="JO23" s="667"/>
      <c r="JP23" s="667"/>
      <c r="JQ23" s="667"/>
      <c r="JR23" s="667"/>
      <c r="JS23" s="667"/>
      <c r="JT23" s="667"/>
      <c r="JU23" s="667"/>
      <c r="JV23" s="667"/>
      <c r="JW23" s="667"/>
      <c r="JX23" s="668"/>
      <c r="JZ23" s="667"/>
      <c r="KA23" s="667"/>
      <c r="KB23" s="667"/>
      <c r="KC23" s="667"/>
      <c r="KD23" s="667"/>
      <c r="KE23" s="667"/>
      <c r="KF23" s="667"/>
      <c r="KG23" s="667"/>
      <c r="KH23" s="667"/>
      <c r="KI23" s="668"/>
      <c r="KK23" s="667"/>
      <c r="KL23" s="667"/>
      <c r="KM23" s="667"/>
      <c r="KN23" s="667"/>
      <c r="KO23" s="667"/>
      <c r="KP23" s="667"/>
      <c r="KQ23" s="667"/>
      <c r="KR23" s="667"/>
      <c r="KS23" s="667"/>
      <c r="KT23" s="668"/>
      <c r="KV23" s="667"/>
      <c r="KW23" s="667"/>
      <c r="KX23" s="667"/>
      <c r="KY23" s="667"/>
      <c r="KZ23" s="667"/>
      <c r="LA23" s="667"/>
      <c r="LB23" s="667"/>
      <c r="LC23" s="667"/>
      <c r="LD23" s="667"/>
      <c r="LE23" s="668"/>
      <c r="LG23" s="667"/>
      <c r="LH23" s="667"/>
      <c r="LI23" s="667"/>
      <c r="LJ23" s="667"/>
      <c r="LK23" s="667"/>
      <c r="LL23" s="667"/>
      <c r="LM23" s="667"/>
      <c r="LN23" s="667"/>
      <c r="LO23" s="667"/>
      <c r="LP23" s="668"/>
      <c r="LR23" s="667"/>
      <c r="LS23" s="667"/>
      <c r="LT23" s="667"/>
      <c r="LU23" s="667"/>
      <c r="LV23" s="667"/>
      <c r="LW23" s="667"/>
      <c r="LX23" s="667"/>
      <c r="LY23" s="667"/>
      <c r="LZ23" s="667"/>
      <c r="MA23" s="668"/>
      <c r="MC23" s="667"/>
      <c r="MD23" s="667"/>
      <c r="ME23" s="667"/>
      <c r="MF23" s="667"/>
      <c r="MG23" s="667"/>
      <c r="MH23" s="667"/>
      <c r="MI23" s="667"/>
      <c r="MJ23" s="667"/>
      <c r="MK23" s="667"/>
      <c r="ML23" s="668"/>
      <c r="MN23" s="667"/>
      <c r="MO23" s="667"/>
      <c r="MP23" s="667"/>
      <c r="MQ23" s="667"/>
      <c r="MR23" s="667"/>
      <c r="MS23" s="667"/>
      <c r="MT23" s="667"/>
      <c r="MU23" s="667"/>
      <c r="MV23" s="667"/>
      <c r="MW23" s="668"/>
      <c r="MY23" s="667"/>
      <c r="MZ23" s="667"/>
      <c r="NA23" s="667"/>
      <c r="NB23" s="667"/>
      <c r="NC23" s="667"/>
      <c r="ND23" s="667"/>
      <c r="NE23" s="667"/>
      <c r="NF23" s="667"/>
      <c r="NG23" s="667"/>
      <c r="NH23" s="668"/>
      <c r="NJ23" s="667"/>
      <c r="NK23" s="667"/>
      <c r="NL23" s="667"/>
      <c r="NM23" s="667"/>
      <c r="NN23" s="667"/>
      <c r="NO23" s="667"/>
      <c r="NP23" s="667"/>
      <c r="NQ23" s="667"/>
      <c r="NR23" s="667"/>
      <c r="NS23" s="668"/>
      <c r="NU23" s="667"/>
      <c r="NV23" s="667"/>
      <c r="NW23" s="667"/>
      <c r="NX23" s="667"/>
      <c r="NY23" s="667"/>
      <c r="NZ23" s="667"/>
      <c r="OA23" s="667"/>
      <c r="OB23" s="667"/>
      <c r="OC23" s="667"/>
      <c r="OD23" s="668"/>
      <c r="OF23" s="667"/>
      <c r="OG23" s="667"/>
      <c r="OH23" s="667"/>
      <c r="OI23" s="667"/>
      <c r="OJ23" s="667"/>
      <c r="OK23" s="667"/>
      <c r="OL23" s="667"/>
      <c r="OM23" s="667"/>
      <c r="ON23" s="667"/>
      <c r="OO23" s="668"/>
    </row>
    <row r="24" spans="1:405">
      <c r="A24" s="663" t="str">
        <v xml:space="preserve"> </v>
      </c>
      <c r="B24" s="667" t="s">
        <v>547</v>
      </c>
      <c r="C24" s="667" t="s">
        <v>548</v>
      </c>
      <c r="D24" s="667" t="s">
        <v>548</v>
      </c>
      <c r="E24" s="667" t="s">
        <v>546</v>
      </c>
      <c r="F24" s="668" t="s">
        <v>553</v>
      </c>
      <c r="G24" s="663"/>
      <c r="H24" s="667"/>
      <c r="I24" s="667"/>
      <c r="J24" s="667"/>
      <c r="K24" s="667"/>
      <c r="L24" s="668"/>
      <c r="N24" s="667"/>
      <c r="O24" s="667"/>
      <c r="P24" s="667"/>
      <c r="Q24" s="667"/>
      <c r="R24" s="668"/>
      <c r="T24" s="667"/>
      <c r="U24" s="667"/>
      <c r="V24" s="667"/>
      <c r="W24" s="667"/>
      <c r="X24" s="668"/>
      <c r="Z24" s="667"/>
      <c r="AA24" s="667"/>
      <c r="AB24" s="667"/>
      <c r="AC24" s="667"/>
      <c r="AD24" s="668"/>
      <c r="AF24" s="667"/>
      <c r="AG24" s="667"/>
      <c r="AH24" s="667"/>
      <c r="AI24" s="667"/>
      <c r="AJ24" s="668"/>
      <c r="AL24" s="667"/>
      <c r="AM24" s="667"/>
      <c r="AN24" s="667"/>
      <c r="AO24" s="667"/>
      <c r="AP24" s="668"/>
      <c r="AR24" s="667"/>
      <c r="AS24" s="667"/>
      <c r="AT24" s="667"/>
      <c r="AU24" s="667"/>
      <c r="AV24" s="668"/>
      <c r="AX24" s="667"/>
      <c r="AY24" s="667"/>
      <c r="AZ24" s="667"/>
      <c r="BA24" s="667"/>
      <c r="BB24" s="668"/>
      <c r="BD24" s="667"/>
      <c r="BE24" s="667"/>
      <c r="BF24" s="667"/>
      <c r="BG24" s="667"/>
      <c r="BH24" s="668"/>
      <c r="BJ24" s="667"/>
      <c r="BK24" s="667"/>
      <c r="BL24" s="667"/>
      <c r="BM24" s="667"/>
      <c r="BN24" s="668"/>
      <c r="BP24" s="667"/>
      <c r="BQ24" s="667"/>
      <c r="BR24" s="667"/>
      <c r="BS24" s="667"/>
      <c r="BT24" s="668"/>
      <c r="BV24" s="667"/>
      <c r="BW24" s="667"/>
      <c r="BX24" s="667"/>
      <c r="BY24" s="667"/>
      <c r="BZ24" s="668"/>
      <c r="CB24" s="667"/>
      <c r="CC24" s="667"/>
      <c r="CD24" s="667"/>
      <c r="CE24" s="667"/>
      <c r="CF24" s="668"/>
      <c r="CH24" s="667"/>
      <c r="CI24" s="667"/>
      <c r="CJ24" s="667"/>
      <c r="CK24" s="667"/>
      <c r="CL24" s="668"/>
      <c r="CN24" s="667"/>
      <c r="CO24" s="667"/>
      <c r="CP24" s="667"/>
      <c r="CQ24" s="667"/>
      <c r="CR24" s="668"/>
      <c r="CT24" s="667"/>
      <c r="CU24" s="667"/>
      <c r="CV24" s="667"/>
      <c r="CW24" s="667"/>
      <c r="CX24" s="668"/>
      <c r="CZ24" s="667"/>
      <c r="DA24" s="667"/>
      <c r="DB24" s="667"/>
      <c r="DC24" s="667"/>
      <c r="DD24" s="668"/>
      <c r="DF24" s="667"/>
      <c r="DG24" s="667"/>
      <c r="DH24" s="667"/>
      <c r="DI24" s="667"/>
      <c r="DJ24" s="668"/>
      <c r="DL24" s="667"/>
      <c r="DM24" s="667"/>
      <c r="DN24" s="667"/>
      <c r="DO24" s="667"/>
      <c r="DP24" s="668"/>
      <c r="DR24" s="667"/>
      <c r="DS24" s="667"/>
      <c r="DT24" s="667"/>
      <c r="DU24" s="667"/>
      <c r="DV24" s="668"/>
      <c r="DX24" s="667"/>
      <c r="DY24" s="667"/>
      <c r="DZ24" s="667"/>
      <c r="EA24" s="667"/>
      <c r="EB24" s="668"/>
      <c r="ED24" s="667"/>
      <c r="EE24" s="667"/>
      <c r="EF24" s="667"/>
      <c r="EG24" s="667"/>
      <c r="EH24" s="667"/>
      <c r="EI24" s="667"/>
      <c r="EJ24" s="667"/>
      <c r="EK24" s="667"/>
      <c r="EL24" s="667"/>
      <c r="EM24" s="668"/>
      <c r="EO24" s="667"/>
      <c r="EP24" s="667"/>
      <c r="EQ24" s="667"/>
      <c r="ER24" s="667"/>
      <c r="ES24" s="667"/>
      <c r="ET24" s="667"/>
      <c r="EU24" s="667"/>
      <c r="EV24" s="667"/>
      <c r="EW24" s="667"/>
      <c r="EX24" s="668"/>
      <c r="EZ24" s="667"/>
      <c r="FA24" s="667"/>
      <c r="FB24" s="667"/>
      <c r="FC24" s="667"/>
      <c r="FD24" s="667"/>
      <c r="FE24" s="667"/>
      <c r="FF24" s="667"/>
      <c r="FG24" s="667"/>
      <c r="FH24" s="667"/>
      <c r="FI24" s="668"/>
      <c r="FK24" s="667"/>
      <c r="FL24" s="667"/>
      <c r="FM24" s="667"/>
      <c r="FN24" s="667"/>
      <c r="FO24" s="667"/>
      <c r="FP24" s="667"/>
      <c r="FQ24" s="667"/>
      <c r="FR24" s="667"/>
      <c r="FS24" s="667"/>
      <c r="FT24" s="668"/>
      <c r="FV24" s="667"/>
      <c r="FW24" s="667"/>
      <c r="FX24" s="667"/>
      <c r="FY24" s="667"/>
      <c r="FZ24" s="667"/>
      <c r="GA24" s="667"/>
      <c r="GB24" s="667"/>
      <c r="GC24" s="667"/>
      <c r="GD24" s="667"/>
      <c r="GE24" s="668"/>
      <c r="GG24" s="667"/>
      <c r="GH24" s="667"/>
      <c r="GI24" s="667"/>
      <c r="GJ24" s="667"/>
      <c r="GK24" s="667"/>
      <c r="GL24" s="668"/>
      <c r="GN24" s="667"/>
      <c r="GO24" s="667"/>
      <c r="GP24" s="667"/>
      <c r="GQ24" s="667"/>
      <c r="GR24" s="667"/>
      <c r="GS24" s="668"/>
      <c r="GU24" s="667"/>
      <c r="GV24" s="667"/>
      <c r="GW24" s="667"/>
      <c r="GX24" s="667"/>
      <c r="GY24" s="667"/>
      <c r="GZ24" s="668"/>
      <c r="HB24" s="667"/>
      <c r="HC24" s="667"/>
      <c r="HD24" s="667"/>
      <c r="HE24" s="667"/>
      <c r="HF24" s="667"/>
      <c r="HG24" s="668"/>
      <c r="HI24" s="667"/>
      <c r="HJ24" s="667"/>
      <c r="HK24" s="667"/>
      <c r="HL24" s="667"/>
      <c r="HM24" s="667"/>
      <c r="HN24" s="668"/>
      <c r="HP24" s="667"/>
      <c r="HQ24" s="667"/>
      <c r="HR24" s="667"/>
      <c r="HS24" s="667"/>
      <c r="HT24" s="667"/>
      <c r="HU24" s="668"/>
      <c r="HW24" s="667"/>
      <c r="HX24" s="667"/>
      <c r="HY24" s="667"/>
      <c r="HZ24" s="667"/>
      <c r="IA24" s="667"/>
      <c r="IB24" s="667"/>
      <c r="IC24" s="667"/>
      <c r="ID24" s="667"/>
      <c r="IE24" s="667"/>
      <c r="IF24" s="668"/>
      <c r="IH24" s="667"/>
      <c r="II24" s="667"/>
      <c r="IJ24" s="667"/>
      <c r="IK24" s="667"/>
      <c r="IL24" s="667"/>
      <c r="IM24" s="667"/>
      <c r="IN24" s="667"/>
      <c r="IO24" s="667"/>
      <c r="IP24" s="667"/>
      <c r="IQ24" s="668"/>
      <c r="IS24" s="667"/>
      <c r="IT24" s="667"/>
      <c r="IU24" s="667"/>
      <c r="IV24" s="667"/>
      <c r="IW24" s="667"/>
      <c r="IX24" s="667"/>
      <c r="IY24" s="667"/>
      <c r="IZ24" s="667"/>
      <c r="JA24" s="667"/>
      <c r="JB24" s="668"/>
      <c r="JD24" s="667"/>
      <c r="JE24" s="667"/>
      <c r="JF24" s="667"/>
      <c r="JG24" s="667"/>
      <c r="JH24" s="667"/>
      <c r="JI24" s="667"/>
      <c r="JJ24" s="667"/>
      <c r="JK24" s="667"/>
      <c r="JL24" s="667"/>
      <c r="JM24" s="668"/>
      <c r="JO24" s="667"/>
      <c r="JP24" s="667"/>
      <c r="JQ24" s="667"/>
      <c r="JR24" s="667"/>
      <c r="JS24" s="667"/>
      <c r="JT24" s="667"/>
      <c r="JU24" s="667"/>
      <c r="JV24" s="667"/>
      <c r="JW24" s="667"/>
      <c r="JX24" s="668"/>
      <c r="JZ24" s="667"/>
      <c r="KA24" s="667"/>
      <c r="KB24" s="667"/>
      <c r="KC24" s="667"/>
      <c r="KD24" s="667"/>
      <c r="KE24" s="667"/>
      <c r="KF24" s="667"/>
      <c r="KG24" s="667"/>
      <c r="KH24" s="667"/>
      <c r="KI24" s="668"/>
      <c r="KK24" s="667"/>
      <c r="KL24" s="667"/>
      <c r="KM24" s="667"/>
      <c r="KN24" s="667"/>
      <c r="KO24" s="667"/>
      <c r="KP24" s="667"/>
      <c r="KQ24" s="667"/>
      <c r="KR24" s="667"/>
      <c r="KS24" s="667"/>
      <c r="KT24" s="668"/>
      <c r="KV24" s="667"/>
      <c r="KW24" s="667"/>
      <c r="KX24" s="667"/>
      <c r="KY24" s="667"/>
      <c r="KZ24" s="667"/>
      <c r="LA24" s="667"/>
      <c r="LB24" s="667"/>
      <c r="LC24" s="667"/>
      <c r="LD24" s="667"/>
      <c r="LE24" s="668"/>
      <c r="LG24" s="667"/>
      <c r="LH24" s="667"/>
      <c r="LI24" s="667"/>
      <c r="LJ24" s="667"/>
      <c r="LK24" s="667"/>
      <c r="LL24" s="667"/>
      <c r="LM24" s="667"/>
      <c r="LN24" s="667"/>
      <c r="LO24" s="667"/>
      <c r="LP24" s="668"/>
      <c r="LR24" s="667"/>
      <c r="LS24" s="667"/>
      <c r="LT24" s="667"/>
      <c r="LU24" s="667"/>
      <c r="LV24" s="667"/>
      <c r="LW24" s="667"/>
      <c r="LX24" s="667"/>
      <c r="LY24" s="667"/>
      <c r="LZ24" s="667"/>
      <c r="MA24" s="668"/>
      <c r="MC24" s="667"/>
      <c r="MD24" s="667"/>
      <c r="ME24" s="667"/>
      <c r="MF24" s="667"/>
      <c r="MG24" s="667"/>
      <c r="MH24" s="667"/>
      <c r="MI24" s="667"/>
      <c r="MJ24" s="667"/>
      <c r="MK24" s="667"/>
      <c r="ML24" s="668"/>
      <c r="MN24" s="667"/>
      <c r="MO24" s="667"/>
      <c r="MP24" s="667"/>
      <c r="MQ24" s="667"/>
      <c r="MR24" s="667"/>
      <c r="MS24" s="667"/>
      <c r="MT24" s="667"/>
      <c r="MU24" s="667"/>
      <c r="MV24" s="667"/>
      <c r="MW24" s="668"/>
      <c r="MY24" s="667"/>
      <c r="MZ24" s="667"/>
      <c r="NA24" s="667"/>
      <c r="NB24" s="667"/>
      <c r="NC24" s="667"/>
      <c r="ND24" s="667"/>
      <c r="NE24" s="667"/>
      <c r="NF24" s="667"/>
      <c r="NG24" s="667"/>
      <c r="NH24" s="668"/>
      <c r="NJ24" s="667"/>
      <c r="NK24" s="667"/>
      <c r="NL24" s="667"/>
      <c r="NM24" s="667"/>
      <c r="NN24" s="667"/>
      <c r="NO24" s="667"/>
      <c r="NP24" s="667"/>
      <c r="NQ24" s="667"/>
      <c r="NR24" s="667"/>
      <c r="NS24" s="668"/>
      <c r="NU24" s="667"/>
      <c r="NV24" s="667"/>
      <c r="NW24" s="667"/>
      <c r="NX24" s="667"/>
      <c r="NY24" s="667"/>
      <c r="NZ24" s="667"/>
      <c r="OA24" s="667"/>
      <c r="OB24" s="667"/>
      <c r="OC24" s="667"/>
      <c r="OD24" s="668"/>
      <c r="OF24" s="667"/>
      <c r="OG24" s="667"/>
      <c r="OH24" s="667"/>
      <c r="OI24" s="667"/>
      <c r="OJ24" s="667"/>
      <c r="OK24" s="667"/>
      <c r="OL24" s="667"/>
      <c r="OM24" s="667"/>
      <c r="ON24" s="667"/>
      <c r="OO24" s="668"/>
    </row>
    <row r="25" spans="1:405">
      <c r="A25" s="663" t="str">
        <v xml:space="preserve"> </v>
      </c>
      <c r="B25" s="667" t="s">
        <v>552</v>
      </c>
      <c r="C25" s="667" t="s">
        <v>552</v>
      </c>
      <c r="D25" s="667" t="s">
        <v>546</v>
      </c>
      <c r="E25" s="667" t="s">
        <v>547</v>
      </c>
      <c r="F25" s="668" t="s">
        <v>551</v>
      </c>
      <c r="G25" s="663"/>
      <c r="H25" s="667"/>
      <c r="I25" s="667"/>
      <c r="J25" s="667"/>
      <c r="K25" s="667"/>
      <c r="L25" s="668"/>
      <c r="N25" s="667"/>
      <c r="O25" s="667"/>
      <c r="P25" s="667"/>
      <c r="Q25" s="667"/>
      <c r="R25" s="668"/>
      <c r="T25" s="667"/>
      <c r="U25" s="667"/>
      <c r="V25" s="667"/>
      <c r="W25" s="667"/>
      <c r="X25" s="668"/>
      <c r="Z25" s="667"/>
      <c r="AA25" s="667"/>
      <c r="AB25" s="667"/>
      <c r="AC25" s="667"/>
      <c r="AD25" s="668"/>
      <c r="AF25" s="667"/>
      <c r="AG25" s="667"/>
      <c r="AH25" s="667"/>
      <c r="AI25" s="667"/>
      <c r="AJ25" s="668"/>
      <c r="AL25" s="667"/>
      <c r="AM25" s="667"/>
      <c r="AN25" s="667"/>
      <c r="AO25" s="667"/>
      <c r="AP25" s="668"/>
      <c r="AR25" s="667"/>
      <c r="AS25" s="667"/>
      <c r="AT25" s="667"/>
      <c r="AU25" s="667"/>
      <c r="AV25" s="668"/>
      <c r="AX25" s="667"/>
      <c r="AY25" s="667"/>
      <c r="AZ25" s="667"/>
      <c r="BA25" s="667"/>
      <c r="BB25" s="668"/>
      <c r="BD25" s="667"/>
      <c r="BE25" s="667"/>
      <c r="BF25" s="667"/>
      <c r="BG25" s="667"/>
      <c r="BH25" s="668"/>
      <c r="BJ25" s="667"/>
      <c r="BK25" s="667"/>
      <c r="BL25" s="667"/>
      <c r="BM25" s="667"/>
      <c r="BN25" s="668"/>
      <c r="BP25" s="667"/>
      <c r="BQ25" s="667"/>
      <c r="BR25" s="667"/>
      <c r="BS25" s="667"/>
      <c r="BT25" s="668"/>
      <c r="BV25" s="667"/>
      <c r="BW25" s="667"/>
      <c r="BX25" s="667"/>
      <c r="BY25" s="667"/>
      <c r="BZ25" s="668"/>
      <c r="CB25" s="667"/>
      <c r="CC25" s="667"/>
      <c r="CD25" s="667"/>
      <c r="CE25" s="667"/>
      <c r="CF25" s="668"/>
      <c r="CH25" s="667"/>
      <c r="CI25" s="667"/>
      <c r="CJ25" s="667"/>
      <c r="CK25" s="667"/>
      <c r="CL25" s="668"/>
      <c r="CN25" s="667"/>
      <c r="CO25" s="667"/>
      <c r="CP25" s="667"/>
      <c r="CQ25" s="667"/>
      <c r="CR25" s="668"/>
      <c r="CT25" s="667"/>
      <c r="CU25" s="667"/>
      <c r="CV25" s="667"/>
      <c r="CW25" s="667"/>
      <c r="CX25" s="668"/>
      <c r="CZ25" s="667"/>
      <c r="DA25" s="667"/>
      <c r="DB25" s="667"/>
      <c r="DC25" s="667"/>
      <c r="DD25" s="668"/>
      <c r="DF25" s="667"/>
      <c r="DG25" s="667"/>
      <c r="DH25" s="667"/>
      <c r="DI25" s="667"/>
      <c r="DJ25" s="668"/>
      <c r="DL25" s="667"/>
      <c r="DM25" s="667"/>
      <c r="DN25" s="667"/>
      <c r="DO25" s="667"/>
      <c r="DP25" s="668"/>
      <c r="DR25" s="667"/>
      <c r="DS25" s="667"/>
      <c r="DT25" s="667"/>
      <c r="DU25" s="667"/>
      <c r="DV25" s="668"/>
      <c r="DX25" s="667"/>
      <c r="DY25" s="667"/>
      <c r="DZ25" s="667"/>
      <c r="EA25" s="667"/>
      <c r="EB25" s="668"/>
      <c r="ED25" s="667"/>
      <c r="EE25" s="667"/>
      <c r="EF25" s="667"/>
      <c r="EG25" s="667"/>
      <c r="EH25" s="667"/>
      <c r="EI25" s="667"/>
      <c r="EJ25" s="667"/>
      <c r="EK25" s="667"/>
      <c r="EL25" s="667"/>
      <c r="EM25" s="668"/>
      <c r="EO25" s="667"/>
      <c r="EP25" s="667"/>
      <c r="EQ25" s="667"/>
      <c r="ER25" s="667"/>
      <c r="ES25" s="667"/>
      <c r="ET25" s="667"/>
      <c r="EU25" s="667"/>
      <c r="EV25" s="667"/>
      <c r="EW25" s="667"/>
      <c r="EX25" s="668"/>
      <c r="EZ25" s="667"/>
      <c r="FA25" s="667"/>
      <c r="FB25" s="667"/>
      <c r="FC25" s="667"/>
      <c r="FD25" s="667"/>
      <c r="FE25" s="667"/>
      <c r="FF25" s="667"/>
      <c r="FG25" s="667"/>
      <c r="FH25" s="667"/>
      <c r="FI25" s="668"/>
      <c r="FK25" s="667"/>
      <c r="FL25" s="667"/>
      <c r="FM25" s="667"/>
      <c r="FN25" s="667"/>
      <c r="FO25" s="667"/>
      <c r="FP25" s="667"/>
      <c r="FQ25" s="667"/>
      <c r="FR25" s="667"/>
      <c r="FS25" s="667"/>
      <c r="FT25" s="668"/>
      <c r="FV25" s="667"/>
      <c r="FW25" s="667"/>
      <c r="FX25" s="667"/>
      <c r="FY25" s="667"/>
      <c r="FZ25" s="667"/>
      <c r="GA25" s="667"/>
      <c r="GB25" s="667"/>
      <c r="GC25" s="667"/>
      <c r="GD25" s="667"/>
      <c r="GE25" s="668"/>
      <c r="GG25" s="667"/>
      <c r="GH25" s="667"/>
      <c r="GI25" s="667"/>
      <c r="GJ25" s="667"/>
      <c r="GK25" s="667"/>
      <c r="GL25" s="668"/>
      <c r="GN25" s="667"/>
      <c r="GO25" s="667"/>
      <c r="GP25" s="667"/>
      <c r="GQ25" s="667"/>
      <c r="GR25" s="667"/>
      <c r="GS25" s="668"/>
      <c r="GU25" s="667"/>
      <c r="GV25" s="667"/>
      <c r="GW25" s="667"/>
      <c r="GX25" s="667"/>
      <c r="GY25" s="667"/>
      <c r="GZ25" s="668"/>
      <c r="HB25" s="667"/>
      <c r="HC25" s="667"/>
      <c r="HD25" s="667"/>
      <c r="HE25" s="667"/>
      <c r="HF25" s="667"/>
      <c r="HG25" s="668"/>
      <c r="HI25" s="667"/>
      <c r="HJ25" s="667"/>
      <c r="HK25" s="667"/>
      <c r="HL25" s="667"/>
      <c r="HM25" s="667"/>
      <c r="HN25" s="668"/>
      <c r="HP25" s="667"/>
      <c r="HQ25" s="667"/>
      <c r="HR25" s="667"/>
      <c r="HS25" s="667"/>
      <c r="HT25" s="667"/>
      <c r="HU25" s="668"/>
      <c r="HW25" s="667"/>
      <c r="HX25" s="667"/>
      <c r="HY25" s="667"/>
      <c r="HZ25" s="667"/>
      <c r="IA25" s="667"/>
      <c r="IB25" s="667"/>
      <c r="IC25" s="667"/>
      <c r="ID25" s="667"/>
      <c r="IE25" s="667"/>
      <c r="IF25" s="668"/>
      <c r="IH25" s="667"/>
      <c r="II25" s="667"/>
      <c r="IJ25" s="667"/>
      <c r="IK25" s="667"/>
      <c r="IL25" s="667"/>
      <c r="IM25" s="667"/>
      <c r="IN25" s="667"/>
      <c r="IO25" s="667"/>
      <c r="IP25" s="667"/>
      <c r="IQ25" s="668"/>
      <c r="IS25" s="667"/>
      <c r="IT25" s="667"/>
      <c r="IU25" s="667"/>
      <c r="IV25" s="667"/>
      <c r="IW25" s="667"/>
      <c r="IX25" s="667"/>
      <c r="IY25" s="667"/>
      <c r="IZ25" s="667"/>
      <c r="JA25" s="667"/>
      <c r="JB25" s="668"/>
      <c r="JD25" s="667"/>
      <c r="JE25" s="667"/>
      <c r="JF25" s="667"/>
      <c r="JG25" s="667"/>
      <c r="JH25" s="667"/>
      <c r="JI25" s="667"/>
      <c r="JJ25" s="667"/>
      <c r="JK25" s="667"/>
      <c r="JL25" s="667"/>
      <c r="JM25" s="668"/>
      <c r="JO25" s="667"/>
      <c r="JP25" s="667"/>
      <c r="JQ25" s="667"/>
      <c r="JR25" s="667"/>
      <c r="JS25" s="667"/>
      <c r="JT25" s="667"/>
      <c r="JU25" s="667"/>
      <c r="JV25" s="667"/>
      <c r="JW25" s="667"/>
      <c r="JX25" s="668"/>
      <c r="JZ25" s="667"/>
      <c r="KA25" s="667"/>
      <c r="KB25" s="667"/>
      <c r="KC25" s="667"/>
      <c r="KD25" s="667"/>
      <c r="KE25" s="667"/>
      <c r="KF25" s="667"/>
      <c r="KG25" s="667"/>
      <c r="KH25" s="667"/>
      <c r="KI25" s="668"/>
      <c r="KK25" s="667"/>
      <c r="KL25" s="667"/>
      <c r="KM25" s="667"/>
      <c r="KN25" s="667"/>
      <c r="KO25" s="667"/>
      <c r="KP25" s="667"/>
      <c r="KQ25" s="667"/>
      <c r="KR25" s="667"/>
      <c r="KS25" s="667"/>
      <c r="KT25" s="668"/>
      <c r="KV25" s="667"/>
      <c r="KW25" s="667"/>
      <c r="KX25" s="667"/>
      <c r="KY25" s="667"/>
      <c r="KZ25" s="667"/>
      <c r="LA25" s="667"/>
      <c r="LB25" s="667"/>
      <c r="LC25" s="667"/>
      <c r="LD25" s="667"/>
      <c r="LE25" s="668"/>
      <c r="LG25" s="667"/>
      <c r="LH25" s="667"/>
      <c r="LI25" s="667"/>
      <c r="LJ25" s="667"/>
      <c r="LK25" s="667"/>
      <c r="LL25" s="667"/>
      <c r="LM25" s="667"/>
      <c r="LN25" s="667"/>
      <c r="LO25" s="667"/>
      <c r="LP25" s="668"/>
      <c r="LR25" s="667"/>
      <c r="LS25" s="667"/>
      <c r="LT25" s="667"/>
      <c r="LU25" s="667"/>
      <c r="LV25" s="667"/>
      <c r="LW25" s="667"/>
      <c r="LX25" s="667"/>
      <c r="LY25" s="667"/>
      <c r="LZ25" s="667"/>
      <c r="MA25" s="668"/>
      <c r="MC25" s="667"/>
      <c r="MD25" s="667"/>
      <c r="ME25" s="667"/>
      <c r="MF25" s="667"/>
      <c r="MG25" s="667"/>
      <c r="MH25" s="667"/>
      <c r="MI25" s="667"/>
      <c r="MJ25" s="667"/>
      <c r="MK25" s="667"/>
      <c r="ML25" s="668"/>
      <c r="MN25" s="667"/>
      <c r="MO25" s="667"/>
      <c r="MP25" s="667"/>
      <c r="MQ25" s="667"/>
      <c r="MR25" s="667"/>
      <c r="MS25" s="667"/>
      <c r="MT25" s="667"/>
      <c r="MU25" s="667"/>
      <c r="MV25" s="667"/>
      <c r="MW25" s="668"/>
      <c r="MY25" s="667"/>
      <c r="MZ25" s="667"/>
      <c r="NA25" s="667"/>
      <c r="NB25" s="667"/>
      <c r="NC25" s="667"/>
      <c r="ND25" s="667"/>
      <c r="NE25" s="667"/>
      <c r="NF25" s="667"/>
      <c r="NG25" s="667"/>
      <c r="NH25" s="668"/>
      <c r="NJ25" s="667"/>
      <c r="NK25" s="667"/>
      <c r="NL25" s="667"/>
      <c r="NM25" s="667"/>
      <c r="NN25" s="667"/>
      <c r="NO25" s="667"/>
      <c r="NP25" s="667"/>
      <c r="NQ25" s="667"/>
      <c r="NR25" s="667"/>
      <c r="NS25" s="668"/>
      <c r="NU25" s="667"/>
      <c r="NV25" s="667"/>
      <c r="NW25" s="667"/>
      <c r="NX25" s="667"/>
      <c r="NY25" s="667"/>
      <c r="NZ25" s="667"/>
      <c r="OA25" s="667"/>
      <c r="OB25" s="667"/>
      <c r="OC25" s="667"/>
      <c r="OD25" s="668"/>
      <c r="OF25" s="667"/>
      <c r="OG25" s="667"/>
      <c r="OH25" s="667"/>
      <c r="OI25" s="667"/>
      <c r="OJ25" s="667"/>
      <c r="OK25" s="667"/>
      <c r="OL25" s="667"/>
      <c r="OM25" s="667"/>
      <c r="ON25" s="667"/>
      <c r="OO25" s="668"/>
    </row>
    <row r="26" spans="1:405">
      <c r="A26" s="663" t="str">
        <v xml:space="preserve"> </v>
      </c>
      <c r="B26" s="667" t="s">
        <v>552</v>
      </c>
      <c r="C26" s="667" t="s">
        <v>552</v>
      </c>
      <c r="D26" s="667" t="s">
        <v>546</v>
      </c>
      <c r="E26" s="667" t="s">
        <v>547</v>
      </c>
      <c r="F26" s="668" t="s">
        <v>549</v>
      </c>
      <c r="G26" s="663"/>
      <c r="H26" s="667"/>
      <c r="I26" s="667"/>
      <c r="J26" s="667"/>
      <c r="K26" s="667"/>
      <c r="L26" s="668"/>
      <c r="N26" s="667"/>
      <c r="O26" s="667"/>
      <c r="P26" s="667"/>
      <c r="Q26" s="667"/>
      <c r="R26" s="668"/>
      <c r="T26" s="667"/>
      <c r="U26" s="667"/>
      <c r="V26" s="667"/>
      <c r="W26" s="667"/>
      <c r="X26" s="668"/>
      <c r="Z26" s="667"/>
      <c r="AA26" s="667"/>
      <c r="AB26" s="667"/>
      <c r="AC26" s="667"/>
      <c r="AD26" s="668"/>
      <c r="AF26" s="667"/>
      <c r="AG26" s="667"/>
      <c r="AH26" s="667"/>
      <c r="AI26" s="667"/>
      <c r="AJ26" s="668"/>
      <c r="AL26" s="667"/>
      <c r="AM26" s="667"/>
      <c r="AN26" s="667"/>
      <c r="AO26" s="667"/>
      <c r="AP26" s="668"/>
      <c r="AR26" s="667"/>
      <c r="AS26" s="667"/>
      <c r="AT26" s="667"/>
      <c r="AU26" s="667"/>
      <c r="AV26" s="668"/>
      <c r="AX26" s="667"/>
      <c r="AY26" s="667"/>
      <c r="AZ26" s="667"/>
      <c r="BA26" s="667"/>
      <c r="BB26" s="668"/>
      <c r="BD26" s="667"/>
      <c r="BE26" s="667"/>
      <c r="BF26" s="667"/>
      <c r="BG26" s="667"/>
      <c r="BH26" s="668"/>
      <c r="BJ26" s="667"/>
      <c r="BK26" s="667"/>
      <c r="BL26" s="667"/>
      <c r="BM26" s="667"/>
      <c r="BN26" s="668"/>
      <c r="BP26" s="667"/>
      <c r="BQ26" s="667"/>
      <c r="BR26" s="667"/>
      <c r="BS26" s="667"/>
      <c r="BT26" s="668"/>
      <c r="BV26" s="667"/>
      <c r="BW26" s="667"/>
      <c r="BX26" s="667"/>
      <c r="BY26" s="667"/>
      <c r="BZ26" s="668"/>
      <c r="CB26" s="667"/>
      <c r="CC26" s="667"/>
      <c r="CD26" s="667"/>
      <c r="CE26" s="667"/>
      <c r="CF26" s="668"/>
      <c r="CH26" s="667"/>
      <c r="CI26" s="667"/>
      <c r="CJ26" s="667"/>
      <c r="CK26" s="667"/>
      <c r="CL26" s="668"/>
      <c r="CN26" s="667"/>
      <c r="CO26" s="667"/>
      <c r="CP26" s="667"/>
      <c r="CQ26" s="667"/>
      <c r="CR26" s="668"/>
      <c r="CT26" s="667"/>
      <c r="CU26" s="667"/>
      <c r="CV26" s="667"/>
      <c r="CW26" s="667"/>
      <c r="CX26" s="668"/>
      <c r="CZ26" s="667"/>
      <c r="DA26" s="667"/>
      <c r="DB26" s="667"/>
      <c r="DC26" s="667"/>
      <c r="DD26" s="668"/>
      <c r="DF26" s="667"/>
      <c r="DG26" s="667"/>
      <c r="DH26" s="667"/>
      <c r="DI26" s="667"/>
      <c r="DJ26" s="668"/>
      <c r="DL26" s="667"/>
      <c r="DM26" s="667"/>
      <c r="DN26" s="667"/>
      <c r="DO26" s="667"/>
      <c r="DP26" s="668"/>
      <c r="DR26" s="667"/>
      <c r="DS26" s="667"/>
      <c r="DT26" s="667"/>
      <c r="DU26" s="667"/>
      <c r="DV26" s="668"/>
      <c r="DX26" s="667"/>
      <c r="DY26" s="667"/>
      <c r="DZ26" s="667"/>
      <c r="EA26" s="667"/>
      <c r="EB26" s="668"/>
      <c r="ED26" s="667"/>
      <c r="EE26" s="667"/>
      <c r="EF26" s="667"/>
      <c r="EG26" s="667"/>
      <c r="EH26" s="667"/>
      <c r="EI26" s="667"/>
      <c r="EJ26" s="667"/>
      <c r="EK26" s="667"/>
      <c r="EL26" s="667"/>
      <c r="EM26" s="668"/>
      <c r="EO26" s="667"/>
      <c r="EP26" s="667"/>
      <c r="EQ26" s="667"/>
      <c r="ER26" s="667"/>
      <c r="ES26" s="667"/>
      <c r="ET26" s="667"/>
      <c r="EU26" s="667"/>
      <c r="EV26" s="667"/>
      <c r="EW26" s="667"/>
      <c r="EX26" s="668"/>
      <c r="EZ26" s="667"/>
      <c r="FA26" s="667"/>
      <c r="FB26" s="667"/>
      <c r="FC26" s="667"/>
      <c r="FD26" s="667"/>
      <c r="FE26" s="667"/>
      <c r="FF26" s="667"/>
      <c r="FG26" s="667"/>
      <c r="FH26" s="667"/>
      <c r="FI26" s="668"/>
      <c r="FK26" s="667"/>
      <c r="FL26" s="667"/>
      <c r="FM26" s="667"/>
      <c r="FN26" s="667"/>
      <c r="FO26" s="667"/>
      <c r="FP26" s="667"/>
      <c r="FQ26" s="667"/>
      <c r="FR26" s="667"/>
      <c r="FS26" s="667"/>
      <c r="FT26" s="668"/>
      <c r="FV26" s="667"/>
      <c r="FW26" s="667"/>
      <c r="FX26" s="667"/>
      <c r="FY26" s="667"/>
      <c r="FZ26" s="667"/>
      <c r="GA26" s="667"/>
      <c r="GB26" s="667"/>
      <c r="GC26" s="667"/>
      <c r="GD26" s="667"/>
      <c r="GE26" s="668"/>
      <c r="GG26" s="667"/>
      <c r="GH26" s="667"/>
      <c r="GI26" s="667"/>
      <c r="GJ26" s="667"/>
      <c r="GK26" s="667"/>
      <c r="GL26" s="668"/>
      <c r="GN26" s="667"/>
      <c r="GO26" s="667"/>
      <c r="GP26" s="667"/>
      <c r="GQ26" s="667"/>
      <c r="GR26" s="667"/>
      <c r="GS26" s="668"/>
      <c r="GU26" s="667"/>
      <c r="GV26" s="667"/>
      <c r="GW26" s="667"/>
      <c r="GX26" s="667"/>
      <c r="GY26" s="667"/>
      <c r="GZ26" s="668"/>
      <c r="HB26" s="667"/>
      <c r="HC26" s="667"/>
      <c r="HD26" s="667"/>
      <c r="HE26" s="667"/>
      <c r="HF26" s="667"/>
      <c r="HG26" s="668"/>
      <c r="HI26" s="667"/>
      <c r="HJ26" s="667"/>
      <c r="HK26" s="667"/>
      <c r="HL26" s="667"/>
      <c r="HM26" s="667"/>
      <c r="HN26" s="668"/>
      <c r="HP26" s="667"/>
      <c r="HQ26" s="667"/>
      <c r="HR26" s="667"/>
      <c r="HS26" s="667"/>
      <c r="HT26" s="667"/>
      <c r="HU26" s="668"/>
      <c r="HW26" s="667"/>
      <c r="HX26" s="667"/>
      <c r="HY26" s="667"/>
      <c r="HZ26" s="667"/>
      <c r="IA26" s="667"/>
      <c r="IB26" s="667"/>
      <c r="IC26" s="667"/>
      <c r="ID26" s="667"/>
      <c r="IE26" s="667"/>
      <c r="IF26" s="668"/>
      <c r="IH26" s="667"/>
      <c r="II26" s="667"/>
      <c r="IJ26" s="667"/>
      <c r="IK26" s="667"/>
      <c r="IL26" s="667"/>
      <c r="IM26" s="667"/>
      <c r="IN26" s="667"/>
      <c r="IO26" s="667"/>
      <c r="IP26" s="667"/>
      <c r="IQ26" s="668"/>
      <c r="IS26" s="667"/>
      <c r="IT26" s="667"/>
      <c r="IU26" s="667"/>
      <c r="IV26" s="667"/>
      <c r="IW26" s="667"/>
      <c r="IX26" s="667"/>
      <c r="IY26" s="667"/>
      <c r="IZ26" s="667"/>
      <c r="JA26" s="667"/>
      <c r="JB26" s="668"/>
      <c r="JD26" s="667"/>
      <c r="JE26" s="667"/>
      <c r="JF26" s="667"/>
      <c r="JG26" s="667"/>
      <c r="JH26" s="667"/>
      <c r="JI26" s="667"/>
      <c r="JJ26" s="667"/>
      <c r="JK26" s="667"/>
      <c r="JL26" s="667"/>
      <c r="JM26" s="668"/>
      <c r="JO26" s="667"/>
      <c r="JP26" s="667"/>
      <c r="JQ26" s="667"/>
      <c r="JR26" s="667"/>
      <c r="JS26" s="667"/>
      <c r="JT26" s="667"/>
      <c r="JU26" s="667"/>
      <c r="JV26" s="667"/>
      <c r="JW26" s="667"/>
      <c r="JX26" s="668"/>
      <c r="JZ26" s="667"/>
      <c r="KA26" s="667"/>
      <c r="KB26" s="667"/>
      <c r="KC26" s="667"/>
      <c r="KD26" s="667"/>
      <c r="KE26" s="667"/>
      <c r="KF26" s="667"/>
      <c r="KG26" s="667"/>
      <c r="KH26" s="667"/>
      <c r="KI26" s="668"/>
      <c r="KK26" s="667"/>
      <c r="KL26" s="667"/>
      <c r="KM26" s="667"/>
      <c r="KN26" s="667"/>
      <c r="KO26" s="667"/>
      <c r="KP26" s="667"/>
      <c r="KQ26" s="667"/>
      <c r="KR26" s="667"/>
      <c r="KS26" s="667"/>
      <c r="KT26" s="668"/>
      <c r="KV26" s="667"/>
      <c r="KW26" s="667"/>
      <c r="KX26" s="667"/>
      <c r="KY26" s="667"/>
      <c r="KZ26" s="667"/>
      <c r="LA26" s="667"/>
      <c r="LB26" s="667"/>
      <c r="LC26" s="667"/>
      <c r="LD26" s="667"/>
      <c r="LE26" s="668"/>
      <c r="LG26" s="667"/>
      <c r="LH26" s="667"/>
      <c r="LI26" s="667"/>
      <c r="LJ26" s="667"/>
      <c r="LK26" s="667"/>
      <c r="LL26" s="667"/>
      <c r="LM26" s="667"/>
      <c r="LN26" s="667"/>
      <c r="LO26" s="667"/>
      <c r="LP26" s="668"/>
      <c r="LR26" s="667"/>
      <c r="LS26" s="667"/>
      <c r="LT26" s="667"/>
      <c r="LU26" s="667"/>
      <c r="LV26" s="667"/>
      <c r="LW26" s="667"/>
      <c r="LX26" s="667"/>
      <c r="LY26" s="667"/>
      <c r="LZ26" s="667"/>
      <c r="MA26" s="668"/>
      <c r="MC26" s="667"/>
      <c r="MD26" s="667"/>
      <c r="ME26" s="667"/>
      <c r="MF26" s="667"/>
      <c r="MG26" s="667"/>
      <c r="MH26" s="667"/>
      <c r="MI26" s="667"/>
      <c r="MJ26" s="667"/>
      <c r="MK26" s="667"/>
      <c r="ML26" s="668"/>
      <c r="MN26" s="667"/>
      <c r="MO26" s="667"/>
      <c r="MP26" s="667"/>
      <c r="MQ26" s="667"/>
      <c r="MR26" s="667"/>
      <c r="MS26" s="667"/>
      <c r="MT26" s="667"/>
      <c r="MU26" s="667"/>
      <c r="MV26" s="667"/>
      <c r="MW26" s="668"/>
      <c r="MY26" s="667"/>
      <c r="MZ26" s="667"/>
      <c r="NA26" s="667"/>
      <c r="NB26" s="667"/>
      <c r="NC26" s="667"/>
      <c r="ND26" s="667"/>
      <c r="NE26" s="667"/>
      <c r="NF26" s="667"/>
      <c r="NG26" s="667"/>
      <c r="NH26" s="668"/>
      <c r="NJ26" s="667"/>
      <c r="NK26" s="667"/>
      <c r="NL26" s="667"/>
      <c r="NM26" s="667"/>
      <c r="NN26" s="667"/>
      <c r="NO26" s="667"/>
      <c r="NP26" s="667"/>
      <c r="NQ26" s="667"/>
      <c r="NR26" s="667"/>
      <c r="NS26" s="668"/>
      <c r="NU26" s="667"/>
      <c r="NV26" s="667"/>
      <c r="NW26" s="667"/>
      <c r="NX26" s="667"/>
      <c r="NY26" s="667"/>
      <c r="NZ26" s="667"/>
      <c r="OA26" s="667"/>
      <c r="OB26" s="667"/>
      <c r="OC26" s="667"/>
      <c r="OD26" s="668"/>
      <c r="OF26" s="667"/>
      <c r="OG26" s="667"/>
      <c r="OH26" s="667"/>
      <c r="OI26" s="667"/>
      <c r="OJ26" s="667"/>
      <c r="OK26" s="667"/>
      <c r="OL26" s="667"/>
      <c r="OM26" s="667"/>
      <c r="ON26" s="667"/>
      <c r="OO26" s="668"/>
    </row>
    <row r="27" spans="1:405">
      <c r="A27" s="663" t="str">
        <v xml:space="preserve"> </v>
      </c>
      <c r="B27" s="667" t="s">
        <v>552</v>
      </c>
      <c r="C27" s="667" t="s">
        <v>552</v>
      </c>
      <c r="D27" s="667" t="s">
        <v>546</v>
      </c>
      <c r="E27" s="667" t="s">
        <v>547</v>
      </c>
      <c r="F27" s="668" t="s">
        <v>553</v>
      </c>
      <c r="G27" s="663"/>
      <c r="H27" s="667"/>
      <c r="I27" s="667"/>
      <c r="J27" s="667"/>
      <c r="K27" s="667"/>
      <c r="L27" s="668"/>
      <c r="N27" s="667"/>
      <c r="O27" s="667"/>
      <c r="P27" s="667"/>
      <c r="Q27" s="667"/>
      <c r="R27" s="668"/>
      <c r="T27" s="667"/>
      <c r="U27" s="667"/>
      <c r="V27" s="667"/>
      <c r="W27" s="667"/>
      <c r="X27" s="668"/>
      <c r="Z27" s="667"/>
      <c r="AA27" s="667"/>
      <c r="AB27" s="667"/>
      <c r="AC27" s="667"/>
      <c r="AD27" s="668"/>
      <c r="AF27" s="667"/>
      <c r="AG27" s="667"/>
      <c r="AH27" s="667"/>
      <c r="AI27" s="667"/>
      <c r="AJ27" s="668"/>
      <c r="AL27" s="667"/>
      <c r="AM27" s="667"/>
      <c r="AN27" s="667"/>
      <c r="AO27" s="667"/>
      <c r="AP27" s="668"/>
      <c r="AR27" s="667"/>
      <c r="AS27" s="667"/>
      <c r="AT27" s="667"/>
      <c r="AU27" s="667"/>
      <c r="AV27" s="668"/>
      <c r="AX27" s="667"/>
      <c r="AY27" s="667"/>
      <c r="AZ27" s="667"/>
      <c r="BA27" s="667"/>
      <c r="BB27" s="668"/>
      <c r="BD27" s="667"/>
      <c r="BE27" s="667"/>
      <c r="BF27" s="667"/>
      <c r="BG27" s="667"/>
      <c r="BH27" s="668"/>
      <c r="BJ27" s="667"/>
      <c r="BK27" s="667"/>
      <c r="BL27" s="667"/>
      <c r="BM27" s="667"/>
      <c r="BN27" s="668"/>
      <c r="BP27" s="667"/>
      <c r="BQ27" s="667"/>
      <c r="BR27" s="667"/>
      <c r="BS27" s="667"/>
      <c r="BT27" s="668"/>
      <c r="BV27" s="667"/>
      <c r="BW27" s="667"/>
      <c r="BX27" s="667"/>
      <c r="BY27" s="667"/>
      <c r="BZ27" s="668"/>
      <c r="CB27" s="667"/>
      <c r="CC27" s="667"/>
      <c r="CD27" s="667"/>
      <c r="CE27" s="667"/>
      <c r="CF27" s="668"/>
      <c r="CH27" s="667"/>
      <c r="CI27" s="667"/>
      <c r="CJ27" s="667"/>
      <c r="CK27" s="667"/>
      <c r="CL27" s="668"/>
      <c r="CN27" s="667"/>
      <c r="CO27" s="667"/>
      <c r="CP27" s="667"/>
      <c r="CQ27" s="667"/>
      <c r="CR27" s="668"/>
      <c r="CT27" s="667"/>
      <c r="CU27" s="667"/>
      <c r="CV27" s="667"/>
      <c r="CW27" s="667"/>
      <c r="CX27" s="668"/>
      <c r="CZ27" s="667"/>
      <c r="DA27" s="667"/>
      <c r="DB27" s="667"/>
      <c r="DC27" s="667"/>
      <c r="DD27" s="668"/>
      <c r="DF27" s="667"/>
      <c r="DG27" s="667"/>
      <c r="DH27" s="667"/>
      <c r="DI27" s="667"/>
      <c r="DJ27" s="668"/>
      <c r="DL27" s="667"/>
      <c r="DM27" s="667"/>
      <c r="DN27" s="667"/>
      <c r="DO27" s="667"/>
      <c r="DP27" s="668"/>
      <c r="DR27" s="667"/>
      <c r="DS27" s="667"/>
      <c r="DT27" s="667"/>
      <c r="DU27" s="667"/>
      <c r="DV27" s="668"/>
      <c r="DX27" s="667"/>
      <c r="DY27" s="667"/>
      <c r="DZ27" s="667"/>
      <c r="EA27" s="667"/>
      <c r="EB27" s="668"/>
      <c r="ED27" s="667"/>
      <c r="EE27" s="667"/>
      <c r="EF27" s="667"/>
      <c r="EG27" s="667"/>
      <c r="EH27" s="667"/>
      <c r="EI27" s="667"/>
      <c r="EJ27" s="667"/>
      <c r="EK27" s="667"/>
      <c r="EL27" s="667"/>
      <c r="EM27" s="668"/>
      <c r="EO27" s="667"/>
      <c r="EP27" s="667"/>
      <c r="EQ27" s="667"/>
      <c r="ER27" s="667"/>
      <c r="ES27" s="667"/>
      <c r="ET27" s="667"/>
      <c r="EU27" s="667"/>
      <c r="EV27" s="667"/>
      <c r="EW27" s="667"/>
      <c r="EX27" s="668"/>
      <c r="EZ27" s="667"/>
      <c r="FA27" s="667"/>
      <c r="FB27" s="667"/>
      <c r="FC27" s="667"/>
      <c r="FD27" s="667"/>
      <c r="FE27" s="667"/>
      <c r="FF27" s="667"/>
      <c r="FG27" s="667"/>
      <c r="FH27" s="667"/>
      <c r="FI27" s="668"/>
      <c r="FK27" s="667"/>
      <c r="FL27" s="667"/>
      <c r="FM27" s="667"/>
      <c r="FN27" s="667"/>
      <c r="FO27" s="667"/>
      <c r="FP27" s="667"/>
      <c r="FQ27" s="667"/>
      <c r="FR27" s="667"/>
      <c r="FS27" s="667"/>
      <c r="FT27" s="668"/>
      <c r="FV27" s="667"/>
      <c r="FW27" s="667"/>
      <c r="FX27" s="667"/>
      <c r="FY27" s="667"/>
      <c r="FZ27" s="667"/>
      <c r="GA27" s="667"/>
      <c r="GB27" s="667"/>
      <c r="GC27" s="667"/>
      <c r="GD27" s="667"/>
      <c r="GE27" s="668"/>
      <c r="GG27" s="667"/>
      <c r="GH27" s="667"/>
      <c r="GI27" s="667"/>
      <c r="GJ27" s="667"/>
      <c r="GK27" s="667"/>
      <c r="GL27" s="668"/>
      <c r="GN27" s="667"/>
      <c r="GO27" s="667"/>
      <c r="GP27" s="667"/>
      <c r="GQ27" s="667"/>
      <c r="GR27" s="667"/>
      <c r="GS27" s="668"/>
      <c r="GU27" s="667"/>
      <c r="GV27" s="667"/>
      <c r="GW27" s="667"/>
      <c r="GX27" s="667"/>
      <c r="GY27" s="667"/>
      <c r="GZ27" s="668"/>
      <c r="HB27" s="667"/>
      <c r="HC27" s="667"/>
      <c r="HD27" s="667"/>
      <c r="HE27" s="667"/>
      <c r="HF27" s="667"/>
      <c r="HG27" s="668"/>
      <c r="HI27" s="667"/>
      <c r="HJ27" s="667"/>
      <c r="HK27" s="667"/>
      <c r="HL27" s="667"/>
      <c r="HM27" s="667"/>
      <c r="HN27" s="668"/>
      <c r="HP27" s="667"/>
      <c r="HQ27" s="667"/>
      <c r="HR27" s="667"/>
      <c r="HS27" s="667"/>
      <c r="HT27" s="667"/>
      <c r="HU27" s="668"/>
      <c r="HW27" s="667"/>
      <c r="HX27" s="667"/>
      <c r="HY27" s="667"/>
      <c r="HZ27" s="667"/>
      <c r="IA27" s="667"/>
      <c r="IB27" s="667"/>
      <c r="IC27" s="667"/>
      <c r="ID27" s="667"/>
      <c r="IE27" s="667"/>
      <c r="IF27" s="668"/>
      <c r="IH27" s="667"/>
      <c r="II27" s="667"/>
      <c r="IJ27" s="667"/>
      <c r="IK27" s="667"/>
      <c r="IL27" s="667"/>
      <c r="IM27" s="667"/>
      <c r="IN27" s="667"/>
      <c r="IO27" s="667"/>
      <c r="IP27" s="667"/>
      <c r="IQ27" s="668"/>
      <c r="IS27" s="667"/>
      <c r="IT27" s="667"/>
      <c r="IU27" s="667"/>
      <c r="IV27" s="667"/>
      <c r="IW27" s="667"/>
      <c r="IX27" s="667"/>
      <c r="IY27" s="667"/>
      <c r="IZ27" s="667"/>
      <c r="JA27" s="667"/>
      <c r="JB27" s="668"/>
      <c r="JD27" s="667"/>
      <c r="JE27" s="667"/>
      <c r="JF27" s="667"/>
      <c r="JG27" s="667"/>
      <c r="JH27" s="667"/>
      <c r="JI27" s="667"/>
      <c r="JJ27" s="667"/>
      <c r="JK27" s="667"/>
      <c r="JL27" s="667"/>
      <c r="JM27" s="668"/>
      <c r="JO27" s="667"/>
      <c r="JP27" s="667"/>
      <c r="JQ27" s="667"/>
      <c r="JR27" s="667"/>
      <c r="JS27" s="667"/>
      <c r="JT27" s="667"/>
      <c r="JU27" s="667"/>
      <c r="JV27" s="667"/>
      <c r="JW27" s="667"/>
      <c r="JX27" s="668"/>
      <c r="JZ27" s="667"/>
      <c r="KA27" s="667"/>
      <c r="KB27" s="667"/>
      <c r="KC27" s="667"/>
      <c r="KD27" s="667"/>
      <c r="KE27" s="667"/>
      <c r="KF27" s="667"/>
      <c r="KG27" s="667"/>
      <c r="KH27" s="667"/>
      <c r="KI27" s="668"/>
      <c r="KK27" s="667"/>
      <c r="KL27" s="667"/>
      <c r="KM27" s="667"/>
      <c r="KN27" s="667"/>
      <c r="KO27" s="667"/>
      <c r="KP27" s="667"/>
      <c r="KQ27" s="667"/>
      <c r="KR27" s="667"/>
      <c r="KS27" s="667"/>
      <c r="KT27" s="668"/>
      <c r="KV27" s="667"/>
      <c r="KW27" s="667"/>
      <c r="KX27" s="667"/>
      <c r="KY27" s="667"/>
      <c r="KZ27" s="667"/>
      <c r="LA27" s="667"/>
      <c r="LB27" s="667"/>
      <c r="LC27" s="667"/>
      <c r="LD27" s="667"/>
      <c r="LE27" s="668"/>
      <c r="LG27" s="667"/>
      <c r="LH27" s="667"/>
      <c r="LI27" s="667"/>
      <c r="LJ27" s="667"/>
      <c r="LK27" s="667"/>
      <c r="LL27" s="667"/>
      <c r="LM27" s="667"/>
      <c r="LN27" s="667"/>
      <c r="LO27" s="667"/>
      <c r="LP27" s="668"/>
      <c r="LR27" s="667"/>
      <c r="LS27" s="667"/>
      <c r="LT27" s="667"/>
      <c r="LU27" s="667"/>
      <c r="LV27" s="667"/>
      <c r="LW27" s="667"/>
      <c r="LX27" s="667"/>
      <c r="LY27" s="667"/>
      <c r="LZ27" s="667"/>
      <c r="MA27" s="668"/>
      <c r="MC27" s="667"/>
      <c r="MD27" s="667"/>
      <c r="ME27" s="667"/>
      <c r="MF27" s="667"/>
      <c r="MG27" s="667"/>
      <c r="MH27" s="667"/>
      <c r="MI27" s="667"/>
      <c r="MJ27" s="667"/>
      <c r="MK27" s="667"/>
      <c r="ML27" s="668"/>
      <c r="MN27" s="667"/>
      <c r="MO27" s="667"/>
      <c r="MP27" s="667"/>
      <c r="MQ27" s="667"/>
      <c r="MR27" s="667"/>
      <c r="MS27" s="667"/>
      <c r="MT27" s="667"/>
      <c r="MU27" s="667"/>
      <c r="MV27" s="667"/>
      <c r="MW27" s="668"/>
      <c r="MY27" s="667"/>
      <c r="MZ27" s="667"/>
      <c r="NA27" s="667"/>
      <c r="NB27" s="667"/>
      <c r="NC27" s="667"/>
      <c r="ND27" s="667"/>
      <c r="NE27" s="667"/>
      <c r="NF27" s="667"/>
      <c r="NG27" s="667"/>
      <c r="NH27" s="668"/>
      <c r="NJ27" s="667"/>
      <c r="NK27" s="667"/>
      <c r="NL27" s="667"/>
      <c r="NM27" s="667"/>
      <c r="NN27" s="667"/>
      <c r="NO27" s="667"/>
      <c r="NP27" s="667"/>
      <c r="NQ27" s="667"/>
      <c r="NR27" s="667"/>
      <c r="NS27" s="668"/>
      <c r="NU27" s="667"/>
      <c r="NV27" s="667"/>
      <c r="NW27" s="667"/>
      <c r="NX27" s="667"/>
      <c r="NY27" s="667"/>
      <c r="NZ27" s="667"/>
      <c r="OA27" s="667"/>
      <c r="OB27" s="667"/>
      <c r="OC27" s="667"/>
      <c r="OD27" s="668"/>
      <c r="OF27" s="667"/>
      <c r="OG27" s="667"/>
      <c r="OH27" s="667"/>
      <c r="OI27" s="667"/>
      <c r="OJ27" s="667"/>
      <c r="OK27" s="667"/>
      <c r="OL27" s="667"/>
      <c r="OM27" s="667"/>
      <c r="ON27" s="667"/>
      <c r="OO27" s="668"/>
    </row>
    <row r="28" spans="1:405">
      <c r="A28" s="663" t="str">
        <v xml:space="preserve"> </v>
      </c>
      <c r="B28" s="667" t="s">
        <v>552</v>
      </c>
      <c r="C28" s="667" t="s">
        <v>552</v>
      </c>
      <c r="D28" s="667" t="s">
        <v>546</v>
      </c>
      <c r="E28" s="667" t="s">
        <v>547</v>
      </c>
      <c r="F28" s="668" t="s">
        <v>551</v>
      </c>
      <c r="G28" s="663"/>
      <c r="H28" s="667"/>
      <c r="I28" s="667"/>
      <c r="J28" s="667"/>
      <c r="K28" s="667"/>
      <c r="L28" s="668"/>
      <c r="N28" s="667"/>
      <c r="O28" s="667"/>
      <c r="P28" s="667"/>
      <c r="Q28" s="667"/>
      <c r="R28" s="668"/>
      <c r="T28" s="667"/>
      <c r="U28" s="667"/>
      <c r="V28" s="667"/>
      <c r="W28" s="667"/>
      <c r="X28" s="668"/>
      <c r="Z28" s="667"/>
      <c r="AA28" s="667"/>
      <c r="AB28" s="667"/>
      <c r="AC28" s="667"/>
      <c r="AD28" s="668"/>
      <c r="AF28" s="667"/>
      <c r="AG28" s="667"/>
      <c r="AH28" s="667"/>
      <c r="AI28" s="667"/>
      <c r="AJ28" s="668"/>
      <c r="AL28" s="667"/>
      <c r="AM28" s="667"/>
      <c r="AN28" s="667"/>
      <c r="AO28" s="667"/>
      <c r="AP28" s="668"/>
      <c r="AR28" s="667"/>
      <c r="AS28" s="667"/>
      <c r="AT28" s="667"/>
      <c r="AU28" s="667"/>
      <c r="AV28" s="668"/>
      <c r="AX28" s="667"/>
      <c r="AY28" s="667"/>
      <c r="AZ28" s="667"/>
      <c r="BA28" s="667"/>
      <c r="BB28" s="668"/>
      <c r="BD28" s="667"/>
      <c r="BE28" s="667"/>
      <c r="BF28" s="667"/>
      <c r="BG28" s="667"/>
      <c r="BH28" s="668"/>
      <c r="BJ28" s="667"/>
      <c r="BK28" s="667"/>
      <c r="BL28" s="667"/>
      <c r="BM28" s="667"/>
      <c r="BN28" s="668"/>
      <c r="BP28" s="667"/>
      <c r="BQ28" s="667"/>
      <c r="BR28" s="667"/>
      <c r="BS28" s="667"/>
      <c r="BT28" s="668"/>
      <c r="BV28" s="667"/>
      <c r="BW28" s="667"/>
      <c r="BX28" s="667"/>
      <c r="BY28" s="667"/>
      <c r="BZ28" s="668"/>
      <c r="CB28" s="667"/>
      <c r="CC28" s="667"/>
      <c r="CD28" s="667"/>
      <c r="CE28" s="667"/>
      <c r="CF28" s="668"/>
      <c r="CH28" s="667"/>
      <c r="CI28" s="667"/>
      <c r="CJ28" s="667"/>
      <c r="CK28" s="667"/>
      <c r="CL28" s="668"/>
      <c r="CN28" s="667"/>
      <c r="CO28" s="667"/>
      <c r="CP28" s="667"/>
      <c r="CQ28" s="667"/>
      <c r="CR28" s="668"/>
      <c r="CT28" s="667"/>
      <c r="CU28" s="667"/>
      <c r="CV28" s="667"/>
      <c r="CW28" s="667"/>
      <c r="CX28" s="668"/>
      <c r="CZ28" s="667"/>
      <c r="DA28" s="667"/>
      <c r="DB28" s="667"/>
      <c r="DC28" s="667"/>
      <c r="DD28" s="668"/>
      <c r="DF28" s="667"/>
      <c r="DG28" s="667"/>
      <c r="DH28" s="667"/>
      <c r="DI28" s="667"/>
      <c r="DJ28" s="668"/>
      <c r="DL28" s="667"/>
      <c r="DM28" s="667"/>
      <c r="DN28" s="667"/>
      <c r="DO28" s="667"/>
      <c r="DP28" s="668"/>
      <c r="DR28" s="667"/>
      <c r="DS28" s="667"/>
      <c r="DT28" s="667"/>
      <c r="DU28" s="667"/>
      <c r="DV28" s="668"/>
      <c r="DX28" s="667"/>
      <c r="DY28" s="667"/>
      <c r="DZ28" s="667"/>
      <c r="EA28" s="667"/>
      <c r="EB28" s="668"/>
      <c r="ED28" s="667"/>
      <c r="EE28" s="667"/>
      <c r="EF28" s="667"/>
      <c r="EG28" s="667"/>
      <c r="EH28" s="667"/>
      <c r="EI28" s="667"/>
      <c r="EJ28" s="667"/>
      <c r="EK28" s="667"/>
      <c r="EL28" s="667"/>
      <c r="EM28" s="668"/>
      <c r="EO28" s="667"/>
      <c r="EP28" s="667"/>
      <c r="EQ28" s="667"/>
      <c r="ER28" s="667"/>
      <c r="ES28" s="667"/>
      <c r="ET28" s="667"/>
      <c r="EU28" s="667"/>
      <c r="EV28" s="667"/>
      <c r="EW28" s="667"/>
      <c r="EX28" s="668"/>
      <c r="EZ28" s="667"/>
      <c r="FA28" s="667"/>
      <c r="FB28" s="667"/>
      <c r="FC28" s="667"/>
      <c r="FD28" s="667"/>
      <c r="FE28" s="667"/>
      <c r="FF28" s="667"/>
      <c r="FG28" s="667"/>
      <c r="FH28" s="667"/>
      <c r="FI28" s="668"/>
      <c r="FK28" s="667"/>
      <c r="FL28" s="667"/>
      <c r="FM28" s="667"/>
      <c r="FN28" s="667"/>
      <c r="FO28" s="667"/>
      <c r="FP28" s="667"/>
      <c r="FQ28" s="667"/>
      <c r="FR28" s="667"/>
      <c r="FS28" s="667"/>
      <c r="FT28" s="668"/>
      <c r="FV28" s="667"/>
      <c r="FW28" s="667"/>
      <c r="FX28" s="667"/>
      <c r="FY28" s="667"/>
      <c r="FZ28" s="667"/>
      <c r="GA28" s="667"/>
      <c r="GB28" s="667"/>
      <c r="GC28" s="667"/>
      <c r="GD28" s="667"/>
      <c r="GE28" s="668"/>
      <c r="GG28" s="667"/>
      <c r="GH28" s="667"/>
      <c r="GI28" s="667"/>
      <c r="GJ28" s="667"/>
      <c r="GK28" s="667"/>
      <c r="GL28" s="668"/>
      <c r="GN28" s="667"/>
      <c r="GO28" s="667"/>
      <c r="GP28" s="667"/>
      <c r="GQ28" s="667"/>
      <c r="GR28" s="667"/>
      <c r="GS28" s="668"/>
      <c r="GU28" s="667"/>
      <c r="GV28" s="667"/>
      <c r="GW28" s="667"/>
      <c r="GX28" s="667"/>
      <c r="GY28" s="667"/>
      <c r="GZ28" s="668"/>
      <c r="HB28" s="667"/>
      <c r="HC28" s="667"/>
      <c r="HD28" s="667"/>
      <c r="HE28" s="667"/>
      <c r="HF28" s="667"/>
      <c r="HG28" s="668"/>
      <c r="HI28" s="667"/>
      <c r="HJ28" s="667"/>
      <c r="HK28" s="667"/>
      <c r="HL28" s="667"/>
      <c r="HM28" s="667"/>
      <c r="HN28" s="668"/>
      <c r="HP28" s="667"/>
      <c r="HQ28" s="667"/>
      <c r="HR28" s="667"/>
      <c r="HS28" s="667"/>
      <c r="HT28" s="667"/>
      <c r="HU28" s="668"/>
      <c r="HW28" s="667"/>
      <c r="HX28" s="667"/>
      <c r="HY28" s="667"/>
      <c r="HZ28" s="667"/>
      <c r="IA28" s="667"/>
      <c r="IB28" s="667"/>
      <c r="IC28" s="667"/>
      <c r="ID28" s="667"/>
      <c r="IE28" s="667"/>
      <c r="IF28" s="668"/>
      <c r="IH28" s="667"/>
      <c r="II28" s="667"/>
      <c r="IJ28" s="667"/>
      <c r="IK28" s="667"/>
      <c r="IL28" s="667"/>
      <c r="IM28" s="667"/>
      <c r="IN28" s="667"/>
      <c r="IO28" s="667"/>
      <c r="IP28" s="667"/>
      <c r="IQ28" s="668"/>
      <c r="IS28" s="667"/>
      <c r="IT28" s="667"/>
      <c r="IU28" s="667"/>
      <c r="IV28" s="667"/>
      <c r="IW28" s="667"/>
      <c r="IX28" s="667"/>
      <c r="IY28" s="667"/>
      <c r="IZ28" s="667"/>
      <c r="JA28" s="667"/>
      <c r="JB28" s="668"/>
      <c r="JD28" s="667"/>
      <c r="JE28" s="667"/>
      <c r="JF28" s="667"/>
      <c r="JG28" s="667"/>
      <c r="JH28" s="667"/>
      <c r="JI28" s="667"/>
      <c r="JJ28" s="667"/>
      <c r="JK28" s="667"/>
      <c r="JL28" s="667"/>
      <c r="JM28" s="668"/>
      <c r="JO28" s="667"/>
      <c r="JP28" s="667"/>
      <c r="JQ28" s="667"/>
      <c r="JR28" s="667"/>
      <c r="JS28" s="667"/>
      <c r="JT28" s="667"/>
      <c r="JU28" s="667"/>
      <c r="JV28" s="667"/>
      <c r="JW28" s="667"/>
      <c r="JX28" s="668"/>
      <c r="JZ28" s="667"/>
      <c r="KA28" s="667"/>
      <c r="KB28" s="667"/>
      <c r="KC28" s="667"/>
      <c r="KD28" s="667"/>
      <c r="KE28" s="667"/>
      <c r="KF28" s="667"/>
      <c r="KG28" s="667"/>
      <c r="KH28" s="667"/>
      <c r="KI28" s="668"/>
      <c r="KK28" s="667"/>
      <c r="KL28" s="667"/>
      <c r="KM28" s="667"/>
      <c r="KN28" s="667"/>
      <c r="KO28" s="667"/>
      <c r="KP28" s="667"/>
      <c r="KQ28" s="667"/>
      <c r="KR28" s="667"/>
      <c r="KS28" s="667"/>
      <c r="KT28" s="668"/>
      <c r="KV28" s="667"/>
      <c r="KW28" s="667"/>
      <c r="KX28" s="667"/>
      <c r="KY28" s="667"/>
      <c r="KZ28" s="667"/>
      <c r="LA28" s="667"/>
      <c r="LB28" s="667"/>
      <c r="LC28" s="667"/>
      <c r="LD28" s="667"/>
      <c r="LE28" s="668"/>
      <c r="LG28" s="667"/>
      <c r="LH28" s="667"/>
      <c r="LI28" s="667"/>
      <c r="LJ28" s="667"/>
      <c r="LK28" s="667"/>
      <c r="LL28" s="667"/>
      <c r="LM28" s="667"/>
      <c r="LN28" s="667"/>
      <c r="LO28" s="667"/>
      <c r="LP28" s="668"/>
      <c r="LR28" s="667"/>
      <c r="LS28" s="667"/>
      <c r="LT28" s="667"/>
      <c r="LU28" s="667"/>
      <c r="LV28" s="667"/>
      <c r="LW28" s="667"/>
      <c r="LX28" s="667"/>
      <c r="LY28" s="667"/>
      <c r="LZ28" s="667"/>
      <c r="MA28" s="668"/>
      <c r="MC28" s="667"/>
      <c r="MD28" s="667"/>
      <c r="ME28" s="667"/>
      <c r="MF28" s="667"/>
      <c r="MG28" s="667"/>
      <c r="MH28" s="667"/>
      <c r="MI28" s="667"/>
      <c r="MJ28" s="667"/>
      <c r="MK28" s="667"/>
      <c r="ML28" s="668"/>
      <c r="MN28" s="667"/>
      <c r="MO28" s="667"/>
      <c r="MP28" s="667"/>
      <c r="MQ28" s="667"/>
      <c r="MR28" s="667"/>
      <c r="MS28" s="667"/>
      <c r="MT28" s="667"/>
      <c r="MU28" s="667"/>
      <c r="MV28" s="667"/>
      <c r="MW28" s="668"/>
      <c r="MY28" s="667"/>
      <c r="MZ28" s="667"/>
      <c r="NA28" s="667"/>
      <c r="NB28" s="667"/>
      <c r="NC28" s="667"/>
      <c r="ND28" s="667"/>
      <c r="NE28" s="667"/>
      <c r="NF28" s="667"/>
      <c r="NG28" s="667"/>
      <c r="NH28" s="668"/>
      <c r="NJ28" s="667"/>
      <c r="NK28" s="667"/>
      <c r="NL28" s="667"/>
      <c r="NM28" s="667"/>
      <c r="NN28" s="667"/>
      <c r="NO28" s="667"/>
      <c r="NP28" s="667"/>
      <c r="NQ28" s="667"/>
      <c r="NR28" s="667"/>
      <c r="NS28" s="668"/>
      <c r="NU28" s="667"/>
      <c r="NV28" s="667"/>
      <c r="NW28" s="667"/>
      <c r="NX28" s="667"/>
      <c r="NY28" s="667"/>
      <c r="NZ28" s="667"/>
      <c r="OA28" s="667"/>
      <c r="OB28" s="667"/>
      <c r="OC28" s="667"/>
      <c r="OD28" s="668"/>
      <c r="OF28" s="667"/>
      <c r="OG28" s="667"/>
      <c r="OH28" s="667"/>
      <c r="OI28" s="667"/>
      <c r="OJ28" s="667"/>
      <c r="OK28" s="667"/>
      <c r="OL28" s="667"/>
      <c r="OM28" s="667"/>
      <c r="ON28" s="667"/>
      <c r="OO28" s="668"/>
    </row>
    <row r="29" spans="1:405">
      <c r="A29" s="663" t="str">
        <v xml:space="preserve"> </v>
      </c>
      <c r="B29" s="667" t="s">
        <v>552</v>
      </c>
      <c r="C29" s="667" t="s">
        <v>552</v>
      </c>
      <c r="D29" s="667" t="s">
        <v>546</v>
      </c>
      <c r="E29" s="667" t="s">
        <v>547</v>
      </c>
      <c r="F29" s="668" t="s">
        <v>549</v>
      </c>
      <c r="G29" s="663"/>
      <c r="H29" s="667"/>
      <c r="I29" s="667"/>
      <c r="J29" s="667"/>
      <c r="K29" s="667"/>
      <c r="L29" s="668"/>
      <c r="N29" s="667"/>
      <c r="O29" s="667"/>
      <c r="P29" s="667"/>
      <c r="Q29" s="667"/>
      <c r="R29" s="668"/>
      <c r="T29" s="667"/>
      <c r="U29" s="667"/>
      <c r="V29" s="667"/>
      <c r="W29" s="667"/>
      <c r="X29" s="668"/>
      <c r="Z29" s="667"/>
      <c r="AA29" s="667"/>
      <c r="AB29" s="667"/>
      <c r="AC29" s="667"/>
      <c r="AD29" s="668"/>
      <c r="AF29" s="667"/>
      <c r="AG29" s="667"/>
      <c r="AH29" s="667"/>
      <c r="AI29" s="667"/>
      <c r="AJ29" s="668"/>
      <c r="AL29" s="667"/>
      <c r="AM29" s="667"/>
      <c r="AN29" s="667"/>
      <c r="AO29" s="667"/>
      <c r="AP29" s="668"/>
      <c r="AR29" s="667"/>
      <c r="AS29" s="667"/>
      <c r="AT29" s="667"/>
      <c r="AU29" s="667"/>
      <c r="AV29" s="668"/>
      <c r="AX29" s="667"/>
      <c r="AY29" s="667"/>
      <c r="AZ29" s="667"/>
      <c r="BA29" s="667"/>
      <c r="BB29" s="668"/>
      <c r="BD29" s="667"/>
      <c r="BE29" s="667"/>
      <c r="BF29" s="667"/>
      <c r="BG29" s="667"/>
      <c r="BH29" s="668"/>
      <c r="BJ29" s="667"/>
      <c r="BK29" s="667"/>
      <c r="BL29" s="667"/>
      <c r="BM29" s="667"/>
      <c r="BN29" s="668"/>
      <c r="BP29" s="667"/>
      <c r="BQ29" s="667"/>
      <c r="BR29" s="667"/>
      <c r="BS29" s="667"/>
      <c r="BT29" s="668"/>
      <c r="BV29" s="667"/>
      <c r="BW29" s="667"/>
      <c r="BX29" s="667"/>
      <c r="BY29" s="667"/>
      <c r="BZ29" s="668"/>
      <c r="CB29" s="667"/>
      <c r="CC29" s="667"/>
      <c r="CD29" s="667"/>
      <c r="CE29" s="667"/>
      <c r="CF29" s="668"/>
      <c r="CH29" s="667"/>
      <c r="CI29" s="667"/>
      <c r="CJ29" s="667"/>
      <c r="CK29" s="667"/>
      <c r="CL29" s="668"/>
      <c r="CN29" s="667"/>
      <c r="CO29" s="667"/>
      <c r="CP29" s="667"/>
      <c r="CQ29" s="667"/>
      <c r="CR29" s="668"/>
      <c r="CT29" s="667"/>
      <c r="CU29" s="667"/>
      <c r="CV29" s="667"/>
      <c r="CW29" s="667"/>
      <c r="CX29" s="668"/>
      <c r="CZ29" s="667"/>
      <c r="DA29" s="667"/>
      <c r="DB29" s="667"/>
      <c r="DC29" s="667"/>
      <c r="DD29" s="668"/>
      <c r="DF29" s="667"/>
      <c r="DG29" s="667"/>
      <c r="DH29" s="667"/>
      <c r="DI29" s="667"/>
      <c r="DJ29" s="668"/>
      <c r="DL29" s="667"/>
      <c r="DM29" s="667"/>
      <c r="DN29" s="667"/>
      <c r="DO29" s="667"/>
      <c r="DP29" s="668"/>
      <c r="DR29" s="667"/>
      <c r="DS29" s="667"/>
      <c r="DT29" s="667"/>
      <c r="DU29" s="667"/>
      <c r="DV29" s="668"/>
      <c r="DX29" s="667"/>
      <c r="DY29" s="667"/>
      <c r="DZ29" s="667"/>
      <c r="EA29" s="667"/>
      <c r="EB29" s="668"/>
      <c r="ED29" s="667"/>
      <c r="EE29" s="667"/>
      <c r="EF29" s="667"/>
      <c r="EG29" s="667"/>
      <c r="EH29" s="667"/>
      <c r="EI29" s="667"/>
      <c r="EJ29" s="667"/>
      <c r="EK29" s="667"/>
      <c r="EL29" s="667"/>
      <c r="EM29" s="668"/>
      <c r="EO29" s="667"/>
      <c r="EP29" s="667"/>
      <c r="EQ29" s="667"/>
      <c r="ER29" s="667"/>
      <c r="ES29" s="667"/>
      <c r="ET29" s="667"/>
      <c r="EU29" s="667"/>
      <c r="EV29" s="667"/>
      <c r="EW29" s="667"/>
      <c r="EX29" s="668"/>
      <c r="EZ29" s="667"/>
      <c r="FA29" s="667"/>
      <c r="FB29" s="667"/>
      <c r="FC29" s="667"/>
      <c r="FD29" s="667"/>
      <c r="FE29" s="667"/>
      <c r="FF29" s="667"/>
      <c r="FG29" s="667"/>
      <c r="FH29" s="667"/>
      <c r="FI29" s="668"/>
      <c r="FK29" s="667"/>
      <c r="FL29" s="667"/>
      <c r="FM29" s="667"/>
      <c r="FN29" s="667"/>
      <c r="FO29" s="667"/>
      <c r="FP29" s="667"/>
      <c r="FQ29" s="667"/>
      <c r="FR29" s="667"/>
      <c r="FS29" s="667"/>
      <c r="FT29" s="668"/>
      <c r="FV29" s="667"/>
      <c r="FW29" s="667"/>
      <c r="FX29" s="667"/>
      <c r="FY29" s="667"/>
      <c r="FZ29" s="667"/>
      <c r="GA29" s="667"/>
      <c r="GB29" s="667"/>
      <c r="GC29" s="667"/>
      <c r="GD29" s="667"/>
      <c r="GE29" s="668"/>
      <c r="GG29" s="667"/>
      <c r="GH29" s="667"/>
      <c r="GI29" s="667"/>
      <c r="GJ29" s="667"/>
      <c r="GK29" s="667"/>
      <c r="GL29" s="668"/>
      <c r="GN29" s="667"/>
      <c r="GO29" s="667"/>
      <c r="GP29" s="667"/>
      <c r="GQ29" s="667"/>
      <c r="GR29" s="667"/>
      <c r="GS29" s="668"/>
      <c r="GU29" s="667"/>
      <c r="GV29" s="667"/>
      <c r="GW29" s="667"/>
      <c r="GX29" s="667"/>
      <c r="GY29" s="667"/>
      <c r="GZ29" s="668"/>
      <c r="HB29" s="667"/>
      <c r="HC29" s="667"/>
      <c r="HD29" s="667"/>
      <c r="HE29" s="667"/>
      <c r="HF29" s="667"/>
      <c r="HG29" s="668"/>
      <c r="HI29" s="667"/>
      <c r="HJ29" s="667"/>
      <c r="HK29" s="667"/>
      <c r="HL29" s="667"/>
      <c r="HM29" s="667"/>
      <c r="HN29" s="668"/>
      <c r="HP29" s="667"/>
      <c r="HQ29" s="667"/>
      <c r="HR29" s="667"/>
      <c r="HS29" s="667"/>
      <c r="HT29" s="667"/>
      <c r="HU29" s="668"/>
      <c r="HW29" s="667"/>
      <c r="HX29" s="667"/>
      <c r="HY29" s="667"/>
      <c r="HZ29" s="667"/>
      <c r="IA29" s="667"/>
      <c r="IB29" s="667"/>
      <c r="IC29" s="667"/>
      <c r="ID29" s="667"/>
      <c r="IE29" s="667"/>
      <c r="IF29" s="668"/>
      <c r="IH29" s="667"/>
      <c r="II29" s="667"/>
      <c r="IJ29" s="667"/>
      <c r="IK29" s="667"/>
      <c r="IL29" s="667"/>
      <c r="IM29" s="667"/>
      <c r="IN29" s="667"/>
      <c r="IO29" s="667"/>
      <c r="IP29" s="667"/>
      <c r="IQ29" s="668"/>
      <c r="IS29" s="667"/>
      <c r="IT29" s="667"/>
      <c r="IU29" s="667"/>
      <c r="IV29" s="667"/>
      <c r="IW29" s="667"/>
      <c r="IX29" s="667"/>
      <c r="IY29" s="667"/>
      <c r="IZ29" s="667"/>
      <c r="JA29" s="667"/>
      <c r="JB29" s="668"/>
      <c r="JD29" s="667"/>
      <c r="JE29" s="667"/>
      <c r="JF29" s="667"/>
      <c r="JG29" s="667"/>
      <c r="JH29" s="667"/>
      <c r="JI29" s="667"/>
      <c r="JJ29" s="667"/>
      <c r="JK29" s="667"/>
      <c r="JL29" s="667"/>
      <c r="JM29" s="668"/>
      <c r="JO29" s="667"/>
      <c r="JP29" s="667"/>
      <c r="JQ29" s="667"/>
      <c r="JR29" s="667"/>
      <c r="JS29" s="667"/>
      <c r="JT29" s="667"/>
      <c r="JU29" s="667"/>
      <c r="JV29" s="667"/>
      <c r="JW29" s="667"/>
      <c r="JX29" s="668"/>
      <c r="JZ29" s="667"/>
      <c r="KA29" s="667"/>
      <c r="KB29" s="667"/>
      <c r="KC29" s="667"/>
      <c r="KD29" s="667"/>
      <c r="KE29" s="667"/>
      <c r="KF29" s="667"/>
      <c r="KG29" s="667"/>
      <c r="KH29" s="667"/>
      <c r="KI29" s="668"/>
      <c r="KK29" s="667"/>
      <c r="KL29" s="667"/>
      <c r="KM29" s="667"/>
      <c r="KN29" s="667"/>
      <c r="KO29" s="667"/>
      <c r="KP29" s="667"/>
      <c r="KQ29" s="667"/>
      <c r="KR29" s="667"/>
      <c r="KS29" s="667"/>
      <c r="KT29" s="668"/>
      <c r="KV29" s="667"/>
      <c r="KW29" s="667"/>
      <c r="KX29" s="667"/>
      <c r="KY29" s="667"/>
      <c r="KZ29" s="667"/>
      <c r="LA29" s="667"/>
      <c r="LB29" s="667"/>
      <c r="LC29" s="667"/>
      <c r="LD29" s="667"/>
      <c r="LE29" s="668"/>
      <c r="LG29" s="667"/>
      <c r="LH29" s="667"/>
      <c r="LI29" s="667"/>
      <c r="LJ29" s="667"/>
      <c r="LK29" s="667"/>
      <c r="LL29" s="667"/>
      <c r="LM29" s="667"/>
      <c r="LN29" s="667"/>
      <c r="LO29" s="667"/>
      <c r="LP29" s="668"/>
      <c r="LR29" s="667"/>
      <c r="LS29" s="667"/>
      <c r="LT29" s="667"/>
      <c r="LU29" s="667"/>
      <c r="LV29" s="667"/>
      <c r="LW29" s="667"/>
      <c r="LX29" s="667"/>
      <c r="LY29" s="667"/>
      <c r="LZ29" s="667"/>
      <c r="MA29" s="668"/>
      <c r="MC29" s="667"/>
      <c r="MD29" s="667"/>
      <c r="ME29" s="667"/>
      <c r="MF29" s="667"/>
      <c r="MG29" s="667"/>
      <c r="MH29" s="667"/>
      <c r="MI29" s="667"/>
      <c r="MJ29" s="667"/>
      <c r="MK29" s="667"/>
      <c r="ML29" s="668"/>
      <c r="MN29" s="667"/>
      <c r="MO29" s="667"/>
      <c r="MP29" s="667"/>
      <c r="MQ29" s="667"/>
      <c r="MR29" s="667"/>
      <c r="MS29" s="667"/>
      <c r="MT29" s="667"/>
      <c r="MU29" s="667"/>
      <c r="MV29" s="667"/>
      <c r="MW29" s="668"/>
      <c r="MY29" s="667"/>
      <c r="MZ29" s="667"/>
      <c r="NA29" s="667"/>
      <c r="NB29" s="667"/>
      <c r="NC29" s="667"/>
      <c r="ND29" s="667"/>
      <c r="NE29" s="667"/>
      <c r="NF29" s="667"/>
      <c r="NG29" s="667"/>
      <c r="NH29" s="668"/>
      <c r="NJ29" s="667"/>
      <c r="NK29" s="667"/>
      <c r="NL29" s="667"/>
      <c r="NM29" s="667"/>
      <c r="NN29" s="667"/>
      <c r="NO29" s="667"/>
      <c r="NP29" s="667"/>
      <c r="NQ29" s="667"/>
      <c r="NR29" s="667"/>
      <c r="NS29" s="668"/>
      <c r="NU29" s="667"/>
      <c r="NV29" s="667"/>
      <c r="NW29" s="667"/>
      <c r="NX29" s="667"/>
      <c r="NY29" s="667"/>
      <c r="NZ29" s="667"/>
      <c r="OA29" s="667"/>
      <c r="OB29" s="667"/>
      <c r="OC29" s="667"/>
      <c r="OD29" s="668"/>
      <c r="OF29" s="667"/>
      <c r="OG29" s="667"/>
      <c r="OH29" s="667"/>
      <c r="OI29" s="667"/>
      <c r="OJ29" s="667"/>
      <c r="OK29" s="667"/>
      <c r="OL29" s="667"/>
      <c r="OM29" s="667"/>
      <c r="ON29" s="667"/>
      <c r="OO29" s="668"/>
    </row>
    <row r="30" spans="1:405">
      <c r="A30" s="663" t="str">
        <v xml:space="preserve"> </v>
      </c>
      <c r="B30" s="667" t="s">
        <v>552</v>
      </c>
      <c r="C30" s="667" t="s">
        <v>552</v>
      </c>
      <c r="D30" s="667" t="s">
        <v>546</v>
      </c>
      <c r="E30" s="667" t="s">
        <v>547</v>
      </c>
      <c r="F30" s="668" t="s">
        <v>553</v>
      </c>
      <c r="H30" s="667"/>
      <c r="I30" s="667"/>
      <c r="J30" s="667"/>
      <c r="K30" s="667"/>
      <c r="L30" s="668"/>
      <c r="N30" s="667"/>
      <c r="O30" s="667"/>
      <c r="P30" s="667"/>
      <c r="Q30" s="667"/>
      <c r="R30" s="668"/>
      <c r="T30" s="667"/>
      <c r="U30" s="667"/>
      <c r="V30" s="667"/>
      <c r="W30" s="667"/>
      <c r="X30" s="668"/>
      <c r="Z30" s="667"/>
      <c r="AA30" s="667"/>
      <c r="AB30" s="667"/>
      <c r="AC30" s="667"/>
      <c r="AD30" s="668"/>
      <c r="AF30" s="667"/>
      <c r="AG30" s="667"/>
      <c r="AH30" s="667"/>
      <c r="AI30" s="667"/>
      <c r="AJ30" s="668"/>
      <c r="AL30" s="667"/>
      <c r="AM30" s="667"/>
      <c r="AN30" s="667"/>
      <c r="AO30" s="667"/>
      <c r="AP30" s="668"/>
      <c r="AR30" s="667"/>
      <c r="AS30" s="667"/>
      <c r="AT30" s="667"/>
      <c r="AU30" s="667"/>
      <c r="AV30" s="668"/>
      <c r="AX30" s="667"/>
      <c r="AY30" s="667"/>
      <c r="AZ30" s="667"/>
      <c r="BA30" s="667"/>
      <c r="BB30" s="668"/>
      <c r="BD30" s="667"/>
      <c r="BE30" s="667"/>
      <c r="BF30" s="667"/>
      <c r="BG30" s="667"/>
      <c r="BH30" s="668"/>
      <c r="BJ30" s="667"/>
      <c r="BK30" s="667"/>
      <c r="BL30" s="667"/>
      <c r="BM30" s="667"/>
      <c r="BN30" s="668"/>
      <c r="BP30" s="667"/>
      <c r="BQ30" s="667"/>
      <c r="BR30" s="667"/>
      <c r="BS30" s="667"/>
      <c r="BT30" s="668"/>
      <c r="BV30" s="667"/>
      <c r="BW30" s="667"/>
      <c r="BX30" s="667"/>
      <c r="BY30" s="667"/>
      <c r="BZ30" s="668"/>
      <c r="CB30" s="667"/>
      <c r="CC30" s="667"/>
      <c r="CD30" s="667"/>
      <c r="CE30" s="667"/>
      <c r="CF30" s="668"/>
      <c r="CH30" s="667"/>
      <c r="CI30" s="667"/>
      <c r="CJ30" s="667"/>
      <c r="CK30" s="667"/>
      <c r="CL30" s="668"/>
      <c r="CN30" s="667"/>
      <c r="CO30" s="667"/>
      <c r="CP30" s="667"/>
      <c r="CQ30" s="667"/>
      <c r="CR30" s="668"/>
      <c r="CT30" s="667"/>
      <c r="CU30" s="667"/>
      <c r="CV30" s="667"/>
      <c r="CW30" s="667"/>
      <c r="CX30" s="668"/>
      <c r="CZ30" s="667"/>
      <c r="DA30" s="667"/>
      <c r="DB30" s="667"/>
      <c r="DC30" s="667"/>
      <c r="DD30" s="668"/>
      <c r="DF30" s="667"/>
      <c r="DG30" s="667"/>
      <c r="DH30" s="667"/>
      <c r="DI30" s="667"/>
      <c r="DJ30" s="668"/>
      <c r="DL30" s="667"/>
      <c r="DM30" s="667"/>
      <c r="DN30" s="667"/>
      <c r="DO30" s="667"/>
      <c r="DP30" s="668"/>
      <c r="DR30" s="667"/>
      <c r="DS30" s="667"/>
      <c r="DT30" s="667"/>
      <c r="DU30" s="667"/>
      <c r="DV30" s="668"/>
      <c r="DX30" s="667"/>
      <c r="DY30" s="667"/>
      <c r="DZ30" s="667"/>
      <c r="EA30" s="667"/>
      <c r="EB30" s="668"/>
      <c r="ED30" s="667"/>
      <c r="EE30" s="667"/>
      <c r="EF30" s="667"/>
      <c r="EG30" s="667"/>
      <c r="EH30" s="667"/>
      <c r="EI30" s="667"/>
      <c r="EJ30" s="667"/>
      <c r="EK30" s="667"/>
      <c r="EL30" s="667"/>
      <c r="EM30" s="668"/>
      <c r="EO30" s="667"/>
      <c r="EP30" s="667"/>
      <c r="EQ30" s="667"/>
      <c r="ER30" s="667"/>
      <c r="ES30" s="667"/>
      <c r="ET30" s="667"/>
      <c r="EU30" s="667"/>
      <c r="EV30" s="667"/>
      <c r="EW30" s="667"/>
      <c r="EX30" s="668"/>
      <c r="EZ30" s="667"/>
      <c r="FA30" s="667"/>
      <c r="FB30" s="667"/>
      <c r="FC30" s="667"/>
      <c r="FD30" s="667"/>
      <c r="FE30" s="667"/>
      <c r="FF30" s="667"/>
      <c r="FG30" s="667"/>
      <c r="FH30" s="667"/>
      <c r="FI30" s="668"/>
      <c r="FK30" s="667"/>
      <c r="FL30" s="667"/>
      <c r="FM30" s="667"/>
      <c r="FN30" s="667"/>
      <c r="FO30" s="667"/>
      <c r="FP30" s="667"/>
      <c r="FQ30" s="667"/>
      <c r="FR30" s="667"/>
      <c r="FS30" s="667"/>
      <c r="FT30" s="668"/>
      <c r="FV30" s="667"/>
      <c r="FW30" s="667"/>
      <c r="FX30" s="667"/>
      <c r="FY30" s="667"/>
      <c r="FZ30" s="667"/>
      <c r="GA30" s="667"/>
      <c r="GB30" s="667"/>
      <c r="GC30" s="667"/>
      <c r="GD30" s="667"/>
      <c r="GE30" s="668"/>
      <c r="GG30" s="667"/>
      <c r="GH30" s="667"/>
      <c r="GI30" s="667"/>
      <c r="GJ30" s="667"/>
      <c r="GK30" s="667"/>
      <c r="GL30" s="668"/>
      <c r="GN30" s="667"/>
      <c r="GO30" s="667"/>
      <c r="GP30" s="667"/>
      <c r="GQ30" s="667"/>
      <c r="GR30" s="667"/>
      <c r="GS30" s="668"/>
      <c r="GU30" s="667"/>
      <c r="GV30" s="667"/>
      <c r="GW30" s="667"/>
      <c r="GX30" s="667"/>
      <c r="GY30" s="667"/>
      <c r="GZ30" s="668"/>
      <c r="HB30" s="667"/>
      <c r="HC30" s="667"/>
      <c r="HD30" s="667"/>
      <c r="HE30" s="667"/>
      <c r="HF30" s="667"/>
      <c r="HG30" s="668"/>
      <c r="HI30" s="667"/>
      <c r="HJ30" s="667"/>
      <c r="HK30" s="667"/>
      <c r="HL30" s="667"/>
      <c r="HM30" s="667"/>
      <c r="HN30" s="668"/>
      <c r="HP30" s="667"/>
      <c r="HQ30" s="667"/>
      <c r="HR30" s="667"/>
      <c r="HS30" s="667"/>
      <c r="HT30" s="667"/>
      <c r="HU30" s="668"/>
      <c r="HW30" s="667"/>
      <c r="HX30" s="667"/>
      <c r="HY30" s="667"/>
      <c r="HZ30" s="667"/>
      <c r="IA30" s="667"/>
      <c r="IB30" s="667"/>
      <c r="IC30" s="667"/>
      <c r="ID30" s="667"/>
      <c r="IE30" s="667"/>
      <c r="IF30" s="668"/>
      <c r="IH30" s="667"/>
      <c r="II30" s="667"/>
      <c r="IJ30" s="667"/>
      <c r="IK30" s="667"/>
      <c r="IL30" s="667"/>
      <c r="IM30" s="667"/>
      <c r="IN30" s="667"/>
      <c r="IO30" s="667"/>
      <c r="IP30" s="667"/>
      <c r="IQ30" s="668"/>
      <c r="IS30" s="667"/>
      <c r="IT30" s="667"/>
      <c r="IU30" s="667"/>
      <c r="IV30" s="667"/>
      <c r="IW30" s="667"/>
      <c r="IX30" s="667"/>
      <c r="IY30" s="667"/>
      <c r="IZ30" s="667"/>
      <c r="JA30" s="667"/>
      <c r="JB30" s="668"/>
      <c r="JD30" s="667"/>
      <c r="JE30" s="667"/>
      <c r="JF30" s="667"/>
      <c r="JG30" s="667"/>
      <c r="JH30" s="667"/>
      <c r="JI30" s="667"/>
      <c r="JJ30" s="667"/>
      <c r="JK30" s="667"/>
      <c r="JL30" s="667"/>
      <c r="JM30" s="668"/>
      <c r="JO30" s="667"/>
      <c r="JP30" s="667"/>
      <c r="JQ30" s="667"/>
      <c r="JR30" s="667"/>
      <c r="JS30" s="667"/>
      <c r="JT30" s="667"/>
      <c r="JU30" s="667"/>
      <c r="JV30" s="667"/>
      <c r="JW30" s="667"/>
      <c r="JX30" s="668"/>
      <c r="JZ30" s="667"/>
      <c r="KA30" s="667"/>
      <c r="KB30" s="667"/>
      <c r="KC30" s="667"/>
      <c r="KD30" s="667"/>
      <c r="KE30" s="667"/>
      <c r="KF30" s="667"/>
      <c r="KG30" s="667"/>
      <c r="KH30" s="667"/>
      <c r="KI30" s="668"/>
      <c r="KK30" s="667"/>
      <c r="KL30" s="667"/>
      <c r="KM30" s="667"/>
      <c r="KN30" s="667"/>
      <c r="KO30" s="667"/>
      <c r="KP30" s="667"/>
      <c r="KQ30" s="667"/>
      <c r="KR30" s="667"/>
      <c r="KS30" s="667"/>
      <c r="KT30" s="668"/>
      <c r="KV30" s="667"/>
      <c r="KW30" s="667"/>
      <c r="KX30" s="667"/>
      <c r="KY30" s="667"/>
      <c r="KZ30" s="667"/>
      <c r="LA30" s="667"/>
      <c r="LB30" s="667"/>
      <c r="LC30" s="667"/>
      <c r="LD30" s="667"/>
      <c r="LE30" s="668"/>
      <c r="LG30" s="667"/>
      <c r="LH30" s="667"/>
      <c r="LI30" s="667"/>
      <c r="LJ30" s="667"/>
      <c r="LK30" s="667"/>
      <c r="LL30" s="667"/>
      <c r="LM30" s="667"/>
      <c r="LN30" s="667"/>
      <c r="LO30" s="667"/>
      <c r="LP30" s="668"/>
      <c r="LR30" s="667"/>
      <c r="LS30" s="667"/>
      <c r="LT30" s="667"/>
      <c r="LU30" s="667"/>
      <c r="LV30" s="667"/>
      <c r="LW30" s="667"/>
      <c r="LX30" s="667"/>
      <c r="LY30" s="667"/>
      <c r="LZ30" s="667"/>
      <c r="MA30" s="668"/>
      <c r="MC30" s="667"/>
      <c r="MD30" s="667"/>
      <c r="ME30" s="667"/>
      <c r="MF30" s="667"/>
      <c r="MG30" s="667"/>
      <c r="MH30" s="667"/>
      <c r="MI30" s="667"/>
      <c r="MJ30" s="667"/>
      <c r="MK30" s="667"/>
      <c r="ML30" s="668"/>
      <c r="MN30" s="667"/>
      <c r="MO30" s="667"/>
      <c r="MP30" s="667"/>
      <c r="MQ30" s="667"/>
      <c r="MR30" s="667"/>
      <c r="MS30" s="667"/>
      <c r="MT30" s="667"/>
      <c r="MU30" s="667"/>
      <c r="MV30" s="667"/>
      <c r="MW30" s="668"/>
      <c r="MY30" s="667"/>
      <c r="MZ30" s="667"/>
      <c r="NA30" s="667"/>
      <c r="NB30" s="667"/>
      <c r="NC30" s="667"/>
      <c r="ND30" s="667"/>
      <c r="NE30" s="667"/>
      <c r="NF30" s="667"/>
      <c r="NG30" s="667"/>
      <c r="NH30" s="668"/>
      <c r="NJ30" s="667"/>
      <c r="NK30" s="667"/>
      <c r="NL30" s="667"/>
      <c r="NM30" s="667"/>
      <c r="NN30" s="667"/>
      <c r="NO30" s="667"/>
      <c r="NP30" s="667"/>
      <c r="NQ30" s="667"/>
      <c r="NR30" s="667"/>
      <c r="NS30" s="668"/>
      <c r="NU30" s="667"/>
      <c r="NV30" s="667"/>
      <c r="NW30" s="667"/>
      <c r="NX30" s="667"/>
      <c r="NY30" s="667"/>
      <c r="NZ30" s="667"/>
      <c r="OA30" s="667"/>
      <c r="OB30" s="667"/>
      <c r="OC30" s="667"/>
      <c r="OD30" s="668"/>
      <c r="OF30" s="667"/>
      <c r="OG30" s="667"/>
      <c r="OH30" s="667"/>
      <c r="OI30" s="667"/>
      <c r="OJ30" s="667"/>
      <c r="OK30" s="667"/>
      <c r="OL30" s="667"/>
      <c r="OM30" s="667"/>
      <c r="ON30" s="667"/>
      <c r="OO30" s="668"/>
    </row>
    <row r="31" spans="1:405">
      <c r="A31" s="663" t="str">
        <v xml:space="preserve"> </v>
      </c>
      <c r="B31" s="667" t="s">
        <v>552</v>
      </c>
      <c r="C31" s="667" t="s">
        <v>552</v>
      </c>
      <c r="D31" s="667" t="s">
        <v>546</v>
      </c>
      <c r="E31" s="667" t="s">
        <v>547</v>
      </c>
      <c r="F31" s="668" t="s">
        <v>551</v>
      </c>
      <c r="H31" s="667"/>
      <c r="I31" s="667"/>
      <c r="J31" s="667"/>
      <c r="K31" s="667"/>
      <c r="L31" s="668"/>
      <c r="N31" s="667"/>
      <c r="O31" s="667"/>
      <c r="P31" s="667"/>
      <c r="Q31" s="667"/>
      <c r="R31" s="668"/>
      <c r="T31" s="667"/>
      <c r="U31" s="667"/>
      <c r="V31" s="667"/>
      <c r="W31" s="667"/>
      <c r="X31" s="668"/>
      <c r="Z31" s="667"/>
      <c r="AA31" s="667"/>
      <c r="AB31" s="667"/>
      <c r="AC31" s="667"/>
      <c r="AD31" s="668"/>
      <c r="AF31" s="667"/>
      <c r="AG31" s="667"/>
      <c r="AH31" s="667"/>
      <c r="AI31" s="667"/>
      <c r="AJ31" s="668"/>
      <c r="AL31" s="667"/>
      <c r="AM31" s="667"/>
      <c r="AN31" s="667"/>
      <c r="AO31" s="667"/>
      <c r="AP31" s="668"/>
      <c r="AR31" s="667"/>
      <c r="AS31" s="667"/>
      <c r="AT31" s="667"/>
      <c r="AU31" s="667"/>
      <c r="AV31" s="668"/>
      <c r="AX31" s="667"/>
      <c r="AY31" s="667"/>
      <c r="AZ31" s="667"/>
      <c r="BA31" s="667"/>
      <c r="BB31" s="668"/>
      <c r="BD31" s="667"/>
      <c r="BE31" s="667"/>
      <c r="BF31" s="667"/>
      <c r="BG31" s="667"/>
      <c r="BH31" s="668"/>
      <c r="BJ31" s="667"/>
      <c r="BK31" s="667"/>
      <c r="BL31" s="667"/>
      <c r="BM31" s="667"/>
      <c r="BN31" s="668"/>
      <c r="BP31" s="667"/>
      <c r="BQ31" s="667"/>
      <c r="BR31" s="667"/>
      <c r="BS31" s="667"/>
      <c r="BT31" s="668"/>
      <c r="BV31" s="667"/>
      <c r="BW31" s="667"/>
      <c r="BX31" s="667"/>
      <c r="BY31" s="667"/>
      <c r="BZ31" s="668"/>
      <c r="CB31" s="667"/>
      <c r="CC31" s="667"/>
      <c r="CD31" s="667"/>
      <c r="CE31" s="667"/>
      <c r="CF31" s="668"/>
      <c r="CH31" s="667"/>
      <c r="CI31" s="667"/>
      <c r="CJ31" s="667"/>
      <c r="CK31" s="667"/>
      <c r="CL31" s="668"/>
      <c r="CN31" s="667"/>
      <c r="CO31" s="667"/>
      <c r="CP31" s="667"/>
      <c r="CQ31" s="667"/>
      <c r="CR31" s="668"/>
      <c r="CT31" s="667"/>
      <c r="CU31" s="667"/>
      <c r="CV31" s="667"/>
      <c r="CW31" s="667"/>
      <c r="CX31" s="668"/>
      <c r="CZ31" s="667"/>
      <c r="DA31" s="667"/>
      <c r="DB31" s="667"/>
      <c r="DC31" s="667"/>
      <c r="DD31" s="668"/>
      <c r="DF31" s="667"/>
      <c r="DG31" s="667"/>
      <c r="DH31" s="667"/>
      <c r="DI31" s="667"/>
      <c r="DJ31" s="668"/>
      <c r="DL31" s="667"/>
      <c r="DM31" s="667"/>
      <c r="DN31" s="667"/>
      <c r="DO31" s="667"/>
      <c r="DP31" s="668"/>
      <c r="DR31" s="667"/>
      <c r="DS31" s="667"/>
      <c r="DT31" s="667"/>
      <c r="DU31" s="667"/>
      <c r="DV31" s="668"/>
      <c r="DX31" s="667"/>
      <c r="DY31" s="667"/>
      <c r="DZ31" s="667"/>
      <c r="EA31" s="667"/>
      <c r="EB31" s="668"/>
      <c r="ED31" s="667"/>
      <c r="EE31" s="667"/>
      <c r="EF31" s="667"/>
      <c r="EG31" s="667"/>
      <c r="EH31" s="667"/>
      <c r="EI31" s="667"/>
      <c r="EJ31" s="667"/>
      <c r="EK31" s="667"/>
      <c r="EL31" s="667"/>
      <c r="EM31" s="668"/>
      <c r="EO31" s="667"/>
      <c r="EP31" s="667"/>
      <c r="EQ31" s="667"/>
      <c r="ER31" s="667"/>
      <c r="ES31" s="667"/>
      <c r="ET31" s="667"/>
      <c r="EU31" s="667"/>
      <c r="EV31" s="667"/>
      <c r="EW31" s="667"/>
      <c r="EX31" s="668"/>
      <c r="EZ31" s="667"/>
      <c r="FA31" s="667"/>
      <c r="FB31" s="667"/>
      <c r="FC31" s="667"/>
      <c r="FD31" s="667"/>
      <c r="FE31" s="667"/>
      <c r="FF31" s="667"/>
      <c r="FG31" s="667"/>
      <c r="FH31" s="667"/>
      <c r="FI31" s="668"/>
      <c r="FK31" s="667"/>
      <c r="FL31" s="667"/>
      <c r="FM31" s="667"/>
      <c r="FN31" s="667"/>
      <c r="FO31" s="667"/>
      <c r="FP31" s="667"/>
      <c r="FQ31" s="667"/>
      <c r="FR31" s="667"/>
      <c r="FS31" s="667"/>
      <c r="FT31" s="668"/>
      <c r="FV31" s="667"/>
      <c r="FW31" s="667"/>
      <c r="FX31" s="667"/>
      <c r="FY31" s="667"/>
      <c r="FZ31" s="667"/>
      <c r="GA31" s="667"/>
      <c r="GB31" s="667"/>
      <c r="GC31" s="667"/>
      <c r="GD31" s="667"/>
      <c r="GE31" s="668"/>
      <c r="GG31" s="667"/>
      <c r="GH31" s="667"/>
      <c r="GI31" s="667"/>
      <c r="GJ31" s="667"/>
      <c r="GK31" s="667"/>
      <c r="GL31" s="668"/>
      <c r="GN31" s="667"/>
      <c r="GO31" s="667"/>
      <c r="GP31" s="667"/>
      <c r="GQ31" s="667"/>
      <c r="GR31" s="667"/>
      <c r="GS31" s="668"/>
      <c r="GU31" s="667"/>
      <c r="GV31" s="667"/>
      <c r="GW31" s="667"/>
      <c r="GX31" s="667"/>
      <c r="GY31" s="667"/>
      <c r="GZ31" s="668"/>
      <c r="HB31" s="667"/>
      <c r="HC31" s="667"/>
      <c r="HD31" s="667"/>
      <c r="HE31" s="667"/>
      <c r="HF31" s="667"/>
      <c r="HG31" s="668"/>
      <c r="HI31" s="667"/>
      <c r="HJ31" s="667"/>
      <c r="HK31" s="667"/>
      <c r="HL31" s="667"/>
      <c r="HM31" s="667"/>
      <c r="HN31" s="668"/>
      <c r="HP31" s="667"/>
      <c r="HQ31" s="667"/>
      <c r="HR31" s="667"/>
      <c r="HS31" s="667"/>
      <c r="HT31" s="667"/>
      <c r="HU31" s="668"/>
      <c r="HW31" s="667"/>
      <c r="HX31" s="667"/>
      <c r="HY31" s="667"/>
      <c r="HZ31" s="667"/>
      <c r="IA31" s="667"/>
      <c r="IB31" s="667"/>
      <c r="IC31" s="667"/>
      <c r="ID31" s="667"/>
      <c r="IE31" s="667"/>
      <c r="IF31" s="668"/>
      <c r="IH31" s="667"/>
      <c r="II31" s="667"/>
      <c r="IJ31" s="667"/>
      <c r="IK31" s="667"/>
      <c r="IL31" s="667"/>
      <c r="IM31" s="667"/>
      <c r="IN31" s="667"/>
      <c r="IO31" s="667"/>
      <c r="IP31" s="667"/>
      <c r="IQ31" s="668"/>
      <c r="IS31" s="667"/>
      <c r="IT31" s="667"/>
      <c r="IU31" s="667"/>
      <c r="IV31" s="667"/>
      <c r="IW31" s="667"/>
      <c r="IX31" s="667"/>
      <c r="IY31" s="667"/>
      <c r="IZ31" s="667"/>
      <c r="JA31" s="667"/>
      <c r="JB31" s="668"/>
      <c r="JD31" s="667"/>
      <c r="JE31" s="667"/>
      <c r="JF31" s="667"/>
      <c r="JG31" s="667"/>
      <c r="JH31" s="667"/>
      <c r="JI31" s="667"/>
      <c r="JJ31" s="667"/>
      <c r="JK31" s="667"/>
      <c r="JL31" s="667"/>
      <c r="JM31" s="668"/>
      <c r="JO31" s="667"/>
      <c r="JP31" s="667"/>
      <c r="JQ31" s="667"/>
      <c r="JR31" s="667"/>
      <c r="JS31" s="667"/>
      <c r="JT31" s="667"/>
      <c r="JU31" s="667"/>
      <c r="JV31" s="667"/>
      <c r="JW31" s="667"/>
      <c r="JX31" s="668"/>
      <c r="JZ31" s="667"/>
      <c r="KA31" s="667"/>
      <c r="KB31" s="667"/>
      <c r="KC31" s="667"/>
      <c r="KD31" s="667"/>
      <c r="KE31" s="667"/>
      <c r="KF31" s="667"/>
      <c r="KG31" s="667"/>
      <c r="KH31" s="667"/>
      <c r="KI31" s="668"/>
      <c r="KK31" s="667"/>
      <c r="KL31" s="667"/>
      <c r="KM31" s="667"/>
      <c r="KN31" s="667"/>
      <c r="KO31" s="667"/>
      <c r="KP31" s="667"/>
      <c r="KQ31" s="667"/>
      <c r="KR31" s="667"/>
      <c r="KS31" s="667"/>
      <c r="KT31" s="668"/>
      <c r="KV31" s="667"/>
      <c r="KW31" s="667"/>
      <c r="KX31" s="667"/>
      <c r="KY31" s="667"/>
      <c r="KZ31" s="667"/>
      <c r="LA31" s="667"/>
      <c r="LB31" s="667"/>
      <c r="LC31" s="667"/>
      <c r="LD31" s="667"/>
      <c r="LE31" s="668"/>
      <c r="LG31" s="667"/>
      <c r="LH31" s="667"/>
      <c r="LI31" s="667"/>
      <c r="LJ31" s="667"/>
      <c r="LK31" s="667"/>
      <c r="LL31" s="667"/>
      <c r="LM31" s="667"/>
      <c r="LN31" s="667"/>
      <c r="LO31" s="667"/>
      <c r="LP31" s="668"/>
      <c r="LR31" s="667"/>
      <c r="LS31" s="667"/>
      <c r="LT31" s="667"/>
      <c r="LU31" s="667"/>
      <c r="LV31" s="667"/>
      <c r="LW31" s="667"/>
      <c r="LX31" s="667"/>
      <c r="LY31" s="667"/>
      <c r="LZ31" s="667"/>
      <c r="MA31" s="668"/>
      <c r="MC31" s="667"/>
      <c r="MD31" s="667"/>
      <c r="ME31" s="667"/>
      <c r="MF31" s="667"/>
      <c r="MG31" s="667"/>
      <c r="MH31" s="667"/>
      <c r="MI31" s="667"/>
      <c r="MJ31" s="667"/>
      <c r="MK31" s="667"/>
      <c r="ML31" s="668"/>
      <c r="MN31" s="667"/>
      <c r="MO31" s="667"/>
      <c r="MP31" s="667"/>
      <c r="MQ31" s="667"/>
      <c r="MR31" s="667"/>
      <c r="MS31" s="667"/>
      <c r="MT31" s="667"/>
      <c r="MU31" s="667"/>
      <c r="MV31" s="667"/>
      <c r="MW31" s="668"/>
      <c r="MY31" s="667"/>
      <c r="MZ31" s="667"/>
      <c r="NA31" s="667"/>
      <c r="NB31" s="667"/>
      <c r="NC31" s="667"/>
      <c r="ND31" s="667"/>
      <c r="NE31" s="667"/>
      <c r="NF31" s="667"/>
      <c r="NG31" s="667"/>
      <c r="NH31" s="668"/>
      <c r="NJ31" s="667"/>
      <c r="NK31" s="667"/>
      <c r="NL31" s="667"/>
      <c r="NM31" s="667"/>
      <c r="NN31" s="667"/>
      <c r="NO31" s="667"/>
      <c r="NP31" s="667"/>
      <c r="NQ31" s="667"/>
      <c r="NR31" s="667"/>
      <c r="NS31" s="668"/>
      <c r="NU31" s="667"/>
      <c r="NV31" s="667"/>
      <c r="NW31" s="667"/>
      <c r="NX31" s="667"/>
      <c r="NY31" s="667"/>
      <c r="NZ31" s="667"/>
      <c r="OA31" s="667"/>
      <c r="OB31" s="667"/>
      <c r="OC31" s="667"/>
      <c r="OD31" s="668"/>
      <c r="OF31" s="667"/>
      <c r="OG31" s="667"/>
      <c r="OH31" s="667"/>
      <c r="OI31" s="667"/>
      <c r="OJ31" s="667"/>
      <c r="OK31" s="667"/>
      <c r="OL31" s="667"/>
      <c r="OM31" s="667"/>
      <c r="ON31" s="667"/>
      <c r="OO31" s="668"/>
    </row>
    <row r="32" spans="1:405">
      <c r="A32" s="663"/>
      <c r="B32" s="667" t="s">
        <v>552</v>
      </c>
      <c r="C32" s="667" t="s">
        <v>552</v>
      </c>
      <c r="D32" s="667" t="s">
        <v>546</v>
      </c>
      <c r="E32" s="667" t="s">
        <v>547</v>
      </c>
      <c r="F32" s="668" t="s">
        <v>549</v>
      </c>
      <c r="H32" s="667"/>
      <c r="I32" s="667"/>
      <c r="J32" s="667"/>
      <c r="K32" s="667"/>
      <c r="L32" s="668"/>
      <c r="N32" s="667"/>
      <c r="O32" s="667"/>
      <c r="P32" s="667"/>
      <c r="Q32" s="667"/>
      <c r="R32" s="668"/>
      <c r="T32" s="667"/>
      <c r="U32" s="667"/>
      <c r="V32" s="667"/>
      <c r="W32" s="667"/>
      <c r="X32" s="668"/>
      <c r="Z32" s="667"/>
      <c r="AA32" s="667"/>
      <c r="AB32" s="667"/>
      <c r="AC32" s="667"/>
      <c r="AD32" s="668"/>
      <c r="AF32" s="667"/>
      <c r="AG32" s="667"/>
      <c r="AH32" s="667"/>
      <c r="AI32" s="667"/>
      <c r="AJ32" s="668"/>
      <c r="AL32" s="667"/>
      <c r="AM32" s="667"/>
      <c r="AN32" s="667"/>
      <c r="AO32" s="667"/>
      <c r="AP32" s="668"/>
      <c r="AR32" s="667"/>
      <c r="AS32" s="667"/>
      <c r="AT32" s="667"/>
      <c r="AU32" s="667"/>
      <c r="AV32" s="668"/>
      <c r="AX32" s="667"/>
      <c r="AY32" s="667"/>
      <c r="AZ32" s="667"/>
      <c r="BA32" s="667"/>
      <c r="BB32" s="668"/>
      <c r="BD32" s="667"/>
      <c r="BE32" s="667"/>
      <c r="BF32" s="667"/>
      <c r="BG32" s="667"/>
      <c r="BH32" s="668"/>
      <c r="BJ32" s="667"/>
      <c r="BK32" s="667"/>
      <c r="BL32" s="667"/>
      <c r="BM32" s="667"/>
      <c r="BN32" s="668"/>
      <c r="BP32" s="667"/>
      <c r="BQ32" s="667"/>
      <c r="BR32" s="667"/>
      <c r="BS32" s="667"/>
      <c r="BT32" s="668"/>
      <c r="BV32" s="667"/>
      <c r="BW32" s="667"/>
      <c r="BX32" s="667"/>
      <c r="BY32" s="667"/>
      <c r="BZ32" s="668"/>
      <c r="CB32" s="667"/>
      <c r="CC32" s="667"/>
      <c r="CD32" s="667"/>
      <c r="CE32" s="667"/>
      <c r="CF32" s="668"/>
      <c r="CH32" s="667"/>
      <c r="CI32" s="667"/>
      <c r="CJ32" s="667"/>
      <c r="CK32" s="667"/>
      <c r="CL32" s="668"/>
      <c r="CN32" s="667"/>
      <c r="CO32" s="667"/>
      <c r="CP32" s="667"/>
      <c r="CQ32" s="667"/>
      <c r="CR32" s="668"/>
      <c r="CT32" s="667"/>
      <c r="CU32" s="667"/>
      <c r="CV32" s="667"/>
      <c r="CW32" s="667"/>
      <c r="CX32" s="668"/>
      <c r="CZ32" s="667"/>
      <c r="DA32" s="667"/>
      <c r="DB32" s="667"/>
      <c r="DC32" s="667"/>
      <c r="DD32" s="668"/>
      <c r="DF32" s="667"/>
      <c r="DG32" s="667"/>
      <c r="DH32" s="667"/>
      <c r="DI32" s="667"/>
      <c r="DJ32" s="668"/>
      <c r="DL32" s="667"/>
      <c r="DM32" s="667"/>
      <c r="DN32" s="667"/>
      <c r="DO32" s="667"/>
      <c r="DP32" s="668"/>
      <c r="DR32" s="667"/>
      <c r="DS32" s="667"/>
      <c r="DT32" s="667"/>
      <c r="DU32" s="667"/>
      <c r="DV32" s="668"/>
      <c r="DX32" s="667"/>
      <c r="DY32" s="667"/>
      <c r="DZ32" s="667"/>
      <c r="EA32" s="667"/>
      <c r="EB32" s="668"/>
      <c r="ED32" s="667"/>
      <c r="EE32" s="667"/>
      <c r="EF32" s="667"/>
      <c r="EG32" s="667"/>
      <c r="EH32" s="667"/>
      <c r="EI32" s="667"/>
      <c r="EJ32" s="667"/>
      <c r="EK32" s="667"/>
      <c r="EL32" s="667"/>
      <c r="EM32" s="668"/>
      <c r="EO32" s="667"/>
      <c r="EP32" s="667"/>
      <c r="EQ32" s="667"/>
      <c r="ER32" s="667"/>
      <c r="ES32" s="667"/>
      <c r="ET32" s="667"/>
      <c r="EU32" s="667"/>
      <c r="EV32" s="667"/>
      <c r="EW32" s="667"/>
      <c r="EX32" s="668"/>
      <c r="EZ32" s="667"/>
      <c r="FA32" s="667"/>
      <c r="FB32" s="667"/>
      <c r="FC32" s="667"/>
      <c r="FD32" s="667"/>
      <c r="FE32" s="667"/>
      <c r="FF32" s="667"/>
      <c r="FG32" s="667"/>
      <c r="FH32" s="667"/>
      <c r="FI32" s="668"/>
      <c r="FK32" s="667"/>
      <c r="FL32" s="667"/>
      <c r="FM32" s="667"/>
      <c r="FN32" s="667"/>
      <c r="FO32" s="667"/>
      <c r="FP32" s="667"/>
      <c r="FQ32" s="667"/>
      <c r="FR32" s="667"/>
      <c r="FS32" s="667"/>
      <c r="FT32" s="668"/>
      <c r="FV32" s="667"/>
      <c r="FW32" s="667"/>
      <c r="FX32" s="667"/>
      <c r="FY32" s="667"/>
      <c r="FZ32" s="667"/>
      <c r="GA32" s="667"/>
      <c r="GB32" s="667"/>
      <c r="GC32" s="667"/>
      <c r="GD32" s="667"/>
      <c r="GE32" s="668"/>
      <c r="GG32" s="667"/>
      <c r="GH32" s="667"/>
      <c r="GI32" s="667"/>
      <c r="GJ32" s="667"/>
      <c r="GK32" s="667"/>
      <c r="GL32" s="668"/>
      <c r="GN32" s="667"/>
      <c r="GO32" s="667"/>
      <c r="GP32" s="667"/>
      <c r="GQ32" s="667"/>
      <c r="GR32" s="667"/>
      <c r="GS32" s="668"/>
      <c r="GU32" s="667"/>
      <c r="GV32" s="667"/>
      <c r="GW32" s="667"/>
      <c r="GX32" s="667"/>
      <c r="GY32" s="667"/>
      <c r="GZ32" s="668"/>
      <c r="HB32" s="667"/>
      <c r="HC32" s="667"/>
      <c r="HD32" s="667"/>
      <c r="HE32" s="667"/>
      <c r="HF32" s="667"/>
      <c r="HG32" s="668"/>
      <c r="HI32" s="667"/>
      <c r="HJ32" s="667"/>
      <c r="HK32" s="667"/>
      <c r="HL32" s="667"/>
      <c r="HM32" s="667"/>
      <c r="HN32" s="668"/>
      <c r="HP32" s="667"/>
      <c r="HQ32" s="667"/>
      <c r="HR32" s="667"/>
      <c r="HS32" s="667"/>
      <c r="HT32" s="667"/>
      <c r="HU32" s="668"/>
      <c r="HW32" s="667"/>
      <c r="HX32" s="667"/>
      <c r="HY32" s="667"/>
      <c r="HZ32" s="667"/>
      <c r="IA32" s="667"/>
      <c r="IB32" s="667"/>
      <c r="IC32" s="667"/>
      <c r="ID32" s="667"/>
      <c r="IE32" s="667"/>
      <c r="IF32" s="668"/>
      <c r="IH32" s="667"/>
      <c r="II32" s="667"/>
      <c r="IJ32" s="667"/>
      <c r="IK32" s="667"/>
      <c r="IL32" s="667"/>
      <c r="IM32" s="667"/>
      <c r="IN32" s="667"/>
      <c r="IO32" s="667"/>
      <c r="IP32" s="667"/>
      <c r="IQ32" s="668"/>
      <c r="IS32" s="667"/>
      <c r="IT32" s="667"/>
      <c r="IU32" s="667"/>
      <c r="IV32" s="667"/>
      <c r="IW32" s="667"/>
      <c r="IX32" s="667"/>
      <c r="IY32" s="667"/>
      <c r="IZ32" s="667"/>
      <c r="JA32" s="667"/>
      <c r="JB32" s="668"/>
      <c r="JD32" s="667"/>
      <c r="JE32" s="667"/>
      <c r="JF32" s="667"/>
      <c r="JG32" s="667"/>
      <c r="JH32" s="667"/>
      <c r="JI32" s="667"/>
      <c r="JJ32" s="667"/>
      <c r="JK32" s="667"/>
      <c r="JL32" s="667"/>
      <c r="JM32" s="668"/>
      <c r="JO32" s="667"/>
      <c r="JP32" s="667"/>
      <c r="JQ32" s="667"/>
      <c r="JR32" s="667"/>
      <c r="JS32" s="667"/>
      <c r="JT32" s="667"/>
      <c r="JU32" s="667"/>
      <c r="JV32" s="667"/>
      <c r="JW32" s="667"/>
      <c r="JX32" s="668"/>
      <c r="JZ32" s="667"/>
      <c r="KA32" s="667"/>
      <c r="KB32" s="667"/>
      <c r="KC32" s="667"/>
      <c r="KD32" s="667"/>
      <c r="KE32" s="667"/>
      <c r="KF32" s="667"/>
      <c r="KG32" s="667"/>
      <c r="KH32" s="667"/>
      <c r="KI32" s="668"/>
      <c r="KK32" s="667"/>
      <c r="KL32" s="667"/>
      <c r="KM32" s="667"/>
      <c r="KN32" s="667"/>
      <c r="KO32" s="667"/>
      <c r="KP32" s="667"/>
      <c r="KQ32" s="667"/>
      <c r="KR32" s="667"/>
      <c r="KS32" s="667"/>
      <c r="KT32" s="668"/>
      <c r="KV32" s="667"/>
      <c r="KW32" s="667"/>
      <c r="KX32" s="667"/>
      <c r="KY32" s="667"/>
      <c r="KZ32" s="667"/>
      <c r="LA32" s="667"/>
      <c r="LB32" s="667"/>
      <c r="LC32" s="667"/>
      <c r="LD32" s="667"/>
      <c r="LE32" s="668"/>
      <c r="LG32" s="667"/>
      <c r="LH32" s="667"/>
      <c r="LI32" s="667"/>
      <c r="LJ32" s="667"/>
      <c r="LK32" s="667"/>
      <c r="LL32" s="667"/>
      <c r="LM32" s="667"/>
      <c r="LN32" s="667"/>
      <c r="LO32" s="667"/>
      <c r="LP32" s="668"/>
      <c r="LR32" s="667"/>
      <c r="LS32" s="667"/>
      <c r="LT32" s="667"/>
      <c r="LU32" s="667"/>
      <c r="LV32" s="667"/>
      <c r="LW32" s="667"/>
      <c r="LX32" s="667"/>
      <c r="LY32" s="667"/>
      <c r="LZ32" s="667"/>
      <c r="MA32" s="668"/>
      <c r="MC32" s="667"/>
      <c r="MD32" s="667"/>
      <c r="ME32" s="667"/>
      <c r="MF32" s="667"/>
      <c r="MG32" s="667"/>
      <c r="MH32" s="667"/>
      <c r="MI32" s="667"/>
      <c r="MJ32" s="667"/>
      <c r="MK32" s="667"/>
      <c r="ML32" s="668"/>
      <c r="MN32" s="667"/>
      <c r="MO32" s="667"/>
      <c r="MP32" s="667"/>
      <c r="MQ32" s="667"/>
      <c r="MR32" s="667"/>
      <c r="MS32" s="667"/>
      <c r="MT32" s="667"/>
      <c r="MU32" s="667"/>
      <c r="MV32" s="667"/>
      <c r="MW32" s="668"/>
      <c r="MY32" s="667"/>
      <c r="MZ32" s="667"/>
      <c r="NA32" s="667"/>
      <c r="NB32" s="667"/>
      <c r="NC32" s="667"/>
      <c r="ND32" s="667"/>
      <c r="NE32" s="667"/>
      <c r="NF32" s="667"/>
      <c r="NG32" s="667"/>
      <c r="NH32" s="668"/>
      <c r="NJ32" s="667"/>
      <c r="NK32" s="667"/>
      <c r="NL32" s="667"/>
      <c r="NM32" s="667"/>
      <c r="NN32" s="667"/>
      <c r="NO32" s="667"/>
      <c r="NP32" s="667"/>
      <c r="NQ32" s="667"/>
      <c r="NR32" s="667"/>
      <c r="NS32" s="668"/>
      <c r="NU32" s="667"/>
      <c r="NV32" s="667"/>
      <c r="NW32" s="667"/>
      <c r="NX32" s="667"/>
      <c r="NY32" s="667"/>
      <c r="NZ32" s="667"/>
      <c r="OA32" s="667"/>
      <c r="OB32" s="667"/>
      <c r="OC32" s="667"/>
      <c r="OD32" s="668"/>
      <c r="OF32" s="667"/>
      <c r="OG32" s="667"/>
      <c r="OH32" s="667"/>
      <c r="OI32" s="667"/>
      <c r="OJ32" s="667"/>
      <c r="OK32" s="667"/>
      <c r="OL32" s="667"/>
      <c r="OM32" s="667"/>
      <c r="ON32" s="667"/>
      <c r="OO32" s="668"/>
    </row>
    <row r="33" spans="1:405">
      <c r="A33" s="663"/>
      <c r="B33" s="667" t="s">
        <v>552</v>
      </c>
      <c r="C33" s="667" t="s">
        <v>552</v>
      </c>
      <c r="D33" s="667" t="s">
        <v>546</v>
      </c>
      <c r="E33" s="667" t="s">
        <v>547</v>
      </c>
      <c r="F33" s="668" t="s">
        <v>553</v>
      </c>
      <c r="H33" s="667"/>
      <c r="I33" s="667"/>
      <c r="J33" s="667"/>
      <c r="K33" s="667"/>
      <c r="L33" s="668"/>
      <c r="N33" s="667"/>
      <c r="O33" s="667"/>
      <c r="P33" s="667"/>
      <c r="Q33" s="667"/>
      <c r="R33" s="668"/>
      <c r="T33" s="667"/>
      <c r="U33" s="667"/>
      <c r="V33" s="667"/>
      <c r="W33" s="667"/>
      <c r="X33" s="668"/>
      <c r="Z33" s="667"/>
      <c r="AA33" s="667"/>
      <c r="AB33" s="667"/>
      <c r="AC33" s="667"/>
      <c r="AD33" s="668"/>
      <c r="AF33" s="667"/>
      <c r="AG33" s="667"/>
      <c r="AH33" s="667"/>
      <c r="AI33" s="667"/>
      <c r="AJ33" s="668"/>
      <c r="AL33" s="667"/>
      <c r="AM33" s="667"/>
      <c r="AN33" s="667"/>
      <c r="AO33" s="667"/>
      <c r="AP33" s="668"/>
      <c r="AR33" s="667"/>
      <c r="AS33" s="667"/>
      <c r="AT33" s="667"/>
      <c r="AU33" s="667"/>
      <c r="AV33" s="668"/>
      <c r="AX33" s="667"/>
      <c r="AY33" s="667"/>
      <c r="AZ33" s="667"/>
      <c r="BA33" s="667"/>
      <c r="BB33" s="668"/>
      <c r="BD33" s="667"/>
      <c r="BE33" s="667"/>
      <c r="BF33" s="667"/>
      <c r="BG33" s="667"/>
      <c r="BH33" s="668"/>
      <c r="BJ33" s="667"/>
      <c r="BK33" s="667"/>
      <c r="BL33" s="667"/>
      <c r="BM33" s="667"/>
      <c r="BN33" s="668"/>
      <c r="BP33" s="667"/>
      <c r="BQ33" s="667"/>
      <c r="BR33" s="667"/>
      <c r="BS33" s="667"/>
      <c r="BT33" s="668"/>
      <c r="BV33" s="667"/>
      <c r="BW33" s="667"/>
      <c r="BX33" s="667"/>
      <c r="BY33" s="667"/>
      <c r="BZ33" s="668"/>
      <c r="CB33" s="667"/>
      <c r="CC33" s="667"/>
      <c r="CD33" s="667"/>
      <c r="CE33" s="667"/>
      <c r="CF33" s="668"/>
      <c r="CH33" s="667"/>
      <c r="CI33" s="667"/>
      <c r="CJ33" s="667"/>
      <c r="CK33" s="667"/>
      <c r="CL33" s="668"/>
      <c r="CN33" s="667"/>
      <c r="CO33" s="667"/>
      <c r="CP33" s="667"/>
      <c r="CQ33" s="667"/>
      <c r="CR33" s="668"/>
      <c r="CT33" s="667"/>
      <c r="CU33" s="667"/>
      <c r="CV33" s="667"/>
      <c r="CW33" s="667"/>
      <c r="CX33" s="668"/>
      <c r="CZ33" s="667"/>
      <c r="DA33" s="667"/>
      <c r="DB33" s="667"/>
      <c r="DC33" s="667"/>
      <c r="DD33" s="668"/>
      <c r="DF33" s="667"/>
      <c r="DG33" s="667"/>
      <c r="DH33" s="667"/>
      <c r="DI33" s="667"/>
      <c r="DJ33" s="668"/>
      <c r="DL33" s="667"/>
      <c r="DM33" s="667"/>
      <c r="DN33" s="667"/>
      <c r="DO33" s="667"/>
      <c r="DP33" s="668"/>
      <c r="DR33" s="667"/>
      <c r="DS33" s="667"/>
      <c r="DT33" s="667"/>
      <c r="DU33" s="667"/>
      <c r="DV33" s="668"/>
      <c r="DX33" s="667"/>
      <c r="DY33" s="667"/>
      <c r="DZ33" s="667"/>
      <c r="EA33" s="667"/>
      <c r="EB33" s="668"/>
      <c r="ED33" s="667"/>
      <c r="EE33" s="667"/>
      <c r="EF33" s="667"/>
      <c r="EG33" s="667"/>
      <c r="EH33" s="667"/>
      <c r="EI33" s="667"/>
      <c r="EJ33" s="667"/>
      <c r="EK33" s="667"/>
      <c r="EL33" s="667"/>
      <c r="EM33" s="668"/>
      <c r="EO33" s="667"/>
      <c r="EP33" s="667"/>
      <c r="EQ33" s="667"/>
      <c r="ER33" s="667"/>
      <c r="ES33" s="667"/>
      <c r="ET33" s="667"/>
      <c r="EU33" s="667"/>
      <c r="EV33" s="667"/>
      <c r="EW33" s="667"/>
      <c r="EX33" s="668"/>
      <c r="EZ33" s="667"/>
      <c r="FA33" s="667"/>
      <c r="FB33" s="667"/>
      <c r="FC33" s="667"/>
      <c r="FD33" s="667"/>
      <c r="FE33" s="667"/>
      <c r="FF33" s="667"/>
      <c r="FG33" s="667"/>
      <c r="FH33" s="667"/>
      <c r="FI33" s="668"/>
      <c r="FK33" s="667"/>
      <c r="FL33" s="667"/>
      <c r="FM33" s="667"/>
      <c r="FN33" s="667"/>
      <c r="FO33" s="667"/>
      <c r="FP33" s="667"/>
      <c r="FQ33" s="667"/>
      <c r="FR33" s="667"/>
      <c r="FS33" s="667"/>
      <c r="FT33" s="668"/>
      <c r="FV33" s="667"/>
      <c r="FW33" s="667"/>
      <c r="FX33" s="667"/>
      <c r="FY33" s="667"/>
      <c r="FZ33" s="667"/>
      <c r="GA33" s="667"/>
      <c r="GB33" s="667"/>
      <c r="GC33" s="667"/>
      <c r="GD33" s="667"/>
      <c r="GE33" s="668"/>
      <c r="GG33" s="667"/>
      <c r="GH33" s="667"/>
      <c r="GI33" s="667"/>
      <c r="GJ33" s="667"/>
      <c r="GK33" s="667"/>
      <c r="GL33" s="668"/>
      <c r="GN33" s="667"/>
      <c r="GO33" s="667"/>
      <c r="GP33" s="667"/>
      <c r="GQ33" s="667"/>
      <c r="GR33" s="667"/>
      <c r="GS33" s="668"/>
      <c r="GU33" s="667"/>
      <c r="GV33" s="667"/>
      <c r="GW33" s="667"/>
      <c r="GX33" s="667"/>
      <c r="GY33" s="667"/>
      <c r="GZ33" s="668"/>
      <c r="HB33" s="667"/>
      <c r="HC33" s="667"/>
      <c r="HD33" s="667"/>
      <c r="HE33" s="667"/>
      <c r="HF33" s="667"/>
      <c r="HG33" s="668"/>
      <c r="HI33" s="667"/>
      <c r="HJ33" s="667"/>
      <c r="HK33" s="667"/>
      <c r="HL33" s="667"/>
      <c r="HM33" s="667"/>
      <c r="HN33" s="668"/>
      <c r="HP33" s="667"/>
      <c r="HQ33" s="667"/>
      <c r="HR33" s="667"/>
      <c r="HS33" s="667"/>
      <c r="HT33" s="667"/>
      <c r="HU33" s="668"/>
      <c r="HW33" s="667"/>
      <c r="HX33" s="667"/>
      <c r="HY33" s="667"/>
      <c r="HZ33" s="667"/>
      <c r="IA33" s="667"/>
      <c r="IB33" s="667"/>
      <c r="IC33" s="667"/>
      <c r="ID33" s="667"/>
      <c r="IE33" s="667"/>
      <c r="IF33" s="668"/>
      <c r="IH33" s="667"/>
      <c r="II33" s="667"/>
      <c r="IJ33" s="667"/>
      <c r="IK33" s="667"/>
      <c r="IL33" s="667"/>
      <c r="IM33" s="667"/>
      <c r="IN33" s="667"/>
      <c r="IO33" s="667"/>
      <c r="IP33" s="667"/>
      <c r="IQ33" s="668"/>
      <c r="IS33" s="667"/>
      <c r="IT33" s="667"/>
      <c r="IU33" s="667"/>
      <c r="IV33" s="667"/>
      <c r="IW33" s="667"/>
      <c r="IX33" s="667"/>
      <c r="IY33" s="667"/>
      <c r="IZ33" s="667"/>
      <c r="JA33" s="667"/>
      <c r="JB33" s="668"/>
      <c r="JD33" s="667"/>
      <c r="JE33" s="667"/>
      <c r="JF33" s="667"/>
      <c r="JG33" s="667"/>
      <c r="JH33" s="667"/>
      <c r="JI33" s="667"/>
      <c r="JJ33" s="667"/>
      <c r="JK33" s="667"/>
      <c r="JL33" s="667"/>
      <c r="JM33" s="668"/>
      <c r="JO33" s="667"/>
      <c r="JP33" s="667"/>
      <c r="JQ33" s="667"/>
      <c r="JR33" s="667"/>
      <c r="JS33" s="667"/>
      <c r="JT33" s="667"/>
      <c r="JU33" s="667"/>
      <c r="JV33" s="667"/>
      <c r="JW33" s="667"/>
      <c r="JX33" s="668"/>
      <c r="JZ33" s="667"/>
      <c r="KA33" s="667"/>
      <c r="KB33" s="667"/>
      <c r="KC33" s="667"/>
      <c r="KD33" s="667"/>
      <c r="KE33" s="667"/>
      <c r="KF33" s="667"/>
      <c r="KG33" s="667"/>
      <c r="KH33" s="667"/>
      <c r="KI33" s="668"/>
      <c r="KK33" s="667"/>
      <c r="KL33" s="667"/>
      <c r="KM33" s="667"/>
      <c r="KN33" s="667"/>
      <c r="KO33" s="667"/>
      <c r="KP33" s="667"/>
      <c r="KQ33" s="667"/>
      <c r="KR33" s="667"/>
      <c r="KS33" s="667"/>
      <c r="KT33" s="668"/>
      <c r="KV33" s="667"/>
      <c r="KW33" s="667"/>
      <c r="KX33" s="667"/>
      <c r="KY33" s="667"/>
      <c r="KZ33" s="667"/>
      <c r="LA33" s="667"/>
      <c r="LB33" s="667"/>
      <c r="LC33" s="667"/>
      <c r="LD33" s="667"/>
      <c r="LE33" s="668"/>
      <c r="LG33" s="667"/>
      <c r="LH33" s="667"/>
      <c r="LI33" s="667"/>
      <c r="LJ33" s="667"/>
      <c r="LK33" s="667"/>
      <c r="LL33" s="667"/>
      <c r="LM33" s="667"/>
      <c r="LN33" s="667"/>
      <c r="LO33" s="667"/>
      <c r="LP33" s="668"/>
      <c r="LR33" s="667"/>
      <c r="LS33" s="667"/>
      <c r="LT33" s="667"/>
      <c r="LU33" s="667"/>
      <c r="LV33" s="667"/>
      <c r="LW33" s="667"/>
      <c r="LX33" s="667"/>
      <c r="LY33" s="667"/>
      <c r="LZ33" s="667"/>
      <c r="MA33" s="668"/>
      <c r="MC33" s="667"/>
      <c r="MD33" s="667"/>
      <c r="ME33" s="667"/>
      <c r="MF33" s="667"/>
      <c r="MG33" s="667"/>
      <c r="MH33" s="667"/>
      <c r="MI33" s="667"/>
      <c r="MJ33" s="667"/>
      <c r="MK33" s="667"/>
      <c r="ML33" s="668"/>
      <c r="MN33" s="667"/>
      <c r="MO33" s="667"/>
      <c r="MP33" s="667"/>
      <c r="MQ33" s="667"/>
      <c r="MR33" s="667"/>
      <c r="MS33" s="667"/>
      <c r="MT33" s="667"/>
      <c r="MU33" s="667"/>
      <c r="MV33" s="667"/>
      <c r="MW33" s="668"/>
      <c r="MY33" s="667"/>
      <c r="MZ33" s="667"/>
      <c r="NA33" s="667"/>
      <c r="NB33" s="667"/>
      <c r="NC33" s="667"/>
      <c r="ND33" s="667"/>
      <c r="NE33" s="667"/>
      <c r="NF33" s="667"/>
      <c r="NG33" s="667"/>
      <c r="NH33" s="668"/>
      <c r="NJ33" s="667"/>
      <c r="NK33" s="667"/>
      <c r="NL33" s="667"/>
      <c r="NM33" s="667"/>
      <c r="NN33" s="667"/>
      <c r="NO33" s="667"/>
      <c r="NP33" s="667"/>
      <c r="NQ33" s="667"/>
      <c r="NR33" s="667"/>
      <c r="NS33" s="668"/>
      <c r="NU33" s="667"/>
      <c r="NV33" s="667"/>
      <c r="NW33" s="667"/>
      <c r="NX33" s="667"/>
      <c r="NY33" s="667"/>
      <c r="NZ33" s="667"/>
      <c r="OA33" s="667"/>
      <c r="OB33" s="667"/>
      <c r="OC33" s="667"/>
      <c r="OD33" s="668"/>
      <c r="OF33" s="667"/>
      <c r="OG33" s="667"/>
      <c r="OH33" s="667"/>
      <c r="OI33" s="667"/>
      <c r="OJ33" s="667"/>
      <c r="OK33" s="667"/>
      <c r="OL33" s="667"/>
      <c r="OM33" s="667"/>
      <c r="ON33" s="667"/>
      <c r="OO33" s="668"/>
    </row>
    <row r="34" spans="1:405">
      <c r="A34" s="663"/>
      <c r="B34" s="667" t="s">
        <v>552</v>
      </c>
      <c r="C34" s="667" t="s">
        <v>552</v>
      </c>
      <c r="D34" s="667" t="s">
        <v>546</v>
      </c>
      <c r="E34" s="667" t="s">
        <v>547</v>
      </c>
      <c r="F34" s="668" t="s">
        <v>551</v>
      </c>
      <c r="H34" s="667"/>
      <c r="I34" s="667"/>
      <c r="J34" s="667"/>
      <c r="K34" s="667"/>
      <c r="L34" s="668"/>
      <c r="N34" s="667"/>
      <c r="O34" s="667"/>
      <c r="P34" s="667"/>
      <c r="Q34" s="667"/>
      <c r="R34" s="668"/>
      <c r="T34" s="667"/>
      <c r="U34" s="667"/>
      <c r="V34" s="667"/>
      <c r="W34" s="667"/>
      <c r="X34" s="668"/>
      <c r="Z34" s="667"/>
      <c r="AA34" s="667"/>
      <c r="AB34" s="667"/>
      <c r="AC34" s="667"/>
      <c r="AD34" s="668"/>
      <c r="AF34" s="667"/>
      <c r="AG34" s="667"/>
      <c r="AH34" s="667"/>
      <c r="AI34" s="667"/>
      <c r="AJ34" s="668"/>
      <c r="AL34" s="667"/>
      <c r="AM34" s="667"/>
      <c r="AN34" s="667"/>
      <c r="AO34" s="667"/>
      <c r="AP34" s="668"/>
      <c r="AR34" s="667"/>
      <c r="AS34" s="667"/>
      <c r="AT34" s="667"/>
      <c r="AU34" s="667"/>
      <c r="AV34" s="668"/>
      <c r="AX34" s="667"/>
      <c r="AY34" s="667"/>
      <c r="AZ34" s="667"/>
      <c r="BA34" s="667"/>
      <c r="BB34" s="668"/>
      <c r="BD34" s="667"/>
      <c r="BE34" s="667"/>
      <c r="BF34" s="667"/>
      <c r="BG34" s="667"/>
      <c r="BH34" s="668"/>
      <c r="BJ34" s="667"/>
      <c r="BK34" s="667"/>
      <c r="BL34" s="667"/>
      <c r="BM34" s="667"/>
      <c r="BN34" s="668"/>
      <c r="BP34" s="667"/>
      <c r="BQ34" s="667"/>
      <c r="BR34" s="667"/>
      <c r="BS34" s="667"/>
      <c r="BT34" s="668"/>
      <c r="BV34" s="667"/>
      <c r="BW34" s="667"/>
      <c r="BX34" s="667"/>
      <c r="BY34" s="667"/>
      <c r="BZ34" s="668"/>
      <c r="CB34" s="667"/>
      <c r="CC34" s="667"/>
      <c r="CD34" s="667"/>
      <c r="CE34" s="667"/>
      <c r="CF34" s="668"/>
      <c r="CH34" s="667"/>
      <c r="CI34" s="667"/>
      <c r="CJ34" s="667"/>
      <c r="CK34" s="667"/>
      <c r="CL34" s="668"/>
      <c r="CN34" s="667"/>
      <c r="CO34" s="667"/>
      <c r="CP34" s="667"/>
      <c r="CQ34" s="667"/>
      <c r="CR34" s="668"/>
      <c r="CT34" s="667"/>
      <c r="CU34" s="667"/>
      <c r="CV34" s="667"/>
      <c r="CW34" s="667"/>
      <c r="CX34" s="668"/>
      <c r="CZ34" s="667"/>
      <c r="DA34" s="667"/>
      <c r="DB34" s="667"/>
      <c r="DC34" s="667"/>
      <c r="DD34" s="668"/>
      <c r="DF34" s="667"/>
      <c r="DG34" s="667"/>
      <c r="DH34" s="667"/>
      <c r="DI34" s="667"/>
      <c r="DJ34" s="668"/>
      <c r="DL34" s="667"/>
      <c r="DM34" s="667"/>
      <c r="DN34" s="667"/>
      <c r="DO34" s="667"/>
      <c r="DP34" s="668"/>
      <c r="DR34" s="667"/>
      <c r="DS34" s="667"/>
      <c r="DT34" s="667"/>
      <c r="DU34" s="667"/>
      <c r="DV34" s="668"/>
      <c r="DX34" s="667"/>
      <c r="DY34" s="667"/>
      <c r="DZ34" s="667"/>
      <c r="EA34" s="667"/>
      <c r="EB34" s="668"/>
      <c r="ED34" s="667"/>
      <c r="EE34" s="667"/>
      <c r="EF34" s="667"/>
      <c r="EG34" s="667"/>
      <c r="EH34" s="667"/>
      <c r="EI34" s="667"/>
      <c r="EJ34" s="667"/>
      <c r="EK34" s="667"/>
      <c r="EL34" s="667"/>
      <c r="EM34" s="668"/>
      <c r="EO34" s="667"/>
      <c r="EP34" s="667"/>
      <c r="EQ34" s="667"/>
      <c r="ER34" s="667"/>
      <c r="ES34" s="667"/>
      <c r="ET34" s="667"/>
      <c r="EU34" s="667"/>
      <c r="EV34" s="667"/>
      <c r="EW34" s="667"/>
      <c r="EX34" s="668"/>
      <c r="EZ34" s="667"/>
      <c r="FA34" s="667"/>
      <c r="FB34" s="667"/>
      <c r="FC34" s="667"/>
      <c r="FD34" s="667"/>
      <c r="FE34" s="667"/>
      <c r="FF34" s="667"/>
      <c r="FG34" s="667"/>
      <c r="FH34" s="667"/>
      <c r="FI34" s="668"/>
      <c r="FK34" s="667"/>
      <c r="FL34" s="667"/>
      <c r="FM34" s="667"/>
      <c r="FN34" s="667"/>
      <c r="FO34" s="667"/>
      <c r="FP34" s="667"/>
      <c r="FQ34" s="667"/>
      <c r="FR34" s="667"/>
      <c r="FS34" s="667"/>
      <c r="FT34" s="668"/>
      <c r="FV34" s="667"/>
      <c r="FW34" s="667"/>
      <c r="FX34" s="667"/>
      <c r="FY34" s="667"/>
      <c r="FZ34" s="667"/>
      <c r="GA34" s="667"/>
      <c r="GB34" s="667"/>
      <c r="GC34" s="667"/>
      <c r="GD34" s="667"/>
      <c r="GE34" s="668"/>
      <c r="GG34" s="667"/>
      <c r="GH34" s="667"/>
      <c r="GI34" s="667"/>
      <c r="GJ34" s="667"/>
      <c r="GK34" s="667"/>
      <c r="GL34" s="668"/>
      <c r="GN34" s="667"/>
      <c r="GO34" s="667"/>
      <c r="GP34" s="667"/>
      <c r="GQ34" s="667"/>
      <c r="GR34" s="667"/>
      <c r="GS34" s="668"/>
      <c r="GU34" s="667"/>
      <c r="GV34" s="667"/>
      <c r="GW34" s="667"/>
      <c r="GX34" s="667"/>
      <c r="GY34" s="667"/>
      <c r="GZ34" s="668"/>
      <c r="HB34" s="667"/>
      <c r="HC34" s="667"/>
      <c r="HD34" s="667"/>
      <c r="HE34" s="667"/>
      <c r="HF34" s="667"/>
      <c r="HG34" s="668"/>
      <c r="HI34" s="667"/>
      <c r="HJ34" s="667"/>
      <c r="HK34" s="667"/>
      <c r="HL34" s="667"/>
      <c r="HM34" s="667"/>
      <c r="HN34" s="668"/>
      <c r="HP34" s="667"/>
      <c r="HQ34" s="667"/>
      <c r="HR34" s="667"/>
      <c r="HS34" s="667"/>
      <c r="HT34" s="667"/>
      <c r="HU34" s="668"/>
      <c r="HW34" s="667"/>
      <c r="HX34" s="667"/>
      <c r="HY34" s="667"/>
      <c r="HZ34" s="667"/>
      <c r="IA34" s="667"/>
      <c r="IB34" s="667"/>
      <c r="IC34" s="667"/>
      <c r="ID34" s="667"/>
      <c r="IE34" s="667"/>
      <c r="IF34" s="668"/>
      <c r="IH34" s="667"/>
      <c r="II34" s="667"/>
      <c r="IJ34" s="667"/>
      <c r="IK34" s="667"/>
      <c r="IL34" s="667"/>
      <c r="IM34" s="667"/>
      <c r="IN34" s="667"/>
      <c r="IO34" s="667"/>
      <c r="IP34" s="667"/>
      <c r="IQ34" s="668"/>
      <c r="IS34" s="667"/>
      <c r="IT34" s="667"/>
      <c r="IU34" s="667"/>
      <c r="IV34" s="667"/>
      <c r="IW34" s="667"/>
      <c r="IX34" s="667"/>
      <c r="IY34" s="667"/>
      <c r="IZ34" s="667"/>
      <c r="JA34" s="667"/>
      <c r="JB34" s="668"/>
      <c r="JD34" s="667"/>
      <c r="JE34" s="667"/>
      <c r="JF34" s="667"/>
      <c r="JG34" s="667"/>
      <c r="JH34" s="667"/>
      <c r="JI34" s="667"/>
      <c r="JJ34" s="667"/>
      <c r="JK34" s="667"/>
      <c r="JL34" s="667"/>
      <c r="JM34" s="668"/>
      <c r="JO34" s="667"/>
      <c r="JP34" s="667"/>
      <c r="JQ34" s="667"/>
      <c r="JR34" s="667"/>
      <c r="JS34" s="667"/>
      <c r="JT34" s="667"/>
      <c r="JU34" s="667"/>
      <c r="JV34" s="667"/>
      <c r="JW34" s="667"/>
      <c r="JX34" s="668"/>
      <c r="JZ34" s="667"/>
      <c r="KA34" s="667"/>
      <c r="KB34" s="667"/>
      <c r="KC34" s="667"/>
      <c r="KD34" s="667"/>
      <c r="KE34" s="667"/>
      <c r="KF34" s="667"/>
      <c r="KG34" s="667"/>
      <c r="KH34" s="667"/>
      <c r="KI34" s="668"/>
      <c r="KK34" s="667"/>
      <c r="KL34" s="667"/>
      <c r="KM34" s="667"/>
      <c r="KN34" s="667"/>
      <c r="KO34" s="667"/>
      <c r="KP34" s="667"/>
      <c r="KQ34" s="667"/>
      <c r="KR34" s="667"/>
      <c r="KS34" s="667"/>
      <c r="KT34" s="668"/>
      <c r="KV34" s="667"/>
      <c r="KW34" s="667"/>
      <c r="KX34" s="667"/>
      <c r="KY34" s="667"/>
      <c r="KZ34" s="667"/>
      <c r="LA34" s="667"/>
      <c r="LB34" s="667"/>
      <c r="LC34" s="667"/>
      <c r="LD34" s="667"/>
      <c r="LE34" s="668"/>
      <c r="LG34" s="667"/>
      <c r="LH34" s="667"/>
      <c r="LI34" s="667"/>
      <c r="LJ34" s="667"/>
      <c r="LK34" s="667"/>
      <c r="LL34" s="667"/>
      <c r="LM34" s="667"/>
      <c r="LN34" s="667"/>
      <c r="LO34" s="667"/>
      <c r="LP34" s="668"/>
      <c r="LR34" s="667"/>
      <c r="LS34" s="667"/>
      <c r="LT34" s="667"/>
      <c r="LU34" s="667"/>
      <c r="LV34" s="667"/>
      <c r="LW34" s="667"/>
      <c r="LX34" s="667"/>
      <c r="LY34" s="667"/>
      <c r="LZ34" s="667"/>
      <c r="MA34" s="668"/>
      <c r="MC34" s="667"/>
      <c r="MD34" s="667"/>
      <c r="ME34" s="667"/>
      <c r="MF34" s="667"/>
      <c r="MG34" s="667"/>
      <c r="MH34" s="667"/>
      <c r="MI34" s="667"/>
      <c r="MJ34" s="667"/>
      <c r="MK34" s="667"/>
      <c r="ML34" s="668"/>
      <c r="MN34" s="667"/>
      <c r="MO34" s="667"/>
      <c r="MP34" s="667"/>
      <c r="MQ34" s="667"/>
      <c r="MR34" s="667"/>
      <c r="MS34" s="667"/>
      <c r="MT34" s="667"/>
      <c r="MU34" s="667"/>
      <c r="MV34" s="667"/>
      <c r="MW34" s="668"/>
      <c r="MY34" s="667"/>
      <c r="MZ34" s="667"/>
      <c r="NA34" s="667"/>
      <c r="NB34" s="667"/>
      <c r="NC34" s="667"/>
      <c r="ND34" s="667"/>
      <c r="NE34" s="667"/>
      <c r="NF34" s="667"/>
      <c r="NG34" s="667"/>
      <c r="NH34" s="668"/>
      <c r="NJ34" s="667"/>
      <c r="NK34" s="667"/>
      <c r="NL34" s="667"/>
      <c r="NM34" s="667"/>
      <c r="NN34" s="667"/>
      <c r="NO34" s="667"/>
      <c r="NP34" s="667"/>
      <c r="NQ34" s="667"/>
      <c r="NR34" s="667"/>
      <c r="NS34" s="668"/>
      <c r="NU34" s="667"/>
      <c r="NV34" s="667"/>
      <c r="NW34" s="667"/>
      <c r="NX34" s="667"/>
      <c r="NY34" s="667"/>
      <c r="NZ34" s="667"/>
      <c r="OA34" s="667"/>
      <c r="OB34" s="667"/>
      <c r="OC34" s="667"/>
      <c r="OD34" s="668"/>
      <c r="OF34" s="667"/>
      <c r="OG34" s="667"/>
      <c r="OH34" s="667"/>
      <c r="OI34" s="667"/>
      <c r="OJ34" s="667"/>
      <c r="OK34" s="667"/>
      <c r="OL34" s="667"/>
      <c r="OM34" s="667"/>
      <c r="ON34" s="667"/>
      <c r="OO34" s="668"/>
    </row>
    <row r="37" spans="1:405">
      <c r="B37" t="s">
        <v>546</v>
      </c>
      <c r="C37" t="s">
        <v>547</v>
      </c>
      <c r="D37" t="s">
        <v>548</v>
      </c>
      <c r="E37" t="s">
        <v>552</v>
      </c>
      <c r="F37" t="s">
        <v>549</v>
      </c>
    </row>
    <row r="38" spans="1:405">
      <c r="F38" t="s">
        <v>551</v>
      </c>
    </row>
    <row r="39" spans="1:405">
      <c r="F39" t="s">
        <v>553</v>
      </c>
    </row>
    <row r="43" spans="1:405">
      <c r="B43" s="1077" t="s">
        <v>554</v>
      </c>
      <c r="C43" s="1078"/>
      <c r="D43" s="1078"/>
      <c r="E43" s="1078"/>
      <c r="H43" s="1077" t="s">
        <v>554</v>
      </c>
      <c r="I43" s="1078"/>
      <c r="J43" s="1078"/>
      <c r="K43" s="1078"/>
    </row>
    <row r="44" spans="1:405">
      <c r="B44" s="1077" t="s">
        <v>7</v>
      </c>
      <c r="C44" s="1078"/>
      <c r="D44" s="1077" t="s">
        <v>16</v>
      </c>
      <c r="E44" s="1078"/>
      <c r="H44" s="1077" t="s">
        <v>7</v>
      </c>
      <c r="I44" s="1078"/>
      <c r="J44" s="1077" t="s">
        <v>16</v>
      </c>
      <c r="K44" s="1078"/>
    </row>
    <row r="45" spans="1:405">
      <c r="B45" s="673" t="s">
        <v>548</v>
      </c>
      <c r="C45" s="674">
        <f>COUNTIF(B5:B34,"EE")</f>
        <v>1</v>
      </c>
      <c r="D45" s="673" t="s">
        <v>548</v>
      </c>
      <c r="E45" s="674">
        <f>COUNTIF(C5:C34,"EE")</f>
        <v>10</v>
      </c>
      <c r="H45" s="673" t="s">
        <v>548</v>
      </c>
      <c r="I45" s="674">
        <f>COUNTIF(H5:H34,"EE")</f>
        <v>0</v>
      </c>
      <c r="J45" s="673" t="s">
        <v>548</v>
      </c>
      <c r="K45" s="674"/>
    </row>
    <row r="46" spans="1:405">
      <c r="B46" s="673" t="s">
        <v>546</v>
      </c>
      <c r="C46" s="673">
        <f>COUNTIF(B5:B34,"ME")</f>
        <v>8</v>
      </c>
      <c r="D46" s="673" t="s">
        <v>546</v>
      </c>
      <c r="E46" s="674">
        <f t="shared" ref="E46:E48" si="0">COUNTIF(D6:D35,"EE")</f>
        <v>10</v>
      </c>
      <c r="H46" s="673" t="s">
        <v>546</v>
      </c>
      <c r="I46" s="673">
        <f>COUNTIF(H5:H34,"ME")</f>
        <v>1</v>
      </c>
      <c r="J46" s="673" t="s">
        <v>546</v>
      </c>
      <c r="K46" s="673"/>
    </row>
    <row r="47" spans="1:405">
      <c r="B47" s="673" t="s">
        <v>547</v>
      </c>
      <c r="C47" s="673">
        <f>COUNTIF(B5:B34,"NI")</f>
        <v>10</v>
      </c>
      <c r="D47" s="673" t="s">
        <v>547</v>
      </c>
      <c r="E47" s="674">
        <f t="shared" si="0"/>
        <v>9</v>
      </c>
      <c r="H47" s="673" t="s">
        <v>547</v>
      </c>
      <c r="I47" s="673">
        <f>COUNTIF(H5:H34,"NI")</f>
        <v>2</v>
      </c>
      <c r="J47" s="673" t="s">
        <v>547</v>
      </c>
      <c r="K47" s="673"/>
    </row>
    <row r="48" spans="1:405">
      <c r="B48" s="673" t="s">
        <v>552</v>
      </c>
      <c r="C48" s="673">
        <f>COUNTIF(B5:B34,"RF")</f>
        <v>11</v>
      </c>
      <c r="D48" s="673" t="s">
        <v>552</v>
      </c>
      <c r="E48" s="674">
        <f t="shared" si="0"/>
        <v>10</v>
      </c>
      <c r="H48" s="673" t="s">
        <v>552</v>
      </c>
      <c r="I48" s="673">
        <f>COUNTIF(H5:H34,"RF")</f>
        <v>0</v>
      </c>
      <c r="J48" s="673" t="s">
        <v>552</v>
      </c>
      <c r="K48" s="673"/>
    </row>
    <row r="49" spans="2:11">
      <c r="B49" s="1077" t="s">
        <v>25</v>
      </c>
      <c r="C49" s="1078"/>
      <c r="D49" s="1077" t="s">
        <v>34</v>
      </c>
      <c r="E49" s="1078"/>
      <c r="H49" s="1077" t="s">
        <v>25</v>
      </c>
      <c r="I49" s="1078"/>
      <c r="J49" s="1077" t="s">
        <v>34</v>
      </c>
      <c r="K49" s="1078"/>
    </row>
    <row r="50" spans="2:11">
      <c r="B50" s="673" t="s">
        <v>548</v>
      </c>
      <c r="C50" s="674"/>
      <c r="D50" s="673" t="s">
        <v>548</v>
      </c>
      <c r="E50" s="674"/>
      <c r="H50" s="673" t="s">
        <v>548</v>
      </c>
      <c r="I50" s="674"/>
      <c r="J50" s="673" t="s">
        <v>548</v>
      </c>
      <c r="K50" s="674"/>
    </row>
    <row r="51" spans="2:11">
      <c r="B51" s="673" t="s">
        <v>546</v>
      </c>
      <c r="C51" s="673"/>
      <c r="D51" s="673" t="s">
        <v>546</v>
      </c>
      <c r="E51" s="673"/>
      <c r="H51" s="673" t="s">
        <v>546</v>
      </c>
      <c r="I51" s="673"/>
      <c r="J51" s="673" t="s">
        <v>546</v>
      </c>
      <c r="K51" s="673"/>
    </row>
    <row r="52" spans="2:11">
      <c r="B52" s="673" t="s">
        <v>547</v>
      </c>
      <c r="C52" s="673"/>
      <c r="D52" s="673" t="s">
        <v>547</v>
      </c>
      <c r="E52" s="673"/>
      <c r="H52" s="673" t="s">
        <v>547</v>
      </c>
      <c r="I52" s="673"/>
      <c r="J52" s="673" t="s">
        <v>547</v>
      </c>
      <c r="K52" s="673"/>
    </row>
    <row r="53" spans="2:11">
      <c r="B53" s="673" t="s">
        <v>552</v>
      </c>
      <c r="C53" s="673"/>
      <c r="D53" s="673" t="s">
        <v>552</v>
      </c>
      <c r="E53" s="673"/>
      <c r="H53" s="673" t="s">
        <v>552</v>
      </c>
      <c r="I53" s="673"/>
      <c r="J53" s="673" t="s">
        <v>552</v>
      </c>
      <c r="K53" s="673"/>
    </row>
    <row r="54" spans="2:11">
      <c r="B54" s="1079" t="s">
        <v>555</v>
      </c>
      <c r="C54" s="1080"/>
      <c r="D54" s="1079" t="s">
        <v>153</v>
      </c>
      <c r="E54" s="1080"/>
      <c r="H54" s="1079" t="s">
        <v>555</v>
      </c>
      <c r="I54" s="1080"/>
      <c r="J54" s="1079" t="s">
        <v>153</v>
      </c>
      <c r="K54" s="1080"/>
    </row>
    <row r="55" spans="2:11">
      <c r="B55" s="673" t="s">
        <v>548</v>
      </c>
      <c r="C55" s="674"/>
      <c r="D55" s="673" t="s">
        <v>548</v>
      </c>
      <c r="E55" s="674">
        <v>0</v>
      </c>
      <c r="H55" s="673" t="s">
        <v>548</v>
      </c>
      <c r="I55" s="674"/>
      <c r="J55" s="673" t="s">
        <v>548</v>
      </c>
      <c r="K55" s="674">
        <v>0</v>
      </c>
    </row>
    <row r="56" spans="2:11">
      <c r="B56" s="673" t="s">
        <v>546</v>
      </c>
      <c r="C56" s="674"/>
      <c r="D56" s="673" t="s">
        <v>546</v>
      </c>
      <c r="E56" s="674">
        <v>1</v>
      </c>
      <c r="H56" s="673" t="s">
        <v>546</v>
      </c>
      <c r="I56" s="674"/>
      <c r="J56" s="673" t="s">
        <v>546</v>
      </c>
      <c r="K56" s="674">
        <v>1</v>
      </c>
    </row>
    <row r="57" spans="2:11">
      <c r="B57" s="673" t="s">
        <v>547</v>
      </c>
      <c r="C57" s="674"/>
      <c r="D57" s="673" t="s">
        <v>547</v>
      </c>
      <c r="E57" s="674">
        <v>0</v>
      </c>
      <c r="H57" s="673" t="s">
        <v>547</v>
      </c>
      <c r="I57" s="674"/>
      <c r="J57" s="673" t="s">
        <v>547</v>
      </c>
      <c r="K57" s="674">
        <v>0</v>
      </c>
    </row>
    <row r="58" spans="2:11">
      <c r="B58" s="673" t="s">
        <v>552</v>
      </c>
      <c r="C58" s="674"/>
      <c r="D58" s="673" t="s">
        <v>552</v>
      </c>
      <c r="E58" s="674">
        <v>0</v>
      </c>
      <c r="H58" s="673" t="s">
        <v>552</v>
      </c>
      <c r="I58" s="674"/>
      <c r="J58" s="673" t="s">
        <v>552</v>
      </c>
      <c r="K58" s="674">
        <v>0</v>
      </c>
    </row>
  </sheetData>
  <mergeCells count="229">
    <mergeCell ref="H43:K43"/>
    <mergeCell ref="H44:I44"/>
    <mergeCell ref="J44:K44"/>
    <mergeCell ref="H49:I49"/>
    <mergeCell ref="J49:K49"/>
    <mergeCell ref="H54:I54"/>
    <mergeCell ref="J54:K54"/>
    <mergeCell ref="NU2:OD2"/>
    <mergeCell ref="OE2:OE3"/>
    <mergeCell ref="MC2:ML2"/>
    <mergeCell ref="MM2:MM3"/>
    <mergeCell ref="MN2:MW2"/>
    <mergeCell ref="MX2:MX3"/>
    <mergeCell ref="MC3:ME3"/>
    <mergeCell ref="MF3:MH3"/>
    <mergeCell ref="MI3:ML3"/>
    <mergeCell ref="MN3:MP3"/>
    <mergeCell ref="MQ3:MS3"/>
    <mergeCell ref="MT3:MW3"/>
    <mergeCell ref="J3:K3"/>
    <mergeCell ref="M2:M3"/>
    <mergeCell ref="H2:L2"/>
    <mergeCell ref="AR3:AS3"/>
    <mergeCell ref="AE2:AE3"/>
    <mergeCell ref="OF2:OO2"/>
    <mergeCell ref="OP2:OP3"/>
    <mergeCell ref="NU3:NW3"/>
    <mergeCell ref="NX3:NZ3"/>
    <mergeCell ref="OA3:OD3"/>
    <mergeCell ref="OF3:OH3"/>
    <mergeCell ref="OI3:OK3"/>
    <mergeCell ref="OL3:OO3"/>
    <mergeCell ref="MY2:NH2"/>
    <mergeCell ref="NI2:NI3"/>
    <mergeCell ref="NJ2:NS2"/>
    <mergeCell ref="NT2:NT3"/>
    <mergeCell ref="MY3:NA3"/>
    <mergeCell ref="NB3:ND3"/>
    <mergeCell ref="NE3:NH3"/>
    <mergeCell ref="NJ3:NL3"/>
    <mergeCell ref="NM3:NO3"/>
    <mergeCell ref="NP3:NS3"/>
    <mergeCell ref="Z3:AA3"/>
    <mergeCell ref="C3:D3"/>
    <mergeCell ref="P3:Q3"/>
    <mergeCell ref="Z2:AD2"/>
    <mergeCell ref="AB3:AC3"/>
    <mergeCell ref="AF2:AJ2"/>
    <mergeCell ref="AK2:AK3"/>
    <mergeCell ref="A2:D2"/>
    <mergeCell ref="E2:G3"/>
    <mergeCell ref="B44:C44"/>
    <mergeCell ref="D44:E44"/>
    <mergeCell ref="B49:C49"/>
    <mergeCell ref="D49:E49"/>
    <mergeCell ref="B54:C54"/>
    <mergeCell ref="D54:E54"/>
    <mergeCell ref="AR2:AV2"/>
    <mergeCell ref="AW2:AW3"/>
    <mergeCell ref="AT3:AU3"/>
    <mergeCell ref="B43:E43"/>
    <mergeCell ref="AF3:AG3"/>
    <mergeCell ref="AH3:AI3"/>
    <mergeCell ref="AL2:AP2"/>
    <mergeCell ref="AQ2:AQ3"/>
    <mergeCell ref="AL3:AM3"/>
    <mergeCell ref="AN3:AO3"/>
    <mergeCell ref="N2:R2"/>
    <mergeCell ref="S2:S3"/>
    <mergeCell ref="N3:O3"/>
    <mergeCell ref="T2:X2"/>
    <mergeCell ref="Y2:Y3"/>
    <mergeCell ref="T3:U3"/>
    <mergeCell ref="V3:W3"/>
    <mergeCell ref="H3:I3"/>
    <mergeCell ref="BJ2:BN2"/>
    <mergeCell ref="BO2:BO3"/>
    <mergeCell ref="BJ3:BK3"/>
    <mergeCell ref="BL3:BM3"/>
    <mergeCell ref="BP2:BT2"/>
    <mergeCell ref="BU2:BU3"/>
    <mergeCell ref="BP3:BQ3"/>
    <mergeCell ref="BR3:BS3"/>
    <mergeCell ref="AX2:BB2"/>
    <mergeCell ref="BC2:BC3"/>
    <mergeCell ref="AX3:AY3"/>
    <mergeCell ref="AZ3:BA3"/>
    <mergeCell ref="BD2:BH2"/>
    <mergeCell ref="BI2:BI3"/>
    <mergeCell ref="BD3:BE3"/>
    <mergeCell ref="BF3:BG3"/>
    <mergeCell ref="CN2:CR2"/>
    <mergeCell ref="CS2:CS3"/>
    <mergeCell ref="BV3:BW3"/>
    <mergeCell ref="BX3:BY3"/>
    <mergeCell ref="CB3:CC3"/>
    <mergeCell ref="CD3:CE3"/>
    <mergeCell ref="CH3:CI3"/>
    <mergeCell ref="CJ3:CK3"/>
    <mergeCell ref="CN3:CO3"/>
    <mergeCell ref="CP3:CQ3"/>
    <mergeCell ref="BV2:BZ2"/>
    <mergeCell ref="CA2:CA3"/>
    <mergeCell ref="CB2:CF2"/>
    <mergeCell ref="CG2:CG3"/>
    <mergeCell ref="CH2:CL2"/>
    <mergeCell ref="CM2:CM3"/>
    <mergeCell ref="CT3:CU3"/>
    <mergeCell ref="CV3:CW3"/>
    <mergeCell ref="CZ3:DA3"/>
    <mergeCell ref="DB3:DC3"/>
    <mergeCell ref="DF3:DG3"/>
    <mergeCell ref="DH3:DI3"/>
    <mergeCell ref="DL3:DM3"/>
    <mergeCell ref="DN3:DO3"/>
    <mergeCell ref="CT2:CX2"/>
    <mergeCell ref="CY2:CY3"/>
    <mergeCell ref="CZ2:DD2"/>
    <mergeCell ref="DE2:DE3"/>
    <mergeCell ref="DF2:DJ2"/>
    <mergeCell ref="DK2:DK3"/>
    <mergeCell ref="DR2:DV2"/>
    <mergeCell ref="DW2:DW3"/>
    <mergeCell ref="DX2:EB2"/>
    <mergeCell ref="EC2:EC3"/>
    <mergeCell ref="DR3:DS3"/>
    <mergeCell ref="DT3:DU3"/>
    <mergeCell ref="DX3:DY3"/>
    <mergeCell ref="DZ3:EA3"/>
    <mergeCell ref="DL2:DP2"/>
    <mergeCell ref="DQ2:DQ3"/>
    <mergeCell ref="EO2:EX2"/>
    <mergeCell ref="EY2:EY3"/>
    <mergeCell ref="EO3:EQ3"/>
    <mergeCell ref="ER3:ET3"/>
    <mergeCell ref="EU3:EX3"/>
    <mergeCell ref="EZ2:FI2"/>
    <mergeCell ref="ED2:EM2"/>
    <mergeCell ref="EN2:EN3"/>
    <mergeCell ref="ED3:EF3"/>
    <mergeCell ref="EG3:EI3"/>
    <mergeCell ref="EJ3:EM3"/>
    <mergeCell ref="FJ2:FJ3"/>
    <mergeCell ref="EZ3:FB3"/>
    <mergeCell ref="FC3:FE3"/>
    <mergeCell ref="FF3:FI3"/>
    <mergeCell ref="FK2:FT2"/>
    <mergeCell ref="FU2:FU3"/>
    <mergeCell ref="FK3:FM3"/>
    <mergeCell ref="FN3:FP3"/>
    <mergeCell ref="FQ3:FT3"/>
    <mergeCell ref="GM2:GM3"/>
    <mergeCell ref="GN2:GS2"/>
    <mergeCell ref="GT2:GT3"/>
    <mergeCell ref="GU2:GZ2"/>
    <mergeCell ref="HA2:HA3"/>
    <mergeCell ref="HB2:HG2"/>
    <mergeCell ref="FV2:GE2"/>
    <mergeCell ref="GF2:GF3"/>
    <mergeCell ref="FV3:FX3"/>
    <mergeCell ref="FY3:GA3"/>
    <mergeCell ref="GB3:GE3"/>
    <mergeCell ref="GG2:GL2"/>
    <mergeCell ref="GJ3:GK3"/>
    <mergeCell ref="HI3:HJ3"/>
    <mergeCell ref="HK3:HM3"/>
    <mergeCell ref="HD3:HF3"/>
    <mergeCell ref="GW3:GY3"/>
    <mergeCell ref="GP3:GR3"/>
    <mergeCell ref="HH2:HH3"/>
    <mergeCell ref="HI2:HN2"/>
    <mergeCell ref="HO2:HO3"/>
    <mergeCell ref="GN3:GO3"/>
    <mergeCell ref="GU3:GV3"/>
    <mergeCell ref="HB3:HC3"/>
    <mergeCell ref="JC2:JC3"/>
    <mergeCell ref="JD2:JM2"/>
    <mergeCell ref="JN2:JN3"/>
    <mergeCell ref="IY3:JB3"/>
    <mergeCell ref="JD3:JF3"/>
    <mergeCell ref="JG3:JI3"/>
    <mergeCell ref="JJ3:JM3"/>
    <mergeCell ref="HP2:HU2"/>
    <mergeCell ref="HV2:HV3"/>
    <mergeCell ref="HP3:HQ3"/>
    <mergeCell ref="HR3:HT3"/>
    <mergeCell ref="HW2:IF2"/>
    <mergeCell ref="IG2:IG3"/>
    <mergeCell ref="HW3:HY3"/>
    <mergeCell ref="HZ3:IB3"/>
    <mergeCell ref="IC3:IF3"/>
    <mergeCell ref="IH3:IJ3"/>
    <mergeCell ref="IK3:IM3"/>
    <mergeCell ref="IN3:IQ3"/>
    <mergeCell ref="IS3:IU3"/>
    <mergeCell ref="IV3:IX3"/>
    <mergeCell ref="IH2:IQ2"/>
    <mergeCell ref="IR2:IR3"/>
    <mergeCell ref="IS2:JB2"/>
    <mergeCell ref="JO3:JQ3"/>
    <mergeCell ref="JR3:JT3"/>
    <mergeCell ref="JU3:JX3"/>
    <mergeCell ref="JZ2:KI2"/>
    <mergeCell ref="KJ2:KJ3"/>
    <mergeCell ref="JZ3:KB3"/>
    <mergeCell ref="KC3:KE3"/>
    <mergeCell ref="KF3:KI3"/>
    <mergeCell ref="JO2:JX2"/>
    <mergeCell ref="JY2:JY3"/>
    <mergeCell ref="LR3:LT3"/>
    <mergeCell ref="LU3:LW3"/>
    <mergeCell ref="LX3:MA3"/>
    <mergeCell ref="LR2:MA2"/>
    <mergeCell ref="MB2:MB3"/>
    <mergeCell ref="KK3:KM3"/>
    <mergeCell ref="KN3:KP3"/>
    <mergeCell ref="KQ3:KT3"/>
    <mergeCell ref="KV3:KX3"/>
    <mergeCell ref="KY3:LA3"/>
    <mergeCell ref="LB3:LE3"/>
    <mergeCell ref="LG3:LI3"/>
    <mergeCell ref="LJ3:LL3"/>
    <mergeCell ref="KK2:KT2"/>
    <mergeCell ref="KU2:KU3"/>
    <mergeCell ref="KV2:LE2"/>
    <mergeCell ref="LF2:LF3"/>
    <mergeCell ref="LG2:LP2"/>
    <mergeCell ref="LQ2:LQ3"/>
    <mergeCell ref="LM3:LP3"/>
  </mergeCells>
  <conditionalFormatting sqref="B5:E34">
    <cfRule type="cellIs" dxfId="1434" priority="764" operator="equal">
      <formula>"EE"</formula>
    </cfRule>
    <cfRule type="cellIs" dxfId="1433" priority="765" operator="equal">
      <formula>"RF"</formula>
    </cfRule>
    <cfRule type="cellIs" dxfId="1432" priority="766" operator="equal">
      <formula>"NI"</formula>
    </cfRule>
    <cfRule type="cellIs" dxfId="1431" priority="767" operator="equal">
      <formula>"ME"</formula>
    </cfRule>
  </conditionalFormatting>
  <conditionalFormatting sqref="F5:F34">
    <cfRule type="cellIs" dxfId="1430" priority="761" operator="equal">
      <formula>"Amber"</formula>
    </cfRule>
    <cfRule type="cellIs" dxfId="1429" priority="762" operator="equal">
      <formula>"Green"</formula>
    </cfRule>
    <cfRule type="cellIs" dxfId="1428" priority="763" operator="equal">
      <formula>"Red"</formula>
    </cfRule>
  </conditionalFormatting>
  <conditionalFormatting sqref="H5:K5">
    <cfRule type="cellIs" dxfId="1427" priority="750" operator="equal">
      <formula>"EE"</formula>
    </cfRule>
    <cfRule type="cellIs" dxfId="1426" priority="751" operator="equal">
      <formula>"RF"</formula>
    </cfRule>
    <cfRule type="cellIs" dxfId="1425" priority="752" operator="equal">
      <formula>"NI"</formula>
    </cfRule>
    <cfRule type="cellIs" dxfId="1424" priority="753" operator="equal">
      <formula>"ME"</formula>
    </cfRule>
  </conditionalFormatting>
  <conditionalFormatting sqref="L5:L34">
    <cfRule type="cellIs" dxfId="1423" priority="747" operator="equal">
      <formula>"Amber"</formula>
    </cfRule>
    <cfRule type="cellIs" dxfId="1422" priority="748" operator="equal">
      <formula>"Green"</formula>
    </cfRule>
    <cfRule type="cellIs" dxfId="1421" priority="749" operator="equal">
      <formula>"Red"</formula>
    </cfRule>
  </conditionalFormatting>
  <conditionalFormatting sqref="H6:K34">
    <cfRule type="cellIs" dxfId="1420" priority="743" operator="equal">
      <formula>"EE"</formula>
    </cfRule>
    <cfRule type="cellIs" dxfId="1419" priority="744" operator="equal">
      <formula>"RF"</formula>
    </cfRule>
    <cfRule type="cellIs" dxfId="1418" priority="745" operator="equal">
      <formula>"NI"</formula>
    </cfRule>
    <cfRule type="cellIs" dxfId="1417" priority="746" operator="equal">
      <formula>"ME"</formula>
    </cfRule>
  </conditionalFormatting>
  <conditionalFormatting sqref="N5:Q5">
    <cfRule type="cellIs" dxfId="1416" priority="739" operator="equal">
      <formula>"EE"</formula>
    </cfRule>
    <cfRule type="cellIs" dxfId="1415" priority="740" operator="equal">
      <formula>"RF"</formula>
    </cfRule>
    <cfRule type="cellIs" dxfId="1414" priority="741" operator="equal">
      <formula>"NI"</formula>
    </cfRule>
    <cfRule type="cellIs" dxfId="1413" priority="742" operator="equal">
      <formula>"ME"</formula>
    </cfRule>
  </conditionalFormatting>
  <conditionalFormatting sqref="R5:R34">
    <cfRule type="cellIs" dxfId="1412" priority="736" operator="equal">
      <formula>"Amber"</formula>
    </cfRule>
    <cfRule type="cellIs" dxfId="1411" priority="737" operator="equal">
      <formula>"Green"</formula>
    </cfRule>
    <cfRule type="cellIs" dxfId="1410" priority="738" operator="equal">
      <formula>"Red"</formula>
    </cfRule>
  </conditionalFormatting>
  <conditionalFormatting sqref="N6:Q34">
    <cfRule type="cellIs" dxfId="1409" priority="732" operator="equal">
      <formula>"EE"</formula>
    </cfRule>
    <cfRule type="cellIs" dxfId="1408" priority="733" operator="equal">
      <formula>"RF"</formula>
    </cfRule>
    <cfRule type="cellIs" dxfId="1407" priority="734" operator="equal">
      <formula>"NI"</formula>
    </cfRule>
    <cfRule type="cellIs" dxfId="1406" priority="735" operator="equal">
      <formula>"ME"</formula>
    </cfRule>
  </conditionalFormatting>
  <conditionalFormatting sqref="T5:W5">
    <cfRule type="cellIs" dxfId="1405" priority="728" operator="equal">
      <formula>"EE"</formula>
    </cfRule>
    <cfRule type="cellIs" dxfId="1404" priority="729" operator="equal">
      <formula>"RF"</formula>
    </cfRule>
    <cfRule type="cellIs" dxfId="1403" priority="730" operator="equal">
      <formula>"NI"</formula>
    </cfRule>
    <cfRule type="cellIs" dxfId="1402" priority="731" operator="equal">
      <formula>"ME"</formula>
    </cfRule>
  </conditionalFormatting>
  <conditionalFormatting sqref="X5:X34">
    <cfRule type="cellIs" dxfId="1401" priority="725" operator="equal">
      <formula>"Amber"</formula>
    </cfRule>
    <cfRule type="cellIs" dxfId="1400" priority="726" operator="equal">
      <formula>"Green"</formula>
    </cfRule>
    <cfRule type="cellIs" dxfId="1399" priority="727" operator="equal">
      <formula>"Red"</formula>
    </cfRule>
  </conditionalFormatting>
  <conditionalFormatting sqref="T6:W34">
    <cfRule type="cellIs" dxfId="1398" priority="721" operator="equal">
      <formula>"EE"</formula>
    </cfRule>
    <cfRule type="cellIs" dxfId="1397" priority="722" operator="equal">
      <formula>"RF"</formula>
    </cfRule>
    <cfRule type="cellIs" dxfId="1396" priority="723" operator="equal">
      <formula>"NI"</formula>
    </cfRule>
    <cfRule type="cellIs" dxfId="1395" priority="724" operator="equal">
      <formula>"ME"</formula>
    </cfRule>
  </conditionalFormatting>
  <conditionalFormatting sqref="Z5:AC5">
    <cfRule type="cellIs" dxfId="1394" priority="717" operator="equal">
      <formula>"EE"</formula>
    </cfRule>
    <cfRule type="cellIs" dxfId="1393" priority="718" operator="equal">
      <formula>"RF"</formula>
    </cfRule>
    <cfRule type="cellIs" dxfId="1392" priority="719" operator="equal">
      <formula>"NI"</formula>
    </cfRule>
    <cfRule type="cellIs" dxfId="1391" priority="720" operator="equal">
      <formula>"ME"</formula>
    </cfRule>
  </conditionalFormatting>
  <conditionalFormatting sqref="AD5:AD34">
    <cfRule type="cellIs" dxfId="1390" priority="714" operator="equal">
      <formula>"Amber"</formula>
    </cfRule>
    <cfRule type="cellIs" dxfId="1389" priority="715" operator="equal">
      <formula>"Green"</formula>
    </cfRule>
    <cfRule type="cellIs" dxfId="1388" priority="716" operator="equal">
      <formula>"Red"</formula>
    </cfRule>
  </conditionalFormatting>
  <conditionalFormatting sqref="Z6:AC34">
    <cfRule type="cellIs" dxfId="1387" priority="710" operator="equal">
      <formula>"EE"</formula>
    </cfRule>
    <cfRule type="cellIs" dxfId="1386" priority="711" operator="equal">
      <formula>"RF"</formula>
    </cfRule>
    <cfRule type="cellIs" dxfId="1385" priority="712" operator="equal">
      <formula>"NI"</formula>
    </cfRule>
    <cfRule type="cellIs" dxfId="1384" priority="713" operator="equal">
      <formula>"ME"</formula>
    </cfRule>
  </conditionalFormatting>
  <conditionalFormatting sqref="AF5:AI5">
    <cfRule type="cellIs" dxfId="1383" priority="706" operator="equal">
      <formula>"EE"</formula>
    </cfRule>
    <cfRule type="cellIs" dxfId="1382" priority="707" operator="equal">
      <formula>"RF"</formula>
    </cfRule>
    <cfRule type="cellIs" dxfId="1381" priority="708" operator="equal">
      <formula>"NI"</formula>
    </cfRule>
    <cfRule type="cellIs" dxfId="1380" priority="709" operator="equal">
      <formula>"ME"</formula>
    </cfRule>
  </conditionalFormatting>
  <conditionalFormatting sqref="AJ5:AJ34">
    <cfRule type="cellIs" dxfId="1379" priority="703" operator="equal">
      <formula>"Amber"</formula>
    </cfRule>
    <cfRule type="cellIs" dxfId="1378" priority="704" operator="equal">
      <formula>"Green"</formula>
    </cfRule>
    <cfRule type="cellIs" dxfId="1377" priority="705" operator="equal">
      <formula>"Red"</formula>
    </cfRule>
  </conditionalFormatting>
  <conditionalFormatting sqref="AF6:AI34">
    <cfRule type="cellIs" dxfId="1376" priority="699" operator="equal">
      <formula>"EE"</formula>
    </cfRule>
    <cfRule type="cellIs" dxfId="1375" priority="700" operator="equal">
      <formula>"RF"</formula>
    </cfRule>
    <cfRule type="cellIs" dxfId="1374" priority="701" operator="equal">
      <formula>"NI"</formula>
    </cfRule>
    <cfRule type="cellIs" dxfId="1373" priority="702" operator="equal">
      <formula>"ME"</formula>
    </cfRule>
  </conditionalFormatting>
  <conditionalFormatting sqref="AL5:AO5">
    <cfRule type="cellIs" dxfId="1372" priority="695" operator="equal">
      <formula>"EE"</formula>
    </cfRule>
    <cfRule type="cellIs" dxfId="1371" priority="696" operator="equal">
      <formula>"RF"</formula>
    </cfRule>
    <cfRule type="cellIs" dxfId="1370" priority="697" operator="equal">
      <formula>"NI"</formula>
    </cfRule>
    <cfRule type="cellIs" dxfId="1369" priority="698" operator="equal">
      <formula>"ME"</formula>
    </cfRule>
  </conditionalFormatting>
  <conditionalFormatting sqref="AP5:AP34">
    <cfRule type="cellIs" dxfId="1368" priority="692" operator="equal">
      <formula>"Amber"</formula>
    </cfRule>
    <cfRule type="cellIs" dxfId="1367" priority="693" operator="equal">
      <formula>"Green"</formula>
    </cfRule>
    <cfRule type="cellIs" dxfId="1366" priority="694" operator="equal">
      <formula>"Red"</formula>
    </cfRule>
  </conditionalFormatting>
  <conditionalFormatting sqref="AL6:AO34">
    <cfRule type="cellIs" dxfId="1365" priority="688" operator="equal">
      <formula>"EE"</formula>
    </cfRule>
    <cfRule type="cellIs" dxfId="1364" priority="689" operator="equal">
      <formula>"RF"</formula>
    </cfRule>
    <cfRule type="cellIs" dxfId="1363" priority="690" operator="equal">
      <formula>"NI"</formula>
    </cfRule>
    <cfRule type="cellIs" dxfId="1362" priority="691" operator="equal">
      <formula>"ME"</formula>
    </cfRule>
  </conditionalFormatting>
  <conditionalFormatting sqref="AR5:AU5">
    <cfRule type="cellIs" dxfId="1361" priority="684" operator="equal">
      <formula>"EE"</formula>
    </cfRule>
    <cfRule type="cellIs" dxfId="1360" priority="685" operator="equal">
      <formula>"RF"</formula>
    </cfRule>
    <cfRule type="cellIs" dxfId="1359" priority="686" operator="equal">
      <formula>"NI"</formula>
    </cfRule>
    <cfRule type="cellIs" dxfId="1358" priority="687" operator="equal">
      <formula>"ME"</formula>
    </cfRule>
  </conditionalFormatting>
  <conditionalFormatting sqref="AV5:AV34">
    <cfRule type="cellIs" dxfId="1357" priority="681" operator="equal">
      <formula>"Amber"</formula>
    </cfRule>
    <cfRule type="cellIs" dxfId="1356" priority="682" operator="equal">
      <formula>"Green"</formula>
    </cfRule>
    <cfRule type="cellIs" dxfId="1355" priority="683" operator="equal">
      <formula>"Red"</formula>
    </cfRule>
  </conditionalFormatting>
  <conditionalFormatting sqref="AR6:AU34">
    <cfRule type="cellIs" dxfId="1354" priority="677" operator="equal">
      <formula>"EE"</formula>
    </cfRule>
    <cfRule type="cellIs" dxfId="1353" priority="678" operator="equal">
      <formula>"RF"</formula>
    </cfRule>
    <cfRule type="cellIs" dxfId="1352" priority="679" operator="equal">
      <formula>"NI"</formula>
    </cfRule>
    <cfRule type="cellIs" dxfId="1351" priority="680" operator="equal">
      <formula>"ME"</formula>
    </cfRule>
  </conditionalFormatting>
  <conditionalFormatting sqref="AX5:BA5">
    <cfRule type="cellIs" dxfId="1350" priority="673" operator="equal">
      <formula>"EE"</formula>
    </cfRule>
    <cfRule type="cellIs" dxfId="1349" priority="674" operator="equal">
      <formula>"RF"</formula>
    </cfRule>
    <cfRule type="cellIs" dxfId="1348" priority="675" operator="equal">
      <formula>"NI"</formula>
    </cfRule>
    <cfRule type="cellIs" dxfId="1347" priority="676" operator="equal">
      <formula>"ME"</formula>
    </cfRule>
  </conditionalFormatting>
  <conditionalFormatting sqref="BB5:BB34">
    <cfRule type="cellIs" dxfId="1346" priority="670" operator="equal">
      <formula>"Amber"</formula>
    </cfRule>
    <cfRule type="cellIs" dxfId="1345" priority="671" operator="equal">
      <formula>"Green"</formula>
    </cfRule>
    <cfRule type="cellIs" dxfId="1344" priority="672" operator="equal">
      <formula>"Red"</formula>
    </cfRule>
  </conditionalFormatting>
  <conditionalFormatting sqref="AX6:BA34">
    <cfRule type="cellIs" dxfId="1343" priority="666" operator="equal">
      <formula>"EE"</formula>
    </cfRule>
    <cfRule type="cellIs" dxfId="1342" priority="667" operator="equal">
      <formula>"RF"</formula>
    </cfRule>
    <cfRule type="cellIs" dxfId="1341" priority="668" operator="equal">
      <formula>"NI"</formula>
    </cfRule>
    <cfRule type="cellIs" dxfId="1340" priority="669" operator="equal">
      <formula>"ME"</formula>
    </cfRule>
  </conditionalFormatting>
  <conditionalFormatting sqref="BD5:BG5">
    <cfRule type="cellIs" dxfId="1339" priority="662" operator="equal">
      <formula>"EE"</formula>
    </cfRule>
    <cfRule type="cellIs" dxfId="1338" priority="663" operator="equal">
      <formula>"RF"</formula>
    </cfRule>
    <cfRule type="cellIs" dxfId="1337" priority="664" operator="equal">
      <formula>"NI"</formula>
    </cfRule>
    <cfRule type="cellIs" dxfId="1336" priority="665" operator="equal">
      <formula>"ME"</formula>
    </cfRule>
  </conditionalFormatting>
  <conditionalFormatting sqref="BH5:BH34">
    <cfRule type="cellIs" dxfId="1335" priority="659" operator="equal">
      <formula>"Amber"</formula>
    </cfRule>
    <cfRule type="cellIs" dxfId="1334" priority="660" operator="equal">
      <formula>"Green"</formula>
    </cfRule>
    <cfRule type="cellIs" dxfId="1333" priority="661" operator="equal">
      <formula>"Red"</formula>
    </cfRule>
  </conditionalFormatting>
  <conditionalFormatting sqref="BD6:BG34">
    <cfRule type="cellIs" dxfId="1332" priority="655" operator="equal">
      <formula>"EE"</formula>
    </cfRule>
    <cfRule type="cellIs" dxfId="1331" priority="656" operator="equal">
      <formula>"RF"</formula>
    </cfRule>
    <cfRule type="cellIs" dxfId="1330" priority="657" operator="equal">
      <formula>"NI"</formula>
    </cfRule>
    <cfRule type="cellIs" dxfId="1329" priority="658" operator="equal">
      <formula>"ME"</formula>
    </cfRule>
  </conditionalFormatting>
  <conditionalFormatting sqref="BJ5:BM5">
    <cfRule type="cellIs" dxfId="1328" priority="651" operator="equal">
      <formula>"EE"</formula>
    </cfRule>
    <cfRule type="cellIs" dxfId="1327" priority="652" operator="equal">
      <formula>"RF"</formula>
    </cfRule>
    <cfRule type="cellIs" dxfId="1326" priority="653" operator="equal">
      <formula>"NI"</formula>
    </cfRule>
    <cfRule type="cellIs" dxfId="1325" priority="654" operator="equal">
      <formula>"ME"</formula>
    </cfRule>
  </conditionalFormatting>
  <conditionalFormatting sqref="BN5:BN34">
    <cfRule type="cellIs" dxfId="1324" priority="648" operator="equal">
      <formula>"Amber"</formula>
    </cfRule>
    <cfRule type="cellIs" dxfId="1323" priority="649" operator="equal">
      <formula>"Green"</formula>
    </cfRule>
    <cfRule type="cellIs" dxfId="1322" priority="650" operator="equal">
      <formula>"Red"</formula>
    </cfRule>
  </conditionalFormatting>
  <conditionalFormatting sqref="BJ6:BM34">
    <cfRule type="cellIs" dxfId="1321" priority="644" operator="equal">
      <formula>"EE"</formula>
    </cfRule>
    <cfRule type="cellIs" dxfId="1320" priority="645" operator="equal">
      <formula>"RF"</formula>
    </cfRule>
    <cfRule type="cellIs" dxfId="1319" priority="646" operator="equal">
      <formula>"NI"</formula>
    </cfRule>
    <cfRule type="cellIs" dxfId="1318" priority="647" operator="equal">
      <formula>"ME"</formula>
    </cfRule>
  </conditionalFormatting>
  <conditionalFormatting sqref="BP5:BS5">
    <cfRule type="cellIs" dxfId="1317" priority="640" operator="equal">
      <formula>"EE"</formula>
    </cfRule>
    <cfRule type="cellIs" dxfId="1316" priority="641" operator="equal">
      <formula>"RF"</formula>
    </cfRule>
    <cfRule type="cellIs" dxfId="1315" priority="642" operator="equal">
      <formula>"NI"</formula>
    </cfRule>
    <cfRule type="cellIs" dxfId="1314" priority="643" operator="equal">
      <formula>"ME"</formula>
    </cfRule>
  </conditionalFormatting>
  <conditionalFormatting sqref="BT5:BT34">
    <cfRule type="cellIs" dxfId="1313" priority="637" operator="equal">
      <formula>"Amber"</formula>
    </cfRule>
    <cfRule type="cellIs" dxfId="1312" priority="638" operator="equal">
      <formula>"Green"</formula>
    </cfRule>
    <cfRule type="cellIs" dxfId="1311" priority="639" operator="equal">
      <formula>"Red"</formula>
    </cfRule>
  </conditionalFormatting>
  <conditionalFormatting sqref="BP6:BS34">
    <cfRule type="cellIs" dxfId="1310" priority="633" operator="equal">
      <formula>"EE"</formula>
    </cfRule>
    <cfRule type="cellIs" dxfId="1309" priority="634" operator="equal">
      <formula>"RF"</formula>
    </cfRule>
    <cfRule type="cellIs" dxfId="1308" priority="635" operator="equal">
      <formula>"NI"</formula>
    </cfRule>
    <cfRule type="cellIs" dxfId="1307" priority="636" operator="equal">
      <formula>"ME"</formula>
    </cfRule>
  </conditionalFormatting>
  <conditionalFormatting sqref="BV5:BY5">
    <cfRule type="cellIs" dxfId="1306" priority="629" operator="equal">
      <formula>"EE"</formula>
    </cfRule>
    <cfRule type="cellIs" dxfId="1305" priority="630" operator="equal">
      <formula>"RF"</formula>
    </cfRule>
    <cfRule type="cellIs" dxfId="1304" priority="631" operator="equal">
      <formula>"NI"</formula>
    </cfRule>
    <cfRule type="cellIs" dxfId="1303" priority="632" operator="equal">
      <formula>"ME"</formula>
    </cfRule>
  </conditionalFormatting>
  <conditionalFormatting sqref="BZ5:BZ34">
    <cfRule type="cellIs" dxfId="1302" priority="626" operator="equal">
      <formula>"Amber"</formula>
    </cfRule>
    <cfRule type="cellIs" dxfId="1301" priority="627" operator="equal">
      <formula>"Green"</formula>
    </cfRule>
    <cfRule type="cellIs" dxfId="1300" priority="628" operator="equal">
      <formula>"Red"</formula>
    </cfRule>
  </conditionalFormatting>
  <conditionalFormatting sqref="BV6:BY34">
    <cfRule type="cellIs" dxfId="1299" priority="622" operator="equal">
      <formula>"EE"</formula>
    </cfRule>
    <cfRule type="cellIs" dxfId="1298" priority="623" operator="equal">
      <formula>"RF"</formula>
    </cfRule>
    <cfRule type="cellIs" dxfId="1297" priority="624" operator="equal">
      <formula>"NI"</formula>
    </cfRule>
    <cfRule type="cellIs" dxfId="1296" priority="625" operator="equal">
      <formula>"ME"</formula>
    </cfRule>
  </conditionalFormatting>
  <conditionalFormatting sqref="CB5:CE5">
    <cfRule type="cellIs" dxfId="1295" priority="618" operator="equal">
      <formula>"EE"</formula>
    </cfRule>
    <cfRule type="cellIs" dxfId="1294" priority="619" operator="equal">
      <formula>"RF"</formula>
    </cfRule>
    <cfRule type="cellIs" dxfId="1293" priority="620" operator="equal">
      <formula>"NI"</formula>
    </cfRule>
    <cfRule type="cellIs" dxfId="1292" priority="621" operator="equal">
      <formula>"ME"</formula>
    </cfRule>
  </conditionalFormatting>
  <conditionalFormatting sqref="CF5:CF34">
    <cfRule type="cellIs" dxfId="1291" priority="615" operator="equal">
      <formula>"Amber"</formula>
    </cfRule>
    <cfRule type="cellIs" dxfId="1290" priority="616" operator="equal">
      <formula>"Green"</formula>
    </cfRule>
    <cfRule type="cellIs" dxfId="1289" priority="617" operator="equal">
      <formula>"Red"</formula>
    </cfRule>
  </conditionalFormatting>
  <conditionalFormatting sqref="CB6:CE34">
    <cfRule type="cellIs" dxfId="1288" priority="611" operator="equal">
      <formula>"EE"</formula>
    </cfRule>
    <cfRule type="cellIs" dxfId="1287" priority="612" operator="equal">
      <formula>"RF"</formula>
    </cfRule>
    <cfRule type="cellIs" dxfId="1286" priority="613" operator="equal">
      <formula>"NI"</formula>
    </cfRule>
    <cfRule type="cellIs" dxfId="1285" priority="614" operator="equal">
      <formula>"ME"</formula>
    </cfRule>
  </conditionalFormatting>
  <conditionalFormatting sqref="CH5:CK5">
    <cfRule type="cellIs" dxfId="1284" priority="607" operator="equal">
      <formula>"EE"</formula>
    </cfRule>
    <cfRule type="cellIs" dxfId="1283" priority="608" operator="equal">
      <formula>"RF"</formula>
    </cfRule>
    <cfRule type="cellIs" dxfId="1282" priority="609" operator="equal">
      <formula>"NI"</formula>
    </cfRule>
    <cfRule type="cellIs" dxfId="1281" priority="610" operator="equal">
      <formula>"ME"</formula>
    </cfRule>
  </conditionalFormatting>
  <conditionalFormatting sqref="CL5:CL34">
    <cfRule type="cellIs" dxfId="1280" priority="604" operator="equal">
      <formula>"Amber"</formula>
    </cfRule>
    <cfRule type="cellIs" dxfId="1279" priority="605" operator="equal">
      <formula>"Green"</formula>
    </cfRule>
    <cfRule type="cellIs" dxfId="1278" priority="606" operator="equal">
      <formula>"Red"</formula>
    </cfRule>
  </conditionalFormatting>
  <conditionalFormatting sqref="CH6:CK34">
    <cfRule type="cellIs" dxfId="1277" priority="600" operator="equal">
      <formula>"EE"</formula>
    </cfRule>
    <cfRule type="cellIs" dxfId="1276" priority="601" operator="equal">
      <formula>"RF"</formula>
    </cfRule>
    <cfRule type="cellIs" dxfId="1275" priority="602" operator="equal">
      <formula>"NI"</formula>
    </cfRule>
    <cfRule type="cellIs" dxfId="1274" priority="603" operator="equal">
      <formula>"ME"</formula>
    </cfRule>
  </conditionalFormatting>
  <conditionalFormatting sqref="CN5:CQ5">
    <cfRule type="cellIs" dxfId="1273" priority="596" operator="equal">
      <formula>"EE"</formula>
    </cfRule>
    <cfRule type="cellIs" dxfId="1272" priority="597" operator="equal">
      <formula>"RF"</formula>
    </cfRule>
    <cfRule type="cellIs" dxfId="1271" priority="598" operator="equal">
      <formula>"NI"</formula>
    </cfRule>
    <cfRule type="cellIs" dxfId="1270" priority="599" operator="equal">
      <formula>"ME"</formula>
    </cfRule>
  </conditionalFormatting>
  <conditionalFormatting sqref="CR5:CR34">
    <cfRule type="cellIs" dxfId="1269" priority="593" operator="equal">
      <formula>"Amber"</formula>
    </cfRule>
    <cfRule type="cellIs" dxfId="1268" priority="594" operator="equal">
      <formula>"Green"</formula>
    </cfRule>
    <cfRule type="cellIs" dxfId="1267" priority="595" operator="equal">
      <formula>"Red"</formula>
    </cfRule>
  </conditionalFormatting>
  <conditionalFormatting sqref="CN6:CQ34">
    <cfRule type="cellIs" dxfId="1266" priority="589" operator="equal">
      <formula>"EE"</formula>
    </cfRule>
    <cfRule type="cellIs" dxfId="1265" priority="590" operator="equal">
      <formula>"RF"</formula>
    </cfRule>
    <cfRule type="cellIs" dxfId="1264" priority="591" operator="equal">
      <formula>"NI"</formula>
    </cfRule>
    <cfRule type="cellIs" dxfId="1263" priority="592" operator="equal">
      <formula>"ME"</formula>
    </cfRule>
  </conditionalFormatting>
  <conditionalFormatting sqref="CT5:CW5">
    <cfRule type="cellIs" dxfId="1262" priority="585" operator="equal">
      <formula>"EE"</formula>
    </cfRule>
    <cfRule type="cellIs" dxfId="1261" priority="586" operator="equal">
      <formula>"RF"</formula>
    </cfRule>
    <cfRule type="cellIs" dxfId="1260" priority="587" operator="equal">
      <formula>"NI"</formula>
    </cfRule>
    <cfRule type="cellIs" dxfId="1259" priority="588" operator="equal">
      <formula>"ME"</formula>
    </cfRule>
  </conditionalFormatting>
  <conditionalFormatting sqref="CX5:CX34">
    <cfRule type="cellIs" dxfId="1258" priority="582" operator="equal">
      <formula>"Amber"</formula>
    </cfRule>
    <cfRule type="cellIs" dxfId="1257" priority="583" operator="equal">
      <formula>"Green"</formula>
    </cfRule>
    <cfRule type="cellIs" dxfId="1256" priority="584" operator="equal">
      <formula>"Red"</formula>
    </cfRule>
  </conditionalFormatting>
  <conditionalFormatting sqref="CT6:CW34">
    <cfRule type="cellIs" dxfId="1255" priority="578" operator="equal">
      <formula>"EE"</formula>
    </cfRule>
    <cfRule type="cellIs" dxfId="1254" priority="579" operator="equal">
      <formula>"RF"</formula>
    </cfRule>
    <cfRule type="cellIs" dxfId="1253" priority="580" operator="equal">
      <formula>"NI"</formula>
    </cfRule>
    <cfRule type="cellIs" dxfId="1252" priority="581" operator="equal">
      <formula>"ME"</formula>
    </cfRule>
  </conditionalFormatting>
  <conditionalFormatting sqref="CZ5:DC5">
    <cfRule type="cellIs" dxfId="1251" priority="574" operator="equal">
      <formula>"EE"</formula>
    </cfRule>
    <cfRule type="cellIs" dxfId="1250" priority="575" operator="equal">
      <formula>"RF"</formula>
    </cfRule>
    <cfRule type="cellIs" dxfId="1249" priority="576" operator="equal">
      <formula>"NI"</formula>
    </cfRule>
    <cfRule type="cellIs" dxfId="1248" priority="577" operator="equal">
      <formula>"ME"</formula>
    </cfRule>
  </conditionalFormatting>
  <conditionalFormatting sqref="DD5:DD34">
    <cfRule type="cellIs" dxfId="1247" priority="571" operator="equal">
      <formula>"Amber"</formula>
    </cfRule>
    <cfRule type="cellIs" dxfId="1246" priority="572" operator="equal">
      <formula>"Green"</formula>
    </cfRule>
    <cfRule type="cellIs" dxfId="1245" priority="573" operator="equal">
      <formula>"Red"</formula>
    </cfRule>
  </conditionalFormatting>
  <conditionalFormatting sqref="CZ6:DC34">
    <cfRule type="cellIs" dxfId="1244" priority="567" operator="equal">
      <formula>"EE"</formula>
    </cfRule>
    <cfRule type="cellIs" dxfId="1243" priority="568" operator="equal">
      <formula>"RF"</formula>
    </cfRule>
    <cfRule type="cellIs" dxfId="1242" priority="569" operator="equal">
      <formula>"NI"</formula>
    </cfRule>
    <cfRule type="cellIs" dxfId="1241" priority="570" operator="equal">
      <formula>"ME"</formula>
    </cfRule>
  </conditionalFormatting>
  <conditionalFormatting sqref="DF5:DI5">
    <cfRule type="cellIs" dxfId="1240" priority="563" operator="equal">
      <formula>"EE"</formula>
    </cfRule>
    <cfRule type="cellIs" dxfId="1239" priority="564" operator="equal">
      <formula>"RF"</formula>
    </cfRule>
    <cfRule type="cellIs" dxfId="1238" priority="565" operator="equal">
      <formula>"NI"</formula>
    </cfRule>
    <cfRule type="cellIs" dxfId="1237" priority="566" operator="equal">
      <formula>"ME"</formula>
    </cfRule>
  </conditionalFormatting>
  <conditionalFormatting sqref="DJ5:DJ34">
    <cfRule type="cellIs" dxfId="1236" priority="560" operator="equal">
      <formula>"Amber"</formula>
    </cfRule>
    <cfRule type="cellIs" dxfId="1235" priority="561" operator="equal">
      <formula>"Green"</formula>
    </cfRule>
    <cfRule type="cellIs" dxfId="1234" priority="562" operator="equal">
      <formula>"Red"</formula>
    </cfRule>
  </conditionalFormatting>
  <conditionalFormatting sqref="DF6:DI34">
    <cfRule type="cellIs" dxfId="1233" priority="556" operator="equal">
      <formula>"EE"</formula>
    </cfRule>
    <cfRule type="cellIs" dxfId="1232" priority="557" operator="equal">
      <formula>"RF"</formula>
    </cfRule>
    <cfRule type="cellIs" dxfId="1231" priority="558" operator="equal">
      <formula>"NI"</formula>
    </cfRule>
    <cfRule type="cellIs" dxfId="1230" priority="559" operator="equal">
      <formula>"ME"</formula>
    </cfRule>
  </conditionalFormatting>
  <conditionalFormatting sqref="DL5:DO5">
    <cfRule type="cellIs" dxfId="1229" priority="552" operator="equal">
      <formula>"EE"</formula>
    </cfRule>
    <cfRule type="cellIs" dxfId="1228" priority="553" operator="equal">
      <formula>"RF"</formula>
    </cfRule>
    <cfRule type="cellIs" dxfId="1227" priority="554" operator="equal">
      <formula>"NI"</formula>
    </cfRule>
    <cfRule type="cellIs" dxfId="1226" priority="555" operator="equal">
      <formula>"ME"</formula>
    </cfRule>
  </conditionalFormatting>
  <conditionalFormatting sqref="DP5:DP34">
    <cfRule type="cellIs" dxfId="1225" priority="549" operator="equal">
      <formula>"Amber"</formula>
    </cfRule>
    <cfRule type="cellIs" dxfId="1224" priority="550" operator="equal">
      <formula>"Green"</formula>
    </cfRule>
    <cfRule type="cellIs" dxfId="1223" priority="551" operator="equal">
      <formula>"Red"</formula>
    </cfRule>
  </conditionalFormatting>
  <conditionalFormatting sqref="DL6:DO34">
    <cfRule type="cellIs" dxfId="1222" priority="545" operator="equal">
      <formula>"EE"</formula>
    </cfRule>
    <cfRule type="cellIs" dxfId="1221" priority="546" operator="equal">
      <formula>"RF"</formula>
    </cfRule>
    <cfRule type="cellIs" dxfId="1220" priority="547" operator="equal">
      <formula>"NI"</formula>
    </cfRule>
    <cfRule type="cellIs" dxfId="1219" priority="548" operator="equal">
      <formula>"ME"</formula>
    </cfRule>
  </conditionalFormatting>
  <conditionalFormatting sqref="DR5:DU5">
    <cfRule type="cellIs" dxfId="1218" priority="541" operator="equal">
      <formula>"EE"</formula>
    </cfRule>
    <cfRule type="cellIs" dxfId="1217" priority="542" operator="equal">
      <formula>"RF"</formula>
    </cfRule>
    <cfRule type="cellIs" dxfId="1216" priority="543" operator="equal">
      <formula>"NI"</formula>
    </cfRule>
    <cfRule type="cellIs" dxfId="1215" priority="544" operator="equal">
      <formula>"ME"</formula>
    </cfRule>
  </conditionalFormatting>
  <conditionalFormatting sqref="DV5:DV34">
    <cfRule type="cellIs" dxfId="1214" priority="538" operator="equal">
      <formula>"Amber"</formula>
    </cfRule>
    <cfRule type="cellIs" dxfId="1213" priority="539" operator="equal">
      <formula>"Green"</formula>
    </cfRule>
    <cfRule type="cellIs" dxfId="1212" priority="540" operator="equal">
      <formula>"Red"</formula>
    </cfRule>
  </conditionalFormatting>
  <conditionalFormatting sqref="DR6:DU34">
    <cfRule type="cellIs" dxfId="1211" priority="534" operator="equal">
      <formula>"EE"</formula>
    </cfRule>
    <cfRule type="cellIs" dxfId="1210" priority="535" operator="equal">
      <formula>"RF"</formula>
    </cfRule>
    <cfRule type="cellIs" dxfId="1209" priority="536" operator="equal">
      <formula>"NI"</formula>
    </cfRule>
    <cfRule type="cellIs" dxfId="1208" priority="537" operator="equal">
      <formula>"ME"</formula>
    </cfRule>
  </conditionalFormatting>
  <conditionalFormatting sqref="DX5:EA5">
    <cfRule type="cellIs" dxfId="1207" priority="530" operator="equal">
      <formula>"EE"</formula>
    </cfRule>
    <cfRule type="cellIs" dxfId="1206" priority="531" operator="equal">
      <formula>"RF"</formula>
    </cfRule>
    <cfRule type="cellIs" dxfId="1205" priority="532" operator="equal">
      <formula>"NI"</formula>
    </cfRule>
    <cfRule type="cellIs" dxfId="1204" priority="533" operator="equal">
      <formula>"ME"</formula>
    </cfRule>
  </conditionalFormatting>
  <conditionalFormatting sqref="EB5:EB34">
    <cfRule type="cellIs" dxfId="1203" priority="527" operator="equal">
      <formula>"Amber"</formula>
    </cfRule>
    <cfRule type="cellIs" dxfId="1202" priority="528" operator="equal">
      <formula>"Green"</formula>
    </cfRule>
    <cfRule type="cellIs" dxfId="1201" priority="529" operator="equal">
      <formula>"Red"</formula>
    </cfRule>
  </conditionalFormatting>
  <conditionalFormatting sqref="DX6:EA34">
    <cfRule type="cellIs" dxfId="1200" priority="523" operator="equal">
      <formula>"EE"</formula>
    </cfRule>
    <cfRule type="cellIs" dxfId="1199" priority="524" operator="equal">
      <formula>"RF"</formula>
    </cfRule>
    <cfRule type="cellIs" dxfId="1198" priority="525" operator="equal">
      <formula>"NI"</formula>
    </cfRule>
    <cfRule type="cellIs" dxfId="1197" priority="526" operator="equal">
      <formula>"ME"</formula>
    </cfRule>
  </conditionalFormatting>
  <conditionalFormatting sqref="ED5:EL5">
    <cfRule type="cellIs" dxfId="1196" priority="519" operator="equal">
      <formula>"EE"</formula>
    </cfRule>
    <cfRule type="cellIs" dxfId="1195" priority="520" operator="equal">
      <formula>"RF"</formula>
    </cfRule>
    <cfRule type="cellIs" dxfId="1194" priority="521" operator="equal">
      <formula>"NI"</formula>
    </cfRule>
    <cfRule type="cellIs" dxfId="1193" priority="522" operator="equal">
      <formula>"ME"</formula>
    </cfRule>
  </conditionalFormatting>
  <conditionalFormatting sqref="ED6:EG34">
    <cfRule type="cellIs" dxfId="1192" priority="515" operator="equal">
      <formula>"EE"</formula>
    </cfRule>
    <cfRule type="cellIs" dxfId="1191" priority="516" operator="equal">
      <formula>"RF"</formula>
    </cfRule>
    <cfRule type="cellIs" dxfId="1190" priority="517" operator="equal">
      <formula>"NI"</formula>
    </cfRule>
    <cfRule type="cellIs" dxfId="1189" priority="518" operator="equal">
      <formula>"ME"</formula>
    </cfRule>
  </conditionalFormatting>
  <conditionalFormatting sqref="EH6:EK34">
    <cfRule type="cellIs" dxfId="1188" priority="511" operator="equal">
      <formula>"EE"</formula>
    </cfRule>
    <cfRule type="cellIs" dxfId="1187" priority="512" operator="equal">
      <formula>"RF"</formula>
    </cfRule>
    <cfRule type="cellIs" dxfId="1186" priority="513" operator="equal">
      <formula>"NI"</formula>
    </cfRule>
    <cfRule type="cellIs" dxfId="1185" priority="514" operator="equal">
      <formula>"ME"</formula>
    </cfRule>
  </conditionalFormatting>
  <conditionalFormatting sqref="EL6:EL34">
    <cfRule type="cellIs" dxfId="1184" priority="507" operator="equal">
      <formula>"EE"</formula>
    </cfRule>
    <cfRule type="cellIs" dxfId="1183" priority="508" operator="equal">
      <formula>"RF"</formula>
    </cfRule>
    <cfRule type="cellIs" dxfId="1182" priority="509" operator="equal">
      <formula>"NI"</formula>
    </cfRule>
    <cfRule type="cellIs" dxfId="1181" priority="510" operator="equal">
      <formula>"ME"</formula>
    </cfRule>
  </conditionalFormatting>
  <conditionalFormatting sqref="EM5:EM34">
    <cfRule type="cellIs" dxfId="1180" priority="504" operator="equal">
      <formula>"Amber"</formula>
    </cfRule>
    <cfRule type="cellIs" dxfId="1179" priority="505" operator="equal">
      <formula>"Green"</formula>
    </cfRule>
    <cfRule type="cellIs" dxfId="1178" priority="506" operator="equal">
      <formula>"Red"</formula>
    </cfRule>
  </conditionalFormatting>
  <conditionalFormatting sqref="EO5:EW5">
    <cfRule type="cellIs" dxfId="1177" priority="500" operator="equal">
      <formula>"EE"</formula>
    </cfRule>
    <cfRule type="cellIs" dxfId="1176" priority="501" operator="equal">
      <formula>"RF"</formula>
    </cfRule>
    <cfRule type="cellIs" dxfId="1175" priority="502" operator="equal">
      <formula>"NI"</formula>
    </cfRule>
    <cfRule type="cellIs" dxfId="1174" priority="503" operator="equal">
      <formula>"ME"</formula>
    </cfRule>
  </conditionalFormatting>
  <conditionalFormatting sqref="EO6:ER34">
    <cfRule type="cellIs" dxfId="1173" priority="496" operator="equal">
      <formula>"EE"</formula>
    </cfRule>
    <cfRule type="cellIs" dxfId="1172" priority="497" operator="equal">
      <formula>"RF"</formula>
    </cfRule>
    <cfRule type="cellIs" dxfId="1171" priority="498" operator="equal">
      <formula>"NI"</formula>
    </cfRule>
    <cfRule type="cellIs" dxfId="1170" priority="499" operator="equal">
      <formula>"ME"</formula>
    </cfRule>
  </conditionalFormatting>
  <conditionalFormatting sqref="ES6:EV34">
    <cfRule type="cellIs" dxfId="1169" priority="492" operator="equal">
      <formula>"EE"</formula>
    </cfRule>
    <cfRule type="cellIs" dxfId="1168" priority="493" operator="equal">
      <formula>"RF"</formula>
    </cfRule>
    <cfRule type="cellIs" dxfId="1167" priority="494" operator="equal">
      <formula>"NI"</formula>
    </cfRule>
    <cfRule type="cellIs" dxfId="1166" priority="495" operator="equal">
      <formula>"ME"</formula>
    </cfRule>
  </conditionalFormatting>
  <conditionalFormatting sqref="EW6:EW34">
    <cfRule type="cellIs" dxfId="1165" priority="488" operator="equal">
      <formula>"EE"</formula>
    </cfRule>
    <cfRule type="cellIs" dxfId="1164" priority="489" operator="equal">
      <formula>"RF"</formula>
    </cfRule>
    <cfRule type="cellIs" dxfId="1163" priority="490" operator="equal">
      <formula>"NI"</formula>
    </cfRule>
    <cfRule type="cellIs" dxfId="1162" priority="491" operator="equal">
      <formula>"ME"</formula>
    </cfRule>
  </conditionalFormatting>
  <conditionalFormatting sqref="EX5:EX34">
    <cfRule type="cellIs" dxfId="1161" priority="485" operator="equal">
      <formula>"Amber"</formula>
    </cfRule>
    <cfRule type="cellIs" dxfId="1160" priority="486" operator="equal">
      <formula>"Green"</formula>
    </cfRule>
    <cfRule type="cellIs" dxfId="1159" priority="487" operator="equal">
      <formula>"Red"</formula>
    </cfRule>
  </conditionalFormatting>
  <conditionalFormatting sqref="EZ5:FH5">
    <cfRule type="cellIs" dxfId="1158" priority="481" operator="equal">
      <formula>"EE"</formula>
    </cfRule>
    <cfRule type="cellIs" dxfId="1157" priority="482" operator="equal">
      <formula>"RF"</formula>
    </cfRule>
    <cfRule type="cellIs" dxfId="1156" priority="483" operator="equal">
      <formula>"NI"</formula>
    </cfRule>
    <cfRule type="cellIs" dxfId="1155" priority="484" operator="equal">
      <formula>"ME"</formula>
    </cfRule>
  </conditionalFormatting>
  <conditionalFormatting sqref="EZ6:FC34">
    <cfRule type="cellIs" dxfId="1154" priority="477" operator="equal">
      <formula>"EE"</formula>
    </cfRule>
    <cfRule type="cellIs" dxfId="1153" priority="478" operator="equal">
      <formula>"RF"</formula>
    </cfRule>
    <cfRule type="cellIs" dxfId="1152" priority="479" operator="equal">
      <formula>"NI"</formula>
    </cfRule>
    <cfRule type="cellIs" dxfId="1151" priority="480" operator="equal">
      <formula>"ME"</formula>
    </cfRule>
  </conditionalFormatting>
  <conditionalFormatting sqref="FD6:FG34">
    <cfRule type="cellIs" dxfId="1150" priority="473" operator="equal">
      <formula>"EE"</formula>
    </cfRule>
    <cfRule type="cellIs" dxfId="1149" priority="474" operator="equal">
      <formula>"RF"</formula>
    </cfRule>
    <cfRule type="cellIs" dxfId="1148" priority="475" operator="equal">
      <formula>"NI"</formula>
    </cfRule>
    <cfRule type="cellIs" dxfId="1147" priority="476" operator="equal">
      <formula>"ME"</formula>
    </cfRule>
  </conditionalFormatting>
  <conditionalFormatting sqref="FH6:FH34">
    <cfRule type="cellIs" dxfId="1146" priority="469" operator="equal">
      <formula>"EE"</formula>
    </cfRule>
    <cfRule type="cellIs" dxfId="1145" priority="470" operator="equal">
      <formula>"RF"</formula>
    </cfRule>
    <cfRule type="cellIs" dxfId="1144" priority="471" operator="equal">
      <formula>"NI"</formula>
    </cfRule>
    <cfRule type="cellIs" dxfId="1143" priority="472" operator="equal">
      <formula>"ME"</formula>
    </cfRule>
  </conditionalFormatting>
  <conditionalFormatting sqref="FI5:FI34">
    <cfRule type="cellIs" dxfId="1142" priority="466" operator="equal">
      <formula>"Amber"</formula>
    </cfRule>
    <cfRule type="cellIs" dxfId="1141" priority="467" operator="equal">
      <formula>"Green"</formula>
    </cfRule>
    <cfRule type="cellIs" dxfId="1140" priority="468" operator="equal">
      <formula>"Red"</formula>
    </cfRule>
  </conditionalFormatting>
  <conditionalFormatting sqref="FK5:FS5">
    <cfRule type="cellIs" dxfId="1139" priority="462" operator="equal">
      <formula>"EE"</formula>
    </cfRule>
    <cfRule type="cellIs" dxfId="1138" priority="463" operator="equal">
      <formula>"RF"</formula>
    </cfRule>
    <cfRule type="cellIs" dxfId="1137" priority="464" operator="equal">
      <formula>"NI"</formula>
    </cfRule>
    <cfRule type="cellIs" dxfId="1136" priority="465" operator="equal">
      <formula>"ME"</formula>
    </cfRule>
  </conditionalFormatting>
  <conditionalFormatting sqref="FK6:FN34">
    <cfRule type="cellIs" dxfId="1135" priority="458" operator="equal">
      <formula>"EE"</formula>
    </cfRule>
    <cfRule type="cellIs" dxfId="1134" priority="459" operator="equal">
      <formula>"RF"</formula>
    </cfRule>
    <cfRule type="cellIs" dxfId="1133" priority="460" operator="equal">
      <formula>"NI"</formula>
    </cfRule>
    <cfRule type="cellIs" dxfId="1132" priority="461" operator="equal">
      <formula>"ME"</formula>
    </cfRule>
  </conditionalFormatting>
  <conditionalFormatting sqref="FO6:FR34">
    <cfRule type="cellIs" dxfId="1131" priority="454" operator="equal">
      <formula>"EE"</formula>
    </cfRule>
    <cfRule type="cellIs" dxfId="1130" priority="455" operator="equal">
      <formula>"RF"</formula>
    </cfRule>
    <cfRule type="cellIs" dxfId="1129" priority="456" operator="equal">
      <formula>"NI"</formula>
    </cfRule>
    <cfRule type="cellIs" dxfId="1128" priority="457" operator="equal">
      <formula>"ME"</formula>
    </cfRule>
  </conditionalFormatting>
  <conditionalFormatting sqref="FS6:FS34">
    <cfRule type="cellIs" dxfId="1127" priority="450" operator="equal">
      <formula>"EE"</formula>
    </cfRule>
    <cfRule type="cellIs" dxfId="1126" priority="451" operator="equal">
      <formula>"RF"</formula>
    </cfRule>
    <cfRule type="cellIs" dxfId="1125" priority="452" operator="equal">
      <formula>"NI"</formula>
    </cfRule>
    <cfRule type="cellIs" dxfId="1124" priority="453" operator="equal">
      <formula>"ME"</formula>
    </cfRule>
  </conditionalFormatting>
  <conditionalFormatting sqref="FT5:FT34">
    <cfRule type="cellIs" dxfId="1123" priority="447" operator="equal">
      <formula>"Amber"</formula>
    </cfRule>
    <cfRule type="cellIs" dxfId="1122" priority="448" operator="equal">
      <formula>"Green"</formula>
    </cfRule>
    <cfRule type="cellIs" dxfId="1121" priority="449" operator="equal">
      <formula>"Red"</formula>
    </cfRule>
  </conditionalFormatting>
  <conditionalFormatting sqref="FV5:GD5">
    <cfRule type="cellIs" dxfId="1120" priority="443" operator="equal">
      <formula>"EE"</formula>
    </cfRule>
    <cfRule type="cellIs" dxfId="1119" priority="444" operator="equal">
      <formula>"RF"</formula>
    </cfRule>
    <cfRule type="cellIs" dxfId="1118" priority="445" operator="equal">
      <formula>"NI"</formula>
    </cfRule>
    <cfRule type="cellIs" dxfId="1117" priority="446" operator="equal">
      <formula>"ME"</formula>
    </cfRule>
  </conditionalFormatting>
  <conditionalFormatting sqref="FV6:FY34">
    <cfRule type="cellIs" dxfId="1116" priority="439" operator="equal">
      <formula>"EE"</formula>
    </cfRule>
    <cfRule type="cellIs" dxfId="1115" priority="440" operator="equal">
      <formula>"RF"</formula>
    </cfRule>
    <cfRule type="cellIs" dxfId="1114" priority="441" operator="equal">
      <formula>"NI"</formula>
    </cfRule>
    <cfRule type="cellIs" dxfId="1113" priority="442" operator="equal">
      <formula>"ME"</formula>
    </cfRule>
  </conditionalFormatting>
  <conditionalFormatting sqref="FZ6:GC34">
    <cfRule type="cellIs" dxfId="1112" priority="435" operator="equal">
      <formula>"EE"</formula>
    </cfRule>
    <cfRule type="cellIs" dxfId="1111" priority="436" operator="equal">
      <formula>"RF"</formula>
    </cfRule>
    <cfRule type="cellIs" dxfId="1110" priority="437" operator="equal">
      <formula>"NI"</formula>
    </cfRule>
    <cfRule type="cellIs" dxfId="1109" priority="438" operator="equal">
      <formula>"ME"</formula>
    </cfRule>
  </conditionalFormatting>
  <conditionalFormatting sqref="GD6:GD34">
    <cfRule type="cellIs" dxfId="1108" priority="431" operator="equal">
      <formula>"EE"</formula>
    </cfRule>
    <cfRule type="cellIs" dxfId="1107" priority="432" operator="equal">
      <formula>"RF"</formula>
    </cfRule>
    <cfRule type="cellIs" dxfId="1106" priority="433" operator="equal">
      <formula>"NI"</formula>
    </cfRule>
    <cfRule type="cellIs" dxfId="1105" priority="434" operator="equal">
      <formula>"ME"</formula>
    </cfRule>
  </conditionalFormatting>
  <conditionalFormatting sqref="GE5:GE34">
    <cfRule type="cellIs" dxfId="1104" priority="428" operator="equal">
      <formula>"Amber"</formula>
    </cfRule>
    <cfRule type="cellIs" dxfId="1103" priority="429" operator="equal">
      <formula>"Green"</formula>
    </cfRule>
    <cfRule type="cellIs" dxfId="1102" priority="430" operator="equal">
      <formula>"Red"</formula>
    </cfRule>
  </conditionalFormatting>
  <conditionalFormatting sqref="GG5:GK5">
    <cfRule type="cellIs" dxfId="1101" priority="424" operator="equal">
      <formula>"EE"</formula>
    </cfRule>
    <cfRule type="cellIs" dxfId="1100" priority="425" operator="equal">
      <formula>"RF"</formula>
    </cfRule>
    <cfRule type="cellIs" dxfId="1099" priority="426" operator="equal">
      <formula>"NI"</formula>
    </cfRule>
    <cfRule type="cellIs" dxfId="1098" priority="427" operator="equal">
      <formula>"ME"</formula>
    </cfRule>
  </conditionalFormatting>
  <conditionalFormatting sqref="GL5:GL34">
    <cfRule type="cellIs" dxfId="1097" priority="421" operator="equal">
      <formula>"Amber"</formula>
    </cfRule>
    <cfRule type="cellIs" dxfId="1096" priority="422" operator="equal">
      <formula>"Green"</formula>
    </cfRule>
    <cfRule type="cellIs" dxfId="1095" priority="423" operator="equal">
      <formula>"Red"</formula>
    </cfRule>
  </conditionalFormatting>
  <conditionalFormatting sqref="GG6:GK34">
    <cfRule type="cellIs" dxfId="1094" priority="417" operator="equal">
      <formula>"EE"</formula>
    </cfRule>
    <cfRule type="cellIs" dxfId="1093" priority="418" operator="equal">
      <formula>"RF"</formula>
    </cfRule>
    <cfRule type="cellIs" dxfId="1092" priority="419" operator="equal">
      <formula>"NI"</formula>
    </cfRule>
    <cfRule type="cellIs" dxfId="1091" priority="420" operator="equal">
      <formula>"ME"</formula>
    </cfRule>
  </conditionalFormatting>
  <conditionalFormatting sqref="GN5:GR5">
    <cfRule type="cellIs" dxfId="1090" priority="413" operator="equal">
      <formula>"EE"</formula>
    </cfRule>
    <cfRule type="cellIs" dxfId="1089" priority="414" operator="equal">
      <formula>"RF"</formula>
    </cfRule>
    <cfRule type="cellIs" dxfId="1088" priority="415" operator="equal">
      <formula>"NI"</formula>
    </cfRule>
    <cfRule type="cellIs" dxfId="1087" priority="416" operator="equal">
      <formula>"ME"</formula>
    </cfRule>
  </conditionalFormatting>
  <conditionalFormatting sqref="GS5:GS34">
    <cfRule type="cellIs" dxfId="1086" priority="410" operator="equal">
      <formula>"Amber"</formula>
    </cfRule>
    <cfRule type="cellIs" dxfId="1085" priority="411" operator="equal">
      <formula>"Green"</formula>
    </cfRule>
    <cfRule type="cellIs" dxfId="1084" priority="412" operator="equal">
      <formula>"Red"</formula>
    </cfRule>
  </conditionalFormatting>
  <conditionalFormatting sqref="GN6:GR34">
    <cfRule type="cellIs" dxfId="1083" priority="406" operator="equal">
      <formula>"EE"</formula>
    </cfRule>
    <cfRule type="cellIs" dxfId="1082" priority="407" operator="equal">
      <formula>"RF"</formula>
    </cfRule>
    <cfRule type="cellIs" dxfId="1081" priority="408" operator="equal">
      <formula>"NI"</formula>
    </cfRule>
    <cfRule type="cellIs" dxfId="1080" priority="409" operator="equal">
      <formula>"ME"</formula>
    </cfRule>
  </conditionalFormatting>
  <conditionalFormatting sqref="GU5:GY5">
    <cfRule type="cellIs" dxfId="1079" priority="402" operator="equal">
      <formula>"EE"</formula>
    </cfRule>
    <cfRule type="cellIs" dxfId="1078" priority="403" operator="equal">
      <formula>"RF"</formula>
    </cfRule>
    <cfRule type="cellIs" dxfId="1077" priority="404" operator="equal">
      <formula>"NI"</formula>
    </cfRule>
    <cfRule type="cellIs" dxfId="1076" priority="405" operator="equal">
      <formula>"ME"</formula>
    </cfRule>
  </conditionalFormatting>
  <conditionalFormatting sqref="GZ5:GZ34">
    <cfRule type="cellIs" dxfId="1075" priority="399" operator="equal">
      <formula>"Amber"</formula>
    </cfRule>
    <cfRule type="cellIs" dxfId="1074" priority="400" operator="equal">
      <formula>"Green"</formula>
    </cfRule>
    <cfRule type="cellIs" dxfId="1073" priority="401" operator="equal">
      <formula>"Red"</formula>
    </cfRule>
  </conditionalFormatting>
  <conditionalFormatting sqref="GU6:GY34">
    <cfRule type="cellIs" dxfId="1072" priority="395" operator="equal">
      <formula>"EE"</formula>
    </cfRule>
    <cfRule type="cellIs" dxfId="1071" priority="396" operator="equal">
      <formula>"RF"</formula>
    </cfRule>
    <cfRule type="cellIs" dxfId="1070" priority="397" operator="equal">
      <formula>"NI"</formula>
    </cfRule>
    <cfRule type="cellIs" dxfId="1069" priority="398" operator="equal">
      <formula>"ME"</formula>
    </cfRule>
  </conditionalFormatting>
  <conditionalFormatting sqref="HB5:HF5">
    <cfRule type="cellIs" dxfId="1068" priority="391" operator="equal">
      <formula>"EE"</formula>
    </cfRule>
    <cfRule type="cellIs" dxfId="1067" priority="392" operator="equal">
      <formula>"RF"</formula>
    </cfRule>
    <cfRule type="cellIs" dxfId="1066" priority="393" operator="equal">
      <formula>"NI"</formula>
    </cfRule>
    <cfRule type="cellIs" dxfId="1065" priority="394" operator="equal">
      <formula>"ME"</formula>
    </cfRule>
  </conditionalFormatting>
  <conditionalFormatting sqref="HG5:HG34">
    <cfRule type="cellIs" dxfId="1064" priority="388" operator="equal">
      <formula>"Amber"</formula>
    </cfRule>
    <cfRule type="cellIs" dxfId="1063" priority="389" operator="equal">
      <formula>"Green"</formula>
    </cfRule>
    <cfRule type="cellIs" dxfId="1062" priority="390" operator="equal">
      <formula>"Red"</formula>
    </cfRule>
  </conditionalFormatting>
  <conditionalFormatting sqref="HB6:HF34">
    <cfRule type="cellIs" dxfId="1061" priority="384" operator="equal">
      <formula>"EE"</formula>
    </cfRule>
    <cfRule type="cellIs" dxfId="1060" priority="385" operator="equal">
      <formula>"RF"</formula>
    </cfRule>
    <cfRule type="cellIs" dxfId="1059" priority="386" operator="equal">
      <formula>"NI"</formula>
    </cfRule>
    <cfRule type="cellIs" dxfId="1058" priority="387" operator="equal">
      <formula>"ME"</formula>
    </cfRule>
  </conditionalFormatting>
  <conditionalFormatting sqref="HI5:HM5">
    <cfRule type="cellIs" dxfId="1057" priority="380" operator="equal">
      <formula>"EE"</formula>
    </cfRule>
    <cfRule type="cellIs" dxfId="1056" priority="381" operator="equal">
      <formula>"RF"</formula>
    </cfRule>
    <cfRule type="cellIs" dxfId="1055" priority="382" operator="equal">
      <formula>"NI"</formula>
    </cfRule>
    <cfRule type="cellIs" dxfId="1054" priority="383" operator="equal">
      <formula>"ME"</formula>
    </cfRule>
  </conditionalFormatting>
  <conditionalFormatting sqref="HN5:HN34">
    <cfRule type="cellIs" dxfId="1053" priority="377" operator="equal">
      <formula>"Amber"</formula>
    </cfRule>
    <cfRule type="cellIs" dxfId="1052" priority="378" operator="equal">
      <formula>"Green"</formula>
    </cfRule>
    <cfRule type="cellIs" dxfId="1051" priority="379" operator="equal">
      <formula>"Red"</formula>
    </cfRule>
  </conditionalFormatting>
  <conditionalFormatting sqref="HI6:HM34">
    <cfRule type="cellIs" dxfId="1050" priority="373" operator="equal">
      <formula>"EE"</formula>
    </cfRule>
    <cfRule type="cellIs" dxfId="1049" priority="374" operator="equal">
      <formula>"RF"</formula>
    </cfRule>
    <cfRule type="cellIs" dxfId="1048" priority="375" operator="equal">
      <formula>"NI"</formula>
    </cfRule>
    <cfRule type="cellIs" dxfId="1047" priority="376" operator="equal">
      <formula>"ME"</formula>
    </cfRule>
  </conditionalFormatting>
  <conditionalFormatting sqref="HP5:HT5">
    <cfRule type="cellIs" dxfId="1046" priority="369" operator="equal">
      <formula>"EE"</formula>
    </cfRule>
    <cfRule type="cellIs" dxfId="1045" priority="370" operator="equal">
      <formula>"RF"</formula>
    </cfRule>
    <cfRule type="cellIs" dxfId="1044" priority="371" operator="equal">
      <formula>"NI"</formula>
    </cfRule>
    <cfRule type="cellIs" dxfId="1043" priority="372" operator="equal">
      <formula>"ME"</formula>
    </cfRule>
  </conditionalFormatting>
  <conditionalFormatting sqref="HU5:HU34">
    <cfRule type="cellIs" dxfId="1042" priority="366" operator="equal">
      <formula>"Amber"</formula>
    </cfRule>
    <cfRule type="cellIs" dxfId="1041" priority="367" operator="equal">
      <formula>"Green"</formula>
    </cfRule>
    <cfRule type="cellIs" dxfId="1040" priority="368" operator="equal">
      <formula>"Red"</formula>
    </cfRule>
  </conditionalFormatting>
  <conditionalFormatting sqref="HP6:HT34">
    <cfRule type="cellIs" dxfId="1039" priority="362" operator="equal">
      <formula>"EE"</formula>
    </cfRule>
    <cfRule type="cellIs" dxfId="1038" priority="363" operator="equal">
      <formula>"RF"</formula>
    </cfRule>
    <cfRule type="cellIs" dxfId="1037" priority="364" operator="equal">
      <formula>"NI"</formula>
    </cfRule>
    <cfRule type="cellIs" dxfId="1036" priority="365" operator="equal">
      <formula>"ME"</formula>
    </cfRule>
  </conditionalFormatting>
  <conditionalFormatting sqref="HW5:IE5">
    <cfRule type="cellIs" dxfId="1035" priority="358" operator="equal">
      <formula>"EE"</formula>
    </cfRule>
    <cfRule type="cellIs" dxfId="1034" priority="359" operator="equal">
      <formula>"RF"</formula>
    </cfRule>
    <cfRule type="cellIs" dxfId="1033" priority="360" operator="equal">
      <formula>"NI"</formula>
    </cfRule>
    <cfRule type="cellIs" dxfId="1032" priority="361" operator="equal">
      <formula>"ME"</formula>
    </cfRule>
  </conditionalFormatting>
  <conditionalFormatting sqref="HW6:HZ34">
    <cfRule type="cellIs" dxfId="1031" priority="354" operator="equal">
      <formula>"EE"</formula>
    </cfRule>
    <cfRule type="cellIs" dxfId="1030" priority="355" operator="equal">
      <formula>"RF"</formula>
    </cfRule>
    <cfRule type="cellIs" dxfId="1029" priority="356" operator="equal">
      <formula>"NI"</formula>
    </cfRule>
    <cfRule type="cellIs" dxfId="1028" priority="357" operator="equal">
      <formula>"ME"</formula>
    </cfRule>
  </conditionalFormatting>
  <conditionalFormatting sqref="IA6:ID34">
    <cfRule type="cellIs" dxfId="1027" priority="350" operator="equal">
      <formula>"EE"</formula>
    </cfRule>
    <cfRule type="cellIs" dxfId="1026" priority="351" operator="equal">
      <formula>"RF"</formula>
    </cfRule>
    <cfRule type="cellIs" dxfId="1025" priority="352" operator="equal">
      <formula>"NI"</formula>
    </cfRule>
    <cfRule type="cellIs" dxfId="1024" priority="353" operator="equal">
      <formula>"ME"</formula>
    </cfRule>
  </conditionalFormatting>
  <conditionalFormatting sqref="IE6:IE34">
    <cfRule type="cellIs" dxfId="1023" priority="346" operator="equal">
      <formula>"EE"</formula>
    </cfRule>
    <cfRule type="cellIs" dxfId="1022" priority="347" operator="equal">
      <formula>"RF"</formula>
    </cfRule>
    <cfRule type="cellIs" dxfId="1021" priority="348" operator="equal">
      <formula>"NI"</formula>
    </cfRule>
    <cfRule type="cellIs" dxfId="1020" priority="349" operator="equal">
      <formula>"ME"</formula>
    </cfRule>
  </conditionalFormatting>
  <conditionalFormatting sqref="IF5:IF34">
    <cfRule type="cellIs" dxfId="1019" priority="343" operator="equal">
      <formula>"Amber"</formula>
    </cfRule>
    <cfRule type="cellIs" dxfId="1018" priority="344" operator="equal">
      <formula>"Green"</formula>
    </cfRule>
    <cfRule type="cellIs" dxfId="1017" priority="345" operator="equal">
      <formula>"Red"</formula>
    </cfRule>
  </conditionalFormatting>
  <conditionalFormatting sqref="IH5:IP5">
    <cfRule type="cellIs" dxfId="1016" priority="339" operator="equal">
      <formula>"EE"</formula>
    </cfRule>
    <cfRule type="cellIs" dxfId="1015" priority="340" operator="equal">
      <formula>"RF"</formula>
    </cfRule>
    <cfRule type="cellIs" dxfId="1014" priority="341" operator="equal">
      <formula>"NI"</formula>
    </cfRule>
    <cfRule type="cellIs" dxfId="1013" priority="342" operator="equal">
      <formula>"ME"</formula>
    </cfRule>
  </conditionalFormatting>
  <conditionalFormatting sqref="IH6:IK34">
    <cfRule type="cellIs" dxfId="1012" priority="335" operator="equal">
      <formula>"EE"</formula>
    </cfRule>
    <cfRule type="cellIs" dxfId="1011" priority="336" operator="equal">
      <formula>"RF"</formula>
    </cfRule>
    <cfRule type="cellIs" dxfId="1010" priority="337" operator="equal">
      <formula>"NI"</formula>
    </cfRule>
    <cfRule type="cellIs" dxfId="1009" priority="338" operator="equal">
      <formula>"ME"</formula>
    </cfRule>
  </conditionalFormatting>
  <conditionalFormatting sqref="IL6:IO34">
    <cfRule type="cellIs" dxfId="1008" priority="331" operator="equal">
      <formula>"EE"</formula>
    </cfRule>
    <cfRule type="cellIs" dxfId="1007" priority="332" operator="equal">
      <formula>"RF"</formula>
    </cfRule>
    <cfRule type="cellIs" dxfId="1006" priority="333" operator="equal">
      <formula>"NI"</formula>
    </cfRule>
    <cfRule type="cellIs" dxfId="1005" priority="334" operator="equal">
      <formula>"ME"</formula>
    </cfRule>
  </conditionalFormatting>
  <conditionalFormatting sqref="IP6:IP34">
    <cfRule type="cellIs" dxfId="1004" priority="327" operator="equal">
      <formula>"EE"</formula>
    </cfRule>
    <cfRule type="cellIs" dxfId="1003" priority="328" operator="equal">
      <formula>"RF"</formula>
    </cfRule>
    <cfRule type="cellIs" dxfId="1002" priority="329" operator="equal">
      <formula>"NI"</formula>
    </cfRule>
    <cfRule type="cellIs" dxfId="1001" priority="330" operator="equal">
      <formula>"ME"</formula>
    </cfRule>
  </conditionalFormatting>
  <conditionalFormatting sqref="IQ5:IQ34">
    <cfRule type="cellIs" dxfId="1000" priority="324" operator="equal">
      <formula>"Amber"</formula>
    </cfRule>
    <cfRule type="cellIs" dxfId="999" priority="325" operator="equal">
      <formula>"Green"</formula>
    </cfRule>
    <cfRule type="cellIs" dxfId="998" priority="326" operator="equal">
      <formula>"Red"</formula>
    </cfRule>
  </conditionalFormatting>
  <conditionalFormatting sqref="IS5:JA5">
    <cfRule type="cellIs" dxfId="997" priority="320" operator="equal">
      <formula>"EE"</formula>
    </cfRule>
    <cfRule type="cellIs" dxfId="996" priority="321" operator="equal">
      <formula>"RF"</formula>
    </cfRule>
    <cfRule type="cellIs" dxfId="995" priority="322" operator="equal">
      <formula>"NI"</formula>
    </cfRule>
    <cfRule type="cellIs" dxfId="994" priority="323" operator="equal">
      <formula>"ME"</formula>
    </cfRule>
  </conditionalFormatting>
  <conditionalFormatting sqref="IS6:IV34">
    <cfRule type="cellIs" dxfId="993" priority="316" operator="equal">
      <formula>"EE"</formula>
    </cfRule>
    <cfRule type="cellIs" dxfId="992" priority="317" operator="equal">
      <formula>"RF"</formula>
    </cfRule>
    <cfRule type="cellIs" dxfId="991" priority="318" operator="equal">
      <formula>"NI"</formula>
    </cfRule>
    <cfRule type="cellIs" dxfId="990" priority="319" operator="equal">
      <formula>"ME"</formula>
    </cfRule>
  </conditionalFormatting>
  <conditionalFormatting sqref="IW6:IZ34">
    <cfRule type="cellIs" dxfId="989" priority="312" operator="equal">
      <formula>"EE"</formula>
    </cfRule>
    <cfRule type="cellIs" dxfId="988" priority="313" operator="equal">
      <formula>"RF"</formula>
    </cfRule>
    <cfRule type="cellIs" dxfId="987" priority="314" operator="equal">
      <formula>"NI"</formula>
    </cfRule>
    <cfRule type="cellIs" dxfId="986" priority="315" operator="equal">
      <formula>"ME"</formula>
    </cfRule>
  </conditionalFormatting>
  <conditionalFormatting sqref="JA6:JA34">
    <cfRule type="cellIs" dxfId="985" priority="308" operator="equal">
      <formula>"EE"</formula>
    </cfRule>
    <cfRule type="cellIs" dxfId="984" priority="309" operator="equal">
      <formula>"RF"</formula>
    </cfRule>
    <cfRule type="cellIs" dxfId="983" priority="310" operator="equal">
      <formula>"NI"</formula>
    </cfRule>
    <cfRule type="cellIs" dxfId="982" priority="311" operator="equal">
      <formula>"ME"</formula>
    </cfRule>
  </conditionalFormatting>
  <conditionalFormatting sqref="JB5:JB34">
    <cfRule type="cellIs" dxfId="981" priority="305" operator="equal">
      <formula>"Amber"</formula>
    </cfRule>
    <cfRule type="cellIs" dxfId="980" priority="306" operator="equal">
      <formula>"Green"</formula>
    </cfRule>
    <cfRule type="cellIs" dxfId="979" priority="307" operator="equal">
      <formula>"Red"</formula>
    </cfRule>
  </conditionalFormatting>
  <conditionalFormatting sqref="JD5:JL5">
    <cfRule type="cellIs" dxfId="978" priority="301" operator="equal">
      <formula>"EE"</formula>
    </cfRule>
    <cfRule type="cellIs" dxfId="977" priority="302" operator="equal">
      <formula>"RF"</formula>
    </cfRule>
    <cfRule type="cellIs" dxfId="976" priority="303" operator="equal">
      <formula>"NI"</formula>
    </cfRule>
    <cfRule type="cellIs" dxfId="975" priority="304" operator="equal">
      <formula>"ME"</formula>
    </cfRule>
  </conditionalFormatting>
  <conditionalFormatting sqref="JD6:JG34">
    <cfRule type="cellIs" dxfId="974" priority="297" operator="equal">
      <formula>"EE"</formula>
    </cfRule>
    <cfRule type="cellIs" dxfId="973" priority="298" operator="equal">
      <formula>"RF"</formula>
    </cfRule>
    <cfRule type="cellIs" dxfId="972" priority="299" operator="equal">
      <formula>"NI"</formula>
    </cfRule>
    <cfRule type="cellIs" dxfId="971" priority="300" operator="equal">
      <formula>"ME"</formula>
    </cfRule>
  </conditionalFormatting>
  <conditionalFormatting sqref="JH6:JK34">
    <cfRule type="cellIs" dxfId="970" priority="293" operator="equal">
      <formula>"EE"</formula>
    </cfRule>
    <cfRule type="cellIs" dxfId="969" priority="294" operator="equal">
      <formula>"RF"</formula>
    </cfRule>
    <cfRule type="cellIs" dxfId="968" priority="295" operator="equal">
      <formula>"NI"</formula>
    </cfRule>
    <cfRule type="cellIs" dxfId="967" priority="296" operator="equal">
      <formula>"ME"</formula>
    </cfRule>
  </conditionalFormatting>
  <conditionalFormatting sqref="JL6:JL34">
    <cfRule type="cellIs" dxfId="966" priority="289" operator="equal">
      <formula>"EE"</formula>
    </cfRule>
    <cfRule type="cellIs" dxfId="965" priority="290" operator="equal">
      <formula>"RF"</formula>
    </cfRule>
    <cfRule type="cellIs" dxfId="964" priority="291" operator="equal">
      <formula>"NI"</formula>
    </cfRule>
    <cfRule type="cellIs" dxfId="963" priority="292" operator="equal">
      <formula>"ME"</formula>
    </cfRule>
  </conditionalFormatting>
  <conditionalFormatting sqref="JM5:JM34">
    <cfRule type="cellIs" dxfId="962" priority="286" operator="equal">
      <formula>"Amber"</formula>
    </cfRule>
    <cfRule type="cellIs" dxfId="961" priority="287" operator="equal">
      <formula>"Green"</formula>
    </cfRule>
    <cfRule type="cellIs" dxfId="960" priority="288" operator="equal">
      <formula>"Red"</formula>
    </cfRule>
  </conditionalFormatting>
  <conditionalFormatting sqref="JO5:JW5">
    <cfRule type="cellIs" dxfId="959" priority="282" operator="equal">
      <formula>"EE"</formula>
    </cfRule>
    <cfRule type="cellIs" dxfId="958" priority="283" operator="equal">
      <formula>"RF"</formula>
    </cfRule>
    <cfRule type="cellIs" dxfId="957" priority="284" operator="equal">
      <formula>"NI"</formula>
    </cfRule>
    <cfRule type="cellIs" dxfId="956" priority="285" operator="equal">
      <formula>"ME"</formula>
    </cfRule>
  </conditionalFormatting>
  <conditionalFormatting sqref="JO6:JR34">
    <cfRule type="cellIs" dxfId="955" priority="278" operator="equal">
      <formula>"EE"</formula>
    </cfRule>
    <cfRule type="cellIs" dxfId="954" priority="279" operator="equal">
      <formula>"RF"</formula>
    </cfRule>
    <cfRule type="cellIs" dxfId="953" priority="280" operator="equal">
      <formula>"NI"</formula>
    </cfRule>
    <cfRule type="cellIs" dxfId="952" priority="281" operator="equal">
      <formula>"ME"</formula>
    </cfRule>
  </conditionalFormatting>
  <conditionalFormatting sqref="JS6:JV34">
    <cfRule type="cellIs" dxfId="951" priority="274" operator="equal">
      <formula>"EE"</formula>
    </cfRule>
    <cfRule type="cellIs" dxfId="950" priority="275" operator="equal">
      <formula>"RF"</formula>
    </cfRule>
    <cfRule type="cellIs" dxfId="949" priority="276" operator="equal">
      <formula>"NI"</formula>
    </cfRule>
    <cfRule type="cellIs" dxfId="948" priority="277" operator="equal">
      <formula>"ME"</formula>
    </cfRule>
  </conditionalFormatting>
  <conditionalFormatting sqref="JW6:JW34">
    <cfRule type="cellIs" dxfId="947" priority="270" operator="equal">
      <formula>"EE"</formula>
    </cfRule>
    <cfRule type="cellIs" dxfId="946" priority="271" operator="equal">
      <formula>"RF"</formula>
    </cfRule>
    <cfRule type="cellIs" dxfId="945" priority="272" operator="equal">
      <formula>"NI"</formula>
    </cfRule>
    <cfRule type="cellIs" dxfId="944" priority="273" operator="equal">
      <formula>"ME"</formula>
    </cfRule>
  </conditionalFormatting>
  <conditionalFormatting sqref="JX5:JX34">
    <cfRule type="cellIs" dxfId="943" priority="267" operator="equal">
      <formula>"Amber"</formula>
    </cfRule>
    <cfRule type="cellIs" dxfId="942" priority="268" operator="equal">
      <formula>"Green"</formula>
    </cfRule>
    <cfRule type="cellIs" dxfId="941" priority="269" operator="equal">
      <formula>"Red"</formula>
    </cfRule>
  </conditionalFormatting>
  <conditionalFormatting sqref="JZ5:KH5">
    <cfRule type="cellIs" dxfId="940" priority="263" operator="equal">
      <formula>"EE"</formula>
    </cfRule>
    <cfRule type="cellIs" dxfId="939" priority="264" operator="equal">
      <formula>"RF"</formula>
    </cfRule>
    <cfRule type="cellIs" dxfId="938" priority="265" operator="equal">
      <formula>"NI"</formula>
    </cfRule>
    <cfRule type="cellIs" dxfId="937" priority="266" operator="equal">
      <formula>"ME"</formula>
    </cfRule>
  </conditionalFormatting>
  <conditionalFormatting sqref="JZ6:KC34">
    <cfRule type="cellIs" dxfId="936" priority="259" operator="equal">
      <formula>"EE"</formula>
    </cfRule>
    <cfRule type="cellIs" dxfId="935" priority="260" operator="equal">
      <formula>"RF"</formula>
    </cfRule>
    <cfRule type="cellIs" dxfId="934" priority="261" operator="equal">
      <formula>"NI"</formula>
    </cfRule>
    <cfRule type="cellIs" dxfId="933" priority="262" operator="equal">
      <formula>"ME"</formula>
    </cfRule>
  </conditionalFormatting>
  <conditionalFormatting sqref="KD6:KG34">
    <cfRule type="cellIs" dxfId="932" priority="255" operator="equal">
      <formula>"EE"</formula>
    </cfRule>
    <cfRule type="cellIs" dxfId="931" priority="256" operator="equal">
      <formula>"RF"</formula>
    </cfRule>
    <cfRule type="cellIs" dxfId="930" priority="257" operator="equal">
      <formula>"NI"</formula>
    </cfRule>
    <cfRule type="cellIs" dxfId="929" priority="258" operator="equal">
      <formula>"ME"</formula>
    </cfRule>
  </conditionalFormatting>
  <conditionalFormatting sqref="KH6:KH34">
    <cfRule type="cellIs" dxfId="928" priority="251" operator="equal">
      <formula>"EE"</formula>
    </cfRule>
    <cfRule type="cellIs" dxfId="927" priority="252" operator="equal">
      <formula>"RF"</formula>
    </cfRule>
    <cfRule type="cellIs" dxfId="926" priority="253" operator="equal">
      <formula>"NI"</formula>
    </cfRule>
    <cfRule type="cellIs" dxfId="925" priority="254" operator="equal">
      <formula>"ME"</formula>
    </cfRule>
  </conditionalFormatting>
  <conditionalFormatting sqref="KI5:KI34">
    <cfRule type="cellIs" dxfId="924" priority="248" operator="equal">
      <formula>"Amber"</formula>
    </cfRule>
    <cfRule type="cellIs" dxfId="923" priority="249" operator="equal">
      <formula>"Green"</formula>
    </cfRule>
    <cfRule type="cellIs" dxfId="922" priority="250" operator="equal">
      <formula>"Red"</formula>
    </cfRule>
  </conditionalFormatting>
  <conditionalFormatting sqref="KK5:KS5">
    <cfRule type="cellIs" dxfId="921" priority="244" operator="equal">
      <formula>"EE"</formula>
    </cfRule>
    <cfRule type="cellIs" dxfId="920" priority="245" operator="equal">
      <formula>"RF"</formula>
    </cfRule>
    <cfRule type="cellIs" dxfId="919" priority="246" operator="equal">
      <formula>"NI"</formula>
    </cfRule>
    <cfRule type="cellIs" dxfId="918" priority="247" operator="equal">
      <formula>"ME"</formula>
    </cfRule>
  </conditionalFormatting>
  <conditionalFormatting sqref="KK6:KN34">
    <cfRule type="cellIs" dxfId="917" priority="240" operator="equal">
      <formula>"EE"</formula>
    </cfRule>
    <cfRule type="cellIs" dxfId="916" priority="241" operator="equal">
      <formula>"RF"</formula>
    </cfRule>
    <cfRule type="cellIs" dxfId="915" priority="242" operator="equal">
      <formula>"NI"</formula>
    </cfRule>
    <cfRule type="cellIs" dxfId="914" priority="243" operator="equal">
      <formula>"ME"</formula>
    </cfRule>
  </conditionalFormatting>
  <conditionalFormatting sqref="KO6:KR34">
    <cfRule type="cellIs" dxfId="913" priority="236" operator="equal">
      <formula>"EE"</formula>
    </cfRule>
    <cfRule type="cellIs" dxfId="912" priority="237" operator="equal">
      <formula>"RF"</formula>
    </cfRule>
    <cfRule type="cellIs" dxfId="911" priority="238" operator="equal">
      <formula>"NI"</formula>
    </cfRule>
    <cfRule type="cellIs" dxfId="910" priority="239" operator="equal">
      <formula>"ME"</formula>
    </cfRule>
  </conditionalFormatting>
  <conditionalFormatting sqref="KS6:KS34">
    <cfRule type="cellIs" dxfId="909" priority="232" operator="equal">
      <formula>"EE"</formula>
    </cfRule>
    <cfRule type="cellIs" dxfId="908" priority="233" operator="equal">
      <formula>"RF"</formula>
    </cfRule>
    <cfRule type="cellIs" dxfId="907" priority="234" operator="equal">
      <formula>"NI"</formula>
    </cfRule>
    <cfRule type="cellIs" dxfId="906" priority="235" operator="equal">
      <formula>"ME"</formula>
    </cfRule>
  </conditionalFormatting>
  <conditionalFormatting sqref="KT5:KT34">
    <cfRule type="cellIs" dxfId="905" priority="229" operator="equal">
      <formula>"Amber"</formula>
    </cfRule>
    <cfRule type="cellIs" dxfId="904" priority="230" operator="equal">
      <formula>"Green"</formula>
    </cfRule>
    <cfRule type="cellIs" dxfId="903" priority="231" operator="equal">
      <formula>"Red"</formula>
    </cfRule>
  </conditionalFormatting>
  <conditionalFormatting sqref="KV5:LD5">
    <cfRule type="cellIs" dxfId="902" priority="168" operator="equal">
      <formula>"EE"</formula>
    </cfRule>
    <cfRule type="cellIs" dxfId="901" priority="169" operator="equal">
      <formula>"RF"</formula>
    </cfRule>
    <cfRule type="cellIs" dxfId="900" priority="170" operator="equal">
      <formula>"NI"</formula>
    </cfRule>
    <cfRule type="cellIs" dxfId="899" priority="171" operator="equal">
      <formula>"ME"</formula>
    </cfRule>
  </conditionalFormatting>
  <conditionalFormatting sqref="KV6:KY34">
    <cfRule type="cellIs" dxfId="898" priority="164" operator="equal">
      <formula>"EE"</formula>
    </cfRule>
    <cfRule type="cellIs" dxfId="897" priority="165" operator="equal">
      <formula>"RF"</formula>
    </cfRule>
    <cfRule type="cellIs" dxfId="896" priority="166" operator="equal">
      <formula>"NI"</formula>
    </cfRule>
    <cfRule type="cellIs" dxfId="895" priority="167" operator="equal">
      <formula>"ME"</formula>
    </cfRule>
  </conditionalFormatting>
  <conditionalFormatting sqref="KZ6:LC34">
    <cfRule type="cellIs" dxfId="894" priority="160" operator="equal">
      <formula>"EE"</formula>
    </cfRule>
    <cfRule type="cellIs" dxfId="893" priority="161" operator="equal">
      <formula>"RF"</formula>
    </cfRule>
    <cfRule type="cellIs" dxfId="892" priority="162" operator="equal">
      <formula>"NI"</formula>
    </cfRule>
    <cfRule type="cellIs" dxfId="891" priority="163" operator="equal">
      <formula>"ME"</formula>
    </cfRule>
  </conditionalFormatting>
  <conditionalFormatting sqref="LD6:LD34">
    <cfRule type="cellIs" dxfId="890" priority="156" operator="equal">
      <formula>"EE"</formula>
    </cfRule>
    <cfRule type="cellIs" dxfId="889" priority="157" operator="equal">
      <formula>"RF"</formula>
    </cfRule>
    <cfRule type="cellIs" dxfId="888" priority="158" operator="equal">
      <formula>"NI"</formula>
    </cfRule>
    <cfRule type="cellIs" dxfId="887" priority="159" operator="equal">
      <formula>"ME"</formula>
    </cfRule>
  </conditionalFormatting>
  <conditionalFormatting sqref="LE5:LE34">
    <cfRule type="cellIs" dxfId="886" priority="153" operator="equal">
      <formula>"Amber"</formula>
    </cfRule>
    <cfRule type="cellIs" dxfId="885" priority="154" operator="equal">
      <formula>"Green"</formula>
    </cfRule>
    <cfRule type="cellIs" dxfId="884" priority="155" operator="equal">
      <formula>"Red"</formula>
    </cfRule>
  </conditionalFormatting>
  <conditionalFormatting sqref="LG5:LO5">
    <cfRule type="cellIs" dxfId="883" priority="149" operator="equal">
      <formula>"EE"</formula>
    </cfRule>
    <cfRule type="cellIs" dxfId="882" priority="150" operator="equal">
      <formula>"RF"</formula>
    </cfRule>
    <cfRule type="cellIs" dxfId="881" priority="151" operator="equal">
      <formula>"NI"</formula>
    </cfRule>
    <cfRule type="cellIs" dxfId="880" priority="152" operator="equal">
      <formula>"ME"</formula>
    </cfRule>
  </conditionalFormatting>
  <conditionalFormatting sqref="LG6:LJ34">
    <cfRule type="cellIs" dxfId="879" priority="145" operator="equal">
      <formula>"EE"</formula>
    </cfRule>
    <cfRule type="cellIs" dxfId="878" priority="146" operator="equal">
      <formula>"RF"</formula>
    </cfRule>
    <cfRule type="cellIs" dxfId="877" priority="147" operator="equal">
      <formula>"NI"</formula>
    </cfRule>
    <cfRule type="cellIs" dxfId="876" priority="148" operator="equal">
      <formula>"ME"</formula>
    </cfRule>
  </conditionalFormatting>
  <conditionalFormatting sqref="LK6:LN34">
    <cfRule type="cellIs" dxfId="875" priority="141" operator="equal">
      <formula>"EE"</formula>
    </cfRule>
    <cfRule type="cellIs" dxfId="874" priority="142" operator="equal">
      <formula>"RF"</formula>
    </cfRule>
    <cfRule type="cellIs" dxfId="873" priority="143" operator="equal">
      <formula>"NI"</formula>
    </cfRule>
    <cfRule type="cellIs" dxfId="872" priority="144" operator="equal">
      <formula>"ME"</formula>
    </cfRule>
  </conditionalFormatting>
  <conditionalFormatting sqref="LO6:LO34">
    <cfRule type="cellIs" dxfId="871" priority="137" operator="equal">
      <formula>"EE"</formula>
    </cfRule>
    <cfRule type="cellIs" dxfId="870" priority="138" operator="equal">
      <formula>"RF"</formula>
    </cfRule>
    <cfRule type="cellIs" dxfId="869" priority="139" operator="equal">
      <formula>"NI"</formula>
    </cfRule>
    <cfRule type="cellIs" dxfId="868" priority="140" operator="equal">
      <formula>"ME"</formula>
    </cfRule>
  </conditionalFormatting>
  <conditionalFormatting sqref="LP5:LP34">
    <cfRule type="cellIs" dxfId="867" priority="134" operator="equal">
      <formula>"Amber"</formula>
    </cfRule>
    <cfRule type="cellIs" dxfId="866" priority="135" operator="equal">
      <formula>"Green"</formula>
    </cfRule>
    <cfRule type="cellIs" dxfId="865" priority="136" operator="equal">
      <formula>"Red"</formula>
    </cfRule>
  </conditionalFormatting>
  <conditionalFormatting sqref="LR5:LZ5">
    <cfRule type="cellIs" dxfId="864" priority="130" operator="equal">
      <formula>"EE"</formula>
    </cfRule>
    <cfRule type="cellIs" dxfId="863" priority="131" operator="equal">
      <formula>"RF"</formula>
    </cfRule>
    <cfRule type="cellIs" dxfId="862" priority="132" operator="equal">
      <formula>"NI"</formula>
    </cfRule>
    <cfRule type="cellIs" dxfId="861" priority="133" operator="equal">
      <formula>"ME"</formula>
    </cfRule>
  </conditionalFormatting>
  <conditionalFormatting sqref="LR6:LU34">
    <cfRule type="cellIs" dxfId="860" priority="126" operator="equal">
      <formula>"EE"</formula>
    </cfRule>
    <cfRule type="cellIs" dxfId="859" priority="127" operator="equal">
      <formula>"RF"</formula>
    </cfRule>
    <cfRule type="cellIs" dxfId="858" priority="128" operator="equal">
      <formula>"NI"</formula>
    </cfRule>
    <cfRule type="cellIs" dxfId="857" priority="129" operator="equal">
      <formula>"ME"</formula>
    </cfRule>
  </conditionalFormatting>
  <conditionalFormatting sqref="LV6:LY34">
    <cfRule type="cellIs" dxfId="856" priority="122" operator="equal">
      <formula>"EE"</formula>
    </cfRule>
    <cfRule type="cellIs" dxfId="855" priority="123" operator="equal">
      <formula>"RF"</formula>
    </cfRule>
    <cfRule type="cellIs" dxfId="854" priority="124" operator="equal">
      <formula>"NI"</formula>
    </cfRule>
    <cfRule type="cellIs" dxfId="853" priority="125" operator="equal">
      <formula>"ME"</formula>
    </cfRule>
  </conditionalFormatting>
  <conditionalFormatting sqref="LZ6:LZ34">
    <cfRule type="cellIs" dxfId="852" priority="118" operator="equal">
      <formula>"EE"</formula>
    </cfRule>
    <cfRule type="cellIs" dxfId="851" priority="119" operator="equal">
      <formula>"RF"</formula>
    </cfRule>
    <cfRule type="cellIs" dxfId="850" priority="120" operator="equal">
      <formula>"NI"</formula>
    </cfRule>
    <cfRule type="cellIs" dxfId="849" priority="121" operator="equal">
      <formula>"ME"</formula>
    </cfRule>
  </conditionalFormatting>
  <conditionalFormatting sqref="MA5:MA34">
    <cfRule type="cellIs" dxfId="848" priority="115" operator="equal">
      <formula>"Amber"</formula>
    </cfRule>
    <cfRule type="cellIs" dxfId="847" priority="116" operator="equal">
      <formula>"Green"</formula>
    </cfRule>
    <cfRule type="cellIs" dxfId="846" priority="117" operator="equal">
      <formula>"Red"</formula>
    </cfRule>
  </conditionalFormatting>
  <conditionalFormatting sqref="MC5:MK5">
    <cfRule type="cellIs" dxfId="845" priority="111" operator="equal">
      <formula>"EE"</formula>
    </cfRule>
    <cfRule type="cellIs" dxfId="844" priority="112" operator="equal">
      <formula>"RF"</formula>
    </cfRule>
    <cfRule type="cellIs" dxfId="843" priority="113" operator="equal">
      <formula>"NI"</formula>
    </cfRule>
    <cfRule type="cellIs" dxfId="842" priority="114" operator="equal">
      <formula>"ME"</formula>
    </cfRule>
  </conditionalFormatting>
  <conditionalFormatting sqref="MC6:MF34">
    <cfRule type="cellIs" dxfId="841" priority="107" operator="equal">
      <formula>"EE"</formula>
    </cfRule>
    <cfRule type="cellIs" dxfId="840" priority="108" operator="equal">
      <formula>"RF"</formula>
    </cfRule>
    <cfRule type="cellIs" dxfId="839" priority="109" operator="equal">
      <formula>"NI"</formula>
    </cfRule>
    <cfRule type="cellIs" dxfId="838" priority="110" operator="equal">
      <formula>"ME"</formula>
    </cfRule>
  </conditionalFormatting>
  <conditionalFormatting sqref="MG6:MJ34">
    <cfRule type="cellIs" dxfId="837" priority="103" operator="equal">
      <formula>"EE"</formula>
    </cfRule>
    <cfRule type="cellIs" dxfId="836" priority="104" operator="equal">
      <formula>"RF"</formula>
    </cfRule>
    <cfRule type="cellIs" dxfId="835" priority="105" operator="equal">
      <formula>"NI"</formula>
    </cfRule>
    <cfRule type="cellIs" dxfId="834" priority="106" operator="equal">
      <formula>"ME"</formula>
    </cfRule>
  </conditionalFormatting>
  <conditionalFormatting sqref="MK6:MK34">
    <cfRule type="cellIs" dxfId="833" priority="99" operator="equal">
      <formula>"EE"</formula>
    </cfRule>
    <cfRule type="cellIs" dxfId="832" priority="100" operator="equal">
      <formula>"RF"</formula>
    </cfRule>
    <cfRule type="cellIs" dxfId="831" priority="101" operator="equal">
      <formula>"NI"</formula>
    </cfRule>
    <cfRule type="cellIs" dxfId="830" priority="102" operator="equal">
      <formula>"ME"</formula>
    </cfRule>
  </conditionalFormatting>
  <conditionalFormatting sqref="ML5:ML34">
    <cfRule type="cellIs" dxfId="829" priority="96" operator="equal">
      <formula>"Amber"</formula>
    </cfRule>
    <cfRule type="cellIs" dxfId="828" priority="97" operator="equal">
      <formula>"Green"</formula>
    </cfRule>
    <cfRule type="cellIs" dxfId="827" priority="98" operator="equal">
      <formula>"Red"</formula>
    </cfRule>
  </conditionalFormatting>
  <conditionalFormatting sqref="MN5:MV5">
    <cfRule type="cellIs" dxfId="826" priority="92" operator="equal">
      <formula>"EE"</formula>
    </cfRule>
    <cfRule type="cellIs" dxfId="825" priority="93" operator="equal">
      <formula>"RF"</formula>
    </cfRule>
    <cfRule type="cellIs" dxfId="824" priority="94" operator="equal">
      <formula>"NI"</formula>
    </cfRule>
    <cfRule type="cellIs" dxfId="823" priority="95" operator="equal">
      <formula>"ME"</formula>
    </cfRule>
  </conditionalFormatting>
  <conditionalFormatting sqref="MN6:MQ34">
    <cfRule type="cellIs" dxfId="822" priority="88" operator="equal">
      <formula>"EE"</formula>
    </cfRule>
    <cfRule type="cellIs" dxfId="821" priority="89" operator="equal">
      <formula>"RF"</formula>
    </cfRule>
    <cfRule type="cellIs" dxfId="820" priority="90" operator="equal">
      <formula>"NI"</formula>
    </cfRule>
    <cfRule type="cellIs" dxfId="819" priority="91" operator="equal">
      <formula>"ME"</formula>
    </cfRule>
  </conditionalFormatting>
  <conditionalFormatting sqref="MR6:MU34">
    <cfRule type="cellIs" dxfId="818" priority="84" operator="equal">
      <formula>"EE"</formula>
    </cfRule>
    <cfRule type="cellIs" dxfId="817" priority="85" operator="equal">
      <formula>"RF"</formula>
    </cfRule>
    <cfRule type="cellIs" dxfId="816" priority="86" operator="equal">
      <formula>"NI"</formula>
    </cfRule>
    <cfRule type="cellIs" dxfId="815" priority="87" operator="equal">
      <formula>"ME"</formula>
    </cfRule>
  </conditionalFormatting>
  <conditionalFormatting sqref="MV6:MV34">
    <cfRule type="cellIs" dxfId="814" priority="80" operator="equal">
      <formula>"EE"</formula>
    </cfRule>
    <cfRule type="cellIs" dxfId="813" priority="81" operator="equal">
      <formula>"RF"</formula>
    </cfRule>
    <cfRule type="cellIs" dxfId="812" priority="82" operator="equal">
      <formula>"NI"</formula>
    </cfRule>
    <cfRule type="cellIs" dxfId="811" priority="83" operator="equal">
      <formula>"ME"</formula>
    </cfRule>
  </conditionalFormatting>
  <conditionalFormatting sqref="MW5:MW34">
    <cfRule type="cellIs" dxfId="810" priority="77" operator="equal">
      <formula>"Amber"</formula>
    </cfRule>
    <cfRule type="cellIs" dxfId="809" priority="78" operator="equal">
      <formula>"Green"</formula>
    </cfRule>
    <cfRule type="cellIs" dxfId="808" priority="79" operator="equal">
      <formula>"Red"</formula>
    </cfRule>
  </conditionalFormatting>
  <conditionalFormatting sqref="MY5:NG5">
    <cfRule type="cellIs" dxfId="807" priority="73" operator="equal">
      <formula>"EE"</formula>
    </cfRule>
    <cfRule type="cellIs" dxfId="806" priority="74" operator="equal">
      <formula>"RF"</formula>
    </cfRule>
    <cfRule type="cellIs" dxfId="805" priority="75" operator="equal">
      <formula>"NI"</formula>
    </cfRule>
    <cfRule type="cellIs" dxfId="804" priority="76" operator="equal">
      <formula>"ME"</formula>
    </cfRule>
  </conditionalFormatting>
  <conditionalFormatting sqref="MY6:NB34">
    <cfRule type="cellIs" dxfId="803" priority="69" operator="equal">
      <formula>"EE"</formula>
    </cfRule>
    <cfRule type="cellIs" dxfId="802" priority="70" operator="equal">
      <formula>"RF"</formula>
    </cfRule>
    <cfRule type="cellIs" dxfId="801" priority="71" operator="equal">
      <formula>"NI"</formula>
    </cfRule>
    <cfRule type="cellIs" dxfId="800" priority="72" operator="equal">
      <formula>"ME"</formula>
    </cfRule>
  </conditionalFormatting>
  <conditionalFormatting sqref="NC6:NF34">
    <cfRule type="cellIs" dxfId="799" priority="65" operator="equal">
      <formula>"EE"</formula>
    </cfRule>
    <cfRule type="cellIs" dxfId="798" priority="66" operator="equal">
      <formula>"RF"</formula>
    </cfRule>
    <cfRule type="cellIs" dxfId="797" priority="67" operator="equal">
      <formula>"NI"</formula>
    </cfRule>
    <cfRule type="cellIs" dxfId="796" priority="68" operator="equal">
      <formula>"ME"</formula>
    </cfRule>
  </conditionalFormatting>
  <conditionalFormatting sqref="NG6:NG34">
    <cfRule type="cellIs" dxfId="795" priority="61" operator="equal">
      <formula>"EE"</formula>
    </cfRule>
    <cfRule type="cellIs" dxfId="794" priority="62" operator="equal">
      <formula>"RF"</formula>
    </cfRule>
    <cfRule type="cellIs" dxfId="793" priority="63" operator="equal">
      <formula>"NI"</formula>
    </cfRule>
    <cfRule type="cellIs" dxfId="792" priority="64" operator="equal">
      <formula>"ME"</formula>
    </cfRule>
  </conditionalFormatting>
  <conditionalFormatting sqref="NH5:NH34">
    <cfRule type="cellIs" dxfId="791" priority="58" operator="equal">
      <formula>"Amber"</formula>
    </cfRule>
    <cfRule type="cellIs" dxfId="790" priority="59" operator="equal">
      <formula>"Green"</formula>
    </cfRule>
    <cfRule type="cellIs" dxfId="789" priority="60" operator="equal">
      <formula>"Red"</formula>
    </cfRule>
  </conditionalFormatting>
  <conditionalFormatting sqref="NJ5:NR5">
    <cfRule type="cellIs" dxfId="788" priority="54" operator="equal">
      <formula>"EE"</formula>
    </cfRule>
    <cfRule type="cellIs" dxfId="787" priority="55" operator="equal">
      <formula>"RF"</formula>
    </cfRule>
    <cfRule type="cellIs" dxfId="786" priority="56" operator="equal">
      <formula>"NI"</formula>
    </cfRule>
    <cfRule type="cellIs" dxfId="785" priority="57" operator="equal">
      <formula>"ME"</formula>
    </cfRule>
  </conditionalFormatting>
  <conditionalFormatting sqref="NJ6:NM34">
    <cfRule type="cellIs" dxfId="784" priority="50" operator="equal">
      <formula>"EE"</formula>
    </cfRule>
    <cfRule type="cellIs" dxfId="783" priority="51" operator="equal">
      <formula>"RF"</formula>
    </cfRule>
    <cfRule type="cellIs" dxfId="782" priority="52" operator="equal">
      <formula>"NI"</formula>
    </cfRule>
    <cfRule type="cellIs" dxfId="781" priority="53" operator="equal">
      <formula>"ME"</formula>
    </cfRule>
  </conditionalFormatting>
  <conditionalFormatting sqref="NN6:NQ34">
    <cfRule type="cellIs" dxfId="780" priority="46" operator="equal">
      <formula>"EE"</formula>
    </cfRule>
    <cfRule type="cellIs" dxfId="779" priority="47" operator="equal">
      <formula>"RF"</formula>
    </cfRule>
    <cfRule type="cellIs" dxfId="778" priority="48" operator="equal">
      <formula>"NI"</formula>
    </cfRule>
    <cfRule type="cellIs" dxfId="777" priority="49" operator="equal">
      <formula>"ME"</formula>
    </cfRule>
  </conditionalFormatting>
  <conditionalFormatting sqref="NR6:NR34">
    <cfRule type="cellIs" dxfId="776" priority="42" operator="equal">
      <formula>"EE"</formula>
    </cfRule>
    <cfRule type="cellIs" dxfId="775" priority="43" operator="equal">
      <formula>"RF"</formula>
    </cfRule>
    <cfRule type="cellIs" dxfId="774" priority="44" operator="equal">
      <formula>"NI"</formula>
    </cfRule>
    <cfRule type="cellIs" dxfId="773" priority="45" operator="equal">
      <formula>"ME"</formula>
    </cfRule>
  </conditionalFormatting>
  <conditionalFormatting sqref="NS5:NS34">
    <cfRule type="cellIs" dxfId="772" priority="39" operator="equal">
      <formula>"Amber"</formula>
    </cfRule>
    <cfRule type="cellIs" dxfId="771" priority="40" operator="equal">
      <formula>"Green"</formula>
    </cfRule>
    <cfRule type="cellIs" dxfId="770" priority="41" operator="equal">
      <formula>"Red"</formula>
    </cfRule>
  </conditionalFormatting>
  <conditionalFormatting sqref="NU5:OC5">
    <cfRule type="cellIs" dxfId="769" priority="35" operator="equal">
      <formula>"EE"</formula>
    </cfRule>
    <cfRule type="cellIs" dxfId="768" priority="36" operator="equal">
      <formula>"RF"</formula>
    </cfRule>
    <cfRule type="cellIs" dxfId="767" priority="37" operator="equal">
      <formula>"NI"</formula>
    </cfRule>
    <cfRule type="cellIs" dxfId="766" priority="38" operator="equal">
      <formula>"ME"</formula>
    </cfRule>
  </conditionalFormatting>
  <conditionalFormatting sqref="NU6:NX34">
    <cfRule type="cellIs" dxfId="765" priority="31" operator="equal">
      <formula>"EE"</formula>
    </cfRule>
    <cfRule type="cellIs" dxfId="764" priority="32" operator="equal">
      <formula>"RF"</formula>
    </cfRule>
    <cfRule type="cellIs" dxfId="763" priority="33" operator="equal">
      <formula>"NI"</formula>
    </cfRule>
    <cfRule type="cellIs" dxfId="762" priority="34" operator="equal">
      <formula>"ME"</formula>
    </cfRule>
  </conditionalFormatting>
  <conditionalFormatting sqref="NY6:OB34">
    <cfRule type="cellIs" dxfId="761" priority="27" operator="equal">
      <formula>"EE"</formula>
    </cfRule>
    <cfRule type="cellIs" dxfId="760" priority="28" operator="equal">
      <formula>"RF"</formula>
    </cfRule>
    <cfRule type="cellIs" dxfId="759" priority="29" operator="equal">
      <formula>"NI"</formula>
    </cfRule>
    <cfRule type="cellIs" dxfId="758" priority="30" operator="equal">
      <formula>"ME"</formula>
    </cfRule>
  </conditionalFormatting>
  <conditionalFormatting sqref="OC6:OC34">
    <cfRule type="cellIs" dxfId="757" priority="23" operator="equal">
      <formula>"EE"</formula>
    </cfRule>
    <cfRule type="cellIs" dxfId="756" priority="24" operator="equal">
      <formula>"RF"</formula>
    </cfRule>
    <cfRule type="cellIs" dxfId="755" priority="25" operator="equal">
      <formula>"NI"</formula>
    </cfRule>
    <cfRule type="cellIs" dxfId="754" priority="26" operator="equal">
      <formula>"ME"</formula>
    </cfRule>
  </conditionalFormatting>
  <conditionalFormatting sqref="OD5:OD34">
    <cfRule type="cellIs" dxfId="753" priority="20" operator="equal">
      <formula>"Amber"</formula>
    </cfRule>
    <cfRule type="cellIs" dxfId="752" priority="21" operator="equal">
      <formula>"Green"</formula>
    </cfRule>
    <cfRule type="cellIs" dxfId="751" priority="22" operator="equal">
      <formula>"Red"</formula>
    </cfRule>
  </conditionalFormatting>
  <conditionalFormatting sqref="OF5:ON5">
    <cfRule type="cellIs" dxfId="750" priority="16" operator="equal">
      <formula>"EE"</formula>
    </cfRule>
    <cfRule type="cellIs" dxfId="749" priority="17" operator="equal">
      <formula>"RF"</formula>
    </cfRule>
    <cfRule type="cellIs" dxfId="748" priority="18" operator="equal">
      <formula>"NI"</formula>
    </cfRule>
    <cfRule type="cellIs" dxfId="747" priority="19" operator="equal">
      <formula>"ME"</formula>
    </cfRule>
  </conditionalFormatting>
  <conditionalFormatting sqref="OF6:OI34">
    <cfRule type="cellIs" dxfId="746" priority="12" operator="equal">
      <formula>"EE"</formula>
    </cfRule>
    <cfRule type="cellIs" dxfId="745" priority="13" operator="equal">
      <formula>"RF"</formula>
    </cfRule>
    <cfRule type="cellIs" dxfId="744" priority="14" operator="equal">
      <formula>"NI"</formula>
    </cfRule>
    <cfRule type="cellIs" dxfId="743" priority="15" operator="equal">
      <formula>"ME"</formula>
    </cfRule>
  </conditionalFormatting>
  <conditionalFormatting sqref="OJ6:OM34">
    <cfRule type="cellIs" dxfId="742" priority="8" operator="equal">
      <formula>"EE"</formula>
    </cfRule>
    <cfRule type="cellIs" dxfId="741" priority="9" operator="equal">
      <formula>"RF"</formula>
    </cfRule>
    <cfRule type="cellIs" dxfId="740" priority="10" operator="equal">
      <formula>"NI"</formula>
    </cfRule>
    <cfRule type="cellIs" dxfId="739" priority="11" operator="equal">
      <formula>"ME"</formula>
    </cfRule>
  </conditionalFormatting>
  <conditionalFormatting sqref="ON6:ON34">
    <cfRule type="cellIs" dxfId="738" priority="4" operator="equal">
      <formula>"EE"</formula>
    </cfRule>
    <cfRule type="cellIs" dxfId="737" priority="5" operator="equal">
      <formula>"RF"</formula>
    </cfRule>
    <cfRule type="cellIs" dxfId="736" priority="6" operator="equal">
      <formula>"NI"</formula>
    </cfRule>
    <cfRule type="cellIs" dxfId="735" priority="7" operator="equal">
      <formula>"ME"</formula>
    </cfRule>
  </conditionalFormatting>
  <conditionalFormatting sqref="OO5:OO34">
    <cfRule type="cellIs" dxfId="734" priority="1" operator="equal">
      <formula>"Amber"</formula>
    </cfRule>
    <cfRule type="cellIs" dxfId="733" priority="2" operator="equal">
      <formula>"Green"</formula>
    </cfRule>
    <cfRule type="cellIs" dxfId="732" priority="3" operator="equal">
      <formula>"Red"</formula>
    </cfRule>
  </conditionalFormatting>
  <dataValidations count="2">
    <dataValidation type="list" allowBlank="1" showInputMessage="1" showErrorMessage="1" sqref="AR5:AU34 B5:E34 AL5:AO34 AF5:AI34 Z5:AC34 T5:W34 N5:Q34 OF5:ON34 AX5:BA34 BD5:BG34 BJ5:BM34 BP5:BS34 BV5:BY34 CB5:CE34 CH5:CK34 CN5:CQ34 CT5:CW34 CZ5:DC34 DF5:DI34 DL5:DO34 DR5:DU34 DX5:EA34 ED5:EL34 EO5:EW34 EZ5:FH34 FK5:FS34 FV5:GD34 GG5:GK34 GN5:GR34 GU5:GY34 HB5:HF34 HI5:HM34 HP5:HT34 HW5:IE34 IH5:IP34 IS5:JA34 JD5:JL34 JO5:JW34 JZ5:KH34 KK5:KS34 KV5:LD34 LG5:LO34 LR5:LZ34 MC5:MK34 MN5:MV34 MY5:NG34 NJ5:NR34 NU5:OC34 H5:K34" xr:uid="{49B7047C-4207-4881-BB90-F02019643C52}">
      <formula1>$B$37:$E$37</formula1>
    </dataValidation>
    <dataValidation type="list" allowBlank="1" showInputMessage="1" showErrorMessage="1" sqref="AV5:AV34 F5:F34 AP5:AP34 AJ5:AJ34 AD5:AD34 X5:X34 R5:R34 L5:L34 BB5:BB34 BH5:BH34 BN5:BN34 BT5:BT34 BZ5:BZ34 CF5:CF34 CL5:CL34 CR5:CR34 CX5:CX34 DD5:DD34 DJ5:DJ34 DP5:DP34 DV5:DV34 EB5:EB34 EM5:EM34 EX5:EX34 FI5:FI34 FT5:FT34 GE5:GE34 GL5:GL34 GS5:GS34 GZ5:GZ34 HG5:HG34 HN5:HN34 HU5:HU34 IF5:IF34 IQ5:IQ34 JB5:JB34 JM5:JM34 JX5:JX34 KI5:KI34 KT5:KT34 LE5:LE34 LP5:LP34 MA5:MA34 ML5:ML34 MW5:MW34 NH5:NH34 NS5:NS34 OD5:OD34 OO5:OO34" xr:uid="{C4525E1F-79E4-4605-912C-8B117B7E424E}">
      <formula1>$F$37:$F$39</formula1>
    </dataValidation>
  </dataValidations>
  <hyperlinks>
    <hyperlink ref="G1" r:id="rId1" xr:uid="{F85CB20B-10B6-4F71-88EA-B946463686FD}"/>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AF66"/>
  <sheetViews>
    <sheetView topLeftCell="R1" zoomScaleNormal="100" workbookViewId="0">
      <selection activeCell="AF1" sqref="AF1:AF1048576"/>
    </sheetView>
  </sheetViews>
  <sheetFormatPr defaultColWidth="9.140625" defaultRowHeight="15" customHeight="1"/>
  <cols>
    <col min="1" max="1" width="13" style="46" customWidth="1"/>
    <col min="2" max="2" width="7.85546875" customWidth="1"/>
    <col min="3" max="3" width="6.5703125" customWidth="1"/>
    <col min="4" max="5" width="6" style="45" bestFit="1" customWidth="1"/>
    <col min="6" max="14" width="6" style="45" customWidth="1"/>
    <col min="15" max="18" width="6.85546875" customWidth="1"/>
    <col min="19" max="21" width="6.28515625" customWidth="1"/>
    <col min="22" max="27" width="6.140625" customWidth="1"/>
    <col min="28" max="31" width="22.28515625" style="323" customWidth="1"/>
    <col min="32" max="32" width="59.28515625" style="323" customWidth="1"/>
    <col min="33" max="16384" width="9.140625" style="323"/>
  </cols>
  <sheetData>
    <row r="1" spans="1:32">
      <c r="A1" s="325" t="s">
        <v>90</v>
      </c>
      <c r="G1" s="45" t="s">
        <v>556</v>
      </c>
      <c r="I1" s="957" t="e">
        <f>'Class Summary'!#REF!</f>
        <v>#REF!</v>
      </c>
      <c r="J1" s="957"/>
    </row>
    <row r="2" spans="1:32">
      <c r="A2" s="325"/>
    </row>
    <row r="3" spans="1:32" ht="15" customHeight="1">
      <c r="A3" s="961" t="s">
        <v>557</v>
      </c>
      <c r="B3" s="89" t="s">
        <v>558</v>
      </c>
      <c r="C3" s="963" t="s">
        <v>559</v>
      </c>
      <c r="D3" s="963"/>
      <c r="E3" s="963"/>
      <c r="F3" s="963"/>
      <c r="G3" s="963"/>
      <c r="H3" s="963"/>
      <c r="I3" s="963"/>
      <c r="J3" s="963"/>
      <c r="K3" s="963"/>
      <c r="L3" s="963"/>
      <c r="M3" s="963"/>
      <c r="N3" s="963"/>
      <c r="O3" s="964"/>
      <c r="P3" s="970" t="s">
        <v>560</v>
      </c>
      <c r="Q3" s="971"/>
      <c r="R3" s="971"/>
      <c r="S3" s="965" t="s">
        <v>25</v>
      </c>
      <c r="T3" s="965"/>
      <c r="U3" s="966"/>
      <c r="V3" s="967" t="s">
        <v>561</v>
      </c>
      <c r="W3" s="968"/>
      <c r="X3" s="968"/>
      <c r="Y3" s="968"/>
      <c r="Z3" s="968"/>
      <c r="AA3" s="969"/>
      <c r="AB3" s="958" t="s">
        <v>332</v>
      </c>
      <c r="AC3" s="958" t="s">
        <v>562</v>
      </c>
      <c r="AD3" s="958" t="s">
        <v>563</v>
      </c>
      <c r="AE3" s="958" t="s">
        <v>564</v>
      </c>
      <c r="AF3" s="955" t="s">
        <v>565</v>
      </c>
    </row>
    <row r="4" spans="1:32" ht="23.25">
      <c r="A4" s="962"/>
      <c r="B4" s="326" t="s">
        <v>566</v>
      </c>
      <c r="C4" s="194" t="s">
        <v>567</v>
      </c>
      <c r="D4" s="127" t="s">
        <v>568</v>
      </c>
      <c r="E4" s="127" t="s">
        <v>569</v>
      </c>
      <c r="F4" s="127" t="s">
        <v>570</v>
      </c>
      <c r="G4" s="127" t="s">
        <v>571</v>
      </c>
      <c r="H4" s="127" t="s">
        <v>572</v>
      </c>
      <c r="I4" s="127" t="s">
        <v>573</v>
      </c>
      <c r="J4" s="127" t="s">
        <v>574</v>
      </c>
      <c r="K4" s="127" t="s">
        <v>575</v>
      </c>
      <c r="L4" s="127" t="s">
        <v>576</v>
      </c>
      <c r="M4" s="127" t="s">
        <v>577</v>
      </c>
      <c r="N4" s="127" t="s">
        <v>578</v>
      </c>
      <c r="O4" s="129" t="s">
        <v>579</v>
      </c>
      <c r="P4" s="376" t="s">
        <v>580</v>
      </c>
      <c r="Q4" s="376" t="s">
        <v>581</v>
      </c>
      <c r="R4" s="376" t="s">
        <v>582</v>
      </c>
      <c r="S4" s="145" t="s">
        <v>170</v>
      </c>
      <c r="T4" s="146" t="s">
        <v>171</v>
      </c>
      <c r="U4" s="147" t="s">
        <v>172</v>
      </c>
      <c r="V4" s="327" t="s">
        <v>583</v>
      </c>
      <c r="W4" s="328" t="s">
        <v>584</v>
      </c>
      <c r="X4" s="328" t="s">
        <v>585</v>
      </c>
      <c r="Y4" s="328" t="s">
        <v>172</v>
      </c>
      <c r="Z4" s="328" t="s">
        <v>586</v>
      </c>
      <c r="AA4" s="329" t="s">
        <v>587</v>
      </c>
      <c r="AB4" s="959"/>
      <c r="AC4" s="959"/>
      <c r="AD4" s="959"/>
      <c r="AE4" s="959"/>
      <c r="AF4" s="956"/>
    </row>
    <row r="5" spans="1:32">
      <c r="A5" s="191" t="str">
        <f>'Student Data'!D5&amp;" "&amp;'Student Data'!C5</f>
        <v>Donna Rnne</v>
      </c>
      <c r="B5" s="330" t="str">
        <f>Performance!AJ5</f>
        <v>0</v>
      </c>
      <c r="C5" s="300" t="str">
        <f>IF('PCB Nesting QA'!D5="","",'PCB Nesting QA'!D5)</f>
        <v/>
      </c>
      <c r="D5" s="300" t="str">
        <f>IF('PCB Nesting QA'!E5="","",'PCB Nesting QA'!E5)</f>
        <v/>
      </c>
      <c r="E5" s="300" t="str">
        <f>IF('PCB Nesting QA'!F5="","",'PCB Nesting QA'!F5)</f>
        <v/>
      </c>
      <c r="F5" s="300" t="str">
        <f>IF('PCB Nesting QA'!G5="","",'PCB Nesting QA'!G5)</f>
        <v/>
      </c>
      <c r="G5" s="300" t="str">
        <f>IF('PCB Nesting QA'!H5="","",'PCB Nesting QA'!H5)</f>
        <v/>
      </c>
      <c r="H5" s="300" t="str">
        <f>IF('PCB Nesting QA'!I5="","",'PCB Nesting QA'!I5)</f>
        <v/>
      </c>
      <c r="I5" s="300" t="str">
        <f>IF('PCB Nesting QA'!J5="","",'PCB Nesting QA'!J5)</f>
        <v/>
      </c>
      <c r="J5" s="300" t="str">
        <f>IF('PCB Nesting QA'!K5="","",'PCB Nesting QA'!K5)</f>
        <v/>
      </c>
      <c r="K5" s="300" t="str">
        <f>IF('PCB Nesting QA'!L5="","",'PCB Nesting QA'!L5)</f>
        <v/>
      </c>
      <c r="L5" s="300" t="str">
        <f>IF('PCB Nesting QA'!M5="","",'PCB Nesting QA'!M5)</f>
        <v/>
      </c>
      <c r="M5" s="300" t="str">
        <f>IF('PCB Nesting QA'!N5="","",'PCB Nesting QA'!N5)</f>
        <v/>
      </c>
      <c r="N5" s="300" t="str">
        <f>IF('PCB Nesting QA'!O5="","",'PCB Nesting QA'!O5)</f>
        <v/>
      </c>
      <c r="O5" s="142" t="e">
        <f>'PCB Nesting QA'!P5</f>
        <v>#DIV/0!</v>
      </c>
      <c r="P5" s="535">
        <f>'PCB Nesting QA'!U5</f>
        <v>0</v>
      </c>
      <c r="Q5" s="377">
        <f>'PCB Nesting QA'!T5</f>
        <v>0</v>
      </c>
      <c r="R5" s="377" t="e">
        <f>'PCB Nesting QA'!S5</f>
        <v>#REF!</v>
      </c>
      <c r="S5" s="136">
        <f>IF('Student Data'!D5="","",Attendance!BO21)</f>
        <v>0</v>
      </c>
      <c r="T5" s="137">
        <f>IF('Student Data'!D5="","",Attendance!BP21)</f>
        <v>0</v>
      </c>
      <c r="U5" s="138">
        <f>IF('Student Data'!D5="","",Attendance!BQ21)</f>
        <v>0</v>
      </c>
      <c r="V5" s="331" t="str">
        <f>IF('Perf. Mgmnt'!F13&gt;0,"S4",IF('Perf. Mgmnt'!E13&gt;0,"S3",IF('Perf. Mgmnt'!D13&gt;0,"S2",IF('Perf. Mgmnt'!B13&gt;0,"S1",""))))</f>
        <v>S1</v>
      </c>
      <c r="W5" s="86" t="str">
        <f>IF('Perf. Mgmnt'!AA13&gt;0,"FW",IF('Perf. Mgmnt'!Z13&gt;0,"2W",IF('Perf. Mgmnt'!Y13&gt;0,"1W",IF('Perf. Mgmnt'!X13&gt;0,"VW",""))))</f>
        <v/>
      </c>
      <c r="X5" s="86" t="str">
        <f>IF('Perf. Mgmnt'!K13&gt;0,"FW",IF('Perf. Mgmnt'!J13&gt;0,"2W",IF('Perf. Mgmnt'!I13&gt;0,"1W",IF('Perf. Mgmnt'!H13&gt;0,"VW",""))))</f>
        <v>VW</v>
      </c>
      <c r="Y5" s="86" t="str">
        <f>IF('Perf. Mgmnt'!M13&gt;0,"FW","")</f>
        <v>FW</v>
      </c>
      <c r="Z5" s="86" t="str">
        <f>IF('Perf. Mgmnt'!N13&gt;0,"FW","")</f>
        <v/>
      </c>
      <c r="AA5" s="332" t="str">
        <f>IF('Perf. Mgmnt'!S13&gt;0,"FW",IF('Perf. Mgmnt'!Q13&gt;0,"2W",IF('Perf. Mgmnt'!P13&gt;0,"1W",IF('Perf. Mgmnt'!O13&gt;0,"VW",""))))</f>
        <v>1W</v>
      </c>
      <c r="AB5" s="690" t="s">
        <v>588</v>
      </c>
      <c r="AC5" s="690"/>
      <c r="AD5" s="690"/>
      <c r="AE5" s="87"/>
      <c r="AF5" s="88"/>
    </row>
    <row r="6" spans="1:32" ht="18.75" customHeight="1">
      <c r="A6" s="192" t="str">
        <f>'Student Data'!D6&amp;" "&amp;'Student Data'!C6</f>
        <v xml:space="preserve">Summer Aquino </v>
      </c>
      <c r="B6" s="333" t="str">
        <f>Performance!AJ6</f>
        <v>0</v>
      </c>
      <c r="C6" s="300" t="str">
        <f>IF('PCB Nesting QA'!D6="","",'PCB Nesting QA'!D6)</f>
        <v/>
      </c>
      <c r="D6" s="300" t="str">
        <f>IF('PCB Nesting QA'!E6="","",'PCB Nesting QA'!E6)</f>
        <v/>
      </c>
      <c r="E6" s="300" t="str">
        <f>IF('PCB Nesting QA'!F6="","",'PCB Nesting QA'!F6)</f>
        <v/>
      </c>
      <c r="F6" s="300" t="str">
        <f>IF('PCB Nesting QA'!G6="","",'PCB Nesting QA'!G6)</f>
        <v/>
      </c>
      <c r="G6" s="300" t="str">
        <f>IF('PCB Nesting QA'!H6="","",'PCB Nesting QA'!H6)</f>
        <v/>
      </c>
      <c r="H6" s="300" t="str">
        <f>IF('PCB Nesting QA'!I6="","",'PCB Nesting QA'!I6)</f>
        <v/>
      </c>
      <c r="I6" s="300" t="str">
        <f>IF('PCB Nesting QA'!J6="","",'PCB Nesting QA'!J6)</f>
        <v/>
      </c>
      <c r="J6" s="300" t="str">
        <f>IF('PCB Nesting QA'!K6="","",'PCB Nesting QA'!K6)</f>
        <v/>
      </c>
      <c r="K6" s="300" t="str">
        <f>IF('PCB Nesting QA'!L6="","",'PCB Nesting QA'!L6)</f>
        <v/>
      </c>
      <c r="L6" s="300" t="str">
        <f>IF('PCB Nesting QA'!M6="","",'PCB Nesting QA'!M6)</f>
        <v/>
      </c>
      <c r="M6" s="300" t="str">
        <f>IF('PCB Nesting QA'!N6="","",'PCB Nesting QA'!N6)</f>
        <v/>
      </c>
      <c r="N6" s="300" t="str">
        <f>IF('PCB Nesting QA'!O6="","",'PCB Nesting QA'!O6)</f>
        <v/>
      </c>
      <c r="O6" s="143" t="e">
        <f>'PCB Nesting QA'!P6</f>
        <v>#DIV/0!</v>
      </c>
      <c r="P6" s="535">
        <f>'PCB Nesting QA'!U6</f>
        <v>0</v>
      </c>
      <c r="Q6" s="377">
        <f>'PCB Nesting QA'!T6</f>
        <v>0</v>
      </c>
      <c r="R6" s="377" t="e">
        <f>'PCB Nesting QA'!S6</f>
        <v>#REF!</v>
      </c>
      <c r="S6" s="148">
        <f>IF('Student Data'!D6="","",Attendance!BO22)</f>
        <v>0</v>
      </c>
      <c r="T6" s="49">
        <f>IF('Student Data'!D6="","",Attendance!BP22)</f>
        <v>2</v>
      </c>
      <c r="U6" s="73">
        <f>IF('Student Data'!D6="","",Attendance!BQ22)</f>
        <v>0</v>
      </c>
      <c r="V6" s="331" t="str">
        <f>IF('Perf. Mgmnt'!F19&gt;0,"S4",IF('Perf. Mgmnt'!E19&gt;0,"S3",IF('Perf. Mgmnt'!D19&gt;0,"S2",IF('Perf. Mgmnt'!B19&gt;0,"S1",""))))</f>
        <v/>
      </c>
      <c r="W6" s="86" t="str">
        <f>IF('Perf. Mgmnt'!AA19&gt;0,"FW",IF('Perf. Mgmnt'!Z19&gt;0,"2W",IF('Perf. Mgmnt'!Y19&gt;0,"1W",IF('Perf. Mgmnt'!X19&gt;0,"VW",""))))</f>
        <v/>
      </c>
      <c r="X6" s="86" t="str">
        <f>IF('Perf. Mgmnt'!K19&gt;0,"FW",IF('Perf. Mgmnt'!J19&gt;0,"2W",IF('Perf. Mgmnt'!I19&gt;0,"1W",IF('Perf. Mgmnt'!H19&gt;0,"VW",""))))</f>
        <v/>
      </c>
      <c r="Y6" s="86" t="str">
        <f>IF('Perf. Mgmnt'!M19&gt;0,"FW","")</f>
        <v/>
      </c>
      <c r="Z6" s="86" t="str">
        <f>IF('Perf. Mgmnt'!N19&gt;0,"FW","")</f>
        <v/>
      </c>
      <c r="AA6" s="332" t="str">
        <f>IF('Perf. Mgmnt'!S19&gt;0,"FW",IF('Perf. Mgmnt'!Q19&gt;0,"2W",IF('Perf. Mgmnt'!P19&gt;0,"1W",IF('Perf. Mgmnt'!O19&gt;0,"VW",""))))</f>
        <v/>
      </c>
      <c r="AB6" s="690" t="s">
        <v>589</v>
      </c>
      <c r="AC6" s="690"/>
      <c r="AD6" s="690"/>
      <c r="AE6" s="81"/>
      <c r="AF6" s="84"/>
    </row>
    <row r="7" spans="1:32">
      <c r="A7" s="192" t="str">
        <f>'Student Data'!D7&amp;" "&amp;'Student Data'!C7</f>
        <v xml:space="preserve">Joana Reyes </v>
      </c>
      <c r="B7" s="333" t="str">
        <f>Performance!AJ7</f>
        <v>0</v>
      </c>
      <c r="C7" s="300" t="str">
        <f>IF('PCB Nesting QA'!D7="","",'PCB Nesting QA'!D7)</f>
        <v/>
      </c>
      <c r="D7" s="300" t="str">
        <f>IF('PCB Nesting QA'!E7="","",'PCB Nesting QA'!E7)</f>
        <v/>
      </c>
      <c r="E7" s="300" t="str">
        <f>IF('PCB Nesting QA'!F7="","",'PCB Nesting QA'!F7)</f>
        <v/>
      </c>
      <c r="F7" s="300" t="str">
        <f>IF('PCB Nesting QA'!G7="","",'PCB Nesting QA'!G7)</f>
        <v/>
      </c>
      <c r="G7" s="300" t="str">
        <f>IF('PCB Nesting QA'!H7="","",'PCB Nesting QA'!H7)</f>
        <v/>
      </c>
      <c r="H7" s="300" t="str">
        <f>IF('PCB Nesting QA'!I7="","",'PCB Nesting QA'!I7)</f>
        <v/>
      </c>
      <c r="I7" s="300" t="str">
        <f>IF('PCB Nesting QA'!J7="","",'PCB Nesting QA'!J7)</f>
        <v/>
      </c>
      <c r="J7" s="300" t="str">
        <f>IF('PCB Nesting QA'!K7="","",'PCB Nesting QA'!K7)</f>
        <v/>
      </c>
      <c r="K7" s="300" t="str">
        <f>IF('PCB Nesting QA'!L7="","",'PCB Nesting QA'!L7)</f>
        <v/>
      </c>
      <c r="L7" s="300" t="str">
        <f>IF('PCB Nesting QA'!M7="","",'PCB Nesting QA'!M7)</f>
        <v/>
      </c>
      <c r="M7" s="300" t="str">
        <f>IF('PCB Nesting QA'!N7="","",'PCB Nesting QA'!N7)</f>
        <v/>
      </c>
      <c r="N7" s="300" t="str">
        <f>IF('PCB Nesting QA'!O7="","",'PCB Nesting QA'!O7)</f>
        <v/>
      </c>
      <c r="O7" s="143" t="e">
        <f>'PCB Nesting QA'!P7</f>
        <v>#DIV/0!</v>
      </c>
      <c r="P7" s="535">
        <f>'PCB Nesting QA'!U7</f>
        <v>0</v>
      </c>
      <c r="Q7" s="377">
        <f>'PCB Nesting QA'!T7</f>
        <v>0</v>
      </c>
      <c r="R7" s="377" t="e">
        <f>'PCB Nesting QA'!S7</f>
        <v>#REF!</v>
      </c>
      <c r="S7" s="148">
        <f>IF('Student Data'!D7="","",Attendance!BO23)</f>
        <v>1</v>
      </c>
      <c r="T7" s="49">
        <f>IF('Student Data'!D7="","",Attendance!BP23)</f>
        <v>0</v>
      </c>
      <c r="U7" s="73">
        <f>IF('Student Data'!D7="","",Attendance!BQ23)</f>
        <v>0</v>
      </c>
      <c r="V7" s="331" t="str">
        <f>IF('Perf. Mgmnt'!F25&gt;0,"S4",IF('Perf. Mgmnt'!E25&gt;0,"S3",IF('Perf. Mgmnt'!D25&gt;0,"S2",IF('Perf. Mgmnt'!B25&gt;0,"S1",""))))</f>
        <v/>
      </c>
      <c r="W7" s="86" t="str">
        <f>IF('Perf. Mgmnt'!AA25&gt;0,"FW",IF('Perf. Mgmnt'!Z25&gt;0,"2W",IF('Perf. Mgmnt'!Y25&gt;0,"1W",IF('Perf. Mgmnt'!X25&gt;0,"VW",""))))</f>
        <v/>
      </c>
      <c r="X7" s="86" t="str">
        <f>IF('Perf. Mgmnt'!K15&gt;0,"FW",IF('Perf. Mgmnt'!J15&gt;0,"2W",IF('Perf. Mgmnt'!I15&gt;0,"1W",IF('Perf. Mgmnt'!H15&gt;0,"VW",""))))</f>
        <v/>
      </c>
      <c r="Y7" s="86" t="str">
        <f>IF('Perf. Mgmnt'!M15&gt;0,"FW","")</f>
        <v/>
      </c>
      <c r="Z7" s="86" t="str">
        <f>IF('Perf. Mgmnt'!N15&gt;0,"FW","")</f>
        <v/>
      </c>
      <c r="AA7" s="332" t="str">
        <f>IF('Perf. Mgmnt'!S15&gt;0,"FW",IF('Perf. Mgmnt'!Q15&gt;0,"2W",IF('Perf. Mgmnt'!P15&gt;0,"1W",IF('Perf. Mgmnt'!O15&gt;0,"VW",""))))</f>
        <v/>
      </c>
      <c r="AB7" s="690" t="s">
        <v>590</v>
      </c>
      <c r="AC7" s="690"/>
      <c r="AD7" s="690"/>
      <c r="AE7" s="81"/>
      <c r="AF7" s="84"/>
    </row>
    <row r="8" spans="1:32">
      <c r="A8" s="192" t="str">
        <f>'Student Data'!D8&amp;" "&amp;'Student Data'!C8</f>
        <v>Quezon Manuel</v>
      </c>
      <c r="B8" s="333">
        <f>Performance!AJ8</f>
        <v>0</v>
      </c>
      <c r="C8" s="300" t="str">
        <f>IF('PCB Nesting QA'!D8="","",'PCB Nesting QA'!D8)</f>
        <v/>
      </c>
      <c r="D8" s="300" t="str">
        <f>IF('PCB Nesting QA'!E8="","",'PCB Nesting QA'!E8)</f>
        <v/>
      </c>
      <c r="E8" s="300" t="str">
        <f>IF('PCB Nesting QA'!F8="","",'PCB Nesting QA'!F8)</f>
        <v/>
      </c>
      <c r="F8" s="300" t="str">
        <f>IF('PCB Nesting QA'!G8="","",'PCB Nesting QA'!G8)</f>
        <v/>
      </c>
      <c r="G8" s="300" t="str">
        <f>IF('PCB Nesting QA'!H8="","",'PCB Nesting QA'!H8)</f>
        <v/>
      </c>
      <c r="H8" s="300" t="str">
        <f>IF('PCB Nesting QA'!I8="","",'PCB Nesting QA'!I8)</f>
        <v/>
      </c>
      <c r="I8" s="300" t="str">
        <f>IF('PCB Nesting QA'!J8="","",'PCB Nesting QA'!J8)</f>
        <v/>
      </c>
      <c r="J8" s="300" t="str">
        <f>IF('PCB Nesting QA'!K8="","",'PCB Nesting QA'!K8)</f>
        <v/>
      </c>
      <c r="K8" s="300" t="str">
        <f>IF('PCB Nesting QA'!L8="","",'PCB Nesting QA'!L8)</f>
        <v/>
      </c>
      <c r="L8" s="300" t="str">
        <f>IF('PCB Nesting QA'!M8="","",'PCB Nesting QA'!M8)</f>
        <v/>
      </c>
      <c r="M8" s="300" t="str">
        <f>IF('PCB Nesting QA'!N8="","",'PCB Nesting QA'!N8)</f>
        <v/>
      </c>
      <c r="N8" s="300" t="str">
        <f>IF('PCB Nesting QA'!O8="","",'PCB Nesting QA'!O8)</f>
        <v/>
      </c>
      <c r="O8" s="143" t="e">
        <f>'PCB Nesting QA'!P8</f>
        <v>#DIV/0!</v>
      </c>
      <c r="P8" s="535">
        <f>'PCB Nesting QA'!U8</f>
        <v>0</v>
      </c>
      <c r="Q8" s="377">
        <f>'PCB Nesting QA'!T8</f>
        <v>0</v>
      </c>
      <c r="R8" s="377" t="e">
        <f>'PCB Nesting QA'!S8</f>
        <v>#REF!</v>
      </c>
      <c r="S8" s="148">
        <f>IF('Student Data'!D8="","",Attendance!BO24)</f>
        <v>0</v>
      </c>
      <c r="T8" s="49">
        <f>IF('Student Data'!D8="","",Attendance!BP24)</f>
        <v>0</v>
      </c>
      <c r="U8" s="73">
        <f>IF('Student Data'!D8="","",Attendance!BQ24)</f>
        <v>0</v>
      </c>
      <c r="V8" s="331" t="str">
        <f>IF('Perf. Mgmnt'!F31&gt;0,"S4",IF('Perf. Mgmnt'!E31&gt;0,"S3",IF('Perf. Mgmnt'!D31&gt;0,"S2",IF('Perf. Mgmnt'!B31&gt;0,"S1",""))))</f>
        <v/>
      </c>
      <c r="W8" s="86" t="str">
        <f>IF('Perf. Mgmnt'!AA31&gt;0,"FW",IF('Perf. Mgmnt'!Z31&gt;0,"2W",IF('Perf. Mgmnt'!Y31&gt;0,"1W",IF('Perf. Mgmnt'!X31&gt;0,"VW",""))))</f>
        <v/>
      </c>
      <c r="X8" s="86" t="str">
        <f>IF('Perf. Mgmnt'!K31&gt;0,"FW",IF('Perf. Mgmnt'!J31&gt;0,"2W",IF('Perf. Mgmnt'!I31&gt;0,"1W",IF('Perf. Mgmnt'!H31&gt;0,"VW",""))))</f>
        <v/>
      </c>
      <c r="Y8" s="86" t="str">
        <f>IF('Perf. Mgmnt'!M31&gt;0,"FW","")</f>
        <v/>
      </c>
      <c r="Z8" s="86" t="str">
        <f>IF('Perf. Mgmnt'!N31&gt;0,"FW","")</f>
        <v/>
      </c>
      <c r="AA8" s="332" t="str">
        <f>IF('Perf. Mgmnt'!S31&gt;0,"FW",IF('Perf. Mgmnt'!Q31&gt;0,"2W",IF('Perf. Mgmnt'!P31&gt;0,"1W",IF('Perf. Mgmnt'!O31&gt;0,"VW",""))))</f>
        <v/>
      </c>
      <c r="AB8" s="690" t="s">
        <v>591</v>
      </c>
      <c r="AC8" s="690"/>
      <c r="AD8" s="690"/>
      <c r="AE8" s="87"/>
      <c r="AF8" s="84"/>
    </row>
    <row r="9" spans="1:32">
      <c r="A9" s="192" t="str">
        <f>'Student Data'!D9&amp;" "&amp;'Student Data'!C9</f>
        <v xml:space="preserve"> </v>
      </c>
      <c r="B9" s="333" t="str">
        <f>Performance!AJ9</f>
        <v/>
      </c>
      <c r="C9" s="300" t="str">
        <f>IF('PCB Nesting QA'!D9="","",'PCB Nesting QA'!D9)</f>
        <v/>
      </c>
      <c r="D9" s="300" t="str">
        <f>IF('PCB Nesting QA'!E9="","",'PCB Nesting QA'!E9)</f>
        <v/>
      </c>
      <c r="E9" s="300" t="str">
        <f>IF('PCB Nesting QA'!F9="","",'PCB Nesting QA'!F9)</f>
        <v/>
      </c>
      <c r="F9" s="300" t="str">
        <f>IF('PCB Nesting QA'!G9="","",'PCB Nesting QA'!G9)</f>
        <v/>
      </c>
      <c r="G9" s="300" t="str">
        <f>IF('PCB Nesting QA'!H9="","",'PCB Nesting QA'!H9)</f>
        <v/>
      </c>
      <c r="H9" s="300" t="str">
        <f>IF('PCB Nesting QA'!I9="","",'PCB Nesting QA'!I9)</f>
        <v/>
      </c>
      <c r="I9" s="300" t="str">
        <f>IF('PCB Nesting QA'!J9="","",'PCB Nesting QA'!J9)</f>
        <v/>
      </c>
      <c r="J9" s="300" t="str">
        <f>IF('PCB Nesting QA'!K9="","",'PCB Nesting QA'!K9)</f>
        <v/>
      </c>
      <c r="K9" s="300" t="str">
        <f>IF('PCB Nesting QA'!L9="","",'PCB Nesting QA'!L9)</f>
        <v/>
      </c>
      <c r="L9" s="300" t="str">
        <f>IF('PCB Nesting QA'!M9="","",'PCB Nesting QA'!M9)</f>
        <v/>
      </c>
      <c r="M9" s="300" t="str">
        <f>IF('PCB Nesting QA'!N9="","",'PCB Nesting QA'!N9)</f>
        <v/>
      </c>
      <c r="N9" s="300" t="str">
        <f>IF('PCB Nesting QA'!O9="","",'PCB Nesting QA'!O9)</f>
        <v/>
      </c>
      <c r="O9" s="143" t="e">
        <f>'PCB Nesting QA'!P9</f>
        <v>#DIV/0!</v>
      </c>
      <c r="P9" s="535">
        <f>'PCB Nesting QA'!U9</f>
        <v>0</v>
      </c>
      <c r="Q9" s="377">
        <f>'PCB Nesting QA'!T9</f>
        <v>0</v>
      </c>
      <c r="R9" s="377" t="e">
        <f>'PCB Nesting QA'!S9</f>
        <v>#REF!</v>
      </c>
      <c r="S9" s="148" t="str">
        <f>IF('Student Data'!D9="","",Attendance!BO25)</f>
        <v/>
      </c>
      <c r="T9" s="49" t="str">
        <f>IF('Student Data'!D9="","",Attendance!BP25)</f>
        <v/>
      </c>
      <c r="U9" s="73" t="str">
        <f>IF('Student Data'!D9="","",Attendance!BQ25)</f>
        <v/>
      </c>
      <c r="V9" s="331" t="str">
        <f>IF('Perf. Mgmnt'!F37&gt;0,"S4",IF('Perf. Mgmnt'!E37&gt;0,"S3",IF('Perf. Mgmnt'!D37&gt;0,"S2",IF('Perf. Mgmnt'!B37&gt;0,"S1",""))))</f>
        <v/>
      </c>
      <c r="W9" s="86" t="str">
        <f>IF('Perf. Mgmnt'!AA37&gt;0,"FW",IF('Perf. Mgmnt'!Z37&gt;0,"2W",IF('Perf. Mgmnt'!Y37&gt;0,"1W",IF('Perf. Mgmnt'!X37&gt;0,"VW",""))))</f>
        <v/>
      </c>
      <c r="X9" s="86" t="str">
        <f>IF('Perf. Mgmnt'!K37&gt;0,"FW",IF('Perf. Mgmnt'!J37&gt;0,"2W",IF('Perf. Mgmnt'!I37&gt;0,"1W",IF('Perf. Mgmnt'!H37&gt;0,"VW",""))))</f>
        <v/>
      </c>
      <c r="Y9" s="86" t="str">
        <f>IF('Perf. Mgmnt'!M37&gt;0,"FW","")</f>
        <v/>
      </c>
      <c r="Z9" s="86" t="str">
        <f>IF('Perf. Mgmnt'!N37&gt;0,"FW","")</f>
        <v/>
      </c>
      <c r="AA9" s="332" t="str">
        <f>IF('Perf. Mgmnt'!S37&gt;0,"FW",IF('Perf. Mgmnt'!Q37&gt;0,"2W",IF('Perf. Mgmnt'!P37&gt;0,"1W",IF('Perf. Mgmnt'!O37&gt;0,"VW",""))))</f>
        <v/>
      </c>
      <c r="AB9" s="690" t="s">
        <v>592</v>
      </c>
      <c r="AC9" s="690"/>
      <c r="AD9" s="690"/>
      <c r="AE9" s="81"/>
      <c r="AF9" s="84"/>
    </row>
    <row r="10" spans="1:32">
      <c r="A10" s="192" t="str">
        <f>'Student Data'!D10&amp;" "&amp;'Student Data'!C10</f>
        <v xml:space="preserve"> </v>
      </c>
      <c r="B10" s="333" t="str">
        <f>Performance!AJ10</f>
        <v/>
      </c>
      <c r="C10" s="300" t="str">
        <f>IF('PCB Nesting QA'!D10="","",'PCB Nesting QA'!D10)</f>
        <v/>
      </c>
      <c r="D10" s="300" t="str">
        <f>IF('PCB Nesting QA'!E10="","",'PCB Nesting QA'!E10)</f>
        <v/>
      </c>
      <c r="E10" s="300" t="str">
        <f>IF('PCB Nesting QA'!F10="","",'PCB Nesting QA'!F10)</f>
        <v/>
      </c>
      <c r="F10" s="300" t="str">
        <f>IF('PCB Nesting QA'!G10="","",'PCB Nesting QA'!G10)</f>
        <v/>
      </c>
      <c r="G10" s="300" t="str">
        <f>IF('PCB Nesting QA'!H10="","",'PCB Nesting QA'!H10)</f>
        <v/>
      </c>
      <c r="H10" s="300" t="str">
        <f>IF('PCB Nesting QA'!I10="","",'PCB Nesting QA'!I10)</f>
        <v/>
      </c>
      <c r="I10" s="300" t="str">
        <f>IF('PCB Nesting QA'!J10="","",'PCB Nesting QA'!J10)</f>
        <v/>
      </c>
      <c r="J10" s="300" t="str">
        <f>IF('PCB Nesting QA'!K10="","",'PCB Nesting QA'!K10)</f>
        <v/>
      </c>
      <c r="K10" s="300" t="str">
        <f>IF('PCB Nesting QA'!L10="","",'PCB Nesting QA'!L10)</f>
        <v/>
      </c>
      <c r="L10" s="300" t="str">
        <f>IF('PCB Nesting QA'!M10="","",'PCB Nesting QA'!M10)</f>
        <v/>
      </c>
      <c r="M10" s="300" t="str">
        <f>IF('PCB Nesting QA'!N10="","",'PCB Nesting QA'!N10)</f>
        <v/>
      </c>
      <c r="N10" s="300" t="str">
        <f>IF('PCB Nesting QA'!O10="","",'PCB Nesting QA'!O10)</f>
        <v/>
      </c>
      <c r="O10" s="143" t="e">
        <f>'PCB Nesting QA'!P10</f>
        <v>#DIV/0!</v>
      </c>
      <c r="P10" s="535">
        <f>'PCB Nesting QA'!U10</f>
        <v>0</v>
      </c>
      <c r="Q10" s="377">
        <f>'PCB Nesting QA'!T10</f>
        <v>0</v>
      </c>
      <c r="R10" s="377" t="e">
        <f>'PCB Nesting QA'!S10</f>
        <v>#REF!</v>
      </c>
      <c r="S10" s="148" t="str">
        <f>IF('Student Data'!D10="","",Attendance!BO26)</f>
        <v/>
      </c>
      <c r="T10" s="49" t="str">
        <f>IF('Student Data'!D10="","",Attendance!BP26)</f>
        <v/>
      </c>
      <c r="U10" s="73" t="str">
        <f>IF('Student Data'!D10="","",Attendance!BQ26)</f>
        <v/>
      </c>
      <c r="V10" s="331" t="str">
        <f>IF('Perf. Mgmnt'!F43&gt;0,"S4",IF('Perf. Mgmnt'!E43&gt;0,"S3",IF('Perf. Mgmnt'!D43&gt;0,"S2",IF('Perf. Mgmnt'!B43&gt;0,"S1",""))))</f>
        <v/>
      </c>
      <c r="W10" s="86" t="str">
        <f>IF('Perf. Mgmnt'!AA43&gt;0,"FW",IF('Perf. Mgmnt'!Z43&gt;0,"2W",IF('Perf. Mgmnt'!Y43&gt;0,"1W",IF('Perf. Mgmnt'!X43&gt;0,"VW",""))))</f>
        <v/>
      </c>
      <c r="X10" s="86" t="str">
        <f>IF('Perf. Mgmnt'!K43&gt;0,"FW",IF('Perf. Mgmnt'!J43&gt;0,"2W",IF('Perf. Mgmnt'!I43&gt;0,"1W",IF('Perf. Mgmnt'!H43&gt;0,"VW",""))))</f>
        <v/>
      </c>
      <c r="Y10" s="86" t="str">
        <f>IF('Perf. Mgmnt'!M43&gt;0,"FW","")</f>
        <v/>
      </c>
      <c r="Z10" s="86" t="str">
        <f>IF('Perf. Mgmnt'!N43&gt;0,"FW","")</f>
        <v/>
      </c>
      <c r="AA10" s="332" t="str">
        <f>IF('Perf. Mgmnt'!S43&gt;0,"FW",IF('Perf. Mgmnt'!Q43&gt;0,"2W",IF('Perf. Mgmnt'!P43&gt;0,"1W",IF('Perf. Mgmnt'!O43&gt;0,"VW",""))))</f>
        <v/>
      </c>
      <c r="AB10" s="690"/>
      <c r="AC10" s="690"/>
      <c r="AD10" s="690"/>
      <c r="AE10" s="81"/>
      <c r="AF10" s="84"/>
    </row>
    <row r="11" spans="1:32">
      <c r="A11" s="192" t="str">
        <f>'Student Data'!D11&amp;" "&amp;'Student Data'!C11</f>
        <v xml:space="preserve"> </v>
      </c>
      <c r="B11" s="333" t="str">
        <f>Performance!AJ11</f>
        <v/>
      </c>
      <c r="C11" s="300" t="str">
        <f>IF('PCB Nesting QA'!D11="","",'PCB Nesting QA'!D11)</f>
        <v/>
      </c>
      <c r="D11" s="300" t="str">
        <f>IF('PCB Nesting QA'!E11="","",'PCB Nesting QA'!E11)</f>
        <v/>
      </c>
      <c r="E11" s="300" t="str">
        <f>IF('PCB Nesting QA'!F11="","",'PCB Nesting QA'!F11)</f>
        <v/>
      </c>
      <c r="F11" s="300" t="str">
        <f>IF('PCB Nesting QA'!G11="","",'PCB Nesting QA'!G11)</f>
        <v/>
      </c>
      <c r="G11" s="300" t="str">
        <f>IF('PCB Nesting QA'!H11="","",'PCB Nesting QA'!H11)</f>
        <v/>
      </c>
      <c r="H11" s="300" t="str">
        <f>IF('PCB Nesting QA'!I11="","",'PCB Nesting QA'!I11)</f>
        <v/>
      </c>
      <c r="I11" s="300" t="str">
        <f>IF('PCB Nesting QA'!J11="","",'PCB Nesting QA'!J11)</f>
        <v/>
      </c>
      <c r="J11" s="300" t="str">
        <f>IF('PCB Nesting QA'!K11="","",'PCB Nesting QA'!K11)</f>
        <v/>
      </c>
      <c r="K11" s="300" t="str">
        <f>IF('PCB Nesting QA'!L11="","",'PCB Nesting QA'!L11)</f>
        <v/>
      </c>
      <c r="L11" s="300" t="str">
        <f>IF('PCB Nesting QA'!M11="","",'PCB Nesting QA'!M11)</f>
        <v/>
      </c>
      <c r="M11" s="300" t="str">
        <f>IF('PCB Nesting QA'!N11="","",'PCB Nesting QA'!N11)</f>
        <v/>
      </c>
      <c r="N11" s="300" t="str">
        <f>IF('PCB Nesting QA'!O11="","",'PCB Nesting QA'!O11)</f>
        <v/>
      </c>
      <c r="O11" s="143" t="e">
        <f>'PCB Nesting QA'!P11</f>
        <v>#DIV/0!</v>
      </c>
      <c r="P11" s="535">
        <f>'PCB Nesting QA'!U11</f>
        <v>0</v>
      </c>
      <c r="Q11" s="377">
        <f>'PCB Nesting QA'!T11</f>
        <v>0</v>
      </c>
      <c r="R11" s="377" t="e">
        <f>'PCB Nesting QA'!S11</f>
        <v>#REF!</v>
      </c>
      <c r="S11" s="148" t="str">
        <f>IF('Student Data'!D11="","",Attendance!BO27)</f>
        <v/>
      </c>
      <c r="T11" s="49" t="str">
        <f>IF('Student Data'!D11="","",Attendance!BP27)</f>
        <v/>
      </c>
      <c r="U11" s="73" t="str">
        <f>IF('Student Data'!D11="","",Attendance!BQ27)</f>
        <v/>
      </c>
      <c r="V11" s="331" t="str">
        <f>IF('Perf. Mgmnt'!F49&gt;0,"S4",IF('Perf. Mgmnt'!E49&gt;0,"S3",IF('Perf. Mgmnt'!D49&gt;0,"S2",IF('Perf. Mgmnt'!B49&gt;0,"S1",""))))</f>
        <v/>
      </c>
      <c r="W11" s="86" t="str">
        <f>IF('Perf. Mgmnt'!AA49&gt;0,"FW",IF('Perf. Mgmnt'!Z49&gt;0,"2W",IF('Perf. Mgmnt'!Y49&gt;0,"1W",IF('Perf. Mgmnt'!X49&gt;0,"VW",""))))</f>
        <v/>
      </c>
      <c r="X11" s="86" t="str">
        <f>IF('Perf. Mgmnt'!K49&gt;0,"FW",IF('Perf. Mgmnt'!J49&gt;0,"2W",IF('Perf. Mgmnt'!I49&gt;0,"1W",IF('Perf. Mgmnt'!H49&gt;0,"VW",""))))</f>
        <v/>
      </c>
      <c r="Y11" s="86" t="str">
        <f>IF('Perf. Mgmnt'!M49&gt;0,"FW","")</f>
        <v/>
      </c>
      <c r="Z11" s="86" t="str">
        <f>IF('Perf. Mgmnt'!N49&gt;0,"FW","")</f>
        <v/>
      </c>
      <c r="AA11" s="332" t="str">
        <f>IF('Perf. Mgmnt'!S49&gt;0,"FW",IF('Perf. Mgmnt'!Q49&gt;0,"2W",IF('Perf. Mgmnt'!P49&gt;0,"1W",IF('Perf. Mgmnt'!O49&gt;0,"VW",""))))</f>
        <v/>
      </c>
      <c r="AB11" s="690"/>
      <c r="AC11" s="690"/>
      <c r="AD11" s="690"/>
      <c r="AE11" s="81"/>
      <c r="AF11" s="84"/>
    </row>
    <row r="12" spans="1:32">
      <c r="A12" s="192" t="str">
        <f>'Student Data'!D12&amp;" "&amp;'Student Data'!C12</f>
        <v xml:space="preserve"> </v>
      </c>
      <c r="B12" s="333" t="str">
        <f>Performance!AJ12</f>
        <v/>
      </c>
      <c r="C12" s="300" t="str">
        <f>IF('PCB Nesting QA'!D12="","",'PCB Nesting QA'!D12)</f>
        <v/>
      </c>
      <c r="D12" s="300" t="str">
        <f>IF('PCB Nesting QA'!E12="","",'PCB Nesting QA'!E12)</f>
        <v/>
      </c>
      <c r="E12" s="300" t="str">
        <f>IF('PCB Nesting QA'!F12="","",'PCB Nesting QA'!F12)</f>
        <v/>
      </c>
      <c r="F12" s="300" t="str">
        <f>IF('PCB Nesting QA'!G12="","",'PCB Nesting QA'!G12)</f>
        <v/>
      </c>
      <c r="G12" s="300" t="str">
        <f>IF('PCB Nesting QA'!H12="","",'PCB Nesting QA'!H12)</f>
        <v/>
      </c>
      <c r="H12" s="300" t="str">
        <f>IF('PCB Nesting QA'!I12="","",'PCB Nesting QA'!I12)</f>
        <v/>
      </c>
      <c r="I12" s="300" t="str">
        <f>IF('PCB Nesting QA'!J12="","",'PCB Nesting QA'!J12)</f>
        <v/>
      </c>
      <c r="J12" s="300" t="str">
        <f>IF('PCB Nesting QA'!K12="","",'PCB Nesting QA'!K12)</f>
        <v/>
      </c>
      <c r="K12" s="300" t="str">
        <f>IF('PCB Nesting QA'!L12="","",'PCB Nesting QA'!L12)</f>
        <v/>
      </c>
      <c r="L12" s="300" t="str">
        <f>IF('PCB Nesting QA'!M12="","",'PCB Nesting QA'!M12)</f>
        <v/>
      </c>
      <c r="M12" s="300" t="str">
        <f>IF('PCB Nesting QA'!N12="","",'PCB Nesting QA'!N12)</f>
        <v/>
      </c>
      <c r="N12" s="300" t="str">
        <f>IF('PCB Nesting QA'!O12="","",'PCB Nesting QA'!O12)</f>
        <v/>
      </c>
      <c r="O12" s="143" t="e">
        <f>'PCB Nesting QA'!P12</f>
        <v>#DIV/0!</v>
      </c>
      <c r="P12" s="535">
        <f>'PCB Nesting QA'!U12</f>
        <v>0</v>
      </c>
      <c r="Q12" s="377">
        <f>'PCB Nesting QA'!T12</f>
        <v>0</v>
      </c>
      <c r="R12" s="377" t="e">
        <f>'PCB Nesting QA'!S12</f>
        <v>#REF!</v>
      </c>
      <c r="S12" s="148" t="str">
        <f>IF('Student Data'!D12="","",Attendance!BO28)</f>
        <v/>
      </c>
      <c r="T12" s="49" t="str">
        <f>IF('Student Data'!D12="","",Attendance!BP28)</f>
        <v/>
      </c>
      <c r="U12" s="73" t="str">
        <f>IF('Student Data'!D12="","",Attendance!BQ28)</f>
        <v/>
      </c>
      <c r="V12" s="331" t="str">
        <f>IF('Perf. Mgmnt'!F55&gt;0,"S4",IF('Perf. Mgmnt'!E55&gt;0,"S3",IF('Perf. Mgmnt'!D55&gt;0,"S2",IF('Perf. Mgmnt'!B55&gt;0,"S1",""))))</f>
        <v/>
      </c>
      <c r="W12" s="86" t="str">
        <f>IF('Perf. Mgmnt'!AA55&gt;0,"FW",IF('Perf. Mgmnt'!Z55&gt;0,"2W",IF('Perf. Mgmnt'!Y55&gt;0,"1W",IF('Perf. Mgmnt'!X55&gt;0,"VW",""))))</f>
        <v/>
      </c>
      <c r="X12" s="86" t="str">
        <f>IF('Perf. Mgmnt'!K55&gt;0,"FW",IF('Perf. Mgmnt'!J55&gt;0,"2W",IF('Perf. Mgmnt'!I55&gt;0,"1W",IF('Perf. Mgmnt'!H55&gt;0,"VW",""))))</f>
        <v/>
      </c>
      <c r="Y12" s="86" t="str">
        <f>IF('Perf. Mgmnt'!M55&gt;0,"FW","")</f>
        <v/>
      </c>
      <c r="Z12" s="86" t="str">
        <f>IF('Perf. Mgmnt'!N55&gt;0,"FW","")</f>
        <v/>
      </c>
      <c r="AA12" s="332" t="str">
        <f>IF('Perf. Mgmnt'!S55&gt;0,"FW",IF('Perf. Mgmnt'!Q55&gt;0,"2W",IF('Perf. Mgmnt'!P55&gt;0,"1W",IF('Perf. Mgmnt'!O55&gt;0,"VW",""))))</f>
        <v/>
      </c>
      <c r="AB12" s="690"/>
      <c r="AC12" s="690"/>
      <c r="AD12" s="690"/>
      <c r="AE12" s="81"/>
      <c r="AF12" s="84"/>
    </row>
    <row r="13" spans="1:32">
      <c r="A13" s="192" t="str">
        <f>'Student Data'!D13&amp;" "&amp;'Student Data'!C13</f>
        <v xml:space="preserve"> </v>
      </c>
      <c r="B13" s="333" t="str">
        <f>Performance!AJ13</f>
        <v/>
      </c>
      <c r="C13" s="300" t="str">
        <f>IF('PCB Nesting QA'!D13="","",'PCB Nesting QA'!D13)</f>
        <v/>
      </c>
      <c r="D13" s="300" t="str">
        <f>IF('PCB Nesting QA'!E13="","",'PCB Nesting QA'!E13)</f>
        <v/>
      </c>
      <c r="E13" s="300" t="str">
        <f>IF('PCB Nesting QA'!F13="","",'PCB Nesting QA'!F13)</f>
        <v/>
      </c>
      <c r="F13" s="300" t="str">
        <f>IF('PCB Nesting QA'!G13="","",'PCB Nesting QA'!G13)</f>
        <v/>
      </c>
      <c r="G13" s="300" t="str">
        <f>IF('PCB Nesting QA'!H13="","",'PCB Nesting QA'!H13)</f>
        <v/>
      </c>
      <c r="H13" s="300" t="str">
        <f>IF('PCB Nesting QA'!I13="","",'PCB Nesting QA'!I13)</f>
        <v/>
      </c>
      <c r="I13" s="300" t="str">
        <f>IF('PCB Nesting QA'!J13="","",'PCB Nesting QA'!J13)</f>
        <v/>
      </c>
      <c r="J13" s="300" t="str">
        <f>IF('PCB Nesting QA'!K13="","",'PCB Nesting QA'!K13)</f>
        <v/>
      </c>
      <c r="K13" s="300" t="str">
        <f>IF('PCB Nesting QA'!L13="","",'PCB Nesting QA'!L13)</f>
        <v/>
      </c>
      <c r="L13" s="300" t="str">
        <f>IF('PCB Nesting QA'!M13="","",'PCB Nesting QA'!M13)</f>
        <v/>
      </c>
      <c r="M13" s="300" t="str">
        <f>IF('PCB Nesting QA'!N13="","",'PCB Nesting QA'!N13)</f>
        <v/>
      </c>
      <c r="N13" s="300" t="str">
        <f>IF('PCB Nesting QA'!O13="","",'PCB Nesting QA'!O13)</f>
        <v/>
      </c>
      <c r="O13" s="143" t="e">
        <f>'PCB Nesting QA'!P13</f>
        <v>#DIV/0!</v>
      </c>
      <c r="P13" s="535">
        <f>'PCB Nesting QA'!U13</f>
        <v>0</v>
      </c>
      <c r="Q13" s="377">
        <f>'PCB Nesting QA'!T13</f>
        <v>0</v>
      </c>
      <c r="R13" s="377" t="e">
        <f>'PCB Nesting QA'!S13</f>
        <v>#REF!</v>
      </c>
      <c r="S13" s="148" t="str">
        <f>IF('Student Data'!D13="","",Attendance!BO29)</f>
        <v/>
      </c>
      <c r="T13" s="49" t="str">
        <f>IF('Student Data'!D13="","",Attendance!BP29)</f>
        <v/>
      </c>
      <c r="U13" s="73" t="str">
        <f>IF('Student Data'!D13="","",Attendance!BQ29)</f>
        <v/>
      </c>
      <c r="V13" s="331" t="str">
        <f>IF('Perf. Mgmnt'!F61&gt;0,"S4",IF('Perf. Mgmnt'!E61&gt;0,"S3",IF('Perf. Mgmnt'!D61&gt;0,"S2",IF('Perf. Mgmnt'!B61&gt;0,"S1",""))))</f>
        <v/>
      </c>
      <c r="W13" s="86" t="str">
        <f>IF('Perf. Mgmnt'!AA61&gt;0,"FW",IF('Perf. Mgmnt'!Z61&gt;0,"2W",IF('Perf. Mgmnt'!Y61&gt;0,"1W",IF('Perf. Mgmnt'!X61&gt;0,"VW",""))))</f>
        <v/>
      </c>
      <c r="X13" s="86" t="str">
        <f>IF('Perf. Mgmnt'!K61&gt;0,"FW",IF('Perf. Mgmnt'!J61&gt;0,"2W",IF('Perf. Mgmnt'!I61&gt;0,"1W",IF('Perf. Mgmnt'!H61&gt;0,"VW",""))))</f>
        <v/>
      </c>
      <c r="Y13" s="86" t="str">
        <f>IF('Perf. Mgmnt'!M61&gt;0,"FW","")</f>
        <v/>
      </c>
      <c r="Z13" s="86" t="str">
        <f>IF('Perf. Mgmnt'!N61&gt;0,"FW","")</f>
        <v/>
      </c>
      <c r="AA13" s="332" t="str">
        <f>IF('Perf. Mgmnt'!S61&gt;0,"FW",IF('Perf. Mgmnt'!Q61&gt;0,"2W",IF('Perf. Mgmnt'!P61&gt;0,"1W",IF('Perf. Mgmnt'!O61&gt;0,"VW",""))))</f>
        <v/>
      </c>
      <c r="AB13" s="690"/>
      <c r="AC13" s="690"/>
      <c r="AD13" s="690"/>
      <c r="AE13" s="81"/>
      <c r="AF13" s="84"/>
    </row>
    <row r="14" spans="1:32">
      <c r="A14" s="192" t="str">
        <f>'Student Data'!D14&amp;" "&amp;'Student Data'!C14</f>
        <v xml:space="preserve"> </v>
      </c>
      <c r="B14" s="333" t="str">
        <f>Performance!AJ14</f>
        <v/>
      </c>
      <c r="C14" s="300" t="str">
        <f>IF('PCB Nesting QA'!D14="","",'PCB Nesting QA'!D14)</f>
        <v/>
      </c>
      <c r="D14" s="300" t="str">
        <f>IF('PCB Nesting QA'!E14="","",'PCB Nesting QA'!E14)</f>
        <v/>
      </c>
      <c r="E14" s="300" t="str">
        <f>IF('PCB Nesting QA'!F14="","",'PCB Nesting QA'!F14)</f>
        <v/>
      </c>
      <c r="F14" s="300" t="str">
        <f>IF('PCB Nesting QA'!G14="","",'PCB Nesting QA'!G14)</f>
        <v/>
      </c>
      <c r="G14" s="300" t="str">
        <f>IF('PCB Nesting QA'!H14="","",'PCB Nesting QA'!H14)</f>
        <v/>
      </c>
      <c r="H14" s="300" t="str">
        <f>IF('PCB Nesting QA'!I14="","",'PCB Nesting QA'!I14)</f>
        <v/>
      </c>
      <c r="I14" s="300" t="str">
        <f>IF('PCB Nesting QA'!J14="","",'PCB Nesting QA'!J14)</f>
        <v/>
      </c>
      <c r="J14" s="300" t="str">
        <f>IF('PCB Nesting QA'!K14="","",'PCB Nesting QA'!K14)</f>
        <v/>
      </c>
      <c r="K14" s="300" t="str">
        <f>IF('PCB Nesting QA'!L14="","",'PCB Nesting QA'!L14)</f>
        <v/>
      </c>
      <c r="L14" s="300" t="str">
        <f>IF('PCB Nesting QA'!M14="","",'PCB Nesting QA'!M14)</f>
        <v/>
      </c>
      <c r="M14" s="300" t="str">
        <f>IF('PCB Nesting QA'!N14="","",'PCB Nesting QA'!N14)</f>
        <v/>
      </c>
      <c r="N14" s="300" t="str">
        <f>IF('PCB Nesting QA'!O14="","",'PCB Nesting QA'!O14)</f>
        <v/>
      </c>
      <c r="O14" s="143" t="e">
        <f>'PCB Nesting QA'!P14</f>
        <v>#DIV/0!</v>
      </c>
      <c r="P14" s="535">
        <f>'PCB Nesting QA'!U14</f>
        <v>0</v>
      </c>
      <c r="Q14" s="377">
        <f>'PCB Nesting QA'!T14</f>
        <v>0</v>
      </c>
      <c r="R14" s="377" t="e">
        <f>'PCB Nesting QA'!S14</f>
        <v>#REF!</v>
      </c>
      <c r="S14" s="148" t="str">
        <f>IF('Student Data'!D14="","",Attendance!BO30)</f>
        <v/>
      </c>
      <c r="T14" s="49" t="str">
        <f>IF('Student Data'!D14="","",Attendance!BP30)</f>
        <v/>
      </c>
      <c r="U14" s="73" t="str">
        <f>IF('Student Data'!D14="","",Attendance!BQ30)</f>
        <v/>
      </c>
      <c r="V14" s="331" t="str">
        <f>IF('Perf. Mgmnt'!F67&gt;0,"S4",IF('Perf. Mgmnt'!E67&gt;0,"S3",IF('Perf. Mgmnt'!D67&gt;0,"S2",IF('Perf. Mgmnt'!B67&gt;0,"S1",""))))</f>
        <v/>
      </c>
      <c r="W14" s="86" t="str">
        <f>IF('Perf. Mgmnt'!AA67&gt;0,"FW",IF('Perf. Mgmnt'!Z67&gt;0,"2W",IF('Perf. Mgmnt'!Y67&gt;0,"1W",IF('Perf. Mgmnt'!X67&gt;0,"VW",""))))</f>
        <v/>
      </c>
      <c r="X14" s="86" t="str">
        <f>IF('Perf. Mgmnt'!K67&gt;0,"FW",IF('Perf. Mgmnt'!J67&gt;0,"2W",IF('Perf. Mgmnt'!I67&gt;0,"1W",IF('Perf. Mgmnt'!H67&gt;0,"VW",""))))</f>
        <v/>
      </c>
      <c r="Y14" s="86" t="str">
        <f>IF('Perf. Mgmnt'!M67&gt;0,"FW","")</f>
        <v/>
      </c>
      <c r="Z14" s="86" t="str">
        <f>IF('Perf. Mgmnt'!N67&gt;0,"FW","")</f>
        <v/>
      </c>
      <c r="AA14" s="332" t="str">
        <f>IF('Perf. Mgmnt'!S67&gt;0,"FW",IF('Perf. Mgmnt'!Q67&gt;0,"2W",IF('Perf. Mgmnt'!P67&gt;0,"1W",IF('Perf. Mgmnt'!O67&gt;0,"VW",""))))</f>
        <v/>
      </c>
      <c r="AB14" s="690"/>
      <c r="AC14" s="690"/>
      <c r="AD14" s="690"/>
      <c r="AE14" s="81"/>
      <c r="AF14" s="84"/>
    </row>
    <row r="15" spans="1:32">
      <c r="A15" s="192" t="str">
        <f>'Student Data'!D15&amp;" "&amp;'Student Data'!C15</f>
        <v xml:space="preserve"> </v>
      </c>
      <c r="B15" s="333" t="str">
        <f>Performance!AJ15</f>
        <v/>
      </c>
      <c r="C15" s="300" t="str">
        <f>IF('PCB Nesting QA'!D15="","",'PCB Nesting QA'!D15)</f>
        <v/>
      </c>
      <c r="D15" s="300" t="str">
        <f>IF('PCB Nesting QA'!E15="","",'PCB Nesting QA'!E15)</f>
        <v/>
      </c>
      <c r="E15" s="300" t="str">
        <f>IF('PCB Nesting QA'!F15="","",'PCB Nesting QA'!F15)</f>
        <v/>
      </c>
      <c r="F15" s="300" t="str">
        <f>IF('PCB Nesting QA'!G15="","",'PCB Nesting QA'!G15)</f>
        <v/>
      </c>
      <c r="G15" s="300" t="str">
        <f>IF('PCB Nesting QA'!H15="","",'PCB Nesting QA'!H15)</f>
        <v/>
      </c>
      <c r="H15" s="300" t="str">
        <f>IF('PCB Nesting QA'!I15="","",'PCB Nesting QA'!I15)</f>
        <v/>
      </c>
      <c r="I15" s="300" t="str">
        <f>IF('PCB Nesting QA'!J15="","",'PCB Nesting QA'!J15)</f>
        <v/>
      </c>
      <c r="J15" s="300" t="str">
        <f>IF('PCB Nesting QA'!K15="","",'PCB Nesting QA'!K15)</f>
        <v/>
      </c>
      <c r="K15" s="300" t="str">
        <f>IF('PCB Nesting QA'!L15="","",'PCB Nesting QA'!L15)</f>
        <v/>
      </c>
      <c r="L15" s="300" t="str">
        <f>IF('PCB Nesting QA'!M15="","",'PCB Nesting QA'!M15)</f>
        <v/>
      </c>
      <c r="M15" s="300" t="str">
        <f>IF('PCB Nesting QA'!N15="","",'PCB Nesting QA'!N15)</f>
        <v/>
      </c>
      <c r="N15" s="300" t="str">
        <f>IF('PCB Nesting QA'!O15="","",'PCB Nesting QA'!O15)</f>
        <v/>
      </c>
      <c r="O15" s="143" t="e">
        <f>'PCB Nesting QA'!P15</f>
        <v>#DIV/0!</v>
      </c>
      <c r="P15" s="535">
        <f>'PCB Nesting QA'!U15</f>
        <v>0</v>
      </c>
      <c r="Q15" s="377">
        <f>'PCB Nesting QA'!T15</f>
        <v>0</v>
      </c>
      <c r="R15" s="377" t="e">
        <f>'PCB Nesting QA'!S15</f>
        <v>#REF!</v>
      </c>
      <c r="S15" s="148" t="str">
        <f>IF('Student Data'!D15="","",Attendance!BO31)</f>
        <v/>
      </c>
      <c r="T15" s="49" t="str">
        <f>IF('Student Data'!D15="","",Attendance!BP31)</f>
        <v/>
      </c>
      <c r="U15" s="73" t="str">
        <f>IF('Student Data'!D15="","",Attendance!BQ31)</f>
        <v/>
      </c>
      <c r="V15" s="331" t="str">
        <f>IF('Perf. Mgmnt'!F73&gt;0,"S4",IF('Perf. Mgmnt'!E73&gt;0,"S3",IF('Perf. Mgmnt'!D73&gt;0,"S2",IF('Perf. Mgmnt'!B73&gt;0,"S1",""))))</f>
        <v/>
      </c>
      <c r="W15" s="86" t="str">
        <f>IF('Perf. Mgmnt'!AA73&gt;0,"FW",IF('Perf. Mgmnt'!Z73&gt;0,"2W",IF('Perf. Mgmnt'!Y73&gt;0,"1W",IF('Perf. Mgmnt'!X73&gt;0,"VW",""))))</f>
        <v/>
      </c>
      <c r="X15" s="86" t="str">
        <f>IF('Perf. Mgmnt'!K23&gt;0,"FW",IF('Perf. Mgmnt'!J23&gt;0,"2W",IF('Perf. Mgmnt'!I23&gt;0,"1W",IF('Perf. Mgmnt'!H23&gt;0,"VW",""))))</f>
        <v/>
      </c>
      <c r="Y15" s="86" t="str">
        <f>IF('Perf. Mgmnt'!M23&gt;0,"FW","")</f>
        <v/>
      </c>
      <c r="Z15" s="86" t="str">
        <f>IF('Perf. Mgmnt'!N23&gt;0,"FW","")</f>
        <v/>
      </c>
      <c r="AA15" s="332" t="str">
        <f>IF('Perf. Mgmnt'!S23&gt;0,"FW",IF('Perf. Mgmnt'!Q23&gt;0,"2W",IF('Perf. Mgmnt'!P23&gt;0,"1W",IF('Perf. Mgmnt'!O23&gt;0,"VW",""))))</f>
        <v/>
      </c>
      <c r="AB15" s="690"/>
      <c r="AC15" s="690"/>
      <c r="AD15" s="690"/>
      <c r="AE15" s="81"/>
      <c r="AF15" s="84"/>
    </row>
    <row r="16" spans="1:32">
      <c r="A16" s="192" t="str">
        <f>'Student Data'!D16&amp;" "&amp;'Student Data'!C16</f>
        <v xml:space="preserve"> </v>
      </c>
      <c r="B16" s="333" t="str">
        <f>Performance!AJ16</f>
        <v/>
      </c>
      <c r="C16" s="300" t="str">
        <f>IF('PCB Nesting QA'!D16="","",'PCB Nesting QA'!D16)</f>
        <v/>
      </c>
      <c r="D16" s="300" t="str">
        <f>IF('PCB Nesting QA'!E16="","",'PCB Nesting QA'!E16)</f>
        <v/>
      </c>
      <c r="E16" s="300" t="str">
        <f>IF('PCB Nesting QA'!F16="","",'PCB Nesting QA'!F16)</f>
        <v/>
      </c>
      <c r="F16" s="300" t="str">
        <f>IF('PCB Nesting QA'!G16="","",'PCB Nesting QA'!G16)</f>
        <v/>
      </c>
      <c r="G16" s="300" t="str">
        <f>IF('PCB Nesting QA'!H16="","",'PCB Nesting QA'!H16)</f>
        <v/>
      </c>
      <c r="H16" s="300" t="str">
        <f>IF('PCB Nesting QA'!I16="","",'PCB Nesting QA'!I16)</f>
        <v/>
      </c>
      <c r="I16" s="300" t="str">
        <f>IF('PCB Nesting QA'!J16="","",'PCB Nesting QA'!J16)</f>
        <v/>
      </c>
      <c r="J16" s="300" t="str">
        <f>IF('PCB Nesting QA'!K16="","",'PCB Nesting QA'!K16)</f>
        <v/>
      </c>
      <c r="K16" s="300" t="str">
        <f>IF('PCB Nesting QA'!L16="","",'PCB Nesting QA'!L16)</f>
        <v/>
      </c>
      <c r="L16" s="300" t="str">
        <f>IF('PCB Nesting QA'!M16="","",'PCB Nesting QA'!M16)</f>
        <v/>
      </c>
      <c r="M16" s="300" t="str">
        <f>IF('PCB Nesting QA'!N16="","",'PCB Nesting QA'!N16)</f>
        <v/>
      </c>
      <c r="N16" s="300" t="str">
        <f>IF('PCB Nesting QA'!O16="","",'PCB Nesting QA'!O16)</f>
        <v/>
      </c>
      <c r="O16" s="143" t="e">
        <f>'PCB Nesting QA'!P16</f>
        <v>#DIV/0!</v>
      </c>
      <c r="P16" s="535">
        <f>'PCB Nesting QA'!U16</f>
        <v>0</v>
      </c>
      <c r="Q16" s="377">
        <f>'PCB Nesting QA'!T16</f>
        <v>0</v>
      </c>
      <c r="R16" s="377" t="e">
        <f>'PCB Nesting QA'!S16</f>
        <v>#REF!</v>
      </c>
      <c r="S16" s="148" t="str">
        <f>IF('Student Data'!D16="","",Attendance!BO32)</f>
        <v/>
      </c>
      <c r="T16" s="49" t="str">
        <f>IF('Student Data'!D16="","",Attendance!BP32)</f>
        <v/>
      </c>
      <c r="U16" s="73" t="str">
        <f>IF('Student Data'!D16="","",Attendance!BQ32)</f>
        <v/>
      </c>
      <c r="V16" s="331" t="str">
        <f>IF('Perf. Mgmnt'!F79&gt;0,"S4",IF('Perf. Mgmnt'!E79&gt;0,"S3",IF('Perf. Mgmnt'!D79&gt;0,"S2",IF('Perf. Mgmnt'!B79&gt;0,"S1",""))))</f>
        <v/>
      </c>
      <c r="W16" s="86" t="str">
        <f>IF('Perf. Mgmnt'!AA79&gt;0,"FW",IF('Perf. Mgmnt'!Z79&gt;0,"2W",IF('Perf. Mgmnt'!Y79&gt;0,"1W",IF('Perf. Mgmnt'!X79&gt;0,"VW",""))))</f>
        <v/>
      </c>
      <c r="X16" s="86" t="str">
        <f>IF('Perf. Mgmnt'!K79&gt;0,"FW",IF('Perf. Mgmnt'!J79&gt;0,"2W",IF('Perf. Mgmnt'!I79&gt;0,"1W",IF('Perf. Mgmnt'!H79&gt;0,"VW",""))))</f>
        <v/>
      </c>
      <c r="Y16" s="86" t="str">
        <f>IF('Perf. Mgmnt'!M79&gt;0,"FW","")</f>
        <v/>
      </c>
      <c r="Z16" s="86" t="str">
        <f>IF('Perf. Mgmnt'!N79&gt;0,"FW","")</f>
        <v/>
      </c>
      <c r="AA16" s="332" t="str">
        <f>IF('Perf. Mgmnt'!S79&gt;0,"FW",IF('Perf. Mgmnt'!Q79&gt;0,"2W",IF('Perf. Mgmnt'!P79&gt;0,"1W",IF('Perf. Mgmnt'!O79&gt;0,"VW",""))))</f>
        <v/>
      </c>
      <c r="AB16" s="690"/>
      <c r="AC16" s="690"/>
      <c r="AD16" s="690"/>
      <c r="AE16" s="81"/>
      <c r="AF16" s="84"/>
    </row>
    <row r="17" spans="1:32">
      <c r="A17" s="192" t="str">
        <f>'Student Data'!D17&amp;" "&amp;'Student Data'!C17</f>
        <v xml:space="preserve"> </v>
      </c>
      <c r="B17" s="333" t="str">
        <f>Performance!AJ17</f>
        <v/>
      </c>
      <c r="C17" s="300" t="str">
        <f>IF('PCB Nesting QA'!D17="","",'PCB Nesting QA'!D17)</f>
        <v/>
      </c>
      <c r="D17" s="300" t="str">
        <f>IF('PCB Nesting QA'!E17="","",'PCB Nesting QA'!E17)</f>
        <v/>
      </c>
      <c r="E17" s="300" t="str">
        <f>IF('PCB Nesting QA'!F17="","",'PCB Nesting QA'!F17)</f>
        <v/>
      </c>
      <c r="F17" s="300" t="str">
        <f>IF('PCB Nesting QA'!G17="","",'PCB Nesting QA'!G17)</f>
        <v/>
      </c>
      <c r="G17" s="300" t="str">
        <f>IF('PCB Nesting QA'!H17="","",'PCB Nesting QA'!H17)</f>
        <v/>
      </c>
      <c r="H17" s="300" t="str">
        <f>IF('PCB Nesting QA'!I17="","",'PCB Nesting QA'!I17)</f>
        <v/>
      </c>
      <c r="I17" s="300" t="str">
        <f>IF('PCB Nesting QA'!J17="","",'PCB Nesting QA'!J17)</f>
        <v/>
      </c>
      <c r="J17" s="300" t="str">
        <f>IF('PCB Nesting QA'!K17="","",'PCB Nesting QA'!K17)</f>
        <v/>
      </c>
      <c r="K17" s="300" t="str">
        <f>IF('PCB Nesting QA'!L17="","",'PCB Nesting QA'!L17)</f>
        <v/>
      </c>
      <c r="L17" s="300" t="str">
        <f>IF('PCB Nesting QA'!M17="","",'PCB Nesting QA'!M17)</f>
        <v/>
      </c>
      <c r="M17" s="300" t="str">
        <f>IF('PCB Nesting QA'!N17="","",'PCB Nesting QA'!N17)</f>
        <v/>
      </c>
      <c r="N17" s="300" t="str">
        <f>IF('PCB Nesting QA'!O17="","",'PCB Nesting QA'!O17)</f>
        <v/>
      </c>
      <c r="O17" s="143" t="e">
        <f>'PCB Nesting QA'!P17</f>
        <v>#DIV/0!</v>
      </c>
      <c r="P17" s="535">
        <f>'PCB Nesting QA'!U17</f>
        <v>0</v>
      </c>
      <c r="Q17" s="377">
        <f>'PCB Nesting QA'!T17</f>
        <v>0</v>
      </c>
      <c r="R17" s="377" t="e">
        <f>'PCB Nesting QA'!S17</f>
        <v>#REF!</v>
      </c>
      <c r="S17" s="148" t="str">
        <f>IF('Student Data'!D17="","",Attendance!BO33)</f>
        <v/>
      </c>
      <c r="T17" s="49" t="str">
        <f>IF('Student Data'!D17="","",Attendance!BP33)</f>
        <v/>
      </c>
      <c r="U17" s="73" t="str">
        <f>IF('Student Data'!D17="","",Attendance!BQ33)</f>
        <v/>
      </c>
      <c r="V17" s="331" t="str">
        <f>IF('Perf. Mgmnt'!F85&gt;0,"S4",IF('Perf. Mgmnt'!E85&gt;0,"S3",IF('Perf. Mgmnt'!D85&gt;0,"S2",IF('Perf. Mgmnt'!B85&gt;0,"S1",""))))</f>
        <v/>
      </c>
      <c r="W17" s="86" t="str">
        <f>IF('Perf. Mgmnt'!AA85&gt;0,"FW",IF('Perf. Mgmnt'!Z85&gt;0,"2W",IF('Perf. Mgmnt'!Y85&gt;0,"1W",IF('Perf. Mgmnt'!X85&gt;0,"VW",""))))</f>
        <v/>
      </c>
      <c r="X17" s="86" t="str">
        <f>IF('Perf. Mgmnt'!P85&gt;0,"FW",IF('Perf. Mgmnt'!O85&gt;0,"2W",IF('Perf. Mgmnt'!N85&gt;0,"1W",IF('Perf. Mgmnt'!M85&gt;0,"VW",""))))</f>
        <v/>
      </c>
      <c r="Y17" s="86" t="str">
        <f>IF('Perf. Mgmnt'!Q85&gt;0,"FW","")</f>
        <v/>
      </c>
      <c r="Z17" s="86" t="str">
        <f>IF('Perf. Mgmnt'!S85&gt;0,"FW","")</f>
        <v/>
      </c>
      <c r="AA17" s="332" t="str">
        <f>IF('Perf. Mgmnt'!W85&gt;0,"FW",IF('Perf. Mgmnt'!V85&gt;0,"2W",IF('Perf. Mgmnt'!U85&gt;0,"1W",IF('Perf. Mgmnt'!T85&gt;0,"VW",""))))</f>
        <v/>
      </c>
      <c r="AB17" s="690"/>
      <c r="AC17" s="690"/>
      <c r="AD17" s="690"/>
      <c r="AE17" s="82"/>
      <c r="AF17" s="84"/>
    </row>
    <row r="18" spans="1:32">
      <c r="A18" s="192" t="str">
        <f>'Student Data'!D18&amp;" "&amp;'Student Data'!C18</f>
        <v xml:space="preserve"> </v>
      </c>
      <c r="B18" s="333" t="str">
        <f>Performance!AJ18</f>
        <v/>
      </c>
      <c r="C18" s="300" t="str">
        <f>IF('PCB Nesting QA'!D18="","",'PCB Nesting QA'!D18)</f>
        <v/>
      </c>
      <c r="D18" s="300" t="str">
        <f>IF('PCB Nesting QA'!E18="","",'PCB Nesting QA'!E18)</f>
        <v/>
      </c>
      <c r="E18" s="300" t="str">
        <f>IF('PCB Nesting QA'!F18="","",'PCB Nesting QA'!F18)</f>
        <v/>
      </c>
      <c r="F18" s="300" t="str">
        <f>IF('PCB Nesting QA'!G18="","",'PCB Nesting QA'!G18)</f>
        <v/>
      </c>
      <c r="G18" s="300" t="str">
        <f>IF('PCB Nesting QA'!H18="","",'PCB Nesting QA'!H18)</f>
        <v/>
      </c>
      <c r="H18" s="300" t="str">
        <f>IF('PCB Nesting QA'!I18="","",'PCB Nesting QA'!I18)</f>
        <v/>
      </c>
      <c r="I18" s="300" t="str">
        <f>IF('PCB Nesting QA'!J18="","",'PCB Nesting QA'!J18)</f>
        <v/>
      </c>
      <c r="J18" s="300" t="str">
        <f>IF('PCB Nesting QA'!K18="","",'PCB Nesting QA'!K18)</f>
        <v/>
      </c>
      <c r="K18" s="300" t="str">
        <f>IF('PCB Nesting QA'!L18="","",'PCB Nesting QA'!L18)</f>
        <v/>
      </c>
      <c r="L18" s="300" t="str">
        <f>IF('PCB Nesting QA'!M18="","",'PCB Nesting QA'!M18)</f>
        <v/>
      </c>
      <c r="M18" s="300" t="str">
        <f>IF('PCB Nesting QA'!N18="","",'PCB Nesting QA'!N18)</f>
        <v/>
      </c>
      <c r="N18" s="300" t="str">
        <f>IF('PCB Nesting QA'!O18="","",'PCB Nesting QA'!O18)</f>
        <v/>
      </c>
      <c r="O18" s="143" t="e">
        <f>'PCB Nesting QA'!P18</f>
        <v>#DIV/0!</v>
      </c>
      <c r="P18" s="535">
        <f>'PCB Nesting QA'!U18</f>
        <v>0</v>
      </c>
      <c r="Q18" s="377">
        <f>'PCB Nesting QA'!T18</f>
        <v>0</v>
      </c>
      <c r="R18" s="377" t="e">
        <f>'PCB Nesting QA'!S18</f>
        <v>#REF!</v>
      </c>
      <c r="S18" s="148" t="str">
        <f>IF('Student Data'!D18="","",Attendance!BO34)</f>
        <v/>
      </c>
      <c r="T18" s="49" t="str">
        <f>IF('Student Data'!D18="","",Attendance!BP34)</f>
        <v/>
      </c>
      <c r="U18" s="73" t="str">
        <f>IF('Student Data'!D18="","",Attendance!BQ34)</f>
        <v/>
      </c>
      <c r="V18" s="331" t="str">
        <f>IF('Perf. Mgmnt'!F91&gt;0,"S4",IF('Perf. Mgmnt'!E91&gt;0,"S3",IF('Perf. Mgmnt'!D91&gt;0,"S2",IF('Perf. Mgmnt'!B91&gt;0,"S1",""))))</f>
        <v/>
      </c>
      <c r="W18" s="86" t="str">
        <f>IF('Perf. Mgmnt'!AA91&gt;0,"FW",IF('Perf. Mgmnt'!Z91&gt;0,"2W",IF('Perf. Mgmnt'!Y91&gt;0,"1W",IF('Perf. Mgmnt'!X91&gt;0,"VW",""))))</f>
        <v/>
      </c>
      <c r="X18" s="86" t="str">
        <f>IF('Perf. Mgmnt'!P91&gt;0,"FW",IF('Perf. Mgmnt'!O91&gt;0,"2W",IF('Perf. Mgmnt'!N91&gt;0,"1W",IF('Perf. Mgmnt'!M91&gt;0,"VW",""))))</f>
        <v/>
      </c>
      <c r="Y18" s="86" t="str">
        <f>IF('Perf. Mgmnt'!Q91&gt;0,"FW","")</f>
        <v/>
      </c>
      <c r="Z18" s="86" t="str">
        <f>IF('Perf. Mgmnt'!S91&gt;0,"FW","")</f>
        <v/>
      </c>
      <c r="AA18" s="332" t="str">
        <f>IF('Perf. Mgmnt'!W91&gt;0,"FW",IF('Perf. Mgmnt'!V91&gt;0,"2W",IF('Perf. Mgmnt'!U91&gt;0,"1W",IF('Perf. Mgmnt'!T91&gt;0,"VW",""))))</f>
        <v/>
      </c>
      <c r="AB18" s="690"/>
      <c r="AC18" s="690"/>
      <c r="AD18" s="690"/>
      <c r="AE18" s="82"/>
      <c r="AF18" s="84"/>
    </row>
    <row r="19" spans="1:32">
      <c r="A19" s="192" t="str">
        <f>'Student Data'!D19&amp;" "&amp;'Student Data'!C19</f>
        <v xml:space="preserve"> </v>
      </c>
      <c r="B19" s="333" t="str">
        <f>Performance!AJ19</f>
        <v/>
      </c>
      <c r="C19" s="300" t="str">
        <f>IF('PCB Nesting QA'!D19="","",'PCB Nesting QA'!D19)</f>
        <v/>
      </c>
      <c r="D19" s="300" t="str">
        <f>IF('PCB Nesting QA'!E19="","",'PCB Nesting QA'!E19)</f>
        <v/>
      </c>
      <c r="E19" s="300" t="str">
        <f>IF('PCB Nesting QA'!F19="","",'PCB Nesting QA'!F19)</f>
        <v/>
      </c>
      <c r="F19" s="300" t="str">
        <f>IF('PCB Nesting QA'!G19="","",'PCB Nesting QA'!G19)</f>
        <v/>
      </c>
      <c r="G19" s="300" t="str">
        <f>IF('PCB Nesting QA'!H19="","",'PCB Nesting QA'!H19)</f>
        <v/>
      </c>
      <c r="H19" s="300" t="str">
        <f>IF('PCB Nesting QA'!I19="","",'PCB Nesting QA'!I19)</f>
        <v/>
      </c>
      <c r="I19" s="300" t="str">
        <f>IF('PCB Nesting QA'!J19="","",'PCB Nesting QA'!J19)</f>
        <v/>
      </c>
      <c r="J19" s="300" t="str">
        <f>IF('PCB Nesting QA'!K19="","",'PCB Nesting QA'!K19)</f>
        <v/>
      </c>
      <c r="K19" s="300" t="str">
        <f>IF('PCB Nesting QA'!L19="","",'PCB Nesting QA'!L19)</f>
        <v/>
      </c>
      <c r="L19" s="300" t="str">
        <f>IF('PCB Nesting QA'!M19="","",'PCB Nesting QA'!M19)</f>
        <v/>
      </c>
      <c r="M19" s="300" t="str">
        <f>IF('PCB Nesting QA'!N19="","",'PCB Nesting QA'!N19)</f>
        <v/>
      </c>
      <c r="N19" s="300" t="str">
        <f>IF('PCB Nesting QA'!O19="","",'PCB Nesting QA'!O19)</f>
        <v/>
      </c>
      <c r="O19" s="143" t="e">
        <f>'PCB Nesting QA'!P19</f>
        <v>#DIV/0!</v>
      </c>
      <c r="P19" s="535">
        <f>'PCB Nesting QA'!U19</f>
        <v>0</v>
      </c>
      <c r="Q19" s="377">
        <f>'PCB Nesting QA'!T19</f>
        <v>0</v>
      </c>
      <c r="R19" s="377" t="e">
        <f>'PCB Nesting QA'!S19</f>
        <v>#REF!</v>
      </c>
      <c r="S19" s="148" t="str">
        <f>IF('Student Data'!D19="","",Attendance!BO35)</f>
        <v/>
      </c>
      <c r="T19" s="49" t="str">
        <f>IF('Student Data'!D19="","",Attendance!BP35)</f>
        <v/>
      </c>
      <c r="U19" s="73" t="str">
        <f>IF('Student Data'!D19="","",Attendance!BQ35)</f>
        <v/>
      </c>
      <c r="V19" s="331" t="str">
        <f>IF('Perf. Mgmnt'!F97&gt;0,"S4",IF('Perf. Mgmnt'!E97&gt;0,"S3",IF('Perf. Mgmnt'!D97&gt;0,"S2",IF('Perf. Mgmnt'!B97&gt;0,"S1",""))))</f>
        <v/>
      </c>
      <c r="W19" s="86" t="str">
        <f>IF('Perf. Mgmnt'!AA97&gt;0,"FW",IF('Perf. Mgmnt'!Z97&gt;0,"2W",IF('Perf. Mgmnt'!Y97&gt;0,"1W",IF('Perf. Mgmnt'!X97&gt;0,"VW",""))))</f>
        <v/>
      </c>
      <c r="X19" s="86" t="str">
        <f>IF('Perf. Mgmnt'!P97&gt;0,"FW",IF('Perf. Mgmnt'!O97&gt;0,"2W",IF('Perf. Mgmnt'!N97&gt;0,"1W",IF('Perf. Mgmnt'!M97&gt;0,"VW",""))))</f>
        <v/>
      </c>
      <c r="Y19" s="86" t="str">
        <f>IF('Perf. Mgmnt'!Q97&gt;0,"FW","")</f>
        <v/>
      </c>
      <c r="Z19" s="86" t="str">
        <f>IF('Perf. Mgmnt'!S97&gt;0,"FW","")</f>
        <v/>
      </c>
      <c r="AA19" s="332" t="str">
        <f>IF('Perf. Mgmnt'!W97&gt;0,"FW",IF('Perf. Mgmnt'!V97&gt;0,"2W",IF('Perf. Mgmnt'!U97&gt;0,"1W",IF('Perf. Mgmnt'!T97&gt;0,"VW",""))))</f>
        <v/>
      </c>
      <c r="AB19" s="690"/>
      <c r="AC19" s="690"/>
      <c r="AD19" s="690"/>
      <c r="AE19" s="82"/>
      <c r="AF19" s="84"/>
    </row>
    <row r="20" spans="1:32">
      <c r="A20" s="192" t="str">
        <f>'Student Data'!D20&amp;" "&amp;'Student Data'!C20</f>
        <v xml:space="preserve"> </v>
      </c>
      <c r="B20" s="333" t="str">
        <f>Performance!AJ20</f>
        <v/>
      </c>
      <c r="C20" s="300" t="str">
        <f>IF('PCB Nesting QA'!D20="","",'PCB Nesting QA'!D20)</f>
        <v/>
      </c>
      <c r="D20" s="300" t="str">
        <f>IF('PCB Nesting QA'!E20="","",'PCB Nesting QA'!E20)</f>
        <v/>
      </c>
      <c r="E20" s="300" t="str">
        <f>IF('PCB Nesting QA'!F20="","",'PCB Nesting QA'!F20)</f>
        <v/>
      </c>
      <c r="F20" s="300" t="str">
        <f>IF('PCB Nesting QA'!G20="","",'PCB Nesting QA'!G20)</f>
        <v/>
      </c>
      <c r="G20" s="300" t="str">
        <f>IF('PCB Nesting QA'!H20="","",'PCB Nesting QA'!H20)</f>
        <v/>
      </c>
      <c r="H20" s="300" t="str">
        <f>IF('PCB Nesting QA'!I20="","",'PCB Nesting QA'!I20)</f>
        <v/>
      </c>
      <c r="I20" s="300" t="str">
        <f>IF('PCB Nesting QA'!J20="","",'PCB Nesting QA'!J20)</f>
        <v/>
      </c>
      <c r="J20" s="300" t="str">
        <f>IF('PCB Nesting QA'!K20="","",'PCB Nesting QA'!K20)</f>
        <v/>
      </c>
      <c r="K20" s="300" t="str">
        <f>IF('PCB Nesting QA'!L20="","",'PCB Nesting QA'!L20)</f>
        <v/>
      </c>
      <c r="L20" s="300" t="str">
        <f>IF('PCB Nesting QA'!M20="","",'PCB Nesting QA'!M20)</f>
        <v/>
      </c>
      <c r="M20" s="300" t="str">
        <f>IF('PCB Nesting QA'!N20="","",'PCB Nesting QA'!N20)</f>
        <v/>
      </c>
      <c r="N20" s="300" t="str">
        <f>IF('PCB Nesting QA'!O20="","",'PCB Nesting QA'!O20)</f>
        <v/>
      </c>
      <c r="O20" s="143" t="e">
        <f>'PCB Nesting QA'!P20</f>
        <v>#DIV/0!</v>
      </c>
      <c r="P20" s="535">
        <f>'PCB Nesting QA'!U20</f>
        <v>0</v>
      </c>
      <c r="Q20" s="377">
        <f>'PCB Nesting QA'!T20</f>
        <v>0</v>
      </c>
      <c r="R20" s="377" t="e">
        <f>'PCB Nesting QA'!S20</f>
        <v>#REF!</v>
      </c>
      <c r="S20" s="148" t="str">
        <f>IF('Student Data'!D20="","",Attendance!BO36)</f>
        <v/>
      </c>
      <c r="T20" s="49" t="str">
        <f>IF('Student Data'!D20="","",Attendance!BP36)</f>
        <v/>
      </c>
      <c r="U20" s="73" t="str">
        <f>IF('Student Data'!D20="","",Attendance!BQ36)</f>
        <v/>
      </c>
      <c r="V20" s="331" t="str">
        <f>IF('Perf. Mgmnt'!F103&gt;0,"S4",IF('Perf. Mgmnt'!E103&gt;0,"S3",IF('Perf. Mgmnt'!D103&gt;0,"S2",IF('Perf. Mgmnt'!B103&gt;0,"S1",""))))</f>
        <v/>
      </c>
      <c r="W20" s="86" t="str">
        <f>IF('Perf. Mgmnt'!AA103&gt;0,"FW",IF('Perf. Mgmnt'!Z103&gt;0,"2W",IF('Perf. Mgmnt'!Y103&gt;0,"1W",IF('Perf. Mgmnt'!X103&gt;0,"VW",""))))</f>
        <v/>
      </c>
      <c r="X20" s="86" t="str">
        <f>IF('Perf. Mgmnt'!P103&gt;0,"FW",IF('Perf. Mgmnt'!O103&gt;0,"2W",IF('Perf. Mgmnt'!N103&gt;0,"1W",IF('Perf. Mgmnt'!M103&gt;0,"VW",""))))</f>
        <v/>
      </c>
      <c r="Y20" s="86" t="str">
        <f>IF('Perf. Mgmnt'!Q103&gt;0,"FW","")</f>
        <v/>
      </c>
      <c r="Z20" s="86" t="str">
        <f>IF('Perf. Mgmnt'!S103&gt;0,"FW","")</f>
        <v/>
      </c>
      <c r="AA20" s="332" t="str">
        <f>IF('Perf. Mgmnt'!W103&gt;0,"FW",IF('Perf. Mgmnt'!V103&gt;0,"2W",IF('Perf. Mgmnt'!U103&gt;0,"1W",IF('Perf. Mgmnt'!T103&gt;0,"VW",""))))</f>
        <v/>
      </c>
      <c r="AB20" s="690"/>
      <c r="AC20" s="690"/>
      <c r="AD20" s="690"/>
      <c r="AE20" s="82"/>
      <c r="AF20" s="84"/>
    </row>
    <row r="21" spans="1:32">
      <c r="A21" s="192" t="str">
        <f>'Student Data'!D21&amp;" "&amp;'Student Data'!C21</f>
        <v xml:space="preserve"> </v>
      </c>
      <c r="B21" s="333" t="str">
        <f>Performance!AJ21</f>
        <v/>
      </c>
      <c r="C21" s="300" t="str">
        <f>IF('PCB Nesting QA'!D21="","",'PCB Nesting QA'!D21)</f>
        <v/>
      </c>
      <c r="D21" s="300" t="str">
        <f>IF('PCB Nesting QA'!E21="","",'PCB Nesting QA'!E21)</f>
        <v/>
      </c>
      <c r="E21" s="300" t="str">
        <f>IF('PCB Nesting QA'!F21="","",'PCB Nesting QA'!F21)</f>
        <v/>
      </c>
      <c r="F21" s="300" t="str">
        <f>IF('PCB Nesting QA'!G21="","",'PCB Nesting QA'!G21)</f>
        <v/>
      </c>
      <c r="G21" s="300" t="str">
        <f>IF('PCB Nesting QA'!H21="","",'PCB Nesting QA'!H21)</f>
        <v/>
      </c>
      <c r="H21" s="300" t="str">
        <f>IF('PCB Nesting QA'!I21="","",'PCB Nesting QA'!I21)</f>
        <v/>
      </c>
      <c r="I21" s="300" t="str">
        <f>IF('PCB Nesting QA'!J21="","",'PCB Nesting QA'!J21)</f>
        <v/>
      </c>
      <c r="J21" s="300" t="str">
        <f>IF('PCB Nesting QA'!K21="","",'PCB Nesting QA'!K21)</f>
        <v/>
      </c>
      <c r="K21" s="300" t="str">
        <f>IF('PCB Nesting QA'!L21="","",'PCB Nesting QA'!L21)</f>
        <v/>
      </c>
      <c r="L21" s="300" t="str">
        <f>IF('PCB Nesting QA'!M21="","",'PCB Nesting QA'!M21)</f>
        <v/>
      </c>
      <c r="M21" s="300" t="str">
        <f>IF('PCB Nesting QA'!N21="","",'PCB Nesting QA'!N21)</f>
        <v/>
      </c>
      <c r="N21" s="300" t="str">
        <f>IF('PCB Nesting QA'!O21="","",'PCB Nesting QA'!O21)</f>
        <v/>
      </c>
      <c r="O21" s="143" t="e">
        <f>'PCB Nesting QA'!P21</f>
        <v>#DIV/0!</v>
      </c>
      <c r="P21" s="535">
        <f>'PCB Nesting QA'!U21</f>
        <v>0</v>
      </c>
      <c r="Q21" s="377">
        <f>'PCB Nesting QA'!T21</f>
        <v>0</v>
      </c>
      <c r="R21" s="377" t="e">
        <f>'PCB Nesting QA'!S21</f>
        <v>#REF!</v>
      </c>
      <c r="S21" s="148" t="str">
        <f>IF('Student Data'!D21="","",Attendance!BO37)</f>
        <v/>
      </c>
      <c r="T21" s="49" t="str">
        <f>IF('Student Data'!D21="","",Attendance!BP37)</f>
        <v/>
      </c>
      <c r="U21" s="73" t="str">
        <f>IF('Student Data'!D21="","",Attendance!BQ37)</f>
        <v/>
      </c>
      <c r="V21" s="331" t="str">
        <f>IF('Perf. Mgmnt'!F109&gt;0,"S4",IF('Perf. Mgmnt'!E109&gt;0,"S3",IF('Perf. Mgmnt'!D109&gt;0,"S2",IF('Perf. Mgmnt'!B109&gt;0,"S1",""))))</f>
        <v/>
      </c>
      <c r="W21" s="86" t="str">
        <f>IF('Perf. Mgmnt'!AA109&gt;0,"FW",IF('Perf. Mgmnt'!Z109&gt;0,"2W",IF('Perf. Mgmnt'!Y109&gt;0,"1W",IF('Perf. Mgmnt'!X109&gt;0,"VW",""))))</f>
        <v/>
      </c>
      <c r="X21" s="86" t="str">
        <f>IF('Perf. Mgmnt'!P109&gt;0,"FW",IF('Perf. Mgmnt'!O109&gt;0,"2W",IF('Perf. Mgmnt'!N109&gt;0,"1W",IF('Perf. Mgmnt'!M109&gt;0,"VW",""))))</f>
        <v/>
      </c>
      <c r="Y21" s="86" t="str">
        <f>IF('Perf. Mgmnt'!Q109&gt;0,"FW","")</f>
        <v/>
      </c>
      <c r="Z21" s="86" t="str">
        <f>IF('Perf. Mgmnt'!S109&gt;0,"FW","")</f>
        <v/>
      </c>
      <c r="AA21" s="332" t="str">
        <f>IF('Perf. Mgmnt'!W109&gt;0,"FW",IF('Perf. Mgmnt'!V109&gt;0,"2W",IF('Perf. Mgmnt'!U109&gt;0,"1W",IF('Perf. Mgmnt'!T109&gt;0,"VW",""))))</f>
        <v/>
      </c>
      <c r="AB21" s="690"/>
      <c r="AC21" s="690"/>
      <c r="AD21" s="690"/>
      <c r="AE21" s="82"/>
      <c r="AF21" s="84"/>
    </row>
    <row r="22" spans="1:32">
      <c r="A22" s="192" t="str">
        <f>'Student Data'!D22&amp;" "&amp;'Student Data'!C22</f>
        <v xml:space="preserve"> </v>
      </c>
      <c r="B22" s="333" t="str">
        <f>Performance!AJ22</f>
        <v/>
      </c>
      <c r="C22" s="300" t="str">
        <f>IF('PCB Nesting QA'!D22="","",'PCB Nesting QA'!D22)</f>
        <v/>
      </c>
      <c r="D22" s="300" t="str">
        <f>IF('PCB Nesting QA'!E22="","",'PCB Nesting QA'!E22)</f>
        <v/>
      </c>
      <c r="E22" s="300" t="str">
        <f>IF('PCB Nesting QA'!F22="","",'PCB Nesting QA'!F22)</f>
        <v/>
      </c>
      <c r="F22" s="300" t="str">
        <f>IF('PCB Nesting QA'!G22="","",'PCB Nesting QA'!G22)</f>
        <v/>
      </c>
      <c r="G22" s="300" t="str">
        <f>IF('PCB Nesting QA'!H22="","",'PCB Nesting QA'!H22)</f>
        <v/>
      </c>
      <c r="H22" s="300" t="str">
        <f>IF('PCB Nesting QA'!I22="","",'PCB Nesting QA'!I22)</f>
        <v/>
      </c>
      <c r="I22" s="300" t="str">
        <f>IF('PCB Nesting QA'!J22="","",'PCB Nesting QA'!J22)</f>
        <v/>
      </c>
      <c r="J22" s="300" t="str">
        <f>IF('PCB Nesting QA'!K22="","",'PCB Nesting QA'!K22)</f>
        <v/>
      </c>
      <c r="K22" s="300" t="str">
        <f>IF('PCB Nesting QA'!L22="","",'PCB Nesting QA'!L22)</f>
        <v/>
      </c>
      <c r="L22" s="300" t="str">
        <f>IF('PCB Nesting QA'!M22="","",'PCB Nesting QA'!M22)</f>
        <v/>
      </c>
      <c r="M22" s="300" t="str">
        <f>IF('PCB Nesting QA'!N22="","",'PCB Nesting QA'!N22)</f>
        <v/>
      </c>
      <c r="N22" s="300" t="str">
        <f>IF('PCB Nesting QA'!O22="","",'PCB Nesting QA'!O22)</f>
        <v/>
      </c>
      <c r="O22" s="143" t="e">
        <f>'PCB Nesting QA'!P22</f>
        <v>#DIV/0!</v>
      </c>
      <c r="P22" s="535">
        <f>'PCB Nesting QA'!U22</f>
        <v>0</v>
      </c>
      <c r="Q22" s="377">
        <f>'PCB Nesting QA'!T22</f>
        <v>0</v>
      </c>
      <c r="R22" s="377" t="e">
        <f>'PCB Nesting QA'!S22</f>
        <v>#REF!</v>
      </c>
      <c r="S22" s="148" t="str">
        <f>IF('Student Data'!D22="","",Attendance!BO38)</f>
        <v/>
      </c>
      <c r="T22" s="49" t="str">
        <f>IF('Student Data'!D22="","",Attendance!BP38)</f>
        <v/>
      </c>
      <c r="U22" s="73" t="str">
        <f>IF('Student Data'!D22="","",Attendance!BQ38)</f>
        <v/>
      </c>
      <c r="V22" s="331" t="str">
        <f>IF('Perf. Mgmnt'!F115&gt;0,"S4",IF('Perf. Mgmnt'!E115&gt;0,"S3",IF('Perf. Mgmnt'!D115&gt;0,"S2",IF('Perf. Mgmnt'!B115&gt;0,"S1",""))))</f>
        <v/>
      </c>
      <c r="W22" s="86" t="str">
        <f>IF('Perf. Mgmnt'!AA115&gt;0,"FW",IF('Perf. Mgmnt'!Z115&gt;0,"2W",IF('Perf. Mgmnt'!Y115&gt;0,"1W",IF('Perf. Mgmnt'!X115&gt;0,"VW",""))))</f>
        <v/>
      </c>
      <c r="X22" s="86" t="str">
        <f>IF('Perf. Mgmnt'!P115&gt;0,"FW",IF('Perf. Mgmnt'!O115&gt;0,"2W",IF('Perf. Mgmnt'!N115&gt;0,"1W",IF('Perf. Mgmnt'!M115&gt;0,"VW",""))))</f>
        <v/>
      </c>
      <c r="Y22" s="86" t="str">
        <f>IF('Perf. Mgmnt'!Q115&gt;0,"FW","")</f>
        <v/>
      </c>
      <c r="Z22" s="86" t="str">
        <f>IF('Perf. Mgmnt'!S115&gt;0,"FW","")</f>
        <v/>
      </c>
      <c r="AA22" s="332" t="str">
        <f>IF('Perf. Mgmnt'!W115&gt;0,"FW",IF('Perf. Mgmnt'!V115&gt;0,"2W",IF('Perf. Mgmnt'!U115&gt;0,"1W",IF('Perf. Mgmnt'!T115&gt;0,"VW",""))))</f>
        <v/>
      </c>
      <c r="AB22" s="690"/>
      <c r="AC22" s="690"/>
      <c r="AD22" s="690"/>
      <c r="AE22" s="82"/>
      <c r="AF22" s="84"/>
    </row>
    <row r="23" spans="1:32">
      <c r="A23" s="192" t="str">
        <f>'Student Data'!D23&amp;" "&amp;'Student Data'!C23</f>
        <v xml:space="preserve"> </v>
      </c>
      <c r="B23" s="333" t="str">
        <f>Performance!AJ23</f>
        <v/>
      </c>
      <c r="C23" s="300" t="str">
        <f>IF('PCB Nesting QA'!D23="","",'PCB Nesting QA'!D23)</f>
        <v/>
      </c>
      <c r="D23" s="300" t="str">
        <f>IF('PCB Nesting QA'!E23="","",'PCB Nesting QA'!E23)</f>
        <v/>
      </c>
      <c r="E23" s="300" t="str">
        <f>IF('PCB Nesting QA'!F23="","",'PCB Nesting QA'!F23)</f>
        <v/>
      </c>
      <c r="F23" s="300" t="str">
        <f>IF('PCB Nesting QA'!G23="","",'PCB Nesting QA'!G23)</f>
        <v/>
      </c>
      <c r="G23" s="300" t="str">
        <f>IF('PCB Nesting QA'!H23="","",'PCB Nesting QA'!H23)</f>
        <v/>
      </c>
      <c r="H23" s="300" t="str">
        <f>IF('PCB Nesting QA'!I23="","",'PCB Nesting QA'!I23)</f>
        <v/>
      </c>
      <c r="I23" s="300" t="str">
        <f>IF('PCB Nesting QA'!J23="","",'PCB Nesting QA'!J23)</f>
        <v/>
      </c>
      <c r="J23" s="300" t="str">
        <f>IF('PCB Nesting QA'!K23="","",'PCB Nesting QA'!K23)</f>
        <v/>
      </c>
      <c r="K23" s="300" t="str">
        <f>IF('PCB Nesting QA'!L23="","",'PCB Nesting QA'!L23)</f>
        <v/>
      </c>
      <c r="L23" s="300" t="str">
        <f>IF('PCB Nesting QA'!M23="","",'PCB Nesting QA'!M23)</f>
        <v/>
      </c>
      <c r="M23" s="300" t="str">
        <f>IF('PCB Nesting QA'!N23="","",'PCB Nesting QA'!N23)</f>
        <v/>
      </c>
      <c r="N23" s="300" t="str">
        <f>IF('PCB Nesting QA'!O23="","",'PCB Nesting QA'!O23)</f>
        <v/>
      </c>
      <c r="O23" s="143" t="e">
        <f>'PCB Nesting QA'!P23</f>
        <v>#DIV/0!</v>
      </c>
      <c r="P23" s="535">
        <f>'PCB Nesting QA'!U23</f>
        <v>0</v>
      </c>
      <c r="Q23" s="377">
        <f>'PCB Nesting QA'!T23</f>
        <v>0</v>
      </c>
      <c r="R23" s="377" t="e">
        <f>'PCB Nesting QA'!S23</f>
        <v>#REF!</v>
      </c>
      <c r="S23" s="148" t="str">
        <f>IF('Student Data'!D23="","",Attendance!BO39)</f>
        <v/>
      </c>
      <c r="T23" s="49" t="str">
        <f>IF('Student Data'!D23="","",Attendance!BP39)</f>
        <v/>
      </c>
      <c r="U23" s="73" t="str">
        <f>IF('Student Data'!D23="","",Attendance!BQ39)</f>
        <v/>
      </c>
      <c r="V23" s="331" t="str">
        <f>IF('Perf. Mgmnt'!F121&gt;0,"S4",IF('Perf. Mgmnt'!E121&gt;0,"S3",IF('Perf. Mgmnt'!D121&gt;0,"S2",IF('Perf. Mgmnt'!B121&gt;0,"S1",""))))</f>
        <v/>
      </c>
      <c r="W23" s="86" t="str">
        <f>IF('Perf. Mgmnt'!AA121&gt;0,"FW",IF('Perf. Mgmnt'!Z121&gt;0,"2W",IF('Perf. Mgmnt'!Y121&gt;0,"1W",IF('Perf. Mgmnt'!X121&gt;0,"VW",""))))</f>
        <v/>
      </c>
      <c r="X23" s="86" t="str">
        <f>IF('Perf. Mgmnt'!P121&gt;0,"FW",IF('Perf. Mgmnt'!O121&gt;0,"2W",IF('Perf. Mgmnt'!N121&gt;0,"1W",IF('Perf. Mgmnt'!M121&gt;0,"VW",""))))</f>
        <v/>
      </c>
      <c r="Y23" s="86" t="str">
        <f>IF('Perf. Mgmnt'!Q121&gt;0,"FW","")</f>
        <v/>
      </c>
      <c r="Z23" s="86" t="str">
        <f>IF('Perf. Mgmnt'!S121&gt;0,"FW","")</f>
        <v/>
      </c>
      <c r="AA23" s="332" t="str">
        <f>IF('Perf. Mgmnt'!W121&gt;0,"FW",IF('Perf. Mgmnt'!V121&gt;0,"2W",IF('Perf. Mgmnt'!U121&gt;0,"1W",IF('Perf. Mgmnt'!T121&gt;0,"VW",""))))</f>
        <v/>
      </c>
      <c r="AB23" s="690"/>
      <c r="AC23" s="690"/>
      <c r="AD23" s="690"/>
      <c r="AE23" s="82"/>
      <c r="AF23" s="84"/>
    </row>
    <row r="25" spans="1:32">
      <c r="S25" s="960" t="s">
        <v>593</v>
      </c>
      <c r="T25" s="960"/>
      <c r="U25" s="960"/>
      <c r="V25" s="45" t="s">
        <v>594</v>
      </c>
      <c r="W25" t="s">
        <v>595</v>
      </c>
    </row>
    <row r="26" spans="1:32">
      <c r="A26" s="54" t="s">
        <v>596</v>
      </c>
      <c r="V26" s="45"/>
    </row>
    <row r="27" spans="1:32">
      <c r="A27" s="54" t="s">
        <v>597</v>
      </c>
      <c r="V27" s="45"/>
    </row>
    <row r="28" spans="1:32">
      <c r="A28" s="54" t="s">
        <v>598</v>
      </c>
      <c r="V28" s="45"/>
    </row>
    <row r="29" spans="1:32">
      <c r="A29" s="54" t="s">
        <v>599</v>
      </c>
      <c r="V29" s="45"/>
    </row>
    <row r="30" spans="1:32">
      <c r="A30" s="54" t="s">
        <v>600</v>
      </c>
      <c r="V30" s="45"/>
    </row>
    <row r="31" spans="1:32">
      <c r="A31" s="54" t="s">
        <v>601</v>
      </c>
      <c r="V31" s="45"/>
    </row>
    <row r="32" spans="1:32">
      <c r="A32" s="54" t="s">
        <v>602</v>
      </c>
      <c r="V32" s="45"/>
    </row>
    <row r="33" spans="1:23">
      <c r="A33" s="54" t="s">
        <v>603</v>
      </c>
      <c r="V33" s="45"/>
    </row>
    <row r="34" spans="1:23">
      <c r="A34" s="54" t="s">
        <v>604</v>
      </c>
      <c r="V34" s="45"/>
    </row>
    <row r="35" spans="1:23">
      <c r="A35" s="54" t="s">
        <v>605</v>
      </c>
      <c r="V35" s="45"/>
    </row>
    <row r="36" spans="1:23">
      <c r="A36" s="54" t="s">
        <v>606</v>
      </c>
      <c r="V36" s="45"/>
    </row>
    <row r="37" spans="1:23">
      <c r="A37" s="54" t="s">
        <v>607</v>
      </c>
      <c r="V37" s="45"/>
    </row>
    <row r="38" spans="1:23">
      <c r="A38" s="54" t="s">
        <v>608</v>
      </c>
      <c r="V38" s="45"/>
    </row>
    <row r="39" spans="1:23">
      <c r="A39" s="54" t="s">
        <v>609</v>
      </c>
      <c r="V39" s="45"/>
    </row>
    <row r="40" spans="1:23">
      <c r="A40" s="54" t="s">
        <v>610</v>
      </c>
      <c r="V40" s="45"/>
    </row>
    <row r="41" spans="1:23">
      <c r="A41" s="54" t="s">
        <v>611</v>
      </c>
      <c r="V41" s="45"/>
    </row>
    <row r="42" spans="1:23">
      <c r="A42" s="54" t="s">
        <v>612</v>
      </c>
      <c r="V42" s="45"/>
    </row>
    <row r="43" spans="1:23">
      <c r="A43" s="54" t="s">
        <v>613</v>
      </c>
      <c r="V43" s="45"/>
    </row>
    <row r="44" spans="1:23">
      <c r="A44" s="54" t="s">
        <v>614</v>
      </c>
      <c r="V44" s="45"/>
    </row>
    <row r="45" spans="1:23">
      <c r="A45" s="54" t="s">
        <v>615</v>
      </c>
      <c r="V45" s="45"/>
    </row>
    <row r="46" spans="1:23">
      <c r="A46" s="54" t="s">
        <v>616</v>
      </c>
      <c r="V46" s="45"/>
    </row>
    <row r="47" spans="1:23">
      <c r="A47" s="54" t="s">
        <v>617</v>
      </c>
      <c r="V47" s="45"/>
    </row>
    <row r="48" spans="1:23">
      <c r="V48" s="45" t="s">
        <v>618</v>
      </c>
      <c r="W48" t="s">
        <v>619</v>
      </c>
    </row>
    <row r="49" spans="1:23">
      <c r="V49" s="45" t="s">
        <v>620</v>
      </c>
      <c r="W49" t="s">
        <v>621</v>
      </c>
    </row>
    <row r="50" spans="1:23">
      <c r="V50" s="45" t="s">
        <v>622</v>
      </c>
      <c r="W50" t="s">
        <v>623</v>
      </c>
    </row>
    <row r="51" spans="1:23">
      <c r="V51" s="45" t="s">
        <v>614</v>
      </c>
      <c r="W51" t="s">
        <v>624</v>
      </c>
    </row>
    <row r="52" spans="1:23">
      <c r="V52" s="45" t="s">
        <v>615</v>
      </c>
      <c r="W52" t="s">
        <v>625</v>
      </c>
    </row>
    <row r="53" spans="1:23">
      <c r="V53" s="45" t="s">
        <v>616</v>
      </c>
      <c r="W53" t="s">
        <v>626</v>
      </c>
    </row>
    <row r="54" spans="1:23">
      <c r="V54" s="45" t="s">
        <v>617</v>
      </c>
      <c r="W54" t="s">
        <v>627</v>
      </c>
    </row>
    <row r="62" spans="1:23">
      <c r="A62" s="46" t="s">
        <v>588</v>
      </c>
    </row>
    <row r="63" spans="1:23">
      <c r="A63" s="46" t="s">
        <v>589</v>
      </c>
    </row>
    <row r="64" spans="1:23">
      <c r="A64" s="46" t="s">
        <v>591</v>
      </c>
    </row>
    <row r="65" spans="1:1">
      <c r="A65" s="46" t="s">
        <v>592</v>
      </c>
    </row>
    <row r="66" spans="1:1">
      <c r="A66" s="46" t="s">
        <v>590</v>
      </c>
    </row>
  </sheetData>
  <sheetProtection formatCells="0"/>
  <mergeCells count="12">
    <mergeCell ref="S25:U25"/>
    <mergeCell ref="A3:A4"/>
    <mergeCell ref="C3:O3"/>
    <mergeCell ref="S3:U3"/>
    <mergeCell ref="V3:AA3"/>
    <mergeCell ref="P3:R3"/>
    <mergeCell ref="AF3:AF4"/>
    <mergeCell ref="I1:J1"/>
    <mergeCell ref="AB3:AB4"/>
    <mergeCell ref="AC3:AC4"/>
    <mergeCell ref="AD3:AD4"/>
    <mergeCell ref="AE3:AE4"/>
  </mergeCells>
  <phoneticPr fontId="59" type="noConversion"/>
  <conditionalFormatting sqref="O5:R23">
    <cfRule type="cellIs" dxfId="731" priority="8" operator="between">
      <formula>0.1</formula>
      <formula>0.74999</formula>
    </cfRule>
    <cfRule type="cellIs" dxfId="730" priority="9" operator="greaterThan">
      <formula>0.75</formula>
    </cfRule>
  </conditionalFormatting>
  <conditionalFormatting sqref="O5:R23">
    <cfRule type="cellIs" dxfId="729" priority="6" operator="equal">
      <formula>"Off Brand"</formula>
    </cfRule>
    <cfRule type="cellIs" dxfId="728" priority="7" operator="equal">
      <formula>"On Brand"</formula>
    </cfRule>
  </conditionalFormatting>
  <conditionalFormatting sqref="AB5:AD23">
    <cfRule type="cellIs" dxfId="727" priority="1" operator="equal">
      <formula>"Extended"</formula>
    </cfRule>
    <cfRule type="cellIs" dxfId="726" priority="2" operator="equal">
      <formula>"Rewaved"</formula>
    </cfRule>
    <cfRule type="cellIs" dxfId="725" priority="3" operator="equal">
      <formula>"Terminated"</formula>
    </cfRule>
    <cfRule type="cellIs" dxfId="724" priority="4" operator="equal">
      <formula>"Pending"</formula>
    </cfRule>
    <cfRule type="cellIs" dxfId="723" priority="5" operator="equal">
      <formula>"Transition"</formula>
    </cfRule>
  </conditionalFormatting>
  <dataValidations count="1">
    <dataValidation type="list" allowBlank="1" showInputMessage="1" showErrorMessage="1" sqref="AB5:AD23" xr:uid="{00000000-0002-0000-1000-000000000000}">
      <formula1>$A$62:$A$66</formula1>
    </dataValidation>
  </dataValidations>
  <hyperlinks>
    <hyperlink ref="A1" location="'Quick Links'!A1" display="Home" xr:uid="{9D374327-43FC-43C8-A7AC-CD6E3065CF16}"/>
  </hyperlinks>
  <pageMargins left="0.7" right="0.7" top="0.75" bottom="0.75" header="0.3" footer="0.3"/>
  <pageSetup paperSize="5" scale="82" fitToHeight="0" orientation="landscape"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AP110"/>
  <sheetViews>
    <sheetView zoomScale="85" zoomScaleNormal="85" workbookViewId="0">
      <selection activeCell="G7" sqref="G7"/>
    </sheetView>
  </sheetViews>
  <sheetFormatPr defaultColWidth="9.140625" defaultRowHeight="15" customHeight="1"/>
  <cols>
    <col min="1" max="1" width="3.28515625" style="465" customWidth="1"/>
    <col min="2" max="2" width="14.5703125" style="465" bestFit="1" customWidth="1"/>
    <col min="3" max="3" width="15.28515625" style="465" bestFit="1" customWidth="1"/>
    <col min="4" max="6" width="9.140625" style="465"/>
    <col min="7" max="15" width="9.140625" style="465" customWidth="1"/>
    <col min="16" max="16" width="9.140625" style="465"/>
    <col min="17" max="17" width="6" style="465" customWidth="1"/>
    <col min="18" max="18" width="9.140625" style="465"/>
    <col min="19" max="23" width="9.140625" style="465" customWidth="1"/>
    <col min="24" max="16384" width="9.140625" style="465"/>
  </cols>
  <sheetData>
    <row r="1" spans="1:22" ht="21">
      <c r="B1" s="466"/>
      <c r="D1" s="975"/>
      <c r="E1" s="975"/>
      <c r="F1" s="975"/>
      <c r="G1" s="975"/>
      <c r="H1" s="975"/>
      <c r="I1" s="975"/>
      <c r="J1" s="975"/>
      <c r="K1" s="975"/>
      <c r="L1" s="975"/>
      <c r="M1" s="975"/>
      <c r="N1" s="975"/>
      <c r="O1" s="975"/>
    </row>
    <row r="2" spans="1:22" ht="36.75" customHeight="1">
      <c r="D2" s="972" t="s">
        <v>628</v>
      </c>
      <c r="E2" s="972"/>
      <c r="F2" s="972"/>
      <c r="G2" s="973" t="s">
        <v>629</v>
      </c>
      <c r="H2" s="973"/>
      <c r="I2" s="973"/>
      <c r="J2" s="973"/>
      <c r="K2" s="974" t="s">
        <v>630</v>
      </c>
      <c r="L2" s="974"/>
      <c r="M2" s="974"/>
      <c r="N2" s="974"/>
      <c r="O2" s="974"/>
      <c r="P2" s="976" t="s">
        <v>528</v>
      </c>
      <c r="Q2" s="467"/>
      <c r="R2" s="980" t="s">
        <v>631</v>
      </c>
      <c r="S2" s="980"/>
      <c r="T2" s="980"/>
      <c r="U2" s="980"/>
      <c r="V2" s="980"/>
    </row>
    <row r="3" spans="1:22" ht="31.15" customHeight="1">
      <c r="D3" s="972"/>
      <c r="E3" s="972"/>
      <c r="F3" s="972"/>
      <c r="G3" s="973"/>
      <c r="H3" s="973"/>
      <c r="I3" s="973"/>
      <c r="J3" s="973"/>
      <c r="K3" s="974"/>
      <c r="L3" s="974"/>
      <c r="M3" s="974"/>
      <c r="N3" s="974"/>
      <c r="O3" s="974"/>
      <c r="P3" s="976"/>
      <c r="Q3" s="467"/>
      <c r="R3" s="468"/>
      <c r="S3" s="468"/>
      <c r="T3" s="468"/>
      <c r="U3" s="468"/>
      <c r="V3" s="468"/>
    </row>
    <row r="4" spans="1:22" ht="43.5" customHeight="1">
      <c r="A4" s="469"/>
      <c r="B4" s="488" t="s">
        <v>159</v>
      </c>
      <c r="C4" s="488" t="s">
        <v>160</v>
      </c>
      <c r="D4" s="489" t="s">
        <v>632</v>
      </c>
      <c r="E4" s="489" t="s">
        <v>633</v>
      </c>
      <c r="F4" s="489" t="s">
        <v>634</v>
      </c>
      <c r="G4" s="489" t="s">
        <v>635</v>
      </c>
      <c r="H4" s="489" t="s">
        <v>636</v>
      </c>
      <c r="I4" s="489" t="s">
        <v>637</v>
      </c>
      <c r="J4" s="489" t="s">
        <v>638</v>
      </c>
      <c r="K4" s="489" t="s">
        <v>639</v>
      </c>
      <c r="L4" s="489" t="s">
        <v>640</v>
      </c>
      <c r="M4" s="489" t="s">
        <v>641</v>
      </c>
      <c r="N4" s="489" t="s">
        <v>642</v>
      </c>
      <c r="O4" s="489" t="s">
        <v>643</v>
      </c>
      <c r="P4" s="976"/>
      <c r="Q4" s="472"/>
      <c r="R4" s="470" t="s">
        <v>644</v>
      </c>
      <c r="S4" s="471" t="s">
        <v>183</v>
      </c>
      <c r="T4" s="471" t="s">
        <v>184</v>
      </c>
      <c r="U4" s="531" t="s">
        <v>185</v>
      </c>
      <c r="V4" s="471" t="s">
        <v>645</v>
      </c>
    </row>
    <row r="5" spans="1:22" ht="13.5">
      <c r="A5" s="473">
        <v>1</v>
      </c>
      <c r="B5" s="474" t="str">
        <f>'Student Data'!C5</f>
        <v>Rnne</v>
      </c>
      <c r="C5" s="492" t="str">
        <f>'Student Data'!D5</f>
        <v>Donna</v>
      </c>
      <c r="D5" s="490"/>
      <c r="E5" s="490"/>
      <c r="F5" s="490"/>
      <c r="G5" s="490"/>
      <c r="H5" s="490"/>
      <c r="I5" s="490"/>
      <c r="J5" s="490"/>
      <c r="K5" s="490"/>
      <c r="L5" s="490"/>
      <c r="M5" s="490"/>
      <c r="N5" s="490"/>
      <c r="O5" s="490"/>
      <c r="P5" s="491" t="e">
        <f>AVERAGE(D5:O5)</f>
        <v>#DIV/0!</v>
      </c>
      <c r="Q5" s="475"/>
      <c r="R5" s="476">
        <f>COUNTIF(D5:O5,"&gt;74.9%")</f>
        <v>0</v>
      </c>
      <c r="S5" s="476" t="e">
        <f>COUNTIF('KPI Dashboard'!#REF!,"&gt;84.9")</f>
        <v>#REF!</v>
      </c>
      <c r="T5" s="533">
        <f>COUNTIF('KPI Dashboard'!AO6:BK6,"&lt;750")</f>
        <v>0</v>
      </c>
      <c r="U5" s="532">
        <f>COUNTIF('KPI Dashboard'!P6:AL6,"&lt;120")</f>
        <v>0</v>
      </c>
      <c r="V5" s="534" t="e">
        <f>AVERAGE(R5:U5)</f>
        <v>#REF!</v>
      </c>
    </row>
    <row r="6" spans="1:22" ht="13.5">
      <c r="A6" s="477">
        <f>A5+1</f>
        <v>2</v>
      </c>
      <c r="B6" s="474" t="str">
        <f>'Student Data'!C6</f>
        <v xml:space="preserve">Aquino </v>
      </c>
      <c r="C6" s="492" t="str">
        <f>'Student Data'!D6</f>
        <v>Summer</v>
      </c>
      <c r="D6" s="490"/>
      <c r="E6" s="490"/>
      <c r="F6" s="490"/>
      <c r="G6" s="490"/>
      <c r="H6" s="490"/>
      <c r="I6" s="490"/>
      <c r="J6" s="490"/>
      <c r="K6" s="490"/>
      <c r="L6" s="490"/>
      <c r="M6" s="490"/>
      <c r="N6" s="490"/>
      <c r="O6" s="490"/>
      <c r="P6" s="491" t="e">
        <f>AVERAGE(D6:O6)</f>
        <v>#DIV/0!</v>
      </c>
      <c r="Q6" s="475"/>
      <c r="R6" s="476">
        <f>COUNTIF(D6:O6,"&gt;74.9%")</f>
        <v>0</v>
      </c>
      <c r="S6" s="476" t="e">
        <f>COUNTIF('KPI Dashboard'!#REF!,"&gt;84.9")</f>
        <v>#REF!</v>
      </c>
      <c r="T6" s="533">
        <f>COUNTIF('KPI Dashboard'!AO7:BK7,"&lt;750")</f>
        <v>0</v>
      </c>
      <c r="U6" s="532">
        <f>COUNTIF('KPI Dashboard'!P7:AL7,"&lt;120")</f>
        <v>0</v>
      </c>
      <c r="V6" s="534" t="e">
        <f t="shared" ref="V6:V23" si="0">AVERAGE(R6:U6)</f>
        <v>#REF!</v>
      </c>
    </row>
    <row r="7" spans="1:22" ht="13.5">
      <c r="A7" s="477">
        <f t="shared" ref="A7:A23" si="1">A6+1</f>
        <v>3</v>
      </c>
      <c r="B7" s="474" t="str">
        <f>'Student Data'!C7</f>
        <v xml:space="preserve">Reyes </v>
      </c>
      <c r="C7" s="492" t="str">
        <f>'Student Data'!D7</f>
        <v>Joana</v>
      </c>
      <c r="D7" s="490"/>
      <c r="E7" s="490"/>
      <c r="F7" s="490"/>
      <c r="G7" s="490"/>
      <c r="H7" s="490"/>
      <c r="I7" s="490"/>
      <c r="J7" s="490"/>
      <c r="K7" s="490"/>
      <c r="L7" s="490"/>
      <c r="M7" s="490"/>
      <c r="N7" s="490"/>
      <c r="O7" s="490"/>
      <c r="P7" s="491" t="e">
        <f>AVERAGE(D7:O7)</f>
        <v>#DIV/0!</v>
      </c>
      <c r="Q7" s="475"/>
      <c r="R7" s="476">
        <f>COUNTIF(D7:O7,"&gt;74.9%")</f>
        <v>0</v>
      </c>
      <c r="S7" s="476" t="e">
        <f>COUNTIF('KPI Dashboard'!#REF!,"&gt;84.9")</f>
        <v>#REF!</v>
      </c>
      <c r="T7" s="533">
        <f>COUNTIF('KPI Dashboard'!AO8:BK8,"&lt;750")</f>
        <v>0</v>
      </c>
      <c r="U7" s="532">
        <f>COUNTIF('KPI Dashboard'!P8:AL8,"&lt;120")</f>
        <v>0</v>
      </c>
      <c r="V7" s="534" t="e">
        <f t="shared" si="0"/>
        <v>#REF!</v>
      </c>
    </row>
    <row r="8" spans="1:22" ht="13.5">
      <c r="A8" s="477">
        <f t="shared" si="1"/>
        <v>4</v>
      </c>
      <c r="B8" s="474" t="str">
        <f>'Student Data'!C8</f>
        <v>Manuel</v>
      </c>
      <c r="C8" s="492" t="str">
        <f>'Student Data'!D8</f>
        <v>Quezon</v>
      </c>
      <c r="D8" s="490"/>
      <c r="E8" s="490"/>
      <c r="F8" s="490"/>
      <c r="G8" s="490"/>
      <c r="H8" s="490"/>
      <c r="I8" s="490"/>
      <c r="J8" s="490"/>
      <c r="K8" s="490"/>
      <c r="L8" s="490"/>
      <c r="M8" s="490"/>
      <c r="N8" s="490"/>
      <c r="O8" s="490"/>
      <c r="P8" s="491" t="e">
        <f>AVERAGE(D8:O8)</f>
        <v>#DIV/0!</v>
      </c>
      <c r="Q8" s="475"/>
      <c r="R8" s="476">
        <f>COUNTIF(D8:O8,"&gt;74.9%")</f>
        <v>0</v>
      </c>
      <c r="S8" s="476" t="e">
        <f>COUNTIF('KPI Dashboard'!#REF!,"&gt;84.9")</f>
        <v>#REF!</v>
      </c>
      <c r="T8" s="533">
        <f>COUNTIF('KPI Dashboard'!AO9:BK9,"&lt;750")</f>
        <v>0</v>
      </c>
      <c r="U8" s="532">
        <f>COUNTIF('KPI Dashboard'!P9:AL9,"&lt;120")</f>
        <v>0</v>
      </c>
      <c r="V8" s="534" t="e">
        <f t="shared" si="0"/>
        <v>#REF!</v>
      </c>
    </row>
    <row r="9" spans="1:22" ht="13.5">
      <c r="A9" s="477">
        <f t="shared" si="1"/>
        <v>5</v>
      </c>
      <c r="B9" s="474">
        <f>'Student Data'!C9</f>
        <v>0</v>
      </c>
      <c r="C9" s="492">
        <f>'Student Data'!D9</f>
        <v>0</v>
      </c>
      <c r="D9" s="490"/>
      <c r="E9" s="490"/>
      <c r="F9" s="490"/>
      <c r="G9" s="490"/>
      <c r="H9" s="490"/>
      <c r="I9" s="490"/>
      <c r="J9" s="490"/>
      <c r="K9" s="490"/>
      <c r="L9" s="490"/>
      <c r="M9" s="490"/>
      <c r="N9" s="490"/>
      <c r="O9" s="490"/>
      <c r="P9" s="491" t="e">
        <f>AVERAGE(D9:O9)</f>
        <v>#DIV/0!</v>
      </c>
      <c r="Q9" s="475"/>
      <c r="R9" s="476">
        <f>COUNTIF(D9:O9,"&gt;74.9%")</f>
        <v>0</v>
      </c>
      <c r="S9" s="476" t="e">
        <f>COUNTIF('KPI Dashboard'!#REF!,"&gt;84.9")</f>
        <v>#REF!</v>
      </c>
      <c r="T9" s="533">
        <f>COUNTIF('KPI Dashboard'!AO10:BK10,"&lt;750")</f>
        <v>0</v>
      </c>
      <c r="U9" s="532">
        <f>COUNTIF('KPI Dashboard'!P10:AL10,"&lt;120")</f>
        <v>0</v>
      </c>
      <c r="V9" s="534" t="e">
        <f t="shared" si="0"/>
        <v>#REF!</v>
      </c>
    </row>
    <row r="10" spans="1:22" ht="13.5">
      <c r="A10" s="477">
        <f t="shared" si="1"/>
        <v>6</v>
      </c>
      <c r="B10" s="474">
        <f>'Student Data'!C10</f>
        <v>0</v>
      </c>
      <c r="C10" s="492">
        <f>'Student Data'!D10</f>
        <v>0</v>
      </c>
      <c r="D10" s="490"/>
      <c r="E10" s="490"/>
      <c r="F10" s="490"/>
      <c r="G10" s="490"/>
      <c r="H10" s="490"/>
      <c r="I10" s="490"/>
      <c r="J10" s="490"/>
      <c r="K10" s="490"/>
      <c r="L10" s="490"/>
      <c r="M10" s="490"/>
      <c r="N10" s="490"/>
      <c r="O10" s="490"/>
      <c r="P10" s="491" t="e">
        <f>AVERAGE(D10:O10)</f>
        <v>#DIV/0!</v>
      </c>
      <c r="Q10" s="475"/>
      <c r="R10" s="476">
        <f>COUNTIF(D10:O10,"&gt;74.9%")</f>
        <v>0</v>
      </c>
      <c r="S10" s="476" t="e">
        <f>COUNTIF('KPI Dashboard'!#REF!,"&gt;84.9")</f>
        <v>#REF!</v>
      </c>
      <c r="T10" s="533">
        <f>COUNTIF('KPI Dashboard'!AO11:BK11,"&lt;750")</f>
        <v>0</v>
      </c>
      <c r="U10" s="532">
        <f>COUNTIF('KPI Dashboard'!P11:AL11,"&lt;120")</f>
        <v>0</v>
      </c>
      <c r="V10" s="534" t="e">
        <f t="shared" si="0"/>
        <v>#REF!</v>
      </c>
    </row>
    <row r="11" spans="1:22" ht="13.5">
      <c r="A11" s="477">
        <f t="shared" si="1"/>
        <v>7</v>
      </c>
      <c r="B11" s="474">
        <f>'Student Data'!C11</f>
        <v>0</v>
      </c>
      <c r="C11" s="492">
        <f>'Student Data'!D11</f>
        <v>0</v>
      </c>
      <c r="D11" s="490"/>
      <c r="E11" s="490"/>
      <c r="F11" s="490"/>
      <c r="G11" s="490"/>
      <c r="H11" s="490"/>
      <c r="I11" s="490"/>
      <c r="J11" s="490"/>
      <c r="K11" s="490"/>
      <c r="L11" s="490"/>
      <c r="M11" s="490"/>
      <c r="N11" s="490"/>
      <c r="O11" s="490"/>
      <c r="P11" s="491" t="e">
        <f>AVERAGE(D11:O11)</f>
        <v>#DIV/0!</v>
      </c>
      <c r="Q11" s="475"/>
      <c r="R11" s="476">
        <f>COUNTIF(D11:O11,"&gt;74.9%")</f>
        <v>0</v>
      </c>
      <c r="S11" s="476" t="e">
        <f>COUNTIF('KPI Dashboard'!#REF!,"&gt;84.9")</f>
        <v>#REF!</v>
      </c>
      <c r="T11" s="533">
        <f>COUNTIF('KPI Dashboard'!AO12:BK12,"&lt;750")</f>
        <v>0</v>
      </c>
      <c r="U11" s="532">
        <f>COUNTIF('KPI Dashboard'!P12:AL12,"&lt;120")</f>
        <v>0</v>
      </c>
      <c r="V11" s="534" t="e">
        <f t="shared" si="0"/>
        <v>#REF!</v>
      </c>
    </row>
    <row r="12" spans="1:22" ht="13.5">
      <c r="A12" s="477">
        <f t="shared" si="1"/>
        <v>8</v>
      </c>
      <c r="B12" s="474">
        <f>'Student Data'!C12</f>
        <v>0</v>
      </c>
      <c r="C12" s="492">
        <f>'Student Data'!D12</f>
        <v>0</v>
      </c>
      <c r="D12" s="490"/>
      <c r="E12" s="490"/>
      <c r="F12" s="490"/>
      <c r="G12" s="490"/>
      <c r="H12" s="490"/>
      <c r="I12" s="490"/>
      <c r="J12" s="490"/>
      <c r="K12" s="490"/>
      <c r="L12" s="490"/>
      <c r="M12" s="490"/>
      <c r="N12" s="490"/>
      <c r="O12" s="490"/>
      <c r="P12" s="491" t="e">
        <f>AVERAGE(D12:O12)</f>
        <v>#DIV/0!</v>
      </c>
      <c r="Q12" s="475"/>
      <c r="R12" s="476">
        <f>COUNTIF(D12:O12,"&gt;74.9%")</f>
        <v>0</v>
      </c>
      <c r="S12" s="476" t="e">
        <f>COUNTIF('KPI Dashboard'!#REF!,"&gt;84.9")</f>
        <v>#REF!</v>
      </c>
      <c r="T12" s="533">
        <f>COUNTIF('KPI Dashboard'!AO13:BK13,"&lt;750")</f>
        <v>0</v>
      </c>
      <c r="U12" s="532">
        <f>COUNTIF('KPI Dashboard'!P13:AL13,"&lt;120")</f>
        <v>0</v>
      </c>
      <c r="V12" s="534" t="e">
        <f t="shared" si="0"/>
        <v>#REF!</v>
      </c>
    </row>
    <row r="13" spans="1:22" ht="13.5">
      <c r="A13" s="477">
        <f t="shared" si="1"/>
        <v>9</v>
      </c>
      <c r="B13" s="474">
        <f>'Student Data'!C13</f>
        <v>0</v>
      </c>
      <c r="C13" s="492">
        <f>'Student Data'!D13</f>
        <v>0</v>
      </c>
      <c r="D13" s="490"/>
      <c r="E13" s="490"/>
      <c r="F13" s="490"/>
      <c r="G13" s="490"/>
      <c r="H13" s="490"/>
      <c r="I13" s="490"/>
      <c r="J13" s="490"/>
      <c r="K13" s="490"/>
      <c r="L13" s="490"/>
      <c r="M13" s="490"/>
      <c r="N13" s="490"/>
      <c r="O13" s="490"/>
      <c r="P13" s="491" t="e">
        <f>AVERAGE(D13:O13)</f>
        <v>#DIV/0!</v>
      </c>
      <c r="Q13" s="475"/>
      <c r="R13" s="476">
        <f>COUNTIF(D13:O13,"&gt;74.9%")</f>
        <v>0</v>
      </c>
      <c r="S13" s="476" t="e">
        <f>COUNTIF('KPI Dashboard'!#REF!,"&gt;84.9")</f>
        <v>#REF!</v>
      </c>
      <c r="T13" s="533">
        <f>COUNTIF('KPI Dashboard'!AO14:BK14,"&lt;750")</f>
        <v>0</v>
      </c>
      <c r="U13" s="532">
        <f>COUNTIF('KPI Dashboard'!P14:AL14,"&lt;120")</f>
        <v>0</v>
      </c>
      <c r="V13" s="534" t="e">
        <f t="shared" si="0"/>
        <v>#REF!</v>
      </c>
    </row>
    <row r="14" spans="1:22" ht="13.5">
      <c r="A14" s="477">
        <f t="shared" si="1"/>
        <v>10</v>
      </c>
      <c r="B14" s="474">
        <f>'Student Data'!C14</f>
        <v>0</v>
      </c>
      <c r="C14" s="492">
        <f>'Student Data'!D14</f>
        <v>0</v>
      </c>
      <c r="D14" s="490"/>
      <c r="E14" s="490"/>
      <c r="F14" s="490"/>
      <c r="G14" s="490"/>
      <c r="H14" s="490"/>
      <c r="I14" s="490"/>
      <c r="J14" s="490"/>
      <c r="K14" s="490"/>
      <c r="L14" s="490"/>
      <c r="M14" s="490"/>
      <c r="N14" s="490"/>
      <c r="O14" s="490"/>
      <c r="P14" s="491" t="e">
        <f>AVERAGE(D14:O14)</f>
        <v>#DIV/0!</v>
      </c>
      <c r="Q14" s="475"/>
      <c r="R14" s="476">
        <f>COUNTIF(D14:O14,"&gt;74.9%")</f>
        <v>0</v>
      </c>
      <c r="S14" s="476" t="e">
        <f>COUNTIF('KPI Dashboard'!#REF!,"&gt;84.9")</f>
        <v>#REF!</v>
      </c>
      <c r="T14" s="533">
        <f>COUNTIF('KPI Dashboard'!AO15:BK15,"&lt;750")</f>
        <v>0</v>
      </c>
      <c r="U14" s="532">
        <f>COUNTIF('KPI Dashboard'!P15:AL15,"&lt;120")</f>
        <v>0</v>
      </c>
      <c r="V14" s="534" t="e">
        <f t="shared" si="0"/>
        <v>#REF!</v>
      </c>
    </row>
    <row r="15" spans="1:22" ht="13.5">
      <c r="A15" s="477">
        <f t="shared" si="1"/>
        <v>11</v>
      </c>
      <c r="B15" s="474">
        <f>'Student Data'!C15</f>
        <v>0</v>
      </c>
      <c r="C15" s="492">
        <f>'Student Data'!D15</f>
        <v>0</v>
      </c>
      <c r="D15" s="490"/>
      <c r="E15" s="490"/>
      <c r="F15" s="490"/>
      <c r="G15" s="490"/>
      <c r="H15" s="490"/>
      <c r="I15" s="490"/>
      <c r="J15" s="490"/>
      <c r="K15" s="490"/>
      <c r="L15" s="490"/>
      <c r="M15" s="490"/>
      <c r="N15" s="490"/>
      <c r="O15" s="490"/>
      <c r="P15" s="491" t="e">
        <f>AVERAGE(D15:O15)</f>
        <v>#DIV/0!</v>
      </c>
      <c r="Q15" s="475"/>
      <c r="R15" s="476">
        <f>COUNTIF(D15:O15,"&gt;74.9%")</f>
        <v>0</v>
      </c>
      <c r="S15" s="476" t="e">
        <f>COUNTIF('KPI Dashboard'!#REF!,"&gt;84.9")</f>
        <v>#REF!</v>
      </c>
      <c r="T15" s="533">
        <f>COUNTIF('KPI Dashboard'!AO16:BK16,"&lt;750")</f>
        <v>0</v>
      </c>
      <c r="U15" s="532">
        <f>COUNTIF('KPI Dashboard'!P16:AL16,"&lt;120")</f>
        <v>0</v>
      </c>
      <c r="V15" s="534" t="e">
        <f t="shared" si="0"/>
        <v>#REF!</v>
      </c>
    </row>
    <row r="16" spans="1:22" ht="13.5">
      <c r="A16" s="477">
        <f t="shared" si="1"/>
        <v>12</v>
      </c>
      <c r="B16" s="474">
        <f>'Student Data'!C16</f>
        <v>0</v>
      </c>
      <c r="C16" s="492">
        <f>'Student Data'!D16</f>
        <v>0</v>
      </c>
      <c r="D16" s="490"/>
      <c r="E16" s="490"/>
      <c r="F16" s="490"/>
      <c r="G16" s="490"/>
      <c r="H16" s="490"/>
      <c r="I16" s="490"/>
      <c r="J16" s="490"/>
      <c r="K16" s="490"/>
      <c r="L16" s="490"/>
      <c r="M16" s="490"/>
      <c r="N16" s="490"/>
      <c r="O16" s="490"/>
      <c r="P16" s="491" t="e">
        <f>AVERAGE(D16:O16)</f>
        <v>#DIV/0!</v>
      </c>
      <c r="Q16" s="475"/>
      <c r="R16" s="476">
        <f>COUNTIF(D16:O16,"&gt;74.9%")</f>
        <v>0</v>
      </c>
      <c r="S16" s="476" t="e">
        <f>COUNTIF('KPI Dashboard'!#REF!,"&gt;84.9")</f>
        <v>#REF!</v>
      </c>
      <c r="T16" s="533">
        <f>COUNTIF('KPI Dashboard'!AO17:BK17,"&lt;750")</f>
        <v>0</v>
      </c>
      <c r="U16" s="532">
        <f>COUNTIF('KPI Dashboard'!P17:AL17,"&lt;120")</f>
        <v>0</v>
      </c>
      <c r="V16" s="534" t="e">
        <f t="shared" si="0"/>
        <v>#REF!</v>
      </c>
    </row>
    <row r="17" spans="1:42" ht="13.5">
      <c r="A17" s="477">
        <f t="shared" si="1"/>
        <v>13</v>
      </c>
      <c r="B17" s="474">
        <f>'Student Data'!C17</f>
        <v>0</v>
      </c>
      <c r="C17" s="492">
        <f>'Student Data'!D17</f>
        <v>0</v>
      </c>
      <c r="D17" s="490"/>
      <c r="E17" s="490"/>
      <c r="F17" s="490"/>
      <c r="G17" s="490"/>
      <c r="H17" s="490"/>
      <c r="I17" s="490"/>
      <c r="J17" s="490"/>
      <c r="K17" s="490"/>
      <c r="L17" s="490"/>
      <c r="M17" s="490"/>
      <c r="N17" s="490"/>
      <c r="O17" s="490"/>
      <c r="P17" s="491" t="e">
        <f>AVERAGE(D17:O17)</f>
        <v>#DIV/0!</v>
      </c>
      <c r="Q17" s="475"/>
      <c r="R17" s="476">
        <f>COUNTIF(D17:O17,"&gt;74.9%")</f>
        <v>0</v>
      </c>
      <c r="S17" s="476" t="e">
        <f>COUNTIF('KPI Dashboard'!#REF!,"&gt;84.9")</f>
        <v>#REF!</v>
      </c>
      <c r="T17" s="533">
        <f>COUNTIF('KPI Dashboard'!AO18:BK18,"&lt;750")</f>
        <v>0</v>
      </c>
      <c r="U17" s="532">
        <f>COUNTIF('KPI Dashboard'!P18:AL18,"&lt;120")</f>
        <v>0</v>
      </c>
      <c r="V17" s="534" t="e">
        <f t="shared" si="0"/>
        <v>#REF!</v>
      </c>
    </row>
    <row r="18" spans="1:42" ht="13.5">
      <c r="A18" s="477">
        <f t="shared" si="1"/>
        <v>14</v>
      </c>
      <c r="B18" s="474">
        <f>'Student Data'!C18</f>
        <v>0</v>
      </c>
      <c r="C18" s="492">
        <f>'Student Data'!D18</f>
        <v>0</v>
      </c>
      <c r="D18" s="490"/>
      <c r="E18" s="490"/>
      <c r="F18" s="490"/>
      <c r="G18" s="490"/>
      <c r="H18" s="490"/>
      <c r="I18" s="490"/>
      <c r="J18" s="490"/>
      <c r="K18" s="490"/>
      <c r="L18" s="490"/>
      <c r="M18" s="490"/>
      <c r="N18" s="490"/>
      <c r="O18" s="490"/>
      <c r="P18" s="491" t="e">
        <f>AVERAGE(D18:O18)</f>
        <v>#DIV/0!</v>
      </c>
      <c r="Q18" s="475"/>
      <c r="R18" s="476">
        <f>COUNTIF(D18:O18,"&gt;74.9%")</f>
        <v>0</v>
      </c>
      <c r="S18" s="476" t="e">
        <f>COUNTIF('KPI Dashboard'!#REF!,"&gt;84.9")</f>
        <v>#REF!</v>
      </c>
      <c r="T18" s="533">
        <f>COUNTIF('KPI Dashboard'!AO19:BK19,"&lt;750")</f>
        <v>0</v>
      </c>
      <c r="U18" s="532">
        <f>COUNTIF('KPI Dashboard'!P19:AL19,"&lt;120")</f>
        <v>0</v>
      </c>
      <c r="V18" s="534" t="e">
        <f t="shared" si="0"/>
        <v>#REF!</v>
      </c>
    </row>
    <row r="19" spans="1:42" ht="13.5">
      <c r="A19" s="477">
        <f t="shared" si="1"/>
        <v>15</v>
      </c>
      <c r="B19" s="474">
        <f>'Student Data'!C19</f>
        <v>0</v>
      </c>
      <c r="C19" s="492">
        <f>'Student Data'!D19</f>
        <v>0</v>
      </c>
      <c r="D19" s="490"/>
      <c r="E19" s="490"/>
      <c r="F19" s="490"/>
      <c r="G19" s="490"/>
      <c r="H19" s="490"/>
      <c r="I19" s="490"/>
      <c r="J19" s="490"/>
      <c r="K19" s="490"/>
      <c r="L19" s="490"/>
      <c r="M19" s="490"/>
      <c r="N19" s="490"/>
      <c r="O19" s="490"/>
      <c r="P19" s="491" t="e">
        <f>AVERAGE(D19:O19)</f>
        <v>#DIV/0!</v>
      </c>
      <c r="Q19" s="475"/>
      <c r="R19" s="476">
        <f>COUNTIF(D19:O19,"&gt;74.9%")</f>
        <v>0</v>
      </c>
      <c r="S19" s="476" t="e">
        <f>COUNTIF('KPI Dashboard'!#REF!,"&gt;84.9")</f>
        <v>#REF!</v>
      </c>
      <c r="T19" s="533">
        <f>COUNTIF('KPI Dashboard'!AO20:BK20,"&lt;750")</f>
        <v>0</v>
      </c>
      <c r="U19" s="532">
        <f>COUNTIF('KPI Dashboard'!P20:AL20,"&lt;120")</f>
        <v>0</v>
      </c>
      <c r="V19" s="534" t="e">
        <f t="shared" si="0"/>
        <v>#REF!</v>
      </c>
    </row>
    <row r="20" spans="1:42" ht="13.5">
      <c r="A20" s="477">
        <f t="shared" si="1"/>
        <v>16</v>
      </c>
      <c r="B20" s="474">
        <f>'Student Data'!C20</f>
        <v>0</v>
      </c>
      <c r="C20" s="492">
        <f>'Student Data'!D20</f>
        <v>0</v>
      </c>
      <c r="D20" s="490"/>
      <c r="E20" s="490"/>
      <c r="F20" s="490"/>
      <c r="G20" s="490"/>
      <c r="H20" s="490"/>
      <c r="I20" s="490"/>
      <c r="J20" s="490"/>
      <c r="K20" s="490"/>
      <c r="L20" s="490"/>
      <c r="M20" s="490"/>
      <c r="N20" s="490"/>
      <c r="O20" s="490"/>
      <c r="P20" s="491" t="e">
        <f>AVERAGE(D20:O20)</f>
        <v>#DIV/0!</v>
      </c>
      <c r="Q20" s="475"/>
      <c r="R20" s="476">
        <f>COUNTIF(D20:O20,"&gt;74.9%")</f>
        <v>0</v>
      </c>
      <c r="S20" s="476" t="e">
        <f>COUNTIF('KPI Dashboard'!#REF!,"&gt;84.9")</f>
        <v>#REF!</v>
      </c>
      <c r="T20" s="533">
        <f>COUNTIF('KPI Dashboard'!AO21:BK21,"&lt;750")</f>
        <v>0</v>
      </c>
      <c r="U20" s="532">
        <f>COUNTIF('KPI Dashboard'!P21:AL21,"&lt;120")</f>
        <v>0</v>
      </c>
      <c r="V20" s="534" t="e">
        <f t="shared" si="0"/>
        <v>#REF!</v>
      </c>
    </row>
    <row r="21" spans="1:42" ht="13.5">
      <c r="A21" s="477">
        <f t="shared" si="1"/>
        <v>17</v>
      </c>
      <c r="B21" s="474">
        <f>'Student Data'!C21</f>
        <v>0</v>
      </c>
      <c r="C21" s="492">
        <f>'Student Data'!D21</f>
        <v>0</v>
      </c>
      <c r="D21" s="490"/>
      <c r="E21" s="490"/>
      <c r="F21" s="490"/>
      <c r="G21" s="490"/>
      <c r="H21" s="490"/>
      <c r="I21" s="490"/>
      <c r="J21" s="490"/>
      <c r="K21" s="490"/>
      <c r="L21" s="490"/>
      <c r="M21" s="490"/>
      <c r="N21" s="490"/>
      <c r="O21" s="490"/>
      <c r="P21" s="491" t="e">
        <f>AVERAGE(D21:O21)</f>
        <v>#DIV/0!</v>
      </c>
      <c r="Q21" s="475"/>
      <c r="R21" s="476">
        <f>COUNTIF(D21:O21,"&gt;74.9%")</f>
        <v>0</v>
      </c>
      <c r="S21" s="476" t="e">
        <f>COUNTIF('KPI Dashboard'!#REF!,"&gt;84.9")</f>
        <v>#REF!</v>
      </c>
      <c r="T21" s="533">
        <f>COUNTIF('KPI Dashboard'!AO22:BK22,"&lt;750")</f>
        <v>0</v>
      </c>
      <c r="U21" s="532">
        <f>COUNTIF('KPI Dashboard'!P22:AL22,"&lt;120")</f>
        <v>0</v>
      </c>
      <c r="V21" s="534" t="e">
        <f t="shared" si="0"/>
        <v>#REF!</v>
      </c>
    </row>
    <row r="22" spans="1:42" ht="13.5">
      <c r="A22" s="477">
        <f t="shared" si="1"/>
        <v>18</v>
      </c>
      <c r="B22" s="474">
        <f>'Student Data'!C22</f>
        <v>0</v>
      </c>
      <c r="C22" s="492">
        <f>'Student Data'!D22</f>
        <v>0</v>
      </c>
      <c r="D22" s="490"/>
      <c r="E22" s="490"/>
      <c r="F22" s="490"/>
      <c r="G22" s="490"/>
      <c r="H22" s="490"/>
      <c r="I22" s="490"/>
      <c r="J22" s="490"/>
      <c r="K22" s="490"/>
      <c r="L22" s="490"/>
      <c r="M22" s="490"/>
      <c r="N22" s="490"/>
      <c r="O22" s="490"/>
      <c r="P22" s="491" t="e">
        <f>AVERAGE(D22:O22)</f>
        <v>#DIV/0!</v>
      </c>
      <c r="Q22" s="475"/>
      <c r="R22" s="476">
        <f>COUNTIF(D22:O22,"&gt;74.9%")</f>
        <v>0</v>
      </c>
      <c r="S22" s="476" t="e">
        <f>COUNTIF('KPI Dashboard'!#REF!,"&gt;84.9")</f>
        <v>#REF!</v>
      </c>
      <c r="T22" s="533">
        <f>COUNTIF('KPI Dashboard'!AO23:BK23,"&lt;750")</f>
        <v>0</v>
      </c>
      <c r="U22" s="532">
        <f>COUNTIF('KPI Dashboard'!P23:AL23,"&lt;120")</f>
        <v>0</v>
      </c>
      <c r="V22" s="534" t="e">
        <f t="shared" si="0"/>
        <v>#REF!</v>
      </c>
    </row>
    <row r="23" spans="1:42" ht="13.5">
      <c r="A23" s="477">
        <f t="shared" si="1"/>
        <v>19</v>
      </c>
      <c r="B23" s="474">
        <f>'Student Data'!C23</f>
        <v>0</v>
      </c>
      <c r="C23" s="492">
        <f>'Student Data'!D23</f>
        <v>0</v>
      </c>
      <c r="D23" s="490"/>
      <c r="E23" s="490"/>
      <c r="F23" s="490"/>
      <c r="G23" s="490"/>
      <c r="H23" s="490"/>
      <c r="I23" s="490"/>
      <c r="J23" s="490"/>
      <c r="K23" s="490"/>
      <c r="L23" s="490"/>
      <c r="M23" s="490"/>
      <c r="N23" s="490"/>
      <c r="O23" s="490"/>
      <c r="P23" s="491" t="e">
        <f>AVERAGE(D23:O23)</f>
        <v>#DIV/0!</v>
      </c>
      <c r="Q23" s="475"/>
      <c r="R23" s="476">
        <f>COUNTIF(D23:O23,"&gt;74.9%")</f>
        <v>0</v>
      </c>
      <c r="S23" s="476" t="e">
        <f>COUNTIF('KPI Dashboard'!#REF!,"&gt;84.9")</f>
        <v>#REF!</v>
      </c>
      <c r="T23" s="533">
        <f>COUNTIF('KPI Dashboard'!AO24:BK24,"&lt;750")</f>
        <v>0</v>
      </c>
      <c r="U23" s="532">
        <f>COUNTIF('KPI Dashboard'!P24:AL24,"&lt;120")</f>
        <v>0</v>
      </c>
      <c r="V23" s="534" t="e">
        <f t="shared" si="0"/>
        <v>#REF!</v>
      </c>
    </row>
    <row r="24" spans="1:42" s="478" customFormat="1" ht="13.5">
      <c r="C24" s="479" t="s">
        <v>530</v>
      </c>
      <c r="D24" s="493" t="e">
        <f>AVERAGE(D5:D23)</f>
        <v>#DIV/0!</v>
      </c>
      <c r="E24" s="493" t="e">
        <f t="shared" ref="E24:O24" si="2">AVERAGE(E5:E23)</f>
        <v>#DIV/0!</v>
      </c>
      <c r="F24" s="493" t="e">
        <f t="shared" si="2"/>
        <v>#DIV/0!</v>
      </c>
      <c r="G24" s="493" t="e">
        <f t="shared" si="2"/>
        <v>#DIV/0!</v>
      </c>
      <c r="H24" s="493" t="e">
        <f t="shared" si="2"/>
        <v>#DIV/0!</v>
      </c>
      <c r="I24" s="493" t="e">
        <f t="shared" si="2"/>
        <v>#DIV/0!</v>
      </c>
      <c r="J24" s="493" t="e">
        <f t="shared" si="2"/>
        <v>#DIV/0!</v>
      </c>
      <c r="K24" s="493" t="e">
        <f t="shared" si="2"/>
        <v>#DIV/0!</v>
      </c>
      <c r="L24" s="493" t="e">
        <f t="shared" si="2"/>
        <v>#DIV/0!</v>
      </c>
      <c r="M24" s="493" t="e">
        <f t="shared" si="2"/>
        <v>#DIV/0!</v>
      </c>
      <c r="N24" s="493" t="e">
        <f t="shared" si="2"/>
        <v>#DIV/0!</v>
      </c>
      <c r="O24" s="493" t="e">
        <f t="shared" si="2"/>
        <v>#DIV/0!</v>
      </c>
      <c r="P24" s="493" t="e">
        <f>AVERAGE(P5:P23)</f>
        <v>#DIV/0!</v>
      </c>
      <c r="Q24" s="481"/>
      <c r="R24" s="480"/>
      <c r="S24" s="480" t="e">
        <f>AVERAGE(S5:S23)</f>
        <v>#REF!</v>
      </c>
      <c r="T24" s="480">
        <f t="shared" ref="T24:V24" si="3">AVERAGE(T5:T23)</f>
        <v>0</v>
      </c>
      <c r="U24" s="480">
        <f t="shared" si="3"/>
        <v>0</v>
      </c>
      <c r="V24" s="480" t="e">
        <f t="shared" si="3"/>
        <v>#REF!</v>
      </c>
    </row>
    <row r="25" spans="1:42" ht="13.5">
      <c r="C25" s="465" t="s">
        <v>531</v>
      </c>
      <c r="D25" s="482">
        <v>0.5</v>
      </c>
      <c r="E25" s="482">
        <v>0.5</v>
      </c>
      <c r="F25" s="482">
        <v>0.5</v>
      </c>
      <c r="G25" s="482">
        <v>0.5</v>
      </c>
      <c r="H25" s="482">
        <v>0.5</v>
      </c>
      <c r="I25" s="482">
        <v>0.5</v>
      </c>
      <c r="J25" s="482">
        <v>0.5</v>
      </c>
      <c r="K25" s="482">
        <v>0.5</v>
      </c>
      <c r="L25" s="482">
        <v>0.5</v>
      </c>
      <c r="M25" s="482">
        <v>0.5</v>
      </c>
      <c r="N25" s="482">
        <v>0.5</v>
      </c>
      <c r="O25" s="482">
        <v>0.5</v>
      </c>
      <c r="P25" s="482">
        <v>0.5</v>
      </c>
      <c r="Q25" s="482"/>
      <c r="AM25" s="482"/>
      <c r="AN25" s="482"/>
      <c r="AO25" s="482"/>
      <c r="AP25" s="482"/>
    </row>
    <row r="33" spans="1:19" ht="15" customHeight="1">
      <c r="A33" s="483"/>
      <c r="B33" s="977" t="s">
        <v>159</v>
      </c>
      <c r="C33" s="977" t="s">
        <v>160</v>
      </c>
      <c r="D33" s="977" t="s">
        <v>529</v>
      </c>
      <c r="E33" s="977"/>
      <c r="F33" s="977"/>
      <c r="G33" s="977"/>
      <c r="H33" s="977"/>
      <c r="I33" s="977"/>
      <c r="J33" s="977"/>
      <c r="K33" s="977"/>
      <c r="L33" s="977"/>
      <c r="M33" s="977"/>
      <c r="N33" s="977"/>
      <c r="O33" s="977"/>
      <c r="P33" s="977"/>
      <c r="Q33" s="977"/>
      <c r="R33" s="977"/>
      <c r="S33" s="977"/>
    </row>
    <row r="34" spans="1:19" ht="15" customHeight="1">
      <c r="A34" s="483"/>
      <c r="B34" s="977"/>
      <c r="C34" s="977"/>
      <c r="D34" s="977"/>
      <c r="E34" s="977"/>
      <c r="F34" s="977"/>
      <c r="G34" s="977"/>
      <c r="H34" s="977"/>
      <c r="I34" s="977"/>
      <c r="J34" s="977"/>
      <c r="K34" s="977"/>
      <c r="L34" s="977"/>
      <c r="M34" s="977"/>
      <c r="N34" s="977"/>
      <c r="O34" s="977"/>
      <c r="P34" s="977"/>
      <c r="Q34" s="977"/>
      <c r="R34" s="977"/>
      <c r="S34" s="977"/>
    </row>
    <row r="35" spans="1:19" ht="15" customHeight="1">
      <c r="A35" s="484">
        <v>1</v>
      </c>
      <c r="B35" s="474" t="str">
        <f>'Student Data'!C5</f>
        <v>Rnne</v>
      </c>
      <c r="C35" s="474" t="str">
        <f>'Student Data'!D5</f>
        <v>Donna</v>
      </c>
      <c r="D35" s="979"/>
      <c r="E35" s="978"/>
      <c r="F35" s="978"/>
      <c r="G35" s="978"/>
      <c r="H35" s="978"/>
      <c r="I35" s="978"/>
      <c r="J35" s="978"/>
      <c r="K35" s="978"/>
      <c r="L35" s="978"/>
      <c r="M35" s="978"/>
      <c r="N35" s="978"/>
      <c r="O35" s="978"/>
      <c r="P35" s="978"/>
      <c r="Q35" s="978"/>
      <c r="R35" s="978"/>
      <c r="S35" s="978"/>
    </row>
    <row r="36" spans="1:19" ht="15" customHeight="1">
      <c r="A36" s="485">
        <v>2</v>
      </c>
      <c r="B36" s="474" t="str">
        <f>'Student Data'!C6</f>
        <v xml:space="preserve">Aquino </v>
      </c>
      <c r="C36" s="474" t="str">
        <f>'Student Data'!D6</f>
        <v>Summer</v>
      </c>
      <c r="D36" s="978"/>
      <c r="E36" s="978"/>
      <c r="F36" s="978"/>
      <c r="G36" s="978"/>
      <c r="H36" s="978"/>
      <c r="I36" s="978"/>
      <c r="J36" s="978"/>
      <c r="K36" s="978"/>
      <c r="L36" s="978"/>
      <c r="M36" s="978"/>
      <c r="N36" s="978"/>
      <c r="O36" s="978"/>
      <c r="P36" s="978"/>
      <c r="Q36" s="978"/>
      <c r="R36" s="978"/>
      <c r="S36" s="978"/>
    </row>
    <row r="37" spans="1:19" ht="15" customHeight="1">
      <c r="A37" s="485">
        <v>3</v>
      </c>
      <c r="B37" s="474" t="str">
        <f>'Student Data'!C7</f>
        <v xml:space="preserve">Reyes </v>
      </c>
      <c r="C37" s="474" t="str">
        <f>'Student Data'!D7</f>
        <v>Joana</v>
      </c>
      <c r="D37" s="978"/>
      <c r="E37" s="978"/>
      <c r="F37" s="978"/>
      <c r="G37" s="978"/>
      <c r="H37" s="978"/>
      <c r="I37" s="978"/>
      <c r="J37" s="978"/>
      <c r="K37" s="978"/>
      <c r="L37" s="978"/>
      <c r="M37" s="978"/>
      <c r="N37" s="978"/>
      <c r="O37" s="978"/>
      <c r="P37" s="978"/>
      <c r="Q37" s="978"/>
      <c r="R37" s="978"/>
      <c r="S37" s="978"/>
    </row>
    <row r="38" spans="1:19" ht="15" customHeight="1">
      <c r="A38" s="485">
        <v>4</v>
      </c>
      <c r="B38" s="474" t="str">
        <f>'Student Data'!C8</f>
        <v>Manuel</v>
      </c>
      <c r="C38" s="474" t="str">
        <f>'Student Data'!D8</f>
        <v>Quezon</v>
      </c>
      <c r="D38" s="978"/>
      <c r="E38" s="978"/>
      <c r="F38" s="978"/>
      <c r="G38" s="978"/>
      <c r="H38" s="978"/>
      <c r="I38" s="978"/>
      <c r="J38" s="978"/>
      <c r="K38" s="978"/>
      <c r="L38" s="978"/>
      <c r="M38" s="978"/>
      <c r="N38" s="978"/>
      <c r="O38" s="978"/>
      <c r="P38" s="978"/>
      <c r="Q38" s="978"/>
      <c r="R38" s="978"/>
      <c r="S38" s="978"/>
    </row>
    <row r="39" spans="1:19" ht="13.5">
      <c r="A39" s="485">
        <v>5</v>
      </c>
      <c r="B39" s="474">
        <f>'Student Data'!C9</f>
        <v>0</v>
      </c>
      <c r="C39" s="474">
        <f>'Student Data'!D9</f>
        <v>0</v>
      </c>
      <c r="D39" s="978"/>
      <c r="E39" s="978"/>
      <c r="F39" s="978"/>
      <c r="G39" s="978"/>
      <c r="H39" s="978"/>
      <c r="I39" s="978"/>
      <c r="J39" s="978"/>
      <c r="K39" s="978"/>
      <c r="L39" s="978"/>
      <c r="M39" s="978"/>
      <c r="N39" s="978"/>
      <c r="O39" s="978"/>
      <c r="P39" s="978"/>
      <c r="Q39" s="978"/>
      <c r="R39" s="978"/>
      <c r="S39" s="978"/>
    </row>
    <row r="40" spans="1:19" ht="13.5">
      <c r="A40" s="485">
        <v>6</v>
      </c>
      <c r="B40" s="474">
        <f>'Student Data'!C10</f>
        <v>0</v>
      </c>
      <c r="C40" s="474">
        <f>'Student Data'!D10</f>
        <v>0</v>
      </c>
      <c r="D40" s="978"/>
      <c r="E40" s="978"/>
      <c r="F40" s="978"/>
      <c r="G40" s="978"/>
      <c r="H40" s="978"/>
      <c r="I40" s="978"/>
      <c r="J40" s="978"/>
      <c r="K40" s="978"/>
      <c r="L40" s="978"/>
      <c r="M40" s="978"/>
      <c r="N40" s="978"/>
      <c r="O40" s="978"/>
      <c r="P40" s="978"/>
      <c r="Q40" s="978"/>
      <c r="R40" s="978"/>
      <c r="S40" s="978"/>
    </row>
    <row r="41" spans="1:19" ht="13.5">
      <c r="A41" s="485">
        <v>7</v>
      </c>
      <c r="B41" s="474">
        <f>'Student Data'!C11</f>
        <v>0</v>
      </c>
      <c r="C41" s="474">
        <f>'Student Data'!D11</f>
        <v>0</v>
      </c>
      <c r="D41" s="978"/>
      <c r="E41" s="978"/>
      <c r="F41" s="978"/>
      <c r="G41" s="978"/>
      <c r="H41" s="978"/>
      <c r="I41" s="978"/>
      <c r="J41" s="978"/>
      <c r="K41" s="978"/>
      <c r="L41" s="978"/>
      <c r="M41" s="978"/>
      <c r="N41" s="978"/>
      <c r="O41" s="978"/>
      <c r="P41" s="978"/>
      <c r="Q41" s="978"/>
      <c r="R41" s="978"/>
      <c r="S41" s="978"/>
    </row>
    <row r="42" spans="1:19" ht="13.5">
      <c r="A42" s="485">
        <v>8</v>
      </c>
      <c r="B42" s="474">
        <f>'Student Data'!C12</f>
        <v>0</v>
      </c>
      <c r="C42" s="474">
        <f>'Student Data'!D12</f>
        <v>0</v>
      </c>
      <c r="D42" s="978"/>
      <c r="E42" s="978"/>
      <c r="F42" s="978"/>
      <c r="G42" s="978"/>
      <c r="H42" s="978"/>
      <c r="I42" s="978"/>
      <c r="J42" s="978"/>
      <c r="K42" s="978"/>
      <c r="L42" s="978"/>
      <c r="M42" s="978"/>
      <c r="N42" s="978"/>
      <c r="O42" s="978"/>
      <c r="P42" s="978"/>
      <c r="Q42" s="978"/>
      <c r="R42" s="978"/>
      <c r="S42" s="978"/>
    </row>
    <row r="43" spans="1:19" ht="14.65" customHeight="1">
      <c r="A43" s="485">
        <v>9</v>
      </c>
      <c r="B43" s="474">
        <f>'Student Data'!C13</f>
        <v>0</v>
      </c>
      <c r="C43" s="474">
        <f>'Student Data'!D13</f>
        <v>0</v>
      </c>
      <c r="D43" s="978"/>
      <c r="E43" s="978"/>
      <c r="F43" s="978"/>
      <c r="G43" s="978"/>
      <c r="H43" s="978"/>
      <c r="I43" s="978"/>
      <c r="J43" s="978"/>
      <c r="K43" s="978"/>
      <c r="L43" s="978"/>
      <c r="M43" s="978"/>
      <c r="N43" s="978"/>
      <c r="O43" s="978"/>
      <c r="P43" s="978"/>
      <c r="Q43" s="978"/>
      <c r="R43" s="978"/>
      <c r="S43" s="978"/>
    </row>
    <row r="44" spans="1:19" ht="13.5">
      <c r="A44" s="485">
        <v>10</v>
      </c>
      <c r="B44" s="474">
        <f>'Student Data'!C14</f>
        <v>0</v>
      </c>
      <c r="C44" s="474">
        <f>'Student Data'!D14</f>
        <v>0</v>
      </c>
      <c r="D44" s="978"/>
      <c r="E44" s="978"/>
      <c r="F44" s="978"/>
      <c r="G44" s="978"/>
      <c r="H44" s="978"/>
      <c r="I44" s="978"/>
      <c r="J44" s="978"/>
      <c r="K44" s="978"/>
      <c r="L44" s="978"/>
      <c r="M44" s="978"/>
      <c r="N44" s="978"/>
      <c r="O44" s="978"/>
      <c r="P44" s="978"/>
      <c r="Q44" s="978"/>
      <c r="R44" s="978"/>
      <c r="S44" s="978"/>
    </row>
    <row r="45" spans="1:19" ht="13.5">
      <c r="A45" s="485">
        <v>11</v>
      </c>
      <c r="B45" s="474">
        <f>'Student Data'!C15</f>
        <v>0</v>
      </c>
      <c r="C45" s="474">
        <f>'Student Data'!D15</f>
        <v>0</v>
      </c>
      <c r="D45" s="978"/>
      <c r="E45" s="978"/>
      <c r="F45" s="978"/>
      <c r="G45" s="978"/>
      <c r="H45" s="978"/>
      <c r="I45" s="978"/>
      <c r="J45" s="978"/>
      <c r="K45" s="978"/>
      <c r="L45" s="978"/>
      <c r="M45" s="978"/>
      <c r="N45" s="978"/>
      <c r="O45" s="978"/>
      <c r="P45" s="978"/>
      <c r="Q45" s="978"/>
      <c r="R45" s="978"/>
      <c r="S45" s="978"/>
    </row>
    <row r="46" spans="1:19" ht="15" customHeight="1">
      <c r="A46" s="485">
        <v>12</v>
      </c>
      <c r="B46" s="474">
        <f>'Student Data'!C16</f>
        <v>0</v>
      </c>
      <c r="C46" s="474">
        <f>'Student Data'!D16</f>
        <v>0</v>
      </c>
      <c r="D46" s="978"/>
      <c r="E46" s="978"/>
      <c r="F46" s="978"/>
      <c r="G46" s="978"/>
      <c r="H46" s="978"/>
      <c r="I46" s="978"/>
      <c r="J46" s="978"/>
      <c r="K46" s="978"/>
      <c r="L46" s="978"/>
      <c r="M46" s="978"/>
      <c r="N46" s="978"/>
      <c r="O46" s="978"/>
      <c r="P46" s="978"/>
      <c r="Q46" s="978"/>
      <c r="R46" s="978"/>
      <c r="S46" s="978"/>
    </row>
    <row r="47" spans="1:19" ht="15" customHeight="1">
      <c r="A47" s="485">
        <v>13</v>
      </c>
      <c r="B47" s="474">
        <f>'Student Data'!C17</f>
        <v>0</v>
      </c>
      <c r="C47" s="474">
        <f>'Student Data'!D17</f>
        <v>0</v>
      </c>
      <c r="D47" s="978"/>
      <c r="E47" s="978"/>
      <c r="F47" s="978"/>
      <c r="G47" s="978"/>
      <c r="H47" s="978"/>
      <c r="I47" s="978"/>
      <c r="J47" s="978"/>
      <c r="K47" s="978"/>
      <c r="L47" s="978"/>
      <c r="M47" s="978"/>
      <c r="N47" s="978"/>
      <c r="O47" s="978"/>
      <c r="P47" s="978"/>
      <c r="Q47" s="978"/>
      <c r="R47" s="978"/>
      <c r="S47" s="978"/>
    </row>
    <row r="48" spans="1:19" ht="15" customHeight="1">
      <c r="A48" s="485">
        <v>14</v>
      </c>
      <c r="B48" s="474">
        <f>'Student Data'!C18</f>
        <v>0</v>
      </c>
      <c r="C48" s="474">
        <f>'Student Data'!D18</f>
        <v>0</v>
      </c>
      <c r="D48" s="978"/>
      <c r="E48" s="978"/>
      <c r="F48" s="978"/>
      <c r="G48" s="978"/>
      <c r="H48" s="978"/>
      <c r="I48" s="978"/>
      <c r="J48" s="978"/>
      <c r="K48" s="978"/>
      <c r="L48" s="978"/>
      <c r="M48" s="978"/>
      <c r="N48" s="978"/>
      <c r="O48" s="978"/>
      <c r="P48" s="978"/>
      <c r="Q48" s="978"/>
      <c r="R48" s="978"/>
      <c r="S48" s="978"/>
    </row>
    <row r="49" spans="1:19" ht="15" customHeight="1">
      <c r="A49" s="485">
        <v>15</v>
      </c>
      <c r="B49" s="474">
        <f>'Student Data'!C19</f>
        <v>0</v>
      </c>
      <c r="C49" s="474">
        <f>'Student Data'!D19</f>
        <v>0</v>
      </c>
      <c r="D49" s="978"/>
      <c r="E49" s="978"/>
      <c r="F49" s="978"/>
      <c r="G49" s="978"/>
      <c r="H49" s="978"/>
      <c r="I49" s="978"/>
      <c r="J49" s="978"/>
      <c r="K49" s="978"/>
      <c r="L49" s="978"/>
      <c r="M49" s="978"/>
      <c r="N49" s="978"/>
      <c r="O49" s="978"/>
      <c r="P49" s="978"/>
      <c r="Q49" s="978"/>
      <c r="R49" s="978"/>
      <c r="S49" s="978"/>
    </row>
    <row r="50" spans="1:19" ht="15" customHeight="1">
      <c r="A50" s="485">
        <v>16</v>
      </c>
      <c r="B50" s="474">
        <f>'Student Data'!C20</f>
        <v>0</v>
      </c>
      <c r="C50" s="474">
        <f>'Student Data'!D20</f>
        <v>0</v>
      </c>
      <c r="D50" s="978"/>
      <c r="E50" s="978"/>
      <c r="F50" s="978"/>
      <c r="G50" s="978"/>
      <c r="H50" s="978"/>
      <c r="I50" s="978"/>
      <c r="J50" s="978"/>
      <c r="K50" s="978"/>
      <c r="L50" s="978"/>
      <c r="M50" s="978"/>
      <c r="N50" s="978"/>
      <c r="O50" s="978"/>
      <c r="P50" s="978"/>
      <c r="Q50" s="978"/>
      <c r="R50" s="978"/>
      <c r="S50" s="978"/>
    </row>
    <row r="51" spans="1:19" ht="15" customHeight="1">
      <c r="A51" s="485">
        <v>17</v>
      </c>
      <c r="B51" s="474">
        <f>'Student Data'!C21</f>
        <v>0</v>
      </c>
      <c r="C51" s="474">
        <f>'Student Data'!D21</f>
        <v>0</v>
      </c>
      <c r="D51" s="978"/>
      <c r="E51" s="978"/>
      <c r="F51" s="978"/>
      <c r="G51" s="978"/>
      <c r="H51" s="978"/>
      <c r="I51" s="978"/>
      <c r="J51" s="978"/>
      <c r="K51" s="978"/>
      <c r="L51" s="978"/>
      <c r="M51" s="978"/>
      <c r="N51" s="978"/>
      <c r="O51" s="978"/>
      <c r="P51" s="978"/>
      <c r="Q51" s="978"/>
      <c r="R51" s="978"/>
      <c r="S51" s="978"/>
    </row>
    <row r="52" spans="1:19" ht="15" customHeight="1">
      <c r="A52" s="485">
        <v>18</v>
      </c>
      <c r="B52" s="474">
        <f>'Student Data'!C22</f>
        <v>0</v>
      </c>
      <c r="C52" s="474">
        <f>'Student Data'!D22</f>
        <v>0</v>
      </c>
      <c r="D52" s="978"/>
      <c r="E52" s="978"/>
      <c r="F52" s="978"/>
      <c r="G52" s="978"/>
      <c r="H52" s="978"/>
      <c r="I52" s="978"/>
      <c r="J52" s="978"/>
      <c r="K52" s="978"/>
      <c r="L52" s="978"/>
      <c r="M52" s="978"/>
      <c r="N52" s="978"/>
      <c r="O52" s="978"/>
      <c r="P52" s="978"/>
      <c r="Q52" s="978"/>
      <c r="R52" s="978"/>
      <c r="S52" s="978"/>
    </row>
    <row r="53" spans="1:19" ht="15" customHeight="1">
      <c r="A53" s="485">
        <v>19</v>
      </c>
      <c r="B53" s="474">
        <f>'Student Data'!C23</f>
        <v>0</v>
      </c>
      <c r="C53" s="474">
        <f>'Student Data'!D23</f>
        <v>0</v>
      </c>
      <c r="D53" s="978"/>
      <c r="E53" s="978"/>
      <c r="F53" s="978"/>
      <c r="G53" s="978"/>
      <c r="H53" s="978"/>
      <c r="I53" s="978"/>
      <c r="J53" s="978"/>
      <c r="K53" s="978"/>
      <c r="L53" s="978"/>
      <c r="M53" s="978"/>
      <c r="N53" s="978"/>
      <c r="O53" s="978"/>
      <c r="P53" s="978"/>
      <c r="Q53" s="978"/>
      <c r="R53" s="978"/>
      <c r="S53" s="978"/>
    </row>
    <row r="54" spans="1:19" ht="15" customHeight="1">
      <c r="A54" s="485">
        <v>20</v>
      </c>
      <c r="B54" s="474">
        <f>'Student Data'!C24</f>
        <v>0</v>
      </c>
      <c r="C54" s="474">
        <f>'Student Data'!D24</f>
        <v>0</v>
      </c>
      <c r="D54" s="978"/>
      <c r="E54" s="978"/>
      <c r="F54" s="978"/>
      <c r="G54" s="978"/>
      <c r="H54" s="978"/>
      <c r="I54" s="978"/>
      <c r="J54" s="978"/>
      <c r="K54" s="978"/>
      <c r="L54" s="978"/>
      <c r="M54" s="978"/>
      <c r="N54" s="978"/>
      <c r="O54" s="978"/>
      <c r="P54" s="978"/>
      <c r="Q54" s="978"/>
      <c r="R54" s="978"/>
      <c r="S54" s="978"/>
    </row>
    <row r="55" spans="1:19" ht="15" customHeight="1">
      <c r="A55" s="485">
        <v>21</v>
      </c>
      <c r="B55" s="474">
        <f>'Student Data'!C25</f>
        <v>0</v>
      </c>
      <c r="C55" s="474">
        <f>'Student Data'!D25</f>
        <v>0</v>
      </c>
      <c r="D55" s="978"/>
      <c r="E55" s="978"/>
      <c r="F55" s="978"/>
      <c r="G55" s="978"/>
      <c r="H55" s="978"/>
      <c r="I55" s="978"/>
      <c r="J55" s="978"/>
      <c r="K55" s="978"/>
      <c r="L55" s="978"/>
      <c r="M55" s="978"/>
      <c r="N55" s="978"/>
      <c r="O55" s="978"/>
      <c r="P55" s="978"/>
      <c r="Q55" s="978"/>
      <c r="R55" s="978"/>
      <c r="S55" s="978"/>
    </row>
    <row r="56" spans="1:19" ht="15" customHeight="1">
      <c r="A56" s="485">
        <v>22</v>
      </c>
      <c r="B56" s="474">
        <f>'Student Data'!C26</f>
        <v>0</v>
      </c>
      <c r="C56" s="474">
        <f>'Student Data'!D26</f>
        <v>0</v>
      </c>
      <c r="D56" s="978"/>
      <c r="E56" s="978"/>
      <c r="F56" s="978"/>
      <c r="G56" s="978"/>
      <c r="H56" s="978"/>
      <c r="I56" s="978"/>
      <c r="J56" s="978"/>
      <c r="K56" s="978"/>
      <c r="L56" s="978"/>
      <c r="M56" s="978"/>
      <c r="N56" s="978"/>
      <c r="O56" s="978"/>
      <c r="P56" s="978"/>
      <c r="Q56" s="978"/>
      <c r="R56" s="978"/>
      <c r="S56" s="978"/>
    </row>
    <row r="57" spans="1:19" ht="15" customHeight="1">
      <c r="A57" s="485">
        <v>23</v>
      </c>
      <c r="B57" s="474">
        <f>'Student Data'!C27</f>
        <v>0</v>
      </c>
      <c r="C57" s="474">
        <f>'Student Data'!D27</f>
        <v>0</v>
      </c>
      <c r="D57" s="978"/>
      <c r="E57" s="978"/>
      <c r="F57" s="978"/>
      <c r="G57" s="978"/>
      <c r="H57" s="978"/>
      <c r="I57" s="978"/>
      <c r="J57" s="978"/>
      <c r="K57" s="978"/>
      <c r="L57" s="978"/>
      <c r="M57" s="978"/>
      <c r="N57" s="978"/>
      <c r="O57" s="978"/>
      <c r="P57" s="978"/>
      <c r="Q57" s="978"/>
      <c r="R57" s="978"/>
      <c r="S57" s="978"/>
    </row>
    <row r="58" spans="1:19" ht="15" customHeight="1">
      <c r="A58" s="485">
        <v>24</v>
      </c>
      <c r="B58" s="474">
        <f>'Student Data'!C28</f>
        <v>0</v>
      </c>
      <c r="C58" s="474">
        <f>'Student Data'!D28</f>
        <v>0</v>
      </c>
      <c r="D58" s="978"/>
      <c r="E58" s="978"/>
      <c r="F58" s="978"/>
      <c r="G58" s="978"/>
      <c r="H58" s="978"/>
      <c r="I58" s="978"/>
      <c r="J58" s="978"/>
      <c r="K58" s="978"/>
      <c r="L58" s="978"/>
      <c r="M58" s="978"/>
      <c r="N58" s="978"/>
      <c r="O58" s="978"/>
      <c r="P58" s="978"/>
      <c r="Q58" s="978"/>
      <c r="R58" s="978"/>
      <c r="S58" s="978"/>
    </row>
    <row r="59" spans="1:19" ht="15" customHeight="1">
      <c r="A59" s="485">
        <v>25</v>
      </c>
      <c r="B59" s="474">
        <f>'Student Data'!C29</f>
        <v>0</v>
      </c>
      <c r="C59" s="474">
        <f>'Student Data'!D29</f>
        <v>0</v>
      </c>
      <c r="D59" s="978"/>
      <c r="E59" s="978"/>
      <c r="F59" s="978"/>
      <c r="G59" s="978"/>
      <c r="H59" s="978"/>
      <c r="I59" s="978"/>
      <c r="J59" s="978"/>
      <c r="K59" s="978"/>
      <c r="L59" s="978"/>
      <c r="M59" s="978"/>
      <c r="N59" s="978"/>
      <c r="O59" s="978"/>
      <c r="P59" s="978"/>
      <c r="Q59" s="978"/>
      <c r="R59" s="978"/>
      <c r="S59" s="978"/>
    </row>
    <row r="60" spans="1:19" ht="15" customHeight="1">
      <c r="A60" s="485">
        <v>26</v>
      </c>
      <c r="B60" s="474">
        <f>'Student Data'!C30</f>
        <v>0</v>
      </c>
      <c r="C60" s="474">
        <f>'Student Data'!D30</f>
        <v>0</v>
      </c>
      <c r="D60" s="978"/>
      <c r="E60" s="978"/>
      <c r="F60" s="978"/>
      <c r="G60" s="978"/>
      <c r="H60" s="978"/>
      <c r="I60" s="978"/>
      <c r="J60" s="978"/>
      <c r="K60" s="978"/>
      <c r="L60" s="978"/>
      <c r="M60" s="978"/>
      <c r="N60" s="978"/>
      <c r="O60" s="978"/>
      <c r="P60" s="978"/>
      <c r="Q60" s="978"/>
      <c r="R60" s="978"/>
      <c r="S60" s="978"/>
    </row>
    <row r="61" spans="1:19" ht="15" customHeight="1">
      <c r="A61" s="485">
        <v>27</v>
      </c>
      <c r="B61" s="474">
        <f>'Student Data'!C31</f>
        <v>0</v>
      </c>
      <c r="C61" s="474">
        <f>'Student Data'!D31</f>
        <v>0</v>
      </c>
      <c r="D61" s="978"/>
      <c r="E61" s="978"/>
      <c r="F61" s="978"/>
      <c r="G61" s="978"/>
      <c r="H61" s="978"/>
      <c r="I61" s="978"/>
      <c r="J61" s="978"/>
      <c r="K61" s="978"/>
      <c r="L61" s="978"/>
      <c r="M61" s="978"/>
      <c r="N61" s="978"/>
      <c r="O61" s="978"/>
      <c r="P61" s="978"/>
      <c r="Q61" s="978"/>
      <c r="R61" s="978"/>
      <c r="S61" s="978"/>
    </row>
    <row r="62" spans="1:19" ht="15" customHeight="1">
      <c r="A62" s="485">
        <v>28</v>
      </c>
      <c r="B62" s="474">
        <f>'Student Data'!C32</f>
        <v>0</v>
      </c>
      <c r="C62" s="474">
        <f>'Student Data'!D32</f>
        <v>0</v>
      </c>
      <c r="D62" s="978"/>
      <c r="E62" s="978"/>
      <c r="F62" s="978"/>
      <c r="G62" s="978"/>
      <c r="H62" s="978"/>
      <c r="I62" s="978"/>
      <c r="J62" s="978"/>
      <c r="K62" s="978"/>
      <c r="L62" s="978"/>
      <c r="M62" s="978"/>
      <c r="N62" s="978"/>
      <c r="O62" s="978"/>
      <c r="P62" s="978"/>
      <c r="Q62" s="978"/>
      <c r="R62" s="978"/>
      <c r="S62" s="978"/>
    </row>
    <row r="63" spans="1:19" ht="15" customHeight="1">
      <c r="A63" s="485">
        <v>29</v>
      </c>
      <c r="B63" s="474">
        <f>'Student Data'!C33</f>
        <v>0</v>
      </c>
      <c r="C63" s="474">
        <f>'Student Data'!D33</f>
        <v>0</v>
      </c>
      <c r="D63" s="978"/>
      <c r="E63" s="978"/>
      <c r="F63" s="978"/>
      <c r="G63" s="978"/>
      <c r="H63" s="978"/>
      <c r="I63" s="978"/>
      <c r="J63" s="978"/>
      <c r="K63" s="978"/>
      <c r="L63" s="978"/>
      <c r="M63" s="978"/>
      <c r="N63" s="978"/>
      <c r="O63" s="978"/>
      <c r="P63" s="978"/>
      <c r="Q63" s="978"/>
      <c r="R63" s="978"/>
      <c r="S63" s="978"/>
    </row>
    <row r="64" spans="1:19" ht="15" customHeight="1">
      <c r="A64" s="485">
        <v>30</v>
      </c>
      <c r="B64" s="474">
        <f>'Student Data'!C34</f>
        <v>0</v>
      </c>
      <c r="C64" s="474">
        <f>'Student Data'!D34</f>
        <v>0</v>
      </c>
      <c r="D64" s="978"/>
      <c r="E64" s="978"/>
      <c r="F64" s="978"/>
      <c r="G64" s="978"/>
      <c r="H64" s="978"/>
      <c r="I64" s="978"/>
      <c r="J64" s="978"/>
      <c r="K64" s="978"/>
      <c r="L64" s="978"/>
      <c r="M64" s="978"/>
      <c r="N64" s="978"/>
      <c r="O64" s="978"/>
      <c r="P64" s="978"/>
      <c r="Q64" s="978"/>
      <c r="R64" s="978"/>
      <c r="S64" s="978"/>
    </row>
    <row r="65" spans="1:19" ht="15" customHeight="1">
      <c r="D65" s="487"/>
      <c r="E65" s="487"/>
      <c r="F65" s="487"/>
      <c r="G65" s="487"/>
      <c r="H65" s="487"/>
      <c r="I65" s="487"/>
      <c r="J65" s="487"/>
      <c r="K65" s="487"/>
      <c r="L65" s="487"/>
      <c r="M65" s="487"/>
      <c r="N65" s="487"/>
      <c r="O65" s="487"/>
      <c r="P65" s="487"/>
      <c r="Q65" s="487"/>
      <c r="R65" s="487"/>
      <c r="S65" s="487"/>
    </row>
    <row r="66" spans="1:19" ht="15" customHeight="1">
      <c r="B66" s="486"/>
    </row>
    <row r="67" spans="1:19" ht="15" customHeight="1">
      <c r="A67" s="483"/>
      <c r="B67" s="977" t="s">
        <v>159</v>
      </c>
      <c r="C67" s="977" t="s">
        <v>160</v>
      </c>
      <c r="D67" s="977" t="s">
        <v>646</v>
      </c>
      <c r="E67" s="977"/>
      <c r="F67" s="977"/>
      <c r="G67" s="977"/>
      <c r="H67" s="977"/>
      <c r="I67" s="977"/>
      <c r="J67" s="977"/>
      <c r="K67" s="977"/>
      <c r="L67" s="977"/>
      <c r="M67" s="977"/>
      <c r="N67" s="977"/>
      <c r="O67" s="977"/>
      <c r="P67" s="977"/>
      <c r="Q67" s="977"/>
      <c r="R67" s="977"/>
      <c r="S67" s="977"/>
    </row>
    <row r="68" spans="1:19" ht="15" customHeight="1">
      <c r="A68" s="483"/>
      <c r="B68" s="977"/>
      <c r="C68" s="977"/>
      <c r="D68" s="977"/>
      <c r="E68" s="977"/>
      <c r="F68" s="977"/>
      <c r="G68" s="977"/>
      <c r="H68" s="977"/>
      <c r="I68" s="977"/>
      <c r="J68" s="977"/>
      <c r="K68" s="977"/>
      <c r="L68" s="977"/>
      <c r="M68" s="977"/>
      <c r="N68" s="977"/>
      <c r="O68" s="977"/>
      <c r="P68" s="977"/>
      <c r="Q68" s="977"/>
      <c r="R68" s="977"/>
      <c r="S68" s="977"/>
    </row>
    <row r="69" spans="1:19" ht="15" customHeight="1">
      <c r="A69" s="485">
        <v>1</v>
      </c>
      <c r="B69" s="474" t="str">
        <f>'Student Data'!C5</f>
        <v>Rnne</v>
      </c>
      <c r="C69" s="474" t="str">
        <f>'Student Data'!D5</f>
        <v>Donna</v>
      </c>
      <c r="D69" s="978"/>
      <c r="E69" s="978"/>
      <c r="F69" s="978"/>
      <c r="G69" s="978"/>
      <c r="H69" s="978"/>
      <c r="I69" s="978"/>
      <c r="J69" s="978"/>
      <c r="K69" s="978"/>
      <c r="L69" s="978"/>
      <c r="M69" s="978"/>
      <c r="N69" s="978"/>
      <c r="O69" s="978"/>
      <c r="P69" s="978"/>
      <c r="Q69" s="978"/>
      <c r="R69" s="978"/>
      <c r="S69" s="978"/>
    </row>
    <row r="70" spans="1:19" ht="15" customHeight="1">
      <c r="A70" s="485">
        <v>2</v>
      </c>
      <c r="B70" s="474" t="str">
        <f>'Student Data'!C6</f>
        <v xml:space="preserve">Aquino </v>
      </c>
      <c r="C70" s="474" t="str">
        <f>'Student Data'!D6</f>
        <v>Summer</v>
      </c>
      <c r="D70" s="978"/>
      <c r="E70" s="978"/>
      <c r="F70" s="978"/>
      <c r="G70" s="978"/>
      <c r="H70" s="978"/>
      <c r="I70" s="978"/>
      <c r="J70" s="978"/>
      <c r="K70" s="978"/>
      <c r="L70" s="978"/>
      <c r="M70" s="978"/>
      <c r="N70" s="978"/>
      <c r="O70" s="978"/>
      <c r="P70" s="978"/>
      <c r="Q70" s="978"/>
      <c r="R70" s="978"/>
      <c r="S70" s="978"/>
    </row>
    <row r="71" spans="1:19" ht="15" customHeight="1">
      <c r="A71" s="485">
        <v>3</v>
      </c>
      <c r="B71" s="474" t="str">
        <f>'Student Data'!C7</f>
        <v xml:space="preserve">Reyes </v>
      </c>
      <c r="C71" s="474" t="str">
        <f>'Student Data'!D7</f>
        <v>Joana</v>
      </c>
      <c r="D71" s="978"/>
      <c r="E71" s="978"/>
      <c r="F71" s="978"/>
      <c r="G71" s="978"/>
      <c r="H71" s="978"/>
      <c r="I71" s="978"/>
      <c r="J71" s="978"/>
      <c r="K71" s="978"/>
      <c r="L71" s="978"/>
      <c r="M71" s="978"/>
      <c r="N71" s="978"/>
      <c r="O71" s="978"/>
      <c r="P71" s="978"/>
      <c r="Q71" s="978"/>
      <c r="R71" s="978"/>
      <c r="S71" s="978"/>
    </row>
    <row r="72" spans="1:19" ht="15" customHeight="1">
      <c r="A72" s="485">
        <v>4</v>
      </c>
      <c r="B72" s="474" t="str">
        <f>'Student Data'!C8</f>
        <v>Manuel</v>
      </c>
      <c r="C72" s="474" t="str">
        <f>'Student Data'!D8</f>
        <v>Quezon</v>
      </c>
      <c r="D72" s="978"/>
      <c r="E72" s="978"/>
      <c r="F72" s="978"/>
      <c r="G72" s="978"/>
      <c r="H72" s="978"/>
      <c r="I72" s="978"/>
      <c r="J72" s="978"/>
      <c r="K72" s="978"/>
      <c r="L72" s="978"/>
      <c r="M72" s="978"/>
      <c r="N72" s="978"/>
      <c r="O72" s="978"/>
      <c r="P72" s="978"/>
      <c r="Q72" s="978"/>
      <c r="R72" s="978"/>
      <c r="S72" s="978"/>
    </row>
    <row r="73" spans="1:19" ht="15" customHeight="1">
      <c r="A73" s="485">
        <v>5</v>
      </c>
      <c r="B73" s="474">
        <f>'Student Data'!C9</f>
        <v>0</v>
      </c>
      <c r="C73" s="474">
        <f>'Student Data'!D9</f>
        <v>0</v>
      </c>
      <c r="D73" s="978"/>
      <c r="E73" s="978"/>
      <c r="F73" s="978"/>
      <c r="G73" s="978"/>
      <c r="H73" s="978"/>
      <c r="I73" s="978"/>
      <c r="J73" s="978"/>
      <c r="K73" s="978"/>
      <c r="L73" s="978"/>
      <c r="M73" s="978"/>
      <c r="N73" s="978"/>
      <c r="O73" s="978"/>
      <c r="P73" s="978"/>
      <c r="Q73" s="978"/>
      <c r="R73" s="978"/>
      <c r="S73" s="978"/>
    </row>
    <row r="74" spans="1:19" ht="15" customHeight="1">
      <c r="A74" s="485">
        <v>6</v>
      </c>
      <c r="B74" s="474">
        <f>'Student Data'!C10</f>
        <v>0</v>
      </c>
      <c r="C74" s="474">
        <f>'Student Data'!D10</f>
        <v>0</v>
      </c>
      <c r="D74" s="978"/>
      <c r="E74" s="978"/>
      <c r="F74" s="978"/>
      <c r="G74" s="978"/>
      <c r="H74" s="978"/>
      <c r="I74" s="978"/>
      <c r="J74" s="978"/>
      <c r="K74" s="978"/>
      <c r="L74" s="978"/>
      <c r="M74" s="978"/>
      <c r="N74" s="978"/>
      <c r="O74" s="978"/>
      <c r="P74" s="978"/>
      <c r="Q74" s="978"/>
      <c r="R74" s="978"/>
      <c r="S74" s="978"/>
    </row>
    <row r="75" spans="1:19" ht="15" customHeight="1">
      <c r="A75" s="485">
        <v>7</v>
      </c>
      <c r="B75" s="474">
        <f>'Student Data'!C11</f>
        <v>0</v>
      </c>
      <c r="C75" s="474">
        <f>'Student Data'!D11</f>
        <v>0</v>
      </c>
      <c r="D75" s="978"/>
      <c r="E75" s="978"/>
      <c r="F75" s="978"/>
      <c r="G75" s="978"/>
      <c r="H75" s="978"/>
      <c r="I75" s="978"/>
      <c r="J75" s="978"/>
      <c r="K75" s="978"/>
      <c r="L75" s="978"/>
      <c r="M75" s="978"/>
      <c r="N75" s="978"/>
      <c r="O75" s="978"/>
      <c r="P75" s="978"/>
      <c r="Q75" s="978"/>
      <c r="R75" s="978"/>
      <c r="S75" s="978"/>
    </row>
    <row r="76" spans="1:19" ht="13.5">
      <c r="A76" s="485">
        <v>8</v>
      </c>
      <c r="B76" s="474">
        <f>'Student Data'!C12</f>
        <v>0</v>
      </c>
      <c r="C76" s="474">
        <f>'Student Data'!D12</f>
        <v>0</v>
      </c>
      <c r="D76" s="978"/>
      <c r="E76" s="978"/>
      <c r="F76" s="978"/>
      <c r="G76" s="978"/>
      <c r="H76" s="978"/>
      <c r="I76" s="978"/>
      <c r="J76" s="978"/>
      <c r="K76" s="978"/>
      <c r="L76" s="978"/>
      <c r="M76" s="978"/>
      <c r="N76" s="978"/>
      <c r="O76" s="978"/>
      <c r="P76" s="978"/>
      <c r="Q76" s="978"/>
      <c r="R76" s="978"/>
      <c r="S76" s="978"/>
    </row>
    <row r="77" spans="1:19" ht="14.65" customHeight="1">
      <c r="A77" s="485">
        <v>9</v>
      </c>
      <c r="B77" s="474">
        <f>'Student Data'!C13</f>
        <v>0</v>
      </c>
      <c r="C77" s="474">
        <f>'Student Data'!D13</f>
        <v>0</v>
      </c>
      <c r="D77" s="978"/>
      <c r="E77" s="978"/>
      <c r="F77" s="978"/>
      <c r="G77" s="978"/>
      <c r="H77" s="978"/>
      <c r="I77" s="978"/>
      <c r="J77" s="978"/>
      <c r="K77" s="978"/>
      <c r="L77" s="978"/>
      <c r="M77" s="978"/>
      <c r="N77" s="978"/>
      <c r="O77" s="978"/>
      <c r="P77" s="978"/>
      <c r="Q77" s="978"/>
      <c r="R77" s="978"/>
      <c r="S77" s="978"/>
    </row>
    <row r="78" spans="1:19" ht="18.75" customHeight="1">
      <c r="A78" s="485">
        <v>10</v>
      </c>
      <c r="B78" s="474">
        <f>'Student Data'!C14</f>
        <v>0</v>
      </c>
      <c r="C78" s="474">
        <f>'Student Data'!D14</f>
        <v>0</v>
      </c>
      <c r="D78" s="978"/>
      <c r="E78" s="978"/>
      <c r="F78" s="978"/>
      <c r="G78" s="978"/>
      <c r="H78" s="978"/>
      <c r="I78" s="978"/>
      <c r="J78" s="978"/>
      <c r="K78" s="978"/>
      <c r="L78" s="978"/>
      <c r="M78" s="978"/>
      <c r="N78" s="978"/>
      <c r="O78" s="978"/>
      <c r="P78" s="978"/>
      <c r="Q78" s="978"/>
      <c r="R78" s="978"/>
      <c r="S78" s="978"/>
    </row>
    <row r="79" spans="1:19" ht="17.25" customHeight="1">
      <c r="A79" s="485">
        <v>11</v>
      </c>
      <c r="B79" s="474">
        <f>'Student Data'!C15</f>
        <v>0</v>
      </c>
      <c r="C79" s="474">
        <f>'Student Data'!D15</f>
        <v>0</v>
      </c>
      <c r="D79" s="978"/>
      <c r="E79" s="978"/>
      <c r="F79" s="978"/>
      <c r="G79" s="978"/>
      <c r="H79" s="978"/>
      <c r="I79" s="978"/>
      <c r="J79" s="978"/>
      <c r="K79" s="978"/>
      <c r="L79" s="978"/>
      <c r="M79" s="978"/>
      <c r="N79" s="978"/>
      <c r="O79" s="978"/>
      <c r="P79" s="978"/>
      <c r="Q79" s="978"/>
      <c r="R79" s="978"/>
      <c r="S79" s="978"/>
    </row>
    <row r="80" spans="1:19" ht="15" customHeight="1">
      <c r="A80" s="485">
        <v>12</v>
      </c>
      <c r="B80" s="474">
        <f>'Student Data'!C16</f>
        <v>0</v>
      </c>
      <c r="C80" s="474">
        <f>'Student Data'!D16</f>
        <v>0</v>
      </c>
      <c r="D80" s="978"/>
      <c r="E80" s="978"/>
      <c r="F80" s="978"/>
      <c r="G80" s="978"/>
      <c r="H80" s="978"/>
      <c r="I80" s="978"/>
      <c r="J80" s="978"/>
      <c r="K80" s="978"/>
      <c r="L80" s="978"/>
      <c r="M80" s="978"/>
      <c r="N80" s="978"/>
      <c r="O80" s="978"/>
      <c r="P80" s="978"/>
      <c r="Q80" s="978"/>
      <c r="R80" s="978"/>
      <c r="S80" s="978"/>
    </row>
    <row r="81" spans="1:19" ht="15" customHeight="1">
      <c r="A81" s="485">
        <v>13</v>
      </c>
      <c r="B81" s="474">
        <f>'Student Data'!C17</f>
        <v>0</v>
      </c>
      <c r="C81" s="474">
        <f>'Student Data'!D17</f>
        <v>0</v>
      </c>
      <c r="D81" s="978"/>
      <c r="E81" s="978"/>
      <c r="F81" s="978"/>
      <c r="G81" s="978"/>
      <c r="H81" s="978"/>
      <c r="I81" s="978"/>
      <c r="J81" s="978"/>
      <c r="K81" s="978"/>
      <c r="L81" s="978"/>
      <c r="M81" s="978"/>
      <c r="N81" s="978"/>
      <c r="O81" s="978"/>
      <c r="P81" s="978"/>
      <c r="Q81" s="978"/>
      <c r="R81" s="978"/>
      <c r="S81" s="978"/>
    </row>
    <row r="82" spans="1:19" ht="15" customHeight="1">
      <c r="A82" s="485">
        <v>14</v>
      </c>
      <c r="B82" s="474">
        <f>'Student Data'!C18</f>
        <v>0</v>
      </c>
      <c r="C82" s="474">
        <f>'Student Data'!D18</f>
        <v>0</v>
      </c>
      <c r="D82" s="978"/>
      <c r="E82" s="978"/>
      <c r="F82" s="978"/>
      <c r="G82" s="978"/>
      <c r="H82" s="978"/>
      <c r="I82" s="978"/>
      <c r="J82" s="978"/>
      <c r="K82" s="978"/>
      <c r="L82" s="978"/>
      <c r="M82" s="978"/>
      <c r="N82" s="978"/>
      <c r="O82" s="978"/>
      <c r="P82" s="978"/>
      <c r="Q82" s="978"/>
      <c r="R82" s="978"/>
      <c r="S82" s="978"/>
    </row>
    <row r="83" spans="1:19" ht="15" customHeight="1">
      <c r="A83" s="485">
        <v>15</v>
      </c>
      <c r="B83" s="474">
        <f>'Student Data'!C19</f>
        <v>0</v>
      </c>
      <c r="C83" s="474">
        <f>'Student Data'!D19</f>
        <v>0</v>
      </c>
      <c r="D83" s="978"/>
      <c r="E83" s="978"/>
      <c r="F83" s="978"/>
      <c r="G83" s="978"/>
      <c r="H83" s="978"/>
      <c r="I83" s="978"/>
      <c r="J83" s="978"/>
      <c r="K83" s="978"/>
      <c r="L83" s="978"/>
      <c r="M83" s="978"/>
      <c r="N83" s="978"/>
      <c r="O83" s="978"/>
      <c r="P83" s="978"/>
      <c r="Q83" s="978"/>
      <c r="R83" s="978"/>
      <c r="S83" s="978"/>
    </row>
    <row r="84" spans="1:19" ht="15" customHeight="1">
      <c r="A84" s="485">
        <v>16</v>
      </c>
      <c r="B84" s="474">
        <f>'Student Data'!C20</f>
        <v>0</v>
      </c>
      <c r="C84" s="474">
        <f>'Student Data'!D20</f>
        <v>0</v>
      </c>
      <c r="D84" s="978"/>
      <c r="E84" s="978"/>
      <c r="F84" s="978"/>
      <c r="G84" s="978"/>
      <c r="H84" s="978"/>
      <c r="I84" s="978"/>
      <c r="J84" s="978"/>
      <c r="K84" s="978"/>
      <c r="L84" s="978"/>
      <c r="M84" s="978"/>
      <c r="N84" s="978"/>
      <c r="O84" s="978"/>
      <c r="P84" s="978"/>
      <c r="Q84" s="978"/>
      <c r="R84" s="978"/>
      <c r="S84" s="978"/>
    </row>
    <row r="85" spans="1:19" ht="15" customHeight="1">
      <c r="A85" s="485">
        <v>17</v>
      </c>
      <c r="B85" s="474">
        <f>'Student Data'!C21</f>
        <v>0</v>
      </c>
      <c r="C85" s="474">
        <f>'Student Data'!D21</f>
        <v>0</v>
      </c>
      <c r="D85" s="978"/>
      <c r="E85" s="978"/>
      <c r="F85" s="978"/>
      <c r="G85" s="978"/>
      <c r="H85" s="978"/>
      <c r="I85" s="978"/>
      <c r="J85" s="978"/>
      <c r="K85" s="978"/>
      <c r="L85" s="978"/>
      <c r="M85" s="978"/>
      <c r="N85" s="978"/>
      <c r="O85" s="978"/>
      <c r="P85" s="978"/>
      <c r="Q85" s="978"/>
      <c r="R85" s="978"/>
      <c r="S85" s="978"/>
    </row>
    <row r="86" spans="1:19" ht="15" customHeight="1">
      <c r="A86" s="485">
        <v>18</v>
      </c>
      <c r="B86" s="474">
        <f>'Student Data'!C22</f>
        <v>0</v>
      </c>
      <c r="C86" s="474">
        <f>'Student Data'!D22</f>
        <v>0</v>
      </c>
      <c r="D86" s="978"/>
      <c r="E86" s="978"/>
      <c r="F86" s="978"/>
      <c r="G86" s="978"/>
      <c r="H86" s="978"/>
      <c r="I86" s="978"/>
      <c r="J86" s="978"/>
      <c r="K86" s="978"/>
      <c r="L86" s="978"/>
      <c r="M86" s="978"/>
      <c r="N86" s="978"/>
      <c r="O86" s="978"/>
      <c r="P86" s="978"/>
      <c r="Q86" s="978"/>
      <c r="R86" s="978"/>
      <c r="S86" s="978"/>
    </row>
    <row r="87" spans="1:19" ht="15" customHeight="1">
      <c r="A87" s="485">
        <v>19</v>
      </c>
      <c r="B87" s="474">
        <f>'Student Data'!C23</f>
        <v>0</v>
      </c>
      <c r="C87" s="474">
        <f>'Student Data'!D23</f>
        <v>0</v>
      </c>
      <c r="D87" s="978"/>
      <c r="E87" s="978"/>
      <c r="F87" s="978"/>
      <c r="G87" s="978"/>
      <c r="H87" s="978"/>
      <c r="I87" s="978"/>
      <c r="J87" s="978"/>
      <c r="K87" s="978"/>
      <c r="L87" s="978"/>
      <c r="M87" s="978"/>
      <c r="N87" s="978"/>
      <c r="O87" s="978"/>
      <c r="P87" s="978"/>
      <c r="Q87" s="978"/>
      <c r="R87" s="978"/>
      <c r="S87" s="978"/>
    </row>
    <row r="88" spans="1:19" ht="15" customHeight="1">
      <c r="A88" s="485">
        <v>20</v>
      </c>
      <c r="B88" s="474">
        <f>'Student Data'!C24</f>
        <v>0</v>
      </c>
      <c r="C88" s="474">
        <f>'Student Data'!D24</f>
        <v>0</v>
      </c>
      <c r="D88" s="978"/>
      <c r="E88" s="978"/>
      <c r="F88" s="978"/>
      <c r="G88" s="978"/>
      <c r="H88" s="978"/>
      <c r="I88" s="978"/>
      <c r="J88" s="978"/>
      <c r="K88" s="978"/>
      <c r="L88" s="978"/>
      <c r="M88" s="978"/>
      <c r="N88" s="978"/>
      <c r="O88" s="978"/>
      <c r="P88" s="978"/>
      <c r="Q88" s="978"/>
      <c r="R88" s="978"/>
      <c r="S88" s="978"/>
    </row>
    <row r="89" spans="1:19" ht="15" customHeight="1">
      <c r="A89" s="485">
        <v>21</v>
      </c>
      <c r="B89" s="474">
        <f>'Student Data'!C25</f>
        <v>0</v>
      </c>
      <c r="C89" s="474">
        <f>'Student Data'!D25</f>
        <v>0</v>
      </c>
      <c r="D89" s="978"/>
      <c r="E89" s="978"/>
      <c r="F89" s="978"/>
      <c r="G89" s="978"/>
      <c r="H89" s="978"/>
      <c r="I89" s="978"/>
      <c r="J89" s="978"/>
      <c r="K89" s="978"/>
      <c r="L89" s="978"/>
      <c r="M89" s="978"/>
      <c r="N89" s="978"/>
      <c r="O89" s="978"/>
      <c r="P89" s="978"/>
      <c r="Q89" s="978"/>
      <c r="R89" s="978"/>
      <c r="S89" s="978"/>
    </row>
    <row r="90" spans="1:19" ht="15" customHeight="1">
      <c r="A90" s="485">
        <v>22</v>
      </c>
      <c r="B90" s="474">
        <f>'Student Data'!C26</f>
        <v>0</v>
      </c>
      <c r="C90" s="474">
        <f>'Student Data'!D26</f>
        <v>0</v>
      </c>
      <c r="D90" s="978"/>
      <c r="E90" s="978"/>
      <c r="F90" s="978"/>
      <c r="G90" s="978"/>
      <c r="H90" s="978"/>
      <c r="I90" s="978"/>
      <c r="J90" s="978"/>
      <c r="K90" s="978"/>
      <c r="L90" s="978"/>
      <c r="M90" s="978"/>
      <c r="N90" s="978"/>
      <c r="O90" s="978"/>
      <c r="P90" s="978"/>
      <c r="Q90" s="978"/>
      <c r="R90" s="978"/>
      <c r="S90" s="978"/>
    </row>
    <row r="91" spans="1:19" ht="15" customHeight="1">
      <c r="A91" s="485">
        <v>23</v>
      </c>
      <c r="B91" s="474">
        <f>'Student Data'!C27</f>
        <v>0</v>
      </c>
      <c r="C91" s="474">
        <f>'Student Data'!D27</f>
        <v>0</v>
      </c>
      <c r="D91" s="978"/>
      <c r="E91" s="978"/>
      <c r="F91" s="978"/>
      <c r="G91" s="978"/>
      <c r="H91" s="978"/>
      <c r="I91" s="978"/>
      <c r="J91" s="978"/>
      <c r="K91" s="978"/>
      <c r="L91" s="978"/>
      <c r="M91" s="978"/>
      <c r="N91" s="978"/>
      <c r="O91" s="978"/>
      <c r="P91" s="978"/>
      <c r="Q91" s="978"/>
      <c r="R91" s="978"/>
      <c r="S91" s="978"/>
    </row>
    <row r="92" spans="1:19" ht="15" customHeight="1">
      <c r="A92" s="485">
        <v>24</v>
      </c>
      <c r="B92" s="474">
        <f>'Student Data'!C28</f>
        <v>0</v>
      </c>
      <c r="C92" s="474">
        <f>'Student Data'!D28</f>
        <v>0</v>
      </c>
      <c r="D92" s="978"/>
      <c r="E92" s="978"/>
      <c r="F92" s="978"/>
      <c r="G92" s="978"/>
      <c r="H92" s="978"/>
      <c r="I92" s="978"/>
      <c r="J92" s="978"/>
      <c r="K92" s="978"/>
      <c r="L92" s="978"/>
      <c r="M92" s="978"/>
      <c r="N92" s="978"/>
      <c r="O92" s="978"/>
      <c r="P92" s="978"/>
      <c r="Q92" s="978"/>
      <c r="R92" s="978"/>
      <c r="S92" s="978"/>
    </row>
    <row r="93" spans="1:19" ht="15" customHeight="1">
      <c r="A93" s="485">
        <v>25</v>
      </c>
      <c r="B93" s="474">
        <f>'Student Data'!C29</f>
        <v>0</v>
      </c>
      <c r="C93" s="474">
        <f>'Student Data'!D29</f>
        <v>0</v>
      </c>
      <c r="D93" s="978"/>
      <c r="E93" s="978"/>
      <c r="F93" s="978"/>
      <c r="G93" s="978"/>
      <c r="H93" s="978"/>
      <c r="I93" s="978"/>
      <c r="J93" s="978"/>
      <c r="K93" s="978"/>
      <c r="L93" s="978"/>
      <c r="M93" s="978"/>
      <c r="N93" s="978"/>
      <c r="O93" s="978"/>
      <c r="P93" s="978"/>
      <c r="Q93" s="978"/>
      <c r="R93" s="978"/>
      <c r="S93" s="978"/>
    </row>
    <row r="94" spans="1:19" ht="15" customHeight="1">
      <c r="A94" s="485">
        <v>26</v>
      </c>
      <c r="B94" s="474">
        <f>'Student Data'!C30</f>
        <v>0</v>
      </c>
      <c r="C94" s="474">
        <f>'Student Data'!D30</f>
        <v>0</v>
      </c>
      <c r="D94" s="978"/>
      <c r="E94" s="978"/>
      <c r="F94" s="978"/>
      <c r="G94" s="978"/>
      <c r="H94" s="978"/>
      <c r="I94" s="978"/>
      <c r="J94" s="978"/>
      <c r="K94" s="978"/>
      <c r="L94" s="978"/>
      <c r="M94" s="978"/>
      <c r="N94" s="978"/>
      <c r="O94" s="978"/>
      <c r="P94" s="978"/>
      <c r="Q94" s="978"/>
      <c r="R94" s="978"/>
      <c r="S94" s="978"/>
    </row>
    <row r="95" spans="1:19" ht="15" customHeight="1">
      <c r="A95" s="485">
        <v>27</v>
      </c>
      <c r="B95" s="474">
        <f>'Student Data'!C31</f>
        <v>0</v>
      </c>
      <c r="C95" s="474">
        <f>'Student Data'!D31</f>
        <v>0</v>
      </c>
      <c r="D95" s="978"/>
      <c r="E95" s="978"/>
      <c r="F95" s="978"/>
      <c r="G95" s="978"/>
      <c r="H95" s="978"/>
      <c r="I95" s="978"/>
      <c r="J95" s="978"/>
      <c r="K95" s="978"/>
      <c r="L95" s="978"/>
      <c r="M95" s="978"/>
      <c r="N95" s="978"/>
      <c r="O95" s="978"/>
      <c r="P95" s="978"/>
      <c r="Q95" s="978"/>
      <c r="R95" s="978"/>
      <c r="S95" s="978"/>
    </row>
    <row r="96" spans="1:19" ht="15" customHeight="1">
      <c r="A96" s="485">
        <v>28</v>
      </c>
      <c r="B96" s="474">
        <f>'Student Data'!C32</f>
        <v>0</v>
      </c>
      <c r="C96" s="474">
        <f>'Student Data'!D32</f>
        <v>0</v>
      </c>
      <c r="D96" s="978"/>
      <c r="E96" s="978"/>
      <c r="F96" s="978"/>
      <c r="G96" s="978"/>
      <c r="H96" s="978"/>
      <c r="I96" s="978"/>
      <c r="J96" s="978"/>
      <c r="K96" s="978"/>
      <c r="L96" s="978"/>
      <c r="M96" s="978"/>
      <c r="N96" s="978"/>
      <c r="O96" s="978"/>
      <c r="P96" s="978"/>
      <c r="Q96" s="978"/>
      <c r="R96" s="978"/>
      <c r="S96" s="978"/>
    </row>
    <row r="97" spans="1:19" ht="15" customHeight="1">
      <c r="A97" s="485">
        <v>29</v>
      </c>
      <c r="B97" s="474">
        <f>'Student Data'!C33</f>
        <v>0</v>
      </c>
      <c r="C97" s="474">
        <f>'Student Data'!D33</f>
        <v>0</v>
      </c>
      <c r="D97" s="978"/>
      <c r="E97" s="978"/>
      <c r="F97" s="978"/>
      <c r="G97" s="978"/>
      <c r="H97" s="978"/>
      <c r="I97" s="978"/>
      <c r="J97" s="978"/>
      <c r="K97" s="978"/>
      <c r="L97" s="978"/>
      <c r="M97" s="978"/>
      <c r="N97" s="978"/>
      <c r="O97" s="978"/>
      <c r="P97" s="978"/>
      <c r="Q97" s="978"/>
      <c r="R97" s="978"/>
      <c r="S97" s="978"/>
    </row>
    <row r="98" spans="1:19" ht="15" customHeight="1">
      <c r="A98" s="485">
        <v>30</v>
      </c>
      <c r="B98" s="474">
        <f>'Student Data'!C34</f>
        <v>0</v>
      </c>
      <c r="C98" s="474">
        <f>'Student Data'!D34</f>
        <v>0</v>
      </c>
      <c r="D98" s="978"/>
      <c r="E98" s="978"/>
      <c r="F98" s="978"/>
      <c r="G98" s="978"/>
      <c r="H98" s="978"/>
      <c r="I98" s="978"/>
      <c r="J98" s="978"/>
      <c r="K98" s="978"/>
      <c r="L98" s="978"/>
      <c r="M98" s="978"/>
      <c r="N98" s="978"/>
      <c r="O98" s="978"/>
      <c r="P98" s="978"/>
      <c r="Q98" s="978"/>
      <c r="R98" s="978"/>
      <c r="S98" s="978"/>
    </row>
    <row r="110" spans="1:19" ht="13.5"/>
  </sheetData>
  <sheetProtection formatCells="0" selectLockedCells="1"/>
  <protectedRanges>
    <protectedRange algorithmName="SHA-512" hashValue="WMNK7/d7mukURDkTJTK4IDqLpel863yVTo8FgQkbbWWt7KBV/bCvkg7UXATdgJqlex10X8qavNKVx6e6HN4VoQ==" saltValue="PPnxJkCGcGNAeWY0XgZJ2w==" spinCount="100000" sqref="B35:C65 B5:C23" name="Names_1"/>
    <protectedRange algorithmName="SHA-512" hashValue="eCinG62sGcBDQvF2fi63YYELNy5f0YA9GtN4yDLEGhMPtpSwgfc3rXzHezJosSgDBBMxttktrLAsggN46v9uXQ==" saltValue="Y1Q4djRSCVPuowykiiIfEg==" spinCount="100000" sqref="P5:Q23" name="QA AVGs_1"/>
    <protectedRange algorithmName="SHA-512" hashValue="WMNK7/d7mukURDkTJTK4IDqLpel863yVTo8FgQkbbWWt7KBV/bCvkg7UXATdgJqlex10X8qavNKVx6e6HN4VoQ==" saltValue="PPnxJkCGcGNAeWY0XgZJ2w==" spinCount="100000" sqref="B69:C98" name="Names_1_6"/>
  </protectedRanges>
  <mergeCells count="72">
    <mergeCell ref="R2:V2"/>
    <mergeCell ref="D90:S90"/>
    <mergeCell ref="D79:S79"/>
    <mergeCell ref="D80:S80"/>
    <mergeCell ref="D81:S81"/>
    <mergeCell ref="D82:S82"/>
    <mergeCell ref="D83:S83"/>
    <mergeCell ref="D59:S59"/>
    <mergeCell ref="D57:S57"/>
    <mergeCell ref="D58:S58"/>
    <mergeCell ref="D47:S47"/>
    <mergeCell ref="D48:S48"/>
    <mergeCell ref="D86:S86"/>
    <mergeCell ref="D87:S87"/>
    <mergeCell ref="D89:S89"/>
    <mergeCell ref="D49:S49"/>
    <mergeCell ref="B33:B34"/>
    <mergeCell ref="D46:S46"/>
    <mergeCell ref="D35:S35"/>
    <mergeCell ref="D36:S36"/>
    <mergeCell ref="D37:S37"/>
    <mergeCell ref="D38:S38"/>
    <mergeCell ref="D39:S39"/>
    <mergeCell ref="D40:S40"/>
    <mergeCell ref="D41:S41"/>
    <mergeCell ref="D42:S42"/>
    <mergeCell ref="D43:S43"/>
    <mergeCell ref="D44:S44"/>
    <mergeCell ref="D45:S45"/>
    <mergeCell ref="C33:C34"/>
    <mergeCell ref="D33:S34"/>
    <mergeCell ref="D50:S50"/>
    <mergeCell ref="D51:S51"/>
    <mergeCell ref="D52:S52"/>
    <mergeCell ref="D53:S53"/>
    <mergeCell ref="D54:S54"/>
    <mergeCell ref="D55:S55"/>
    <mergeCell ref="D56:S56"/>
    <mergeCell ref="D98:S98"/>
    <mergeCell ref="D64:S64"/>
    <mergeCell ref="D97:S97"/>
    <mergeCell ref="D67:S68"/>
    <mergeCell ref="D69:S69"/>
    <mergeCell ref="D70:S70"/>
    <mergeCell ref="D92:S92"/>
    <mergeCell ref="D93:S93"/>
    <mergeCell ref="D60:S60"/>
    <mergeCell ref="D61:S61"/>
    <mergeCell ref="D62:S62"/>
    <mergeCell ref="D63:S63"/>
    <mergeCell ref="D91:S91"/>
    <mergeCell ref="B67:B68"/>
    <mergeCell ref="D94:S94"/>
    <mergeCell ref="D95:S95"/>
    <mergeCell ref="D96:S96"/>
    <mergeCell ref="D76:S76"/>
    <mergeCell ref="D71:S71"/>
    <mergeCell ref="D72:S72"/>
    <mergeCell ref="D73:S73"/>
    <mergeCell ref="D74:S74"/>
    <mergeCell ref="D75:S75"/>
    <mergeCell ref="D88:S88"/>
    <mergeCell ref="D77:S77"/>
    <mergeCell ref="D78:S78"/>
    <mergeCell ref="C67:C68"/>
    <mergeCell ref="D84:S84"/>
    <mergeCell ref="D85:S85"/>
    <mergeCell ref="D2:F3"/>
    <mergeCell ref="G2:J3"/>
    <mergeCell ref="K2:O3"/>
    <mergeCell ref="D1:O1"/>
    <mergeCell ref="P2:P4"/>
  </mergeCells>
  <phoneticPr fontId="59" type="noConversion"/>
  <conditionalFormatting sqref="A5:A23 A36:A65 C69:C98 A93:A98">
    <cfRule type="expression" dxfId="722" priority="114">
      <formula>IF($D5="Terminated-Nesting",TRUE,FALSE)</formula>
    </cfRule>
    <cfRule type="expression" dxfId="721" priority="115">
      <formula>IF($D5="Resigned",TRUE,FALSE)</formula>
    </cfRule>
    <cfRule type="expression" dxfId="720" priority="116">
      <formula>IF($D5="Terminated",TRUE,FALSE)</formula>
    </cfRule>
    <cfRule type="expression" dxfId="719" priority="117">
      <formula>IF($D5="Resigned-Nesting",TRUE,FALSE)</formula>
    </cfRule>
  </conditionalFormatting>
  <conditionalFormatting sqref="B5:C22 C35:C58 B69:B97">
    <cfRule type="expression" dxfId="718" priority="118">
      <formula>IF($D6="Terminated-Nesting",TRUE,FALSE)</formula>
    </cfRule>
    <cfRule type="expression" dxfId="717" priority="119">
      <formula>IF($D6="Resigned",TRUE,FALSE)</formula>
    </cfRule>
    <cfRule type="expression" dxfId="716" priority="120">
      <formula>IF($D6="Terminated",TRUE,FALSE)</formula>
    </cfRule>
    <cfRule type="expression" dxfId="715" priority="121">
      <formula>IF($D6="Resigned-Nesting",TRUE,FALSE)</formula>
    </cfRule>
  </conditionalFormatting>
  <conditionalFormatting sqref="P5:Q23">
    <cfRule type="cellIs" dxfId="714" priority="112" operator="between">
      <formula>0.1</formula>
      <formula>0.74999</formula>
    </cfRule>
    <cfRule type="cellIs" dxfId="713" priority="113" operator="greaterThan">
      <formula>0.75</formula>
    </cfRule>
  </conditionalFormatting>
  <conditionalFormatting sqref="A35">
    <cfRule type="expression" dxfId="712" priority="99">
      <formula>IF(#REF!="Terminated-Nesting",TRUE,FALSE)</formula>
    </cfRule>
    <cfRule type="expression" dxfId="711" priority="100">
      <formula>IF(#REF!="Resigned",TRUE,FALSE)</formula>
    </cfRule>
    <cfRule type="expression" dxfId="710" priority="101">
      <formula>IF(#REF!="Terminated",TRUE,FALSE)</formula>
    </cfRule>
    <cfRule type="expression" dxfId="709" priority="102">
      <formula>IF(#REF!="Resigned-Nesting",TRUE,FALSE)</formula>
    </cfRule>
  </conditionalFormatting>
  <conditionalFormatting sqref="D5:P23">
    <cfRule type="cellIs" dxfId="708" priority="91" operator="equal">
      <formula>"Off Brand"</formula>
    </cfRule>
    <cfRule type="cellIs" dxfId="707" priority="92" operator="equal">
      <formula>"On Brand"</formula>
    </cfRule>
  </conditionalFormatting>
  <conditionalFormatting sqref="D5:O23">
    <cfRule type="cellIs" dxfId="706" priority="38" operator="between">
      <formula>0.00014</formula>
      <formula>0.69998</formula>
    </cfRule>
    <cfRule type="cellIs" dxfId="705" priority="39" operator="between">
      <formula>0.69999</formula>
      <formula>0.79998</formula>
    </cfRule>
    <cfRule type="cellIs" dxfId="704" priority="40" operator="greaterThan">
      <formula>0.79999</formula>
    </cfRule>
  </conditionalFormatting>
  <conditionalFormatting sqref="R5:T23">
    <cfRule type="cellIs" dxfId="703" priority="17" operator="between">
      <formula>0</formula>
      <formula>0.19</formula>
    </cfRule>
    <cfRule type="cellIs" dxfId="702" priority="19" operator="greaterThan">
      <formula>0.2</formula>
    </cfRule>
  </conditionalFormatting>
  <conditionalFormatting sqref="S6:T10">
    <cfRule type="cellIs" dxfId="701" priority="11" operator="between">
      <formula>0.00014</formula>
      <formula>0.69998</formula>
    </cfRule>
    <cfRule type="cellIs" dxfId="700" priority="12" operator="between">
      <formula>0.69999</formula>
      <formula>0.79998</formula>
    </cfRule>
    <cfRule type="cellIs" dxfId="699" priority="13" operator="greaterThan">
      <formula>0.79999</formula>
    </cfRule>
  </conditionalFormatting>
  <conditionalFormatting sqref="B23:C23">
    <cfRule type="expression" dxfId="698" priority="1747">
      <formula>IF(#REF!="Terminated-Nesting",TRUE,FALSE)</formula>
    </cfRule>
    <cfRule type="expression" dxfId="697" priority="1748">
      <formula>IF(#REF!="Resigned",TRUE,FALSE)</formula>
    </cfRule>
    <cfRule type="expression" dxfId="696" priority="1749">
      <formula>IF(#REF!="Terminated",TRUE,FALSE)</formula>
    </cfRule>
    <cfRule type="expression" dxfId="695" priority="1750">
      <formula>IF(#REF!="Resigned-Nesting",TRUE,FALSE)</formula>
    </cfRule>
  </conditionalFormatting>
  <conditionalFormatting sqref="B98">
    <cfRule type="expression" dxfId="694" priority="1877">
      <formula>IF($AB105="Terminated-Nesting",TRUE,FALSE)</formula>
    </cfRule>
    <cfRule type="expression" dxfId="693" priority="1878">
      <formula>IF($AB105="Resigned",TRUE,FALSE)</formula>
    </cfRule>
    <cfRule type="expression" dxfId="692" priority="1879">
      <formula>IF($AB105="Terminated",TRUE,FALSE)</formula>
    </cfRule>
    <cfRule type="expression" dxfId="691" priority="1880">
      <formula>IF($AB105="Resigned-Nesting",TRUE,FALSE)</formula>
    </cfRule>
  </conditionalFormatting>
  <conditionalFormatting sqref="A69:A92">
    <cfRule type="expression" dxfId="690" priority="1909">
      <formula>IF($D68="Terminated-Nesting",TRUE,FALSE)</formula>
    </cfRule>
    <cfRule type="expression" dxfId="689" priority="1910">
      <formula>IF($D68="Resigned",TRUE,FALSE)</formula>
    </cfRule>
    <cfRule type="expression" dxfId="688" priority="1911">
      <formula>IF($D68="Terminated",TRUE,FALSE)</formula>
    </cfRule>
    <cfRule type="expression" dxfId="687" priority="1912">
      <formula>IF($D68="Resigned-Nesting",TRUE,FALSE)</formula>
    </cfRule>
  </conditionalFormatting>
  <conditionalFormatting sqref="B35:B57 C65">
    <cfRule type="expression" dxfId="686" priority="1913">
      <formula>IF($D37="Terminated-Nesting",TRUE,FALSE)</formula>
    </cfRule>
    <cfRule type="expression" dxfId="685" priority="1914">
      <formula>IF($D37="Resigned",TRUE,FALSE)</formula>
    </cfRule>
    <cfRule type="expression" dxfId="684" priority="1915">
      <formula>IF($D37="Terminated",TRUE,FALSE)</formula>
    </cfRule>
    <cfRule type="expression" dxfId="683" priority="1916">
      <formula>IF($D37="Resigned-Nesting",TRUE,FALSE)</formula>
    </cfRule>
  </conditionalFormatting>
  <conditionalFormatting sqref="B65">
    <cfRule type="expression" dxfId="682" priority="1921">
      <formula>IF($D68="Terminated-Nesting",TRUE,FALSE)</formula>
    </cfRule>
    <cfRule type="expression" dxfId="681" priority="1922">
      <formula>IF($D68="Resigned",TRUE,FALSE)</formula>
    </cfRule>
    <cfRule type="expression" dxfId="680" priority="1923">
      <formula>IF($D68="Terminated",TRUE,FALSE)</formula>
    </cfRule>
    <cfRule type="expression" dxfId="679" priority="1924">
      <formula>IF($D68="Resigned-Nesting",TRUE,FALSE)</formula>
    </cfRule>
  </conditionalFormatting>
  <conditionalFormatting sqref="C59:C64">
    <cfRule type="expression" dxfId="678" priority="1925">
      <formula>IF($D66="Terminated-Nesting",TRUE,FALSE)</formula>
    </cfRule>
    <cfRule type="expression" dxfId="677" priority="1926">
      <formula>IF($D66="Resigned",TRUE,FALSE)</formula>
    </cfRule>
    <cfRule type="expression" dxfId="676" priority="1927">
      <formula>IF($D66="Terminated",TRUE,FALSE)</formula>
    </cfRule>
    <cfRule type="expression" dxfId="675" priority="1928">
      <formula>IF($D66="Resigned-Nesting",TRUE,FALSE)</formula>
    </cfRule>
  </conditionalFormatting>
  <conditionalFormatting sqref="B58:B64">
    <cfRule type="expression" dxfId="674" priority="1929">
      <formula>IF($D66="Terminated-Nesting",TRUE,FALSE)</formula>
    </cfRule>
    <cfRule type="expression" dxfId="673" priority="1930">
      <formula>IF($D66="Resigned",TRUE,FALSE)</formula>
    </cfRule>
    <cfRule type="expression" dxfId="672" priority="1931">
      <formula>IF($D66="Terminated",TRUE,FALSE)</formula>
    </cfRule>
    <cfRule type="expression" dxfId="671" priority="1932">
      <formula>IF($D66="Resigned-Nesting",TRUE,FALSE)</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1:AA163"/>
  <sheetViews>
    <sheetView zoomScale="80" zoomScaleNormal="80" workbookViewId="0">
      <selection activeCell="M13" sqref="M13"/>
    </sheetView>
  </sheetViews>
  <sheetFormatPr defaultRowHeight="14.45"/>
  <cols>
    <col min="1" max="1" width="9.140625" style="45"/>
    <col min="2" max="3" width="12.140625" customWidth="1"/>
    <col min="4" max="4" width="12" customWidth="1"/>
    <col min="5" max="7" width="11.5703125" customWidth="1"/>
    <col min="8" max="8" width="12.85546875" customWidth="1"/>
    <col min="9" max="9" width="12.140625" customWidth="1"/>
    <col min="10" max="10" width="12.5703125" customWidth="1"/>
    <col min="11" max="12" width="12.28515625" customWidth="1"/>
    <col min="13" max="13" width="13" customWidth="1"/>
    <col min="14" max="14" width="12.85546875" customWidth="1"/>
    <col min="15" max="15" width="13" customWidth="1"/>
    <col min="16" max="16" width="15.28515625" customWidth="1"/>
    <col min="17" max="18" width="12.28515625" customWidth="1"/>
    <col min="19" max="19" width="12" customWidth="1"/>
    <col min="20" max="20" width="13.28515625" customWidth="1"/>
    <col min="21" max="21" width="11.5703125" customWidth="1"/>
    <col min="22" max="22" width="19" customWidth="1"/>
    <col min="23" max="23" width="11.28515625" customWidth="1"/>
  </cols>
  <sheetData>
    <row r="1" spans="1:27" ht="18">
      <c r="A1" s="324" t="s">
        <v>647</v>
      </c>
      <c r="B1" s="50"/>
      <c r="C1" s="50"/>
      <c r="D1" s="50"/>
      <c r="E1" s="50"/>
      <c r="F1" s="50"/>
      <c r="G1" s="50"/>
      <c r="H1" s="50"/>
      <c r="I1" s="50"/>
      <c r="J1" s="50"/>
      <c r="K1" s="50"/>
      <c r="L1" s="50"/>
      <c r="M1" s="51"/>
      <c r="N1" s="51"/>
      <c r="O1" s="51"/>
      <c r="P1" s="51"/>
      <c r="Q1" s="51"/>
    </row>
    <row r="2" spans="1:27">
      <c r="A2" s="981" t="str">
        <f>'Student Data'!D5&amp;" "&amp;'Student Data'!C5</f>
        <v>Donna Rnne</v>
      </c>
      <c r="B2" s="981"/>
      <c r="C2" s="981" t="str">
        <f>'Student Data'!D10&amp;" "&amp;'Student Data'!C10</f>
        <v xml:space="preserve"> </v>
      </c>
      <c r="D2" s="981"/>
      <c r="E2" s="981" t="str">
        <f>'Student Data'!D15&amp;" "&amp;'Student Data'!C15</f>
        <v xml:space="preserve"> </v>
      </c>
      <c r="F2" s="981"/>
      <c r="G2" s="981" t="str">
        <f>'Student Data'!D20&amp;" "&amp;'Student Data'!C20</f>
        <v xml:space="preserve"> </v>
      </c>
      <c r="H2" s="981"/>
      <c r="I2" s="981" t="str">
        <f>'Student Data'!D25&amp;" "&amp;'Student Data'!C25</f>
        <v xml:space="preserve"> </v>
      </c>
      <c r="J2" s="981"/>
      <c r="K2" s="981" t="str">
        <f>'Student Data'!D30&amp;" "&amp;'Student Data'!C30</f>
        <v xml:space="preserve"> </v>
      </c>
      <c r="L2" s="981"/>
      <c r="M2" s="981"/>
      <c r="N2" s="981" t="str">
        <f>'Student Data'!D35&amp;" "&amp;'Student Data'!C35</f>
        <v xml:space="preserve"> </v>
      </c>
      <c r="O2" s="981"/>
      <c r="P2" s="981" t="str">
        <f>'Student Data'!D40&amp;" "&amp;'Student Data'!C40</f>
        <v xml:space="preserve"> </v>
      </c>
      <c r="Q2" s="981"/>
      <c r="R2" s="287"/>
    </row>
    <row r="3" spans="1:27">
      <c r="A3" s="981" t="str">
        <f>'Student Data'!D6&amp;" "&amp;'Student Data'!C6</f>
        <v xml:space="preserve">Summer Aquino </v>
      </c>
      <c r="B3" s="981"/>
      <c r="C3" s="981" t="str">
        <f>'Student Data'!D11&amp;" "&amp;'Student Data'!C11</f>
        <v xml:space="preserve"> </v>
      </c>
      <c r="D3" s="981"/>
      <c r="E3" s="981" t="str">
        <f>'Student Data'!D16&amp;" "&amp;'Student Data'!C16</f>
        <v xml:space="preserve"> </v>
      </c>
      <c r="F3" s="981"/>
      <c r="G3" s="981" t="str">
        <f>'Student Data'!D21&amp;" "&amp;'Student Data'!C21</f>
        <v xml:space="preserve"> </v>
      </c>
      <c r="H3" s="981"/>
      <c r="I3" s="981" t="str">
        <f>'Student Data'!D26&amp;" "&amp;'Student Data'!C26</f>
        <v xml:space="preserve"> </v>
      </c>
      <c r="J3" s="981"/>
      <c r="K3" s="981" t="str">
        <f>'Student Data'!D31&amp;" "&amp;'Student Data'!C31</f>
        <v xml:space="preserve"> </v>
      </c>
      <c r="L3" s="981"/>
      <c r="M3" s="981"/>
      <c r="N3" s="981" t="str">
        <f>'Student Data'!D36&amp;" "&amp;'Student Data'!C36</f>
        <v xml:space="preserve"> </v>
      </c>
      <c r="O3" s="981"/>
      <c r="P3" s="981" t="str">
        <f>'Student Data'!D41&amp;" "&amp;'Student Data'!C41</f>
        <v xml:space="preserve"> </v>
      </c>
      <c r="Q3" s="981"/>
      <c r="R3" s="287"/>
    </row>
    <row r="4" spans="1:27">
      <c r="A4" s="981" t="str">
        <f>'Student Data'!D7&amp;" "&amp;'Student Data'!C7</f>
        <v xml:space="preserve">Joana Reyes </v>
      </c>
      <c r="B4" s="981"/>
      <c r="C4" s="981" t="str">
        <f>'Student Data'!D12&amp;" "&amp;'Student Data'!C12</f>
        <v xml:space="preserve"> </v>
      </c>
      <c r="D4" s="981"/>
      <c r="E4" s="981" t="str">
        <f>'Student Data'!D17&amp;" "&amp;'Student Data'!C17</f>
        <v xml:space="preserve"> </v>
      </c>
      <c r="F4" s="981"/>
      <c r="G4" s="981" t="str">
        <f>'Student Data'!D22&amp;" "&amp;'Student Data'!C22</f>
        <v xml:space="preserve"> </v>
      </c>
      <c r="H4" s="981"/>
      <c r="I4" s="981" t="str">
        <f>'Student Data'!D27&amp;" "&amp;'Student Data'!C27</f>
        <v xml:space="preserve"> </v>
      </c>
      <c r="J4" s="981"/>
      <c r="K4" s="981" t="str">
        <f>'Student Data'!D32&amp;" "&amp;'Student Data'!C32</f>
        <v xml:space="preserve"> </v>
      </c>
      <c r="L4" s="981"/>
      <c r="M4" s="981"/>
      <c r="N4" s="981" t="str">
        <f>'Student Data'!D37&amp;" "&amp;'Student Data'!C37</f>
        <v xml:space="preserve"> </v>
      </c>
      <c r="O4" s="981"/>
      <c r="P4" s="981" t="str">
        <f>'Student Data'!D42&amp;" "&amp;'Student Data'!C42</f>
        <v xml:space="preserve"> </v>
      </c>
      <c r="Q4" s="981"/>
      <c r="R4" s="287"/>
    </row>
    <row r="5" spans="1:27">
      <c r="A5" s="981" t="str">
        <f>'Student Data'!D8&amp;" "&amp;'Student Data'!C8</f>
        <v>Quezon Manuel</v>
      </c>
      <c r="B5" s="981"/>
      <c r="C5" s="981" t="str">
        <f>'Student Data'!D13&amp;" "&amp;'Student Data'!C13</f>
        <v xml:space="preserve"> </v>
      </c>
      <c r="D5" s="981"/>
      <c r="E5" s="981" t="str">
        <f>'Student Data'!D18&amp;" "&amp;'Student Data'!C18</f>
        <v xml:space="preserve"> </v>
      </c>
      <c r="F5" s="981"/>
      <c r="G5" s="981" t="str">
        <f>'Student Data'!D23&amp;" "&amp;'Student Data'!C23</f>
        <v xml:space="preserve"> </v>
      </c>
      <c r="H5" s="981"/>
      <c r="I5" s="981" t="str">
        <f>'Student Data'!D28&amp;" "&amp;'Student Data'!C28</f>
        <v xml:space="preserve"> </v>
      </c>
      <c r="J5" s="981"/>
      <c r="K5" s="981" t="str">
        <f>'Student Data'!D33&amp;" "&amp;'Student Data'!C33</f>
        <v xml:space="preserve"> </v>
      </c>
      <c r="L5" s="981"/>
      <c r="M5" s="981"/>
      <c r="N5" s="981" t="str">
        <f>'Student Data'!D38&amp;" "&amp;'Student Data'!C38</f>
        <v xml:space="preserve"> </v>
      </c>
      <c r="O5" s="981"/>
      <c r="P5" s="981" t="str">
        <f>'Student Data'!D43&amp;" "&amp;'Student Data'!C43</f>
        <v xml:space="preserve"> </v>
      </c>
      <c r="Q5" s="981"/>
      <c r="R5" s="287"/>
    </row>
    <row r="6" spans="1:27" ht="16.5" customHeight="1">
      <c r="A6" s="981" t="str">
        <f>'Student Data'!D9&amp;" "&amp;'Student Data'!C9</f>
        <v xml:space="preserve"> </v>
      </c>
      <c r="B6" s="981"/>
      <c r="C6" s="981" t="str">
        <f>'Student Data'!D14&amp;" "&amp;'Student Data'!C14</f>
        <v xml:space="preserve"> </v>
      </c>
      <c r="D6" s="981"/>
      <c r="E6" s="981" t="str">
        <f>'Student Data'!D19&amp;" "&amp;'Student Data'!C19</f>
        <v xml:space="preserve"> </v>
      </c>
      <c r="F6" s="981"/>
      <c r="G6" s="981" t="str">
        <f>'Student Data'!D24&amp;" "&amp;'Student Data'!C24</f>
        <v xml:space="preserve"> </v>
      </c>
      <c r="H6" s="981"/>
      <c r="I6" s="981" t="str">
        <f>'Student Data'!D29&amp;" "&amp;'Student Data'!C29</f>
        <v xml:space="preserve"> </v>
      </c>
      <c r="J6" s="981"/>
      <c r="K6" s="981" t="str">
        <f>'Student Data'!D34&amp;" "&amp;'Student Data'!C34</f>
        <v xml:space="preserve"> </v>
      </c>
      <c r="L6" s="981"/>
      <c r="M6" s="981"/>
      <c r="N6" s="981" t="str">
        <f>'Student Data'!D39&amp;" "&amp;'Student Data'!C39</f>
        <v xml:space="preserve"> </v>
      </c>
      <c r="O6" s="981"/>
      <c r="P6" s="981" t="str">
        <f>'Student Data'!D44&amp;" "&amp;'Student Data'!C44</f>
        <v xml:space="preserve"> </v>
      </c>
      <c r="Q6" s="981"/>
      <c r="R6" s="287"/>
    </row>
    <row r="7" spans="1:27">
      <c r="A7" s="61"/>
      <c r="B7" s="52"/>
      <c r="C7" s="52"/>
      <c r="D7" s="52"/>
      <c r="E7" s="52"/>
      <c r="F7" s="52"/>
      <c r="G7" s="52"/>
      <c r="H7" s="52"/>
      <c r="I7" s="52"/>
      <c r="J7" s="52"/>
      <c r="K7" s="52"/>
      <c r="L7" s="52"/>
      <c r="M7" s="53"/>
      <c r="N7" s="53"/>
      <c r="O7" s="53"/>
      <c r="P7" s="53"/>
      <c r="Q7" s="53"/>
    </row>
    <row r="8" spans="1:27">
      <c r="A8" s="288" t="s">
        <v>90</v>
      </c>
      <c r="B8" s="7"/>
      <c r="C8" s="7"/>
      <c r="D8" s="1"/>
      <c r="E8" s="1"/>
      <c r="F8" s="1"/>
      <c r="G8" s="1"/>
      <c r="H8" s="1"/>
      <c r="I8" s="1"/>
      <c r="J8" s="1"/>
      <c r="K8" s="1"/>
      <c r="L8" s="1"/>
      <c r="M8" s="1"/>
      <c r="N8" s="1"/>
      <c r="O8" s="1"/>
      <c r="P8" s="1"/>
    </row>
    <row r="9" spans="1:27" ht="18">
      <c r="B9" s="14" t="s">
        <v>648</v>
      </c>
      <c r="C9" s="409"/>
      <c r="D9" s="24" t="str">
        <f>'Student Data'!D5&amp;" "&amp;'Student Data'!C5</f>
        <v>Donna Rnne</v>
      </c>
      <c r="E9" s="24"/>
      <c r="F9" s="24"/>
      <c r="G9" s="24"/>
      <c r="H9" s="24"/>
      <c r="I9" s="24"/>
      <c r="J9" s="24"/>
      <c r="K9" s="24"/>
      <c r="L9" s="24"/>
      <c r="M9" s="25"/>
      <c r="N9" s="25"/>
      <c r="O9" s="982"/>
      <c r="P9" s="983"/>
      <c r="Q9" s="983"/>
      <c r="R9" s="983"/>
      <c r="S9" s="983"/>
      <c r="T9" s="414"/>
      <c r="U9" s="415"/>
      <c r="V9" s="415"/>
      <c r="W9" s="415"/>
      <c r="X9" s="415"/>
      <c r="Y9" s="415"/>
      <c r="Z9" s="415"/>
      <c r="AA9" s="415"/>
    </row>
    <row r="10" spans="1:27">
      <c r="B10" s="990" t="s">
        <v>25</v>
      </c>
      <c r="C10" s="993"/>
      <c r="D10" s="993"/>
      <c r="E10" s="993"/>
      <c r="F10" s="991"/>
      <c r="G10" s="990" t="s">
        <v>649</v>
      </c>
      <c r="H10" s="993"/>
      <c r="I10" s="993"/>
      <c r="J10" s="993"/>
      <c r="K10" s="991"/>
      <c r="L10" s="990" t="s">
        <v>172</v>
      </c>
      <c r="M10" s="991"/>
      <c r="N10" s="988" t="s">
        <v>650</v>
      </c>
      <c r="O10" s="984" t="s">
        <v>651</v>
      </c>
      <c r="P10" s="985"/>
      <c r="Q10" s="985"/>
      <c r="R10" s="985"/>
      <c r="S10" s="985"/>
      <c r="T10" s="984" t="s">
        <v>652</v>
      </c>
      <c r="U10" s="985"/>
      <c r="V10" s="985"/>
      <c r="W10" s="990" t="s">
        <v>653</v>
      </c>
      <c r="X10" s="993"/>
      <c r="Y10" s="993"/>
      <c r="Z10" s="993"/>
      <c r="AA10" s="991"/>
    </row>
    <row r="11" spans="1:27">
      <c r="B11" s="986"/>
      <c r="C11" s="987"/>
      <c r="D11" s="987"/>
      <c r="E11" s="987"/>
      <c r="F11" s="992"/>
      <c r="G11" s="986"/>
      <c r="H11" s="987"/>
      <c r="I11" s="987"/>
      <c r="J11" s="987"/>
      <c r="K11" s="992"/>
      <c r="L11" s="986"/>
      <c r="M11" s="992"/>
      <c r="N11" s="989"/>
      <c r="O11" s="986"/>
      <c r="P11" s="987"/>
      <c r="Q11" s="987"/>
      <c r="R11" s="987"/>
      <c r="S11" s="987"/>
      <c r="T11" s="986"/>
      <c r="U11" s="987"/>
      <c r="V11" s="987"/>
      <c r="W11" s="986"/>
      <c r="X11" s="987"/>
      <c r="Y11" s="987"/>
      <c r="Z11" s="987"/>
      <c r="AA11" s="992"/>
    </row>
    <row r="12" spans="1:27">
      <c r="B12" s="346" t="s">
        <v>654</v>
      </c>
      <c r="C12" s="346" t="s">
        <v>595</v>
      </c>
      <c r="D12" s="346" t="s">
        <v>619</v>
      </c>
      <c r="E12" s="346" t="s">
        <v>621</v>
      </c>
      <c r="F12" s="347" t="s">
        <v>623</v>
      </c>
      <c r="G12" s="410" t="s">
        <v>654</v>
      </c>
      <c r="H12" s="348" t="s">
        <v>595</v>
      </c>
      <c r="I12" s="349" t="s">
        <v>619</v>
      </c>
      <c r="J12" s="349" t="s">
        <v>621</v>
      </c>
      <c r="K12" s="350" t="s">
        <v>623</v>
      </c>
      <c r="L12" s="411" t="s">
        <v>655</v>
      </c>
      <c r="M12" s="357" t="s">
        <v>656</v>
      </c>
      <c r="N12" s="357" t="s">
        <v>656</v>
      </c>
      <c r="O12" s="348" t="s">
        <v>654</v>
      </c>
      <c r="P12" s="349" t="s">
        <v>595</v>
      </c>
      <c r="Q12" s="349" t="s">
        <v>619</v>
      </c>
      <c r="R12" s="412" t="s">
        <v>621</v>
      </c>
      <c r="S12" s="350" t="s">
        <v>623</v>
      </c>
      <c r="T12" s="348" t="s">
        <v>654</v>
      </c>
      <c r="U12" s="349" t="s">
        <v>595</v>
      </c>
      <c r="V12" s="412" t="s">
        <v>619</v>
      </c>
      <c r="W12" s="346" t="s">
        <v>654</v>
      </c>
      <c r="X12" s="346" t="s">
        <v>595</v>
      </c>
      <c r="Y12" s="346" t="s">
        <v>619</v>
      </c>
      <c r="Z12" s="346" t="s">
        <v>621</v>
      </c>
      <c r="AA12" s="347" t="s">
        <v>623</v>
      </c>
    </row>
    <row r="13" spans="1:27">
      <c r="A13" s="45" t="s">
        <v>657</v>
      </c>
      <c r="B13" s="63">
        <v>45908</v>
      </c>
      <c r="C13" s="63">
        <v>45908</v>
      </c>
      <c r="D13" s="63"/>
      <c r="E13" s="63"/>
      <c r="F13" s="63"/>
      <c r="G13" s="63"/>
      <c r="H13" s="63">
        <v>45908</v>
      </c>
      <c r="I13" s="22"/>
      <c r="J13" s="22"/>
      <c r="K13" s="22"/>
      <c r="L13" s="22"/>
      <c r="M13" s="63">
        <v>45908</v>
      </c>
      <c r="N13" s="22"/>
      <c r="O13" s="63">
        <v>45908</v>
      </c>
      <c r="P13" s="63">
        <v>45908</v>
      </c>
      <c r="Q13" s="63"/>
      <c r="R13" s="63"/>
      <c r="S13" s="63"/>
      <c r="T13" s="63"/>
      <c r="U13" s="63"/>
      <c r="V13" s="416"/>
      <c r="W13" s="63"/>
      <c r="X13" s="63"/>
      <c r="Y13" s="63"/>
      <c r="Z13" s="63"/>
      <c r="AA13" s="63"/>
    </row>
    <row r="14" spans="1:27">
      <c r="B14" s="1"/>
      <c r="C14" s="1"/>
      <c r="D14" s="1"/>
      <c r="E14" s="11"/>
      <c r="F14" s="11"/>
      <c r="G14" s="11"/>
      <c r="H14" s="11"/>
      <c r="I14" s="11"/>
      <c r="J14" s="11"/>
      <c r="K14" s="11"/>
      <c r="L14" s="11"/>
      <c r="M14" s="11"/>
      <c r="N14" s="11"/>
      <c r="O14" s="11"/>
      <c r="P14" s="11"/>
      <c r="Q14" s="1"/>
      <c r="R14" s="1"/>
    </row>
    <row r="15" spans="1:27" ht="18">
      <c r="B15" s="14" t="s">
        <v>648</v>
      </c>
      <c r="C15" s="409"/>
      <c r="D15" s="24" t="str">
        <f>'Student Data'!D6&amp;" "&amp;'Student Data'!C6</f>
        <v xml:space="preserve">Summer Aquino </v>
      </c>
      <c r="E15" s="24"/>
      <c r="F15" s="24"/>
      <c r="G15" s="24"/>
      <c r="H15" s="24"/>
      <c r="I15" s="24"/>
      <c r="J15" s="24"/>
      <c r="K15" s="24"/>
      <c r="L15" s="24"/>
      <c r="M15" s="25"/>
      <c r="N15" s="25"/>
      <c r="O15" s="982"/>
      <c r="P15" s="983"/>
      <c r="Q15" s="983"/>
      <c r="R15" s="983"/>
      <c r="S15" s="983"/>
      <c r="T15" s="414"/>
      <c r="U15" s="415"/>
      <c r="V15" s="415"/>
      <c r="W15" s="415"/>
      <c r="X15" s="415"/>
      <c r="Y15" s="415"/>
      <c r="Z15" s="415"/>
      <c r="AA15" s="415"/>
    </row>
    <row r="16" spans="1:27" ht="15" customHeight="1">
      <c r="B16" s="990" t="s">
        <v>25</v>
      </c>
      <c r="C16" s="993"/>
      <c r="D16" s="993"/>
      <c r="E16" s="993"/>
      <c r="F16" s="991"/>
      <c r="G16" s="990" t="s">
        <v>649</v>
      </c>
      <c r="H16" s="993"/>
      <c r="I16" s="993"/>
      <c r="J16" s="993"/>
      <c r="K16" s="991"/>
      <c r="L16" s="990" t="s">
        <v>172</v>
      </c>
      <c r="M16" s="991"/>
      <c r="N16" s="988" t="s">
        <v>650</v>
      </c>
      <c r="O16" s="984" t="s">
        <v>651</v>
      </c>
      <c r="P16" s="985"/>
      <c r="Q16" s="985"/>
      <c r="R16" s="985"/>
      <c r="S16" s="985"/>
      <c r="T16" s="984" t="s">
        <v>652</v>
      </c>
      <c r="U16" s="985"/>
      <c r="V16" s="985"/>
      <c r="W16" s="990" t="s">
        <v>653</v>
      </c>
      <c r="X16" s="993"/>
      <c r="Y16" s="993"/>
      <c r="Z16" s="993"/>
      <c r="AA16" s="991"/>
    </row>
    <row r="17" spans="1:27">
      <c r="B17" s="986"/>
      <c r="C17" s="987"/>
      <c r="D17" s="987"/>
      <c r="E17" s="987"/>
      <c r="F17" s="992"/>
      <c r="G17" s="986"/>
      <c r="H17" s="987"/>
      <c r="I17" s="987"/>
      <c r="J17" s="987"/>
      <c r="K17" s="992"/>
      <c r="L17" s="986"/>
      <c r="M17" s="992"/>
      <c r="N17" s="989"/>
      <c r="O17" s="986"/>
      <c r="P17" s="987"/>
      <c r="Q17" s="987"/>
      <c r="R17" s="987"/>
      <c r="S17" s="987"/>
      <c r="T17" s="986"/>
      <c r="U17" s="987"/>
      <c r="V17" s="987"/>
      <c r="W17" s="986"/>
      <c r="X17" s="987"/>
      <c r="Y17" s="987"/>
      <c r="Z17" s="987"/>
      <c r="AA17" s="992"/>
    </row>
    <row r="18" spans="1:27">
      <c r="B18" s="346" t="s">
        <v>654</v>
      </c>
      <c r="C18" s="346" t="s">
        <v>595</v>
      </c>
      <c r="D18" s="346" t="s">
        <v>619</v>
      </c>
      <c r="E18" s="346" t="s">
        <v>621</v>
      </c>
      <c r="F18" s="347" t="s">
        <v>623</v>
      </c>
      <c r="G18" s="410" t="s">
        <v>654</v>
      </c>
      <c r="H18" s="348" t="s">
        <v>595</v>
      </c>
      <c r="I18" s="349" t="s">
        <v>619</v>
      </c>
      <c r="J18" s="349" t="s">
        <v>621</v>
      </c>
      <c r="K18" s="350" t="s">
        <v>623</v>
      </c>
      <c r="L18" s="411" t="s">
        <v>655</v>
      </c>
      <c r="M18" s="357" t="s">
        <v>656</v>
      </c>
      <c r="N18" s="357" t="s">
        <v>656</v>
      </c>
      <c r="O18" s="348" t="s">
        <v>654</v>
      </c>
      <c r="P18" s="349" t="s">
        <v>595</v>
      </c>
      <c r="Q18" s="349" t="s">
        <v>619</v>
      </c>
      <c r="R18" s="412" t="s">
        <v>621</v>
      </c>
      <c r="S18" s="350" t="s">
        <v>623</v>
      </c>
      <c r="T18" s="348" t="s">
        <v>654</v>
      </c>
      <c r="U18" s="349" t="s">
        <v>595</v>
      </c>
      <c r="V18" s="412" t="s">
        <v>619</v>
      </c>
      <c r="W18" s="346" t="s">
        <v>654</v>
      </c>
      <c r="X18" s="346" t="s">
        <v>595</v>
      </c>
      <c r="Y18" s="346" t="s">
        <v>619</v>
      </c>
      <c r="Z18" s="346" t="s">
        <v>621</v>
      </c>
      <c r="AA18" s="347" t="s">
        <v>623</v>
      </c>
    </row>
    <row r="19" spans="1:27">
      <c r="A19" s="45" t="s">
        <v>657</v>
      </c>
      <c r="B19" s="63"/>
      <c r="C19" s="63"/>
      <c r="D19" s="63"/>
      <c r="E19" s="22"/>
      <c r="F19" s="22"/>
      <c r="G19" s="22"/>
      <c r="H19" s="22"/>
      <c r="I19" s="22"/>
      <c r="J19" s="22"/>
      <c r="K19" s="22"/>
      <c r="L19" s="22"/>
      <c r="M19" s="63"/>
      <c r="N19" s="22"/>
      <c r="O19" s="63"/>
      <c r="P19" s="63"/>
      <c r="Q19" s="63"/>
      <c r="R19" s="63"/>
      <c r="S19" s="63"/>
      <c r="T19" s="63"/>
      <c r="U19" s="63"/>
      <c r="V19" s="416"/>
      <c r="W19" s="63"/>
      <c r="X19" s="63"/>
      <c r="Y19" s="63"/>
      <c r="Z19" s="63"/>
      <c r="AA19" s="63"/>
    </row>
    <row r="20" spans="1:27">
      <c r="B20" s="57"/>
      <c r="C20" s="58"/>
      <c r="D20" s="58"/>
      <c r="E20" s="58"/>
      <c r="F20" s="58"/>
      <c r="G20" s="58"/>
      <c r="H20" s="58"/>
      <c r="I20" s="58"/>
      <c r="J20" s="58"/>
      <c r="K20" s="59"/>
      <c r="L20" s="59"/>
      <c r="M20" s="59"/>
      <c r="N20" s="59"/>
    </row>
    <row r="21" spans="1:27" ht="18">
      <c r="B21" s="14" t="s">
        <v>648</v>
      </c>
      <c r="C21" s="409"/>
      <c r="D21" s="24" t="str">
        <f>'Student Data'!D7&amp;" "&amp;'Student Data'!C7</f>
        <v xml:space="preserve">Joana Reyes </v>
      </c>
      <c r="E21" s="24"/>
      <c r="F21" s="24"/>
      <c r="G21" s="24"/>
      <c r="H21" s="24"/>
      <c r="I21" s="24"/>
      <c r="J21" s="24"/>
      <c r="K21" s="25"/>
      <c r="L21" s="25"/>
      <c r="M21" s="25"/>
      <c r="N21" s="25"/>
      <c r="O21" s="982"/>
      <c r="P21" s="983"/>
      <c r="Q21" s="983"/>
      <c r="R21" s="983"/>
      <c r="S21" s="983"/>
      <c r="T21" s="414"/>
      <c r="U21" s="415"/>
      <c r="V21" s="415"/>
      <c r="W21" s="415"/>
      <c r="X21" s="415"/>
      <c r="Y21" s="415"/>
      <c r="Z21" s="415"/>
      <c r="AA21" s="415"/>
    </row>
    <row r="22" spans="1:27" ht="15" customHeight="1">
      <c r="B22" s="990" t="s">
        <v>25</v>
      </c>
      <c r="C22" s="993"/>
      <c r="D22" s="993"/>
      <c r="E22" s="993"/>
      <c r="F22" s="991"/>
      <c r="G22" s="990" t="s">
        <v>649</v>
      </c>
      <c r="H22" s="993"/>
      <c r="I22" s="993"/>
      <c r="J22" s="993"/>
      <c r="K22" s="991"/>
      <c r="L22" s="990" t="s">
        <v>172</v>
      </c>
      <c r="M22" s="991"/>
      <c r="N22" s="988" t="s">
        <v>650</v>
      </c>
      <c r="O22" s="984" t="s">
        <v>651</v>
      </c>
      <c r="P22" s="985"/>
      <c r="Q22" s="985"/>
      <c r="R22" s="985"/>
      <c r="S22" s="985"/>
      <c r="T22" s="984" t="s">
        <v>652</v>
      </c>
      <c r="U22" s="985"/>
      <c r="V22" s="985"/>
      <c r="W22" s="990" t="s">
        <v>653</v>
      </c>
      <c r="X22" s="993"/>
      <c r="Y22" s="993"/>
      <c r="Z22" s="993"/>
      <c r="AA22" s="991"/>
    </row>
    <row r="23" spans="1:27">
      <c r="B23" s="986"/>
      <c r="C23" s="987"/>
      <c r="D23" s="987"/>
      <c r="E23" s="987"/>
      <c r="F23" s="992"/>
      <c r="G23" s="986"/>
      <c r="H23" s="987"/>
      <c r="I23" s="987"/>
      <c r="J23" s="987"/>
      <c r="K23" s="992"/>
      <c r="L23" s="986"/>
      <c r="M23" s="992"/>
      <c r="N23" s="989"/>
      <c r="O23" s="986"/>
      <c r="P23" s="987"/>
      <c r="Q23" s="987"/>
      <c r="R23" s="987"/>
      <c r="S23" s="987"/>
      <c r="T23" s="986"/>
      <c r="U23" s="987"/>
      <c r="V23" s="987"/>
      <c r="W23" s="986"/>
      <c r="X23" s="987"/>
      <c r="Y23" s="987"/>
      <c r="Z23" s="987"/>
      <c r="AA23" s="992"/>
    </row>
    <row r="24" spans="1:27">
      <c r="B24" s="346" t="s">
        <v>654</v>
      </c>
      <c r="C24" s="346" t="s">
        <v>595</v>
      </c>
      <c r="D24" s="351" t="s">
        <v>619</v>
      </c>
      <c r="E24" s="351" t="s">
        <v>621</v>
      </c>
      <c r="F24" s="352" t="s">
        <v>623</v>
      </c>
      <c r="G24" s="410" t="s">
        <v>654</v>
      </c>
      <c r="H24" s="348" t="s">
        <v>595</v>
      </c>
      <c r="I24" s="349" t="s">
        <v>619</v>
      </c>
      <c r="J24" s="349" t="s">
        <v>621</v>
      </c>
      <c r="K24" s="350" t="s">
        <v>623</v>
      </c>
      <c r="L24" s="411" t="s">
        <v>655</v>
      </c>
      <c r="M24" s="357" t="s">
        <v>656</v>
      </c>
      <c r="N24" s="356" t="s">
        <v>656</v>
      </c>
      <c r="O24" s="348" t="s">
        <v>654</v>
      </c>
      <c r="P24" s="349" t="s">
        <v>595</v>
      </c>
      <c r="Q24" s="349" t="s">
        <v>619</v>
      </c>
      <c r="R24" s="412" t="s">
        <v>621</v>
      </c>
      <c r="S24" s="350" t="s">
        <v>623</v>
      </c>
      <c r="T24" s="348" t="s">
        <v>654</v>
      </c>
      <c r="U24" s="349" t="s">
        <v>595</v>
      </c>
      <c r="V24" s="412" t="s">
        <v>619</v>
      </c>
      <c r="W24" s="346" t="s">
        <v>654</v>
      </c>
      <c r="X24" s="346" t="s">
        <v>595</v>
      </c>
      <c r="Y24" s="346" t="s">
        <v>619</v>
      </c>
      <c r="Z24" s="346" t="s">
        <v>621</v>
      </c>
      <c r="AA24" s="347" t="s">
        <v>623</v>
      </c>
    </row>
    <row r="25" spans="1:27">
      <c r="A25" s="45" t="s">
        <v>657</v>
      </c>
      <c r="B25" s="22"/>
      <c r="C25" s="22"/>
      <c r="D25" s="22"/>
      <c r="E25" s="22"/>
      <c r="F25" s="22"/>
      <c r="G25" s="22"/>
      <c r="H25" s="22"/>
      <c r="I25" s="22"/>
      <c r="J25" s="22"/>
      <c r="K25" s="22"/>
      <c r="L25" s="22"/>
      <c r="M25" s="63"/>
      <c r="N25" s="22"/>
      <c r="O25" s="63"/>
      <c r="P25" s="63"/>
      <c r="Q25" s="63"/>
      <c r="R25" s="63"/>
      <c r="S25" s="63"/>
      <c r="T25" s="63"/>
      <c r="U25" s="63"/>
      <c r="V25" s="416"/>
      <c r="W25" s="63"/>
      <c r="X25" s="63"/>
      <c r="Y25" s="63"/>
      <c r="Z25" s="63"/>
      <c r="AA25" s="63"/>
    </row>
    <row r="26" spans="1:27">
      <c r="B26" s="26"/>
      <c r="C26" s="26"/>
      <c r="D26" s="26"/>
      <c r="E26" s="26"/>
      <c r="F26" s="26"/>
      <c r="G26" s="26"/>
      <c r="H26" s="26"/>
      <c r="I26" s="26"/>
      <c r="J26" s="26"/>
      <c r="K26" s="26"/>
      <c r="L26" s="11"/>
      <c r="M26" s="11"/>
    </row>
    <row r="27" spans="1:27" ht="18">
      <c r="B27" s="14" t="s">
        <v>648</v>
      </c>
      <c r="C27" s="409"/>
      <c r="D27" s="24" t="str">
        <f>'Student Data'!D8&amp;" "&amp;'Student Data'!C8</f>
        <v>Quezon Manuel</v>
      </c>
      <c r="E27" s="24"/>
      <c r="F27" s="24"/>
      <c r="G27" s="24"/>
      <c r="H27" s="24"/>
      <c r="I27" s="24"/>
      <c r="J27" s="24"/>
      <c r="K27" s="25"/>
      <c r="L27" s="25"/>
      <c r="M27" s="25"/>
      <c r="N27" s="25"/>
      <c r="O27" s="982"/>
      <c r="P27" s="983"/>
      <c r="Q27" s="983"/>
      <c r="R27" s="983"/>
      <c r="S27" s="983"/>
      <c r="T27" s="414"/>
      <c r="U27" s="415"/>
      <c r="V27" s="415"/>
      <c r="W27" s="415"/>
      <c r="X27" s="415"/>
      <c r="Y27" s="415"/>
      <c r="Z27" s="415"/>
      <c r="AA27" s="415"/>
    </row>
    <row r="28" spans="1:27" ht="15" customHeight="1">
      <c r="B28" s="990" t="s">
        <v>25</v>
      </c>
      <c r="C28" s="993"/>
      <c r="D28" s="993"/>
      <c r="E28" s="993"/>
      <c r="F28" s="991"/>
      <c r="G28" s="990" t="s">
        <v>649</v>
      </c>
      <c r="H28" s="993"/>
      <c r="I28" s="993"/>
      <c r="J28" s="993"/>
      <c r="K28" s="991"/>
      <c r="L28" s="990" t="s">
        <v>172</v>
      </c>
      <c r="M28" s="991"/>
      <c r="N28" s="988" t="s">
        <v>650</v>
      </c>
      <c r="O28" s="984" t="s">
        <v>651</v>
      </c>
      <c r="P28" s="985"/>
      <c r="Q28" s="985"/>
      <c r="R28" s="985"/>
      <c r="S28" s="985"/>
      <c r="T28" s="984" t="s">
        <v>652</v>
      </c>
      <c r="U28" s="985"/>
      <c r="V28" s="985"/>
      <c r="W28" s="990" t="s">
        <v>653</v>
      </c>
      <c r="X28" s="993"/>
      <c r="Y28" s="993"/>
      <c r="Z28" s="993"/>
      <c r="AA28" s="991"/>
    </row>
    <row r="29" spans="1:27">
      <c r="B29" s="986"/>
      <c r="C29" s="987"/>
      <c r="D29" s="987"/>
      <c r="E29" s="987"/>
      <c r="F29" s="992"/>
      <c r="G29" s="986"/>
      <c r="H29" s="987"/>
      <c r="I29" s="987"/>
      <c r="J29" s="987"/>
      <c r="K29" s="992"/>
      <c r="L29" s="986"/>
      <c r="M29" s="992"/>
      <c r="N29" s="989"/>
      <c r="O29" s="986"/>
      <c r="P29" s="987"/>
      <c r="Q29" s="987"/>
      <c r="R29" s="987"/>
      <c r="S29" s="987"/>
      <c r="T29" s="986"/>
      <c r="U29" s="987"/>
      <c r="V29" s="987"/>
      <c r="W29" s="986"/>
      <c r="X29" s="987"/>
      <c r="Y29" s="987"/>
      <c r="Z29" s="987"/>
      <c r="AA29" s="992"/>
    </row>
    <row r="30" spans="1:27">
      <c r="B30" s="346" t="s">
        <v>654</v>
      </c>
      <c r="C30" s="346" t="s">
        <v>595</v>
      </c>
      <c r="D30" s="351" t="s">
        <v>619</v>
      </c>
      <c r="E30" s="351" t="s">
        <v>621</v>
      </c>
      <c r="F30" s="352" t="s">
        <v>623</v>
      </c>
      <c r="G30" s="410" t="s">
        <v>654</v>
      </c>
      <c r="H30" s="348" t="s">
        <v>595</v>
      </c>
      <c r="I30" s="349" t="s">
        <v>619</v>
      </c>
      <c r="J30" s="349" t="s">
        <v>621</v>
      </c>
      <c r="K30" s="350" t="s">
        <v>623</v>
      </c>
      <c r="L30" s="411" t="s">
        <v>655</v>
      </c>
      <c r="M30" s="357" t="s">
        <v>656</v>
      </c>
      <c r="N30" s="356" t="s">
        <v>656</v>
      </c>
      <c r="O30" s="348" t="s">
        <v>654</v>
      </c>
      <c r="P30" s="349" t="s">
        <v>595</v>
      </c>
      <c r="Q30" s="349" t="s">
        <v>619</v>
      </c>
      <c r="R30" s="412" t="s">
        <v>621</v>
      </c>
      <c r="S30" s="350" t="s">
        <v>623</v>
      </c>
      <c r="T30" s="348" t="s">
        <v>654</v>
      </c>
      <c r="U30" s="349" t="s">
        <v>595</v>
      </c>
      <c r="V30" s="412" t="s">
        <v>619</v>
      </c>
      <c r="W30" s="346" t="s">
        <v>654</v>
      </c>
      <c r="X30" s="346" t="s">
        <v>595</v>
      </c>
      <c r="Y30" s="346" t="s">
        <v>619</v>
      </c>
      <c r="Z30" s="346" t="s">
        <v>621</v>
      </c>
      <c r="AA30" s="347" t="s">
        <v>623</v>
      </c>
    </row>
    <row r="31" spans="1:27">
      <c r="A31" s="45" t="s">
        <v>657</v>
      </c>
      <c r="B31" s="22"/>
      <c r="C31" s="22"/>
      <c r="D31" s="22"/>
      <c r="E31" s="22"/>
      <c r="F31" s="22"/>
      <c r="G31" s="22"/>
      <c r="H31" s="22"/>
      <c r="I31" s="22"/>
      <c r="J31" s="22"/>
      <c r="K31" s="22"/>
      <c r="L31" s="22"/>
      <c r="M31" s="63"/>
      <c r="N31" s="22"/>
      <c r="O31" s="63"/>
      <c r="P31" s="63"/>
      <c r="Q31" s="63"/>
      <c r="R31" s="63"/>
      <c r="S31" s="63"/>
      <c r="T31" s="63"/>
      <c r="U31" s="63"/>
      <c r="V31" s="416"/>
      <c r="W31" s="63"/>
      <c r="X31" s="63"/>
      <c r="Y31" s="63"/>
      <c r="Z31" s="63"/>
      <c r="AA31" s="63"/>
    </row>
    <row r="32" spans="1:27">
      <c r="B32" s="1"/>
      <c r="C32" s="1"/>
      <c r="D32" s="1"/>
      <c r="E32" s="11"/>
      <c r="F32" s="11"/>
      <c r="G32" s="11"/>
      <c r="H32" s="11"/>
      <c r="I32" s="11"/>
      <c r="J32" s="11"/>
      <c r="K32" s="11"/>
      <c r="L32" s="11"/>
      <c r="M32" s="11"/>
    </row>
    <row r="33" spans="1:27" ht="18">
      <c r="B33" s="14" t="s">
        <v>648</v>
      </c>
      <c r="C33" s="409"/>
      <c r="D33" s="24" t="str">
        <f>'Student Data'!D9&amp;" "&amp;'Student Data'!C9</f>
        <v xml:space="preserve"> </v>
      </c>
      <c r="E33" s="24"/>
      <c r="F33" s="24"/>
      <c r="G33" s="24"/>
      <c r="H33" s="24"/>
      <c r="I33" s="24"/>
      <c r="J33" s="24"/>
      <c r="K33" s="25"/>
      <c r="L33" s="25"/>
      <c r="M33" s="25"/>
      <c r="N33" s="25"/>
      <c r="O33" s="982"/>
      <c r="P33" s="983"/>
      <c r="Q33" s="983"/>
      <c r="R33" s="983"/>
      <c r="S33" s="983"/>
      <c r="T33" s="414"/>
      <c r="U33" s="415"/>
      <c r="V33" s="415"/>
      <c r="W33" s="415"/>
      <c r="X33" s="415"/>
      <c r="Y33" s="415"/>
      <c r="Z33" s="415"/>
      <c r="AA33" s="415"/>
    </row>
    <row r="34" spans="1:27" ht="15" customHeight="1">
      <c r="B34" s="990" t="s">
        <v>25</v>
      </c>
      <c r="C34" s="993"/>
      <c r="D34" s="993"/>
      <c r="E34" s="993"/>
      <c r="F34" s="991"/>
      <c r="G34" s="990" t="s">
        <v>649</v>
      </c>
      <c r="H34" s="993"/>
      <c r="I34" s="993"/>
      <c r="J34" s="993"/>
      <c r="K34" s="991"/>
      <c r="L34" s="990" t="s">
        <v>172</v>
      </c>
      <c r="M34" s="991"/>
      <c r="N34" s="988" t="s">
        <v>650</v>
      </c>
      <c r="O34" s="984" t="s">
        <v>651</v>
      </c>
      <c r="P34" s="985"/>
      <c r="Q34" s="985"/>
      <c r="R34" s="985"/>
      <c r="S34" s="985"/>
      <c r="T34" s="984" t="s">
        <v>652</v>
      </c>
      <c r="U34" s="985"/>
      <c r="V34" s="985"/>
      <c r="W34" s="990" t="s">
        <v>653</v>
      </c>
      <c r="X34" s="993"/>
      <c r="Y34" s="993"/>
      <c r="Z34" s="993"/>
      <c r="AA34" s="991"/>
    </row>
    <row r="35" spans="1:27">
      <c r="B35" s="986"/>
      <c r="C35" s="987"/>
      <c r="D35" s="987"/>
      <c r="E35" s="987"/>
      <c r="F35" s="992"/>
      <c r="G35" s="986"/>
      <c r="H35" s="987"/>
      <c r="I35" s="987"/>
      <c r="J35" s="987"/>
      <c r="K35" s="992"/>
      <c r="L35" s="986"/>
      <c r="M35" s="992"/>
      <c r="N35" s="989"/>
      <c r="O35" s="986"/>
      <c r="P35" s="987"/>
      <c r="Q35" s="987"/>
      <c r="R35" s="987"/>
      <c r="S35" s="987"/>
      <c r="T35" s="986"/>
      <c r="U35" s="987"/>
      <c r="V35" s="987"/>
      <c r="W35" s="986"/>
      <c r="X35" s="987"/>
      <c r="Y35" s="987"/>
      <c r="Z35" s="987"/>
      <c r="AA35" s="992"/>
    </row>
    <row r="36" spans="1:27">
      <c r="B36" s="346" t="s">
        <v>654</v>
      </c>
      <c r="C36" s="346" t="s">
        <v>595</v>
      </c>
      <c r="D36" s="351" t="s">
        <v>619</v>
      </c>
      <c r="E36" s="351" t="s">
        <v>621</v>
      </c>
      <c r="F36" s="352" t="s">
        <v>623</v>
      </c>
      <c r="G36" s="410" t="s">
        <v>654</v>
      </c>
      <c r="H36" s="348" t="s">
        <v>595</v>
      </c>
      <c r="I36" s="349" t="s">
        <v>619</v>
      </c>
      <c r="J36" s="349" t="s">
        <v>621</v>
      </c>
      <c r="K36" s="350" t="s">
        <v>623</v>
      </c>
      <c r="L36" s="411" t="s">
        <v>655</v>
      </c>
      <c r="M36" s="357" t="s">
        <v>656</v>
      </c>
      <c r="N36" s="356" t="s">
        <v>656</v>
      </c>
      <c r="O36" s="348" t="s">
        <v>654</v>
      </c>
      <c r="P36" s="349" t="s">
        <v>595</v>
      </c>
      <c r="Q36" s="349" t="s">
        <v>619</v>
      </c>
      <c r="R36" s="412" t="s">
        <v>621</v>
      </c>
      <c r="S36" s="350" t="s">
        <v>623</v>
      </c>
      <c r="T36" s="348" t="s">
        <v>654</v>
      </c>
      <c r="U36" s="349" t="s">
        <v>595</v>
      </c>
      <c r="V36" s="412" t="s">
        <v>619</v>
      </c>
      <c r="W36" s="346" t="s">
        <v>654</v>
      </c>
      <c r="X36" s="346" t="s">
        <v>595</v>
      </c>
      <c r="Y36" s="346" t="s">
        <v>619</v>
      </c>
      <c r="Z36" s="346" t="s">
        <v>621</v>
      </c>
      <c r="AA36" s="347" t="s">
        <v>623</v>
      </c>
    </row>
    <row r="37" spans="1:27">
      <c r="A37" s="45" t="s">
        <v>657</v>
      </c>
      <c r="B37" s="22"/>
      <c r="C37" s="22"/>
      <c r="D37" s="22"/>
      <c r="E37" s="22"/>
      <c r="F37" s="22"/>
      <c r="G37" s="22"/>
      <c r="H37" s="22"/>
      <c r="I37" s="22"/>
      <c r="J37" s="22"/>
      <c r="K37" s="22"/>
      <c r="L37" s="22"/>
      <c r="M37" s="63"/>
      <c r="N37" s="22"/>
      <c r="O37" s="63"/>
      <c r="P37" s="63"/>
      <c r="Q37" s="63"/>
      <c r="R37" s="63"/>
      <c r="S37" s="63"/>
      <c r="T37" s="63"/>
      <c r="U37" s="63"/>
      <c r="V37" s="416"/>
      <c r="W37" s="63"/>
      <c r="X37" s="63"/>
      <c r="Y37" s="63"/>
      <c r="Z37" s="63"/>
      <c r="AA37" s="63"/>
    </row>
    <row r="38" spans="1:27">
      <c r="B38" s="1"/>
      <c r="C38" s="1"/>
      <c r="D38" s="1"/>
      <c r="E38" s="11"/>
      <c r="F38" s="11"/>
      <c r="G38" s="11"/>
      <c r="H38" s="11"/>
      <c r="I38" s="11"/>
      <c r="J38" s="11"/>
      <c r="K38" s="11"/>
      <c r="L38" s="11"/>
      <c r="M38" s="11"/>
    </row>
    <row r="39" spans="1:27" ht="18">
      <c r="B39" s="14" t="s">
        <v>648</v>
      </c>
      <c r="C39" s="409"/>
      <c r="D39" s="24" t="str">
        <f>'Student Data'!D10&amp;" "&amp;'Student Data'!C10</f>
        <v xml:space="preserve"> </v>
      </c>
      <c r="E39" s="24"/>
      <c r="F39" s="24"/>
      <c r="G39" s="24"/>
      <c r="H39" s="24"/>
      <c r="I39" s="24"/>
      <c r="J39" s="24"/>
      <c r="K39" s="25"/>
      <c r="L39" s="25"/>
      <c r="M39" s="25"/>
      <c r="N39" s="25"/>
      <c r="O39" s="982"/>
      <c r="P39" s="983"/>
      <c r="Q39" s="983"/>
      <c r="R39" s="983"/>
      <c r="S39" s="983"/>
      <c r="T39" s="414"/>
      <c r="U39" s="415"/>
      <c r="V39" s="415"/>
      <c r="W39" s="415"/>
      <c r="X39" s="415"/>
      <c r="Y39" s="415"/>
      <c r="Z39" s="415"/>
      <c r="AA39" s="415"/>
    </row>
    <row r="40" spans="1:27" ht="15" customHeight="1">
      <c r="B40" s="990" t="s">
        <v>25</v>
      </c>
      <c r="C40" s="993"/>
      <c r="D40" s="993"/>
      <c r="E40" s="993"/>
      <c r="F40" s="991"/>
      <c r="G40" s="990" t="s">
        <v>649</v>
      </c>
      <c r="H40" s="993"/>
      <c r="I40" s="993"/>
      <c r="J40" s="993"/>
      <c r="K40" s="991"/>
      <c r="L40" s="990" t="s">
        <v>172</v>
      </c>
      <c r="M40" s="991"/>
      <c r="N40" s="988" t="s">
        <v>650</v>
      </c>
      <c r="O40" s="984" t="s">
        <v>651</v>
      </c>
      <c r="P40" s="985"/>
      <c r="Q40" s="985"/>
      <c r="R40" s="985"/>
      <c r="S40" s="985"/>
      <c r="T40" s="984" t="s">
        <v>652</v>
      </c>
      <c r="U40" s="985"/>
      <c r="V40" s="985"/>
      <c r="W40" s="990" t="s">
        <v>653</v>
      </c>
      <c r="X40" s="993"/>
      <c r="Y40" s="993"/>
      <c r="Z40" s="993"/>
      <c r="AA40" s="991"/>
    </row>
    <row r="41" spans="1:27">
      <c r="B41" s="986"/>
      <c r="C41" s="987"/>
      <c r="D41" s="987"/>
      <c r="E41" s="987"/>
      <c r="F41" s="992"/>
      <c r="G41" s="986"/>
      <c r="H41" s="987"/>
      <c r="I41" s="987"/>
      <c r="J41" s="987"/>
      <c r="K41" s="992"/>
      <c r="L41" s="986"/>
      <c r="M41" s="992"/>
      <c r="N41" s="989"/>
      <c r="O41" s="986"/>
      <c r="P41" s="987"/>
      <c r="Q41" s="987"/>
      <c r="R41" s="987"/>
      <c r="S41" s="987"/>
      <c r="T41" s="986"/>
      <c r="U41" s="987"/>
      <c r="V41" s="987"/>
      <c r="W41" s="986"/>
      <c r="X41" s="987"/>
      <c r="Y41" s="987"/>
      <c r="Z41" s="987"/>
      <c r="AA41" s="992"/>
    </row>
    <row r="42" spans="1:27">
      <c r="B42" s="346" t="s">
        <v>654</v>
      </c>
      <c r="C42" s="346" t="s">
        <v>595</v>
      </c>
      <c r="D42" s="351" t="s">
        <v>619</v>
      </c>
      <c r="E42" s="351" t="s">
        <v>621</v>
      </c>
      <c r="F42" s="352" t="s">
        <v>623</v>
      </c>
      <c r="G42" s="410" t="s">
        <v>654</v>
      </c>
      <c r="H42" s="348" t="s">
        <v>595</v>
      </c>
      <c r="I42" s="349" t="s">
        <v>619</v>
      </c>
      <c r="J42" s="349" t="s">
        <v>621</v>
      </c>
      <c r="K42" s="350" t="s">
        <v>623</v>
      </c>
      <c r="L42" s="411" t="s">
        <v>655</v>
      </c>
      <c r="M42" s="357" t="s">
        <v>656</v>
      </c>
      <c r="N42" s="356" t="s">
        <v>656</v>
      </c>
      <c r="O42" s="348" t="s">
        <v>654</v>
      </c>
      <c r="P42" s="349" t="s">
        <v>595</v>
      </c>
      <c r="Q42" s="349" t="s">
        <v>619</v>
      </c>
      <c r="R42" s="412" t="s">
        <v>621</v>
      </c>
      <c r="S42" s="350" t="s">
        <v>623</v>
      </c>
      <c r="T42" s="348" t="s">
        <v>654</v>
      </c>
      <c r="U42" s="349" t="s">
        <v>595</v>
      </c>
      <c r="V42" s="412" t="s">
        <v>619</v>
      </c>
      <c r="W42" s="346" t="s">
        <v>654</v>
      </c>
      <c r="X42" s="346" t="s">
        <v>595</v>
      </c>
      <c r="Y42" s="346" t="s">
        <v>619</v>
      </c>
      <c r="Z42" s="346" t="s">
        <v>621</v>
      </c>
      <c r="AA42" s="347" t="s">
        <v>623</v>
      </c>
    </row>
    <row r="43" spans="1:27">
      <c r="A43" s="45" t="s">
        <v>657</v>
      </c>
      <c r="B43" s="22"/>
      <c r="C43" s="22"/>
      <c r="D43" s="22"/>
      <c r="E43" s="22"/>
      <c r="F43" s="22"/>
      <c r="G43" s="22"/>
      <c r="H43" s="22"/>
      <c r="I43" s="22"/>
      <c r="J43" s="22"/>
      <c r="K43" s="22"/>
      <c r="L43" s="22"/>
      <c r="M43" s="63"/>
      <c r="N43" s="22"/>
      <c r="O43" s="63"/>
      <c r="P43" s="63"/>
      <c r="Q43" s="63"/>
      <c r="R43" s="63"/>
      <c r="S43" s="63"/>
      <c r="T43" s="63"/>
      <c r="U43" s="63"/>
      <c r="V43" s="416"/>
      <c r="W43" s="63"/>
      <c r="X43" s="63"/>
      <c r="Y43" s="63"/>
      <c r="Z43" s="63"/>
      <c r="AA43" s="63"/>
    </row>
    <row r="44" spans="1:27">
      <c r="B44" s="1"/>
      <c r="C44" s="1"/>
      <c r="D44" s="1"/>
      <c r="E44" s="11"/>
      <c r="F44" s="11"/>
      <c r="G44" s="11"/>
      <c r="H44" s="11"/>
      <c r="I44" s="11"/>
      <c r="J44" s="11"/>
      <c r="K44" s="11"/>
      <c r="L44" s="11"/>
      <c r="M44" s="11"/>
    </row>
    <row r="45" spans="1:27" ht="18">
      <c r="B45" s="14" t="s">
        <v>648</v>
      </c>
      <c r="C45" s="409"/>
      <c r="D45" s="24" t="str">
        <f>'Student Data'!D11&amp;" "&amp;'Student Data'!C11</f>
        <v xml:space="preserve"> </v>
      </c>
      <c r="E45" s="24"/>
      <c r="F45" s="24"/>
      <c r="G45" s="24"/>
      <c r="H45" s="24"/>
      <c r="I45" s="24"/>
      <c r="J45" s="24"/>
      <c r="K45" s="25"/>
      <c r="L45" s="25"/>
      <c r="M45" s="25"/>
      <c r="N45" s="25"/>
      <c r="O45" s="982"/>
      <c r="P45" s="983"/>
      <c r="Q45" s="983"/>
      <c r="R45" s="983"/>
      <c r="S45" s="983"/>
      <c r="T45" s="414"/>
      <c r="U45" s="415"/>
      <c r="V45" s="415"/>
      <c r="W45" s="415"/>
      <c r="X45" s="415"/>
      <c r="Y45" s="415"/>
      <c r="Z45" s="415"/>
      <c r="AA45" s="415"/>
    </row>
    <row r="46" spans="1:27" ht="15" customHeight="1">
      <c r="B46" s="990" t="s">
        <v>25</v>
      </c>
      <c r="C46" s="993"/>
      <c r="D46" s="993"/>
      <c r="E46" s="993"/>
      <c r="F46" s="991"/>
      <c r="G46" s="990" t="s">
        <v>649</v>
      </c>
      <c r="H46" s="993"/>
      <c r="I46" s="993"/>
      <c r="J46" s="993"/>
      <c r="K46" s="991"/>
      <c r="L46" s="990" t="s">
        <v>172</v>
      </c>
      <c r="M46" s="991"/>
      <c r="N46" s="988" t="s">
        <v>650</v>
      </c>
      <c r="O46" s="984" t="s">
        <v>651</v>
      </c>
      <c r="P46" s="985"/>
      <c r="Q46" s="985"/>
      <c r="R46" s="985"/>
      <c r="S46" s="985"/>
      <c r="T46" s="984" t="s">
        <v>652</v>
      </c>
      <c r="U46" s="985"/>
      <c r="V46" s="985"/>
      <c r="W46" s="990" t="s">
        <v>653</v>
      </c>
      <c r="X46" s="993"/>
      <c r="Y46" s="993"/>
      <c r="Z46" s="993"/>
      <c r="AA46" s="991"/>
    </row>
    <row r="47" spans="1:27">
      <c r="B47" s="986"/>
      <c r="C47" s="987"/>
      <c r="D47" s="987"/>
      <c r="E47" s="987"/>
      <c r="F47" s="992"/>
      <c r="G47" s="986"/>
      <c r="H47" s="987"/>
      <c r="I47" s="987"/>
      <c r="J47" s="987"/>
      <c r="K47" s="992"/>
      <c r="L47" s="986"/>
      <c r="M47" s="992"/>
      <c r="N47" s="989"/>
      <c r="O47" s="986"/>
      <c r="P47" s="987"/>
      <c r="Q47" s="987"/>
      <c r="R47" s="987"/>
      <c r="S47" s="987"/>
      <c r="T47" s="986"/>
      <c r="U47" s="987"/>
      <c r="V47" s="987"/>
      <c r="W47" s="986"/>
      <c r="X47" s="987"/>
      <c r="Y47" s="987"/>
      <c r="Z47" s="987"/>
      <c r="AA47" s="992"/>
    </row>
    <row r="48" spans="1:27">
      <c r="B48" s="346" t="s">
        <v>654</v>
      </c>
      <c r="C48" s="346" t="s">
        <v>595</v>
      </c>
      <c r="D48" s="351" t="s">
        <v>619</v>
      </c>
      <c r="E48" s="351" t="s">
        <v>621</v>
      </c>
      <c r="F48" s="352" t="s">
        <v>623</v>
      </c>
      <c r="G48" s="410" t="s">
        <v>654</v>
      </c>
      <c r="H48" s="348" t="s">
        <v>595</v>
      </c>
      <c r="I48" s="349" t="s">
        <v>619</v>
      </c>
      <c r="J48" s="349" t="s">
        <v>621</v>
      </c>
      <c r="K48" s="350" t="s">
        <v>623</v>
      </c>
      <c r="L48" s="411" t="s">
        <v>655</v>
      </c>
      <c r="M48" s="357" t="s">
        <v>656</v>
      </c>
      <c r="N48" s="356" t="s">
        <v>656</v>
      </c>
      <c r="O48" s="348" t="s">
        <v>654</v>
      </c>
      <c r="P48" s="349" t="s">
        <v>595</v>
      </c>
      <c r="Q48" s="349" t="s">
        <v>619</v>
      </c>
      <c r="R48" s="412" t="s">
        <v>621</v>
      </c>
      <c r="S48" s="350" t="s">
        <v>623</v>
      </c>
      <c r="T48" s="348" t="s">
        <v>654</v>
      </c>
      <c r="U48" s="349" t="s">
        <v>595</v>
      </c>
      <c r="V48" s="412" t="s">
        <v>619</v>
      </c>
      <c r="W48" s="346" t="s">
        <v>654</v>
      </c>
      <c r="X48" s="346" t="s">
        <v>595</v>
      </c>
      <c r="Y48" s="346" t="s">
        <v>619</v>
      </c>
      <c r="Z48" s="346" t="s">
        <v>621</v>
      </c>
      <c r="AA48" s="347" t="s">
        <v>623</v>
      </c>
    </row>
    <row r="49" spans="1:27">
      <c r="A49" s="45" t="s">
        <v>657</v>
      </c>
      <c r="B49" s="22"/>
      <c r="C49" s="22"/>
      <c r="D49" s="22"/>
      <c r="E49" s="22"/>
      <c r="F49" s="22"/>
      <c r="G49" s="22"/>
      <c r="H49" s="22"/>
      <c r="I49" s="22"/>
      <c r="J49" s="22"/>
      <c r="K49" s="22"/>
      <c r="L49" s="22"/>
      <c r="M49" s="63"/>
      <c r="N49" s="22"/>
      <c r="O49" s="63"/>
      <c r="P49" s="63"/>
      <c r="Q49" s="63"/>
      <c r="R49" s="63"/>
      <c r="S49" s="63"/>
      <c r="T49" s="63"/>
      <c r="U49" s="63"/>
      <c r="V49" s="416"/>
      <c r="W49" s="63"/>
      <c r="X49" s="63"/>
      <c r="Y49" s="63"/>
      <c r="Z49" s="63"/>
      <c r="AA49" s="63"/>
    </row>
    <row r="50" spans="1:27">
      <c r="B50" s="1"/>
      <c r="C50" s="1"/>
      <c r="D50" s="1"/>
      <c r="E50" s="11"/>
      <c r="F50" s="11"/>
      <c r="G50" s="11"/>
      <c r="H50" s="11"/>
      <c r="I50" s="11"/>
      <c r="J50" s="11"/>
      <c r="K50" s="11"/>
      <c r="L50" s="11"/>
      <c r="M50" s="11"/>
    </row>
    <row r="51" spans="1:27" ht="18">
      <c r="B51" s="14" t="s">
        <v>648</v>
      </c>
      <c r="C51" s="409"/>
      <c r="D51" s="24" t="str">
        <f>'Student Data'!D12&amp;" "&amp;'Student Data'!C12</f>
        <v xml:space="preserve"> </v>
      </c>
      <c r="E51" s="24"/>
      <c r="F51" s="24"/>
      <c r="G51" s="24"/>
      <c r="H51" s="24"/>
      <c r="I51" s="24"/>
      <c r="J51" s="24"/>
      <c r="K51" s="25"/>
      <c r="L51" s="25"/>
      <c r="M51" s="25"/>
      <c r="N51" s="25"/>
      <c r="O51" s="982"/>
      <c r="P51" s="983"/>
      <c r="Q51" s="983"/>
      <c r="R51" s="983"/>
      <c r="S51" s="983"/>
      <c r="T51" s="414"/>
      <c r="U51" s="415"/>
      <c r="V51" s="415"/>
      <c r="W51" s="415"/>
      <c r="X51" s="415"/>
      <c r="Y51" s="415"/>
      <c r="Z51" s="415"/>
      <c r="AA51" s="415"/>
    </row>
    <row r="52" spans="1:27" ht="15" customHeight="1">
      <c r="B52" s="990" t="s">
        <v>25</v>
      </c>
      <c r="C52" s="993"/>
      <c r="D52" s="993"/>
      <c r="E52" s="993"/>
      <c r="F52" s="991"/>
      <c r="G52" s="990" t="s">
        <v>649</v>
      </c>
      <c r="H52" s="993"/>
      <c r="I52" s="993"/>
      <c r="J52" s="993"/>
      <c r="K52" s="991"/>
      <c r="L52" s="990" t="s">
        <v>172</v>
      </c>
      <c r="M52" s="991"/>
      <c r="N52" s="988" t="s">
        <v>650</v>
      </c>
      <c r="O52" s="984" t="s">
        <v>651</v>
      </c>
      <c r="P52" s="985"/>
      <c r="Q52" s="985"/>
      <c r="R52" s="985"/>
      <c r="S52" s="985"/>
      <c r="T52" s="984" t="s">
        <v>652</v>
      </c>
      <c r="U52" s="985"/>
      <c r="V52" s="985"/>
      <c r="W52" s="990" t="s">
        <v>653</v>
      </c>
      <c r="X52" s="993"/>
      <c r="Y52" s="993"/>
      <c r="Z52" s="993"/>
      <c r="AA52" s="991"/>
    </row>
    <row r="53" spans="1:27">
      <c r="B53" s="986"/>
      <c r="C53" s="987"/>
      <c r="D53" s="987"/>
      <c r="E53" s="987"/>
      <c r="F53" s="992"/>
      <c r="G53" s="986"/>
      <c r="H53" s="987"/>
      <c r="I53" s="987"/>
      <c r="J53" s="987"/>
      <c r="K53" s="992"/>
      <c r="L53" s="986"/>
      <c r="M53" s="992"/>
      <c r="N53" s="989"/>
      <c r="O53" s="986"/>
      <c r="P53" s="987"/>
      <c r="Q53" s="987"/>
      <c r="R53" s="987"/>
      <c r="S53" s="987"/>
      <c r="T53" s="986"/>
      <c r="U53" s="987"/>
      <c r="V53" s="987"/>
      <c r="W53" s="986"/>
      <c r="X53" s="987"/>
      <c r="Y53" s="987"/>
      <c r="Z53" s="987"/>
      <c r="AA53" s="992"/>
    </row>
    <row r="54" spans="1:27">
      <c r="B54" s="346" t="s">
        <v>654</v>
      </c>
      <c r="C54" s="346" t="s">
        <v>595</v>
      </c>
      <c r="D54" s="351" t="s">
        <v>619</v>
      </c>
      <c r="E54" s="351" t="s">
        <v>621</v>
      </c>
      <c r="F54" s="352" t="s">
        <v>623</v>
      </c>
      <c r="G54" s="410" t="s">
        <v>654</v>
      </c>
      <c r="H54" s="348" t="s">
        <v>595</v>
      </c>
      <c r="I54" s="349" t="s">
        <v>619</v>
      </c>
      <c r="J54" s="349" t="s">
        <v>621</v>
      </c>
      <c r="K54" s="350" t="s">
        <v>623</v>
      </c>
      <c r="L54" s="411" t="s">
        <v>655</v>
      </c>
      <c r="M54" s="357" t="s">
        <v>656</v>
      </c>
      <c r="N54" s="356" t="s">
        <v>656</v>
      </c>
      <c r="O54" s="348" t="s">
        <v>654</v>
      </c>
      <c r="P54" s="349" t="s">
        <v>595</v>
      </c>
      <c r="Q54" s="349" t="s">
        <v>619</v>
      </c>
      <c r="R54" s="412" t="s">
        <v>621</v>
      </c>
      <c r="S54" s="350" t="s">
        <v>623</v>
      </c>
      <c r="T54" s="348" t="s">
        <v>654</v>
      </c>
      <c r="U54" s="349" t="s">
        <v>595</v>
      </c>
      <c r="V54" s="412" t="s">
        <v>619</v>
      </c>
      <c r="W54" s="346" t="s">
        <v>654</v>
      </c>
      <c r="X54" s="346" t="s">
        <v>595</v>
      </c>
      <c r="Y54" s="346" t="s">
        <v>619</v>
      </c>
      <c r="Z54" s="346" t="s">
        <v>621</v>
      </c>
      <c r="AA54" s="347" t="s">
        <v>623</v>
      </c>
    </row>
    <row r="55" spans="1:27">
      <c r="A55" s="45" t="s">
        <v>657</v>
      </c>
      <c r="B55" s="22"/>
      <c r="C55" s="22"/>
      <c r="D55" s="22"/>
      <c r="E55" s="22"/>
      <c r="F55" s="22"/>
      <c r="G55" s="22"/>
      <c r="H55" s="22"/>
      <c r="I55" s="22"/>
      <c r="J55" s="22"/>
      <c r="K55" s="22"/>
      <c r="L55" s="22"/>
      <c r="M55" s="63"/>
      <c r="N55" s="22"/>
      <c r="O55" s="63"/>
      <c r="P55" s="63"/>
      <c r="Q55" s="63"/>
      <c r="R55" s="63"/>
      <c r="S55" s="63"/>
      <c r="T55" s="63"/>
      <c r="U55" s="63"/>
      <c r="V55" s="416"/>
      <c r="W55" s="63"/>
      <c r="X55" s="63"/>
      <c r="Y55" s="63"/>
      <c r="Z55" s="63"/>
      <c r="AA55" s="63"/>
    </row>
    <row r="56" spans="1:27">
      <c r="B56" s="1"/>
      <c r="C56" s="1"/>
      <c r="D56" s="1"/>
      <c r="E56" s="11"/>
      <c r="F56" s="11"/>
      <c r="G56" s="11"/>
      <c r="H56" s="11"/>
      <c r="I56" s="11"/>
      <c r="J56" s="11"/>
      <c r="K56" s="11"/>
      <c r="L56" s="11"/>
      <c r="M56" s="11"/>
    </row>
    <row r="57" spans="1:27" ht="18">
      <c r="B57" s="14" t="s">
        <v>648</v>
      </c>
      <c r="C57" s="409"/>
      <c r="D57" s="24" t="str">
        <f>'Student Data'!D13&amp;" "&amp;'Student Data'!C13</f>
        <v xml:space="preserve"> </v>
      </c>
      <c r="E57" s="24"/>
      <c r="F57" s="24"/>
      <c r="G57" s="24"/>
      <c r="H57" s="24"/>
      <c r="I57" s="24"/>
      <c r="J57" s="24"/>
      <c r="K57" s="25"/>
      <c r="L57" s="25"/>
      <c r="M57" s="25"/>
      <c r="N57" s="25"/>
      <c r="O57" s="982"/>
      <c r="P57" s="983"/>
      <c r="Q57" s="983"/>
      <c r="R57" s="983"/>
      <c r="S57" s="983"/>
      <c r="T57" s="414"/>
      <c r="U57" s="415"/>
      <c r="V57" s="415"/>
      <c r="W57" s="415"/>
      <c r="X57" s="415"/>
      <c r="Y57" s="415"/>
      <c r="Z57" s="415"/>
      <c r="AA57" s="415"/>
    </row>
    <row r="58" spans="1:27" ht="15" customHeight="1">
      <c r="B58" s="990" t="s">
        <v>25</v>
      </c>
      <c r="C58" s="993"/>
      <c r="D58" s="993"/>
      <c r="E58" s="993"/>
      <c r="F58" s="991"/>
      <c r="G58" s="990" t="s">
        <v>649</v>
      </c>
      <c r="H58" s="993"/>
      <c r="I58" s="993"/>
      <c r="J58" s="993"/>
      <c r="K58" s="991"/>
      <c r="L58" s="990" t="s">
        <v>172</v>
      </c>
      <c r="M58" s="991"/>
      <c r="N58" s="988" t="s">
        <v>650</v>
      </c>
      <c r="O58" s="984" t="s">
        <v>587</v>
      </c>
      <c r="P58" s="985"/>
      <c r="Q58" s="985"/>
      <c r="R58" s="985"/>
      <c r="S58" s="985"/>
      <c r="T58" s="984" t="s">
        <v>652</v>
      </c>
      <c r="U58" s="985"/>
      <c r="V58" s="985"/>
      <c r="W58" s="990" t="s">
        <v>653</v>
      </c>
      <c r="X58" s="993"/>
      <c r="Y58" s="993"/>
      <c r="Z58" s="993"/>
      <c r="AA58" s="991"/>
    </row>
    <row r="59" spans="1:27">
      <c r="B59" s="986"/>
      <c r="C59" s="987"/>
      <c r="D59" s="987"/>
      <c r="E59" s="987"/>
      <c r="F59" s="992"/>
      <c r="G59" s="986"/>
      <c r="H59" s="987"/>
      <c r="I59" s="987"/>
      <c r="J59" s="987"/>
      <c r="K59" s="992"/>
      <c r="L59" s="986"/>
      <c r="M59" s="992"/>
      <c r="N59" s="989"/>
      <c r="O59" s="986"/>
      <c r="P59" s="987"/>
      <c r="Q59" s="987"/>
      <c r="R59" s="987"/>
      <c r="S59" s="987"/>
      <c r="T59" s="986"/>
      <c r="U59" s="987"/>
      <c r="V59" s="987"/>
      <c r="W59" s="986"/>
      <c r="X59" s="987"/>
      <c r="Y59" s="987"/>
      <c r="Z59" s="987"/>
      <c r="AA59" s="992"/>
    </row>
    <row r="60" spans="1:27">
      <c r="B60" s="346" t="s">
        <v>654</v>
      </c>
      <c r="C60" s="346" t="s">
        <v>595</v>
      </c>
      <c r="D60" s="351" t="s">
        <v>619</v>
      </c>
      <c r="E60" s="351" t="s">
        <v>621</v>
      </c>
      <c r="F60" s="352" t="s">
        <v>623</v>
      </c>
      <c r="G60" s="410" t="s">
        <v>654</v>
      </c>
      <c r="H60" s="348" t="s">
        <v>595</v>
      </c>
      <c r="I60" s="349" t="s">
        <v>619</v>
      </c>
      <c r="J60" s="349" t="s">
        <v>621</v>
      </c>
      <c r="K60" s="350" t="s">
        <v>623</v>
      </c>
      <c r="L60" s="411" t="s">
        <v>655</v>
      </c>
      <c r="M60" s="357" t="s">
        <v>656</v>
      </c>
      <c r="N60" s="356" t="s">
        <v>656</v>
      </c>
      <c r="O60" s="353" t="s">
        <v>658</v>
      </c>
      <c r="P60" s="354" t="s">
        <v>659</v>
      </c>
      <c r="Q60" s="354" t="s">
        <v>660</v>
      </c>
      <c r="R60" s="413"/>
      <c r="S60" s="355" t="s">
        <v>656</v>
      </c>
      <c r="T60" s="348" t="s">
        <v>654</v>
      </c>
      <c r="U60" s="349" t="s">
        <v>595</v>
      </c>
      <c r="V60" s="412" t="s">
        <v>619</v>
      </c>
      <c r="W60" s="346" t="s">
        <v>654</v>
      </c>
      <c r="X60" s="346" t="s">
        <v>595</v>
      </c>
      <c r="Y60" s="346" t="s">
        <v>619</v>
      </c>
      <c r="Z60" s="346" t="s">
        <v>621</v>
      </c>
      <c r="AA60" s="347" t="s">
        <v>623</v>
      </c>
    </row>
    <row r="61" spans="1:27">
      <c r="A61" s="45" t="s">
        <v>657</v>
      </c>
      <c r="B61" s="22"/>
      <c r="C61" s="22"/>
      <c r="D61" s="22"/>
      <c r="E61" s="22"/>
      <c r="F61" s="22"/>
      <c r="G61" s="22"/>
      <c r="H61" s="22"/>
      <c r="I61" s="22"/>
      <c r="J61" s="22"/>
      <c r="K61" s="22"/>
      <c r="L61" s="22"/>
      <c r="M61" s="63"/>
      <c r="N61" s="22"/>
      <c r="O61" s="22"/>
      <c r="P61" s="22"/>
      <c r="Q61" s="22"/>
      <c r="R61" s="22"/>
      <c r="S61" s="22"/>
      <c r="T61" s="63"/>
      <c r="U61" s="63"/>
      <c r="V61" s="416"/>
      <c r="W61" s="63"/>
      <c r="X61" s="63"/>
      <c r="Y61" s="63"/>
      <c r="Z61" s="63"/>
      <c r="AA61" s="63"/>
    </row>
    <row r="62" spans="1:27">
      <c r="B62" s="1"/>
      <c r="C62" s="1"/>
      <c r="D62" s="1"/>
      <c r="E62" s="11"/>
      <c r="F62" s="11"/>
      <c r="G62" s="11"/>
      <c r="H62" s="11"/>
      <c r="I62" s="11"/>
      <c r="J62" s="11"/>
      <c r="K62" s="11"/>
      <c r="L62" s="11"/>
      <c r="M62" s="11"/>
    </row>
    <row r="63" spans="1:27" ht="18">
      <c r="B63" s="14" t="s">
        <v>648</v>
      </c>
      <c r="C63" s="409"/>
      <c r="D63" s="24" t="str">
        <f>'Student Data'!D14&amp;" "&amp;'Student Data'!C14</f>
        <v xml:space="preserve"> </v>
      </c>
      <c r="E63" s="24"/>
      <c r="F63" s="24"/>
      <c r="G63" s="24"/>
      <c r="H63" s="24"/>
      <c r="I63" s="24"/>
      <c r="J63" s="24"/>
      <c r="K63" s="25"/>
      <c r="L63" s="25"/>
      <c r="M63" s="25"/>
      <c r="N63" s="25"/>
      <c r="O63" s="982"/>
      <c r="P63" s="983"/>
      <c r="Q63" s="983"/>
      <c r="R63" s="983"/>
      <c r="S63" s="983"/>
      <c r="T63" s="414"/>
      <c r="U63" s="415"/>
      <c r="V63" s="415"/>
      <c r="W63" s="415"/>
      <c r="X63" s="415"/>
      <c r="Y63" s="415"/>
      <c r="Z63" s="415"/>
      <c r="AA63" s="415"/>
    </row>
    <row r="64" spans="1:27" ht="15" customHeight="1">
      <c r="B64" s="990" t="s">
        <v>25</v>
      </c>
      <c r="C64" s="993"/>
      <c r="D64" s="993"/>
      <c r="E64" s="993"/>
      <c r="F64" s="991"/>
      <c r="G64" s="990" t="s">
        <v>649</v>
      </c>
      <c r="H64" s="993"/>
      <c r="I64" s="993"/>
      <c r="J64" s="993"/>
      <c r="K64" s="991"/>
      <c r="L64" s="990" t="s">
        <v>172</v>
      </c>
      <c r="M64" s="991"/>
      <c r="N64" s="988" t="s">
        <v>650</v>
      </c>
      <c r="O64" s="984" t="s">
        <v>651</v>
      </c>
      <c r="P64" s="985"/>
      <c r="Q64" s="985"/>
      <c r="R64" s="985"/>
      <c r="S64" s="985"/>
      <c r="T64" s="984" t="s">
        <v>652</v>
      </c>
      <c r="U64" s="985"/>
      <c r="V64" s="985"/>
      <c r="W64" s="990" t="s">
        <v>653</v>
      </c>
      <c r="X64" s="993"/>
      <c r="Y64" s="993"/>
      <c r="Z64" s="993"/>
      <c r="AA64" s="991"/>
    </row>
    <row r="65" spans="1:27">
      <c r="B65" s="986"/>
      <c r="C65" s="987"/>
      <c r="D65" s="987"/>
      <c r="E65" s="987"/>
      <c r="F65" s="992"/>
      <c r="G65" s="986"/>
      <c r="H65" s="987"/>
      <c r="I65" s="987"/>
      <c r="J65" s="987"/>
      <c r="K65" s="992"/>
      <c r="L65" s="986"/>
      <c r="M65" s="992"/>
      <c r="N65" s="989"/>
      <c r="O65" s="986"/>
      <c r="P65" s="987"/>
      <c r="Q65" s="987"/>
      <c r="R65" s="987"/>
      <c r="S65" s="987"/>
      <c r="T65" s="986"/>
      <c r="U65" s="987"/>
      <c r="V65" s="987"/>
      <c r="W65" s="986"/>
      <c r="X65" s="987"/>
      <c r="Y65" s="987"/>
      <c r="Z65" s="987"/>
      <c r="AA65" s="992"/>
    </row>
    <row r="66" spans="1:27">
      <c r="B66" s="346" t="s">
        <v>654</v>
      </c>
      <c r="C66" s="346" t="s">
        <v>595</v>
      </c>
      <c r="D66" s="351" t="s">
        <v>619</v>
      </c>
      <c r="E66" s="351" t="s">
        <v>621</v>
      </c>
      <c r="F66" s="352" t="s">
        <v>623</v>
      </c>
      <c r="G66" s="410" t="s">
        <v>654</v>
      </c>
      <c r="H66" s="348" t="s">
        <v>595</v>
      </c>
      <c r="I66" s="349" t="s">
        <v>619</v>
      </c>
      <c r="J66" s="349" t="s">
        <v>621</v>
      </c>
      <c r="K66" s="350" t="s">
        <v>623</v>
      </c>
      <c r="L66" s="411" t="s">
        <v>655</v>
      </c>
      <c r="M66" s="357" t="s">
        <v>656</v>
      </c>
      <c r="N66" s="356" t="s">
        <v>656</v>
      </c>
      <c r="O66" s="348" t="s">
        <v>654</v>
      </c>
      <c r="P66" s="349" t="s">
        <v>595</v>
      </c>
      <c r="Q66" s="349" t="s">
        <v>619</v>
      </c>
      <c r="R66" s="412" t="s">
        <v>621</v>
      </c>
      <c r="S66" s="350" t="s">
        <v>623</v>
      </c>
      <c r="T66" s="348" t="s">
        <v>654</v>
      </c>
      <c r="U66" s="349" t="s">
        <v>595</v>
      </c>
      <c r="V66" s="412" t="s">
        <v>619</v>
      </c>
      <c r="W66" s="346" t="s">
        <v>654</v>
      </c>
      <c r="X66" s="346" t="s">
        <v>595</v>
      </c>
      <c r="Y66" s="346" t="s">
        <v>619</v>
      </c>
      <c r="Z66" s="346" t="s">
        <v>621</v>
      </c>
      <c r="AA66" s="347" t="s">
        <v>623</v>
      </c>
    </row>
    <row r="67" spans="1:27">
      <c r="A67" s="45" t="s">
        <v>657</v>
      </c>
      <c r="B67" s="22"/>
      <c r="C67" s="22"/>
      <c r="D67" s="22"/>
      <c r="E67" s="22"/>
      <c r="F67" s="22"/>
      <c r="G67" s="22"/>
      <c r="H67" s="22"/>
      <c r="I67" s="22"/>
      <c r="J67" s="22"/>
      <c r="K67" s="22"/>
      <c r="L67" s="22"/>
      <c r="M67" s="63"/>
      <c r="N67" s="22"/>
      <c r="O67" s="63"/>
      <c r="P67" s="63"/>
      <c r="Q67" s="63"/>
      <c r="R67" s="63"/>
      <c r="S67" s="63"/>
      <c r="T67" s="63"/>
      <c r="U67" s="63"/>
      <c r="V67" s="416"/>
      <c r="W67" s="63"/>
      <c r="X67" s="63"/>
      <c r="Y67" s="63"/>
      <c r="Z67" s="63"/>
      <c r="AA67" s="63"/>
    </row>
    <row r="68" spans="1:27">
      <c r="B68" s="1"/>
      <c r="C68" s="1"/>
      <c r="D68" s="1"/>
      <c r="E68" s="11"/>
      <c r="F68" s="11"/>
      <c r="G68" s="11"/>
      <c r="H68" s="11"/>
      <c r="I68" s="11"/>
      <c r="J68" s="11"/>
      <c r="K68" s="11"/>
      <c r="L68" s="11"/>
      <c r="M68" s="11"/>
    </row>
    <row r="69" spans="1:27" ht="18">
      <c r="B69" s="14" t="s">
        <v>648</v>
      </c>
      <c r="C69" s="409"/>
      <c r="D69" s="24" t="str">
        <f>'Student Data'!D15&amp;" "&amp;'Student Data'!C15</f>
        <v xml:space="preserve"> </v>
      </c>
      <c r="E69" s="24"/>
      <c r="F69" s="24"/>
      <c r="G69" s="24"/>
      <c r="H69" s="24"/>
      <c r="I69" s="24"/>
      <c r="J69" s="24"/>
      <c r="K69" s="25"/>
      <c r="L69" s="25"/>
      <c r="M69" s="25"/>
      <c r="N69" s="25"/>
      <c r="O69" s="982"/>
      <c r="P69" s="983"/>
      <c r="Q69" s="983"/>
      <c r="R69" s="983"/>
      <c r="S69" s="983"/>
      <c r="T69" s="414"/>
      <c r="U69" s="415"/>
      <c r="V69" s="415"/>
      <c r="W69" s="415"/>
      <c r="X69" s="415"/>
      <c r="Y69" s="415"/>
      <c r="Z69" s="415"/>
      <c r="AA69" s="415"/>
    </row>
    <row r="70" spans="1:27" ht="15" customHeight="1">
      <c r="B70" s="990" t="s">
        <v>25</v>
      </c>
      <c r="C70" s="993"/>
      <c r="D70" s="993"/>
      <c r="E70" s="993"/>
      <c r="F70" s="991"/>
      <c r="G70" s="990" t="s">
        <v>649</v>
      </c>
      <c r="H70" s="993"/>
      <c r="I70" s="993"/>
      <c r="J70" s="993"/>
      <c r="K70" s="991"/>
      <c r="L70" s="990" t="s">
        <v>172</v>
      </c>
      <c r="M70" s="991"/>
      <c r="N70" s="988" t="s">
        <v>650</v>
      </c>
      <c r="O70" s="984" t="s">
        <v>651</v>
      </c>
      <c r="P70" s="985"/>
      <c r="Q70" s="985"/>
      <c r="R70" s="985"/>
      <c r="S70" s="985"/>
      <c r="T70" s="984" t="s">
        <v>652</v>
      </c>
      <c r="U70" s="985"/>
      <c r="V70" s="985"/>
      <c r="W70" s="990" t="s">
        <v>653</v>
      </c>
      <c r="X70" s="993"/>
      <c r="Y70" s="993"/>
      <c r="Z70" s="993"/>
      <c r="AA70" s="991"/>
    </row>
    <row r="71" spans="1:27">
      <c r="B71" s="986"/>
      <c r="C71" s="987"/>
      <c r="D71" s="987"/>
      <c r="E71" s="987"/>
      <c r="F71" s="992"/>
      <c r="G71" s="986"/>
      <c r="H71" s="987"/>
      <c r="I71" s="987"/>
      <c r="J71" s="987"/>
      <c r="K71" s="992"/>
      <c r="L71" s="986"/>
      <c r="M71" s="992"/>
      <c r="N71" s="989"/>
      <c r="O71" s="986"/>
      <c r="P71" s="987"/>
      <c r="Q71" s="987"/>
      <c r="R71" s="987"/>
      <c r="S71" s="987"/>
      <c r="T71" s="986"/>
      <c r="U71" s="987"/>
      <c r="V71" s="987"/>
      <c r="W71" s="986"/>
      <c r="X71" s="987"/>
      <c r="Y71" s="987"/>
      <c r="Z71" s="987"/>
      <c r="AA71" s="992"/>
    </row>
    <row r="72" spans="1:27">
      <c r="B72" s="346" t="s">
        <v>654</v>
      </c>
      <c r="C72" s="346" t="s">
        <v>595</v>
      </c>
      <c r="D72" s="351" t="s">
        <v>619</v>
      </c>
      <c r="E72" s="351" t="s">
        <v>621</v>
      </c>
      <c r="F72" s="352" t="s">
        <v>623</v>
      </c>
      <c r="G72" s="410" t="s">
        <v>654</v>
      </c>
      <c r="H72" s="348" t="s">
        <v>595</v>
      </c>
      <c r="I72" s="349" t="s">
        <v>619</v>
      </c>
      <c r="J72" s="349" t="s">
        <v>621</v>
      </c>
      <c r="K72" s="350" t="s">
        <v>623</v>
      </c>
      <c r="L72" s="411" t="s">
        <v>655</v>
      </c>
      <c r="M72" s="357" t="s">
        <v>656</v>
      </c>
      <c r="N72" s="356" t="s">
        <v>656</v>
      </c>
      <c r="O72" s="348" t="s">
        <v>654</v>
      </c>
      <c r="P72" s="349" t="s">
        <v>595</v>
      </c>
      <c r="Q72" s="349" t="s">
        <v>619</v>
      </c>
      <c r="R72" s="412" t="s">
        <v>621</v>
      </c>
      <c r="S72" s="350" t="s">
        <v>623</v>
      </c>
      <c r="T72" s="348" t="s">
        <v>654</v>
      </c>
      <c r="U72" s="349" t="s">
        <v>595</v>
      </c>
      <c r="V72" s="412" t="s">
        <v>619</v>
      </c>
      <c r="W72" s="346" t="s">
        <v>654</v>
      </c>
      <c r="X72" s="346" t="s">
        <v>595</v>
      </c>
      <c r="Y72" s="346" t="s">
        <v>619</v>
      </c>
      <c r="Z72" s="346" t="s">
        <v>621</v>
      </c>
      <c r="AA72" s="347" t="s">
        <v>623</v>
      </c>
    </row>
    <row r="73" spans="1:27">
      <c r="A73" s="45" t="s">
        <v>657</v>
      </c>
      <c r="B73" s="22"/>
      <c r="C73" s="22"/>
      <c r="D73" s="22"/>
      <c r="E73" s="22"/>
      <c r="F73" s="22"/>
      <c r="G73" s="22"/>
      <c r="H73" s="22"/>
      <c r="I73" s="22"/>
      <c r="J73" s="22"/>
      <c r="K73" s="22"/>
      <c r="L73" s="22"/>
      <c r="M73" s="63"/>
      <c r="N73" s="22"/>
      <c r="O73" s="63"/>
      <c r="P73" s="63"/>
      <c r="Q73" s="63"/>
      <c r="R73" s="63"/>
      <c r="S73" s="63"/>
      <c r="T73" s="63"/>
      <c r="U73" s="63"/>
      <c r="V73" s="416"/>
      <c r="W73" s="63"/>
      <c r="X73" s="63"/>
      <c r="Y73" s="63"/>
      <c r="Z73" s="63"/>
      <c r="AA73" s="63"/>
    </row>
    <row r="74" spans="1:27">
      <c r="B74" s="1"/>
      <c r="C74" s="1"/>
      <c r="D74" s="1"/>
      <c r="E74" s="11"/>
      <c r="F74" s="11"/>
      <c r="G74" s="11"/>
      <c r="H74" s="11"/>
      <c r="I74" s="11"/>
      <c r="J74" s="11"/>
      <c r="K74" s="11"/>
      <c r="L74" s="11"/>
      <c r="M74" s="11"/>
    </row>
    <row r="75" spans="1:27" ht="18">
      <c r="B75" s="14" t="s">
        <v>648</v>
      </c>
      <c r="C75" s="409"/>
      <c r="D75" s="24" t="str">
        <f>'Student Data'!D16&amp;" "&amp;'Student Data'!C16</f>
        <v xml:space="preserve"> </v>
      </c>
      <c r="E75" s="24"/>
      <c r="F75" s="24"/>
      <c r="G75" s="24"/>
      <c r="H75" s="24"/>
      <c r="I75" s="24"/>
      <c r="J75" s="24"/>
      <c r="K75" s="25"/>
      <c r="L75" s="25"/>
      <c r="M75" s="25"/>
      <c r="N75" s="25"/>
      <c r="O75" s="982"/>
      <c r="P75" s="983"/>
      <c r="Q75" s="983"/>
      <c r="R75" s="983"/>
      <c r="S75" s="983"/>
      <c r="T75" s="414"/>
      <c r="U75" s="415"/>
      <c r="V75" s="415"/>
      <c r="W75" s="415"/>
      <c r="X75" s="415"/>
      <c r="Y75" s="415"/>
      <c r="Z75" s="415"/>
      <c r="AA75" s="415"/>
    </row>
    <row r="76" spans="1:27" ht="15" customHeight="1">
      <c r="B76" s="990" t="s">
        <v>25</v>
      </c>
      <c r="C76" s="993"/>
      <c r="D76" s="993"/>
      <c r="E76" s="993"/>
      <c r="F76" s="991"/>
      <c r="G76" s="990" t="s">
        <v>649</v>
      </c>
      <c r="H76" s="993"/>
      <c r="I76" s="993"/>
      <c r="J76" s="993"/>
      <c r="K76" s="991"/>
      <c r="L76" s="990" t="s">
        <v>172</v>
      </c>
      <c r="M76" s="991"/>
      <c r="N76" s="988" t="s">
        <v>650</v>
      </c>
      <c r="O76" s="984" t="s">
        <v>651</v>
      </c>
      <c r="P76" s="985"/>
      <c r="Q76" s="985"/>
      <c r="R76" s="985"/>
      <c r="S76" s="985"/>
      <c r="T76" s="984" t="s">
        <v>652</v>
      </c>
      <c r="U76" s="985"/>
      <c r="V76" s="985"/>
      <c r="W76" s="990" t="s">
        <v>653</v>
      </c>
      <c r="X76" s="993"/>
      <c r="Y76" s="993"/>
      <c r="Z76" s="993"/>
      <c r="AA76" s="991"/>
    </row>
    <row r="77" spans="1:27">
      <c r="B77" s="986"/>
      <c r="C77" s="987"/>
      <c r="D77" s="987"/>
      <c r="E77" s="987"/>
      <c r="F77" s="992"/>
      <c r="G77" s="986"/>
      <c r="H77" s="987"/>
      <c r="I77" s="987"/>
      <c r="J77" s="987"/>
      <c r="K77" s="992"/>
      <c r="L77" s="986"/>
      <c r="M77" s="992"/>
      <c r="N77" s="989"/>
      <c r="O77" s="986"/>
      <c r="P77" s="987"/>
      <c r="Q77" s="987"/>
      <c r="R77" s="987"/>
      <c r="S77" s="987"/>
      <c r="T77" s="986"/>
      <c r="U77" s="987"/>
      <c r="V77" s="987"/>
      <c r="W77" s="986"/>
      <c r="X77" s="987"/>
      <c r="Y77" s="987"/>
      <c r="Z77" s="987"/>
      <c r="AA77" s="992"/>
    </row>
    <row r="78" spans="1:27">
      <c r="B78" s="346" t="s">
        <v>654</v>
      </c>
      <c r="C78" s="346" t="s">
        <v>595</v>
      </c>
      <c r="D78" s="351" t="s">
        <v>619</v>
      </c>
      <c r="E78" s="351" t="s">
        <v>621</v>
      </c>
      <c r="F78" s="352" t="s">
        <v>623</v>
      </c>
      <c r="G78" s="410" t="s">
        <v>654</v>
      </c>
      <c r="H78" s="348" t="s">
        <v>595</v>
      </c>
      <c r="I78" s="349" t="s">
        <v>619</v>
      </c>
      <c r="J78" s="349" t="s">
        <v>621</v>
      </c>
      <c r="K78" s="350" t="s">
        <v>623</v>
      </c>
      <c r="L78" s="411" t="s">
        <v>655</v>
      </c>
      <c r="M78" s="357" t="s">
        <v>656</v>
      </c>
      <c r="N78" s="356" t="s">
        <v>656</v>
      </c>
      <c r="O78" s="348" t="s">
        <v>654</v>
      </c>
      <c r="P78" s="349" t="s">
        <v>595</v>
      </c>
      <c r="Q78" s="349" t="s">
        <v>619</v>
      </c>
      <c r="R78" s="412" t="s">
        <v>621</v>
      </c>
      <c r="S78" s="350" t="s">
        <v>623</v>
      </c>
      <c r="T78" s="348" t="s">
        <v>654</v>
      </c>
      <c r="U78" s="349" t="s">
        <v>595</v>
      </c>
      <c r="V78" s="412" t="s">
        <v>619</v>
      </c>
      <c r="W78" s="346" t="s">
        <v>654</v>
      </c>
      <c r="X78" s="346" t="s">
        <v>595</v>
      </c>
      <c r="Y78" s="346" t="s">
        <v>619</v>
      </c>
      <c r="Z78" s="346" t="s">
        <v>621</v>
      </c>
      <c r="AA78" s="347" t="s">
        <v>623</v>
      </c>
    </row>
    <row r="79" spans="1:27">
      <c r="A79" s="45" t="s">
        <v>657</v>
      </c>
      <c r="B79" s="22"/>
      <c r="C79" s="22"/>
      <c r="D79" s="22"/>
      <c r="E79" s="22"/>
      <c r="F79" s="22"/>
      <c r="G79" s="22"/>
      <c r="H79" s="22"/>
      <c r="I79" s="22"/>
      <c r="J79" s="22"/>
      <c r="K79" s="22"/>
      <c r="L79" s="22"/>
      <c r="M79" s="63"/>
      <c r="N79" s="22"/>
      <c r="O79" s="63"/>
      <c r="P79" s="63"/>
      <c r="Q79" s="63"/>
      <c r="R79" s="63"/>
      <c r="S79" s="63"/>
      <c r="T79" s="63"/>
      <c r="U79" s="63"/>
      <c r="V79" s="416"/>
      <c r="W79" s="63"/>
      <c r="X79" s="63"/>
      <c r="Y79" s="63"/>
      <c r="Z79" s="63"/>
      <c r="AA79" s="63"/>
    </row>
    <row r="80" spans="1:27">
      <c r="B80" s="1"/>
      <c r="C80" s="1"/>
      <c r="D80" s="1"/>
      <c r="E80" s="11"/>
      <c r="F80" s="11"/>
      <c r="G80" s="11"/>
      <c r="H80" s="11"/>
      <c r="I80" s="11"/>
      <c r="J80" s="11"/>
      <c r="K80" s="11"/>
      <c r="L80" s="11"/>
      <c r="M80" s="11"/>
      <c r="N80" s="11"/>
      <c r="O80" s="11"/>
      <c r="P80" s="11"/>
      <c r="Q80" s="11"/>
      <c r="R80" s="11"/>
    </row>
    <row r="81" spans="1:27" ht="18">
      <c r="B81" s="14" t="s">
        <v>648</v>
      </c>
      <c r="C81" s="409"/>
      <c r="D81" s="24" t="str">
        <f>'Student Data'!D17&amp;" "&amp;'Student Data'!C17</f>
        <v xml:space="preserve"> </v>
      </c>
      <c r="E81" s="24"/>
      <c r="F81" s="24"/>
      <c r="G81" s="24"/>
      <c r="H81" s="24"/>
      <c r="I81" s="24"/>
      <c r="J81" s="24"/>
      <c r="K81" s="25"/>
      <c r="L81" s="25"/>
      <c r="M81" s="25"/>
      <c r="N81" s="25"/>
      <c r="O81" s="982"/>
      <c r="P81" s="983"/>
      <c r="Q81" s="983"/>
      <c r="R81" s="983"/>
      <c r="S81" s="983"/>
      <c r="T81" s="414"/>
      <c r="U81" s="415"/>
      <c r="V81" s="415"/>
      <c r="W81" s="415"/>
      <c r="X81" s="415"/>
      <c r="Y81" s="415"/>
      <c r="Z81" s="415"/>
      <c r="AA81" s="415"/>
    </row>
    <row r="82" spans="1:27" ht="15" customHeight="1">
      <c r="B82" s="990" t="s">
        <v>25</v>
      </c>
      <c r="C82" s="993"/>
      <c r="D82" s="993"/>
      <c r="E82" s="993"/>
      <c r="F82" s="991"/>
      <c r="G82" s="990" t="s">
        <v>649</v>
      </c>
      <c r="H82" s="993"/>
      <c r="I82" s="993"/>
      <c r="J82" s="993"/>
      <c r="K82" s="991"/>
      <c r="L82" s="990" t="s">
        <v>172</v>
      </c>
      <c r="M82" s="991"/>
      <c r="N82" s="988" t="s">
        <v>650</v>
      </c>
      <c r="O82" s="984" t="s">
        <v>651</v>
      </c>
      <c r="P82" s="985"/>
      <c r="Q82" s="985"/>
      <c r="R82" s="985"/>
      <c r="S82" s="985"/>
      <c r="T82" s="984" t="s">
        <v>652</v>
      </c>
      <c r="U82" s="985"/>
      <c r="V82" s="985"/>
      <c r="W82" s="990" t="s">
        <v>653</v>
      </c>
      <c r="X82" s="993"/>
      <c r="Y82" s="993"/>
      <c r="Z82" s="993"/>
      <c r="AA82" s="991"/>
    </row>
    <row r="83" spans="1:27">
      <c r="B83" s="986"/>
      <c r="C83" s="987"/>
      <c r="D83" s="987"/>
      <c r="E83" s="987"/>
      <c r="F83" s="992"/>
      <c r="G83" s="986"/>
      <c r="H83" s="987"/>
      <c r="I83" s="987"/>
      <c r="J83" s="987"/>
      <c r="K83" s="992"/>
      <c r="L83" s="986"/>
      <c r="M83" s="992"/>
      <c r="N83" s="989"/>
      <c r="O83" s="986"/>
      <c r="P83" s="987"/>
      <c r="Q83" s="987"/>
      <c r="R83" s="987"/>
      <c r="S83" s="987"/>
      <c r="T83" s="986"/>
      <c r="U83" s="987"/>
      <c r="V83" s="987"/>
      <c r="W83" s="986"/>
      <c r="X83" s="987"/>
      <c r="Y83" s="987"/>
      <c r="Z83" s="987"/>
      <c r="AA83" s="992"/>
    </row>
    <row r="84" spans="1:27">
      <c r="B84" s="346" t="s">
        <v>654</v>
      </c>
      <c r="C84" s="346" t="s">
        <v>595</v>
      </c>
      <c r="D84" s="351" t="s">
        <v>619</v>
      </c>
      <c r="E84" s="351" t="s">
        <v>621</v>
      </c>
      <c r="F84" s="352" t="s">
        <v>623</v>
      </c>
      <c r="G84" s="410" t="s">
        <v>654</v>
      </c>
      <c r="H84" s="348" t="s">
        <v>595</v>
      </c>
      <c r="I84" s="349" t="s">
        <v>619</v>
      </c>
      <c r="J84" s="349" t="s">
        <v>621</v>
      </c>
      <c r="K84" s="350" t="s">
        <v>623</v>
      </c>
      <c r="L84" s="411" t="s">
        <v>655</v>
      </c>
      <c r="M84" s="357" t="s">
        <v>656</v>
      </c>
      <c r="N84" s="356" t="s">
        <v>656</v>
      </c>
      <c r="O84" s="348" t="s">
        <v>654</v>
      </c>
      <c r="P84" s="349" t="s">
        <v>595</v>
      </c>
      <c r="Q84" s="349" t="s">
        <v>619</v>
      </c>
      <c r="R84" s="412" t="s">
        <v>621</v>
      </c>
      <c r="S84" s="350" t="s">
        <v>623</v>
      </c>
      <c r="T84" s="348" t="s">
        <v>654</v>
      </c>
      <c r="U84" s="349" t="s">
        <v>595</v>
      </c>
      <c r="V84" s="412" t="s">
        <v>619</v>
      </c>
      <c r="W84" s="346" t="s">
        <v>654</v>
      </c>
      <c r="X84" s="346" t="s">
        <v>595</v>
      </c>
      <c r="Y84" s="346" t="s">
        <v>619</v>
      </c>
      <c r="Z84" s="346" t="s">
        <v>621</v>
      </c>
      <c r="AA84" s="347" t="s">
        <v>623</v>
      </c>
    </row>
    <row r="85" spans="1:27">
      <c r="A85" s="45" t="s">
        <v>657</v>
      </c>
      <c r="B85" s="22"/>
      <c r="C85" s="22"/>
      <c r="D85" s="22"/>
      <c r="E85" s="22"/>
      <c r="F85" s="22"/>
      <c r="G85" s="22"/>
      <c r="H85" s="22"/>
      <c r="I85" s="22"/>
      <c r="J85" s="22"/>
      <c r="K85" s="22"/>
      <c r="L85" s="22"/>
      <c r="M85" s="63"/>
      <c r="N85" s="22"/>
      <c r="O85" s="63"/>
      <c r="P85" s="63"/>
      <c r="Q85" s="63"/>
      <c r="R85" s="63"/>
      <c r="S85" s="63"/>
      <c r="T85" s="63"/>
      <c r="U85" s="63"/>
      <c r="V85" s="416"/>
      <c r="W85" s="63"/>
      <c r="X85" s="63"/>
      <c r="Y85" s="63"/>
      <c r="Z85" s="63"/>
      <c r="AA85" s="63"/>
    </row>
    <row r="86" spans="1:27">
      <c r="B86" s="1"/>
      <c r="C86" s="1"/>
      <c r="D86" s="1"/>
      <c r="E86" s="11"/>
      <c r="F86" s="11"/>
      <c r="G86" s="11"/>
      <c r="H86" s="11"/>
      <c r="I86" s="11"/>
      <c r="J86" s="11"/>
      <c r="K86" s="11"/>
      <c r="L86" s="11"/>
      <c r="M86" s="11"/>
      <c r="N86" s="11"/>
      <c r="O86" s="11"/>
      <c r="P86" s="11"/>
      <c r="Q86" s="11"/>
      <c r="R86" s="11"/>
    </row>
    <row r="87" spans="1:27" ht="18">
      <c r="B87" s="14" t="s">
        <v>648</v>
      </c>
      <c r="C87" s="409"/>
      <c r="D87" s="24" t="str">
        <f>'Student Data'!D18&amp;" "&amp;'Student Data'!C18</f>
        <v xml:space="preserve"> </v>
      </c>
      <c r="E87" s="24"/>
      <c r="F87" s="24"/>
      <c r="G87" s="24"/>
      <c r="H87" s="24"/>
      <c r="I87" s="24"/>
      <c r="J87" s="24"/>
      <c r="K87" s="25"/>
      <c r="L87" s="25"/>
      <c r="M87" s="25"/>
      <c r="N87" s="25"/>
      <c r="O87" s="982"/>
      <c r="P87" s="983"/>
      <c r="Q87" s="983"/>
      <c r="R87" s="983"/>
      <c r="S87" s="983"/>
      <c r="T87" s="414"/>
      <c r="U87" s="415"/>
      <c r="V87" s="415"/>
      <c r="W87" s="415"/>
      <c r="X87" s="415"/>
      <c r="Y87" s="415"/>
      <c r="Z87" s="415"/>
      <c r="AA87" s="415"/>
    </row>
    <row r="88" spans="1:27" ht="15" customHeight="1">
      <c r="B88" s="990" t="s">
        <v>25</v>
      </c>
      <c r="C88" s="993"/>
      <c r="D88" s="993"/>
      <c r="E88" s="993"/>
      <c r="F88" s="991"/>
      <c r="G88" s="990" t="s">
        <v>649</v>
      </c>
      <c r="H88" s="993"/>
      <c r="I88" s="993"/>
      <c r="J88" s="993"/>
      <c r="K88" s="991"/>
      <c r="L88" s="990" t="s">
        <v>172</v>
      </c>
      <c r="M88" s="991"/>
      <c r="N88" s="988" t="s">
        <v>650</v>
      </c>
      <c r="O88" s="984" t="s">
        <v>651</v>
      </c>
      <c r="P88" s="985"/>
      <c r="Q88" s="985"/>
      <c r="R88" s="985"/>
      <c r="S88" s="985"/>
      <c r="T88" s="984" t="s">
        <v>652</v>
      </c>
      <c r="U88" s="985"/>
      <c r="V88" s="985"/>
      <c r="W88" s="990" t="s">
        <v>653</v>
      </c>
      <c r="X88" s="993"/>
      <c r="Y88" s="993"/>
      <c r="Z88" s="993"/>
      <c r="AA88" s="991"/>
    </row>
    <row r="89" spans="1:27">
      <c r="B89" s="986"/>
      <c r="C89" s="987"/>
      <c r="D89" s="987"/>
      <c r="E89" s="987"/>
      <c r="F89" s="992"/>
      <c r="G89" s="986"/>
      <c r="H89" s="987"/>
      <c r="I89" s="987"/>
      <c r="J89" s="987"/>
      <c r="K89" s="992"/>
      <c r="L89" s="986"/>
      <c r="M89" s="992"/>
      <c r="N89" s="989"/>
      <c r="O89" s="986"/>
      <c r="P89" s="987"/>
      <c r="Q89" s="987"/>
      <c r="R89" s="987"/>
      <c r="S89" s="987"/>
      <c r="T89" s="986"/>
      <c r="U89" s="987"/>
      <c r="V89" s="987"/>
      <c r="W89" s="986"/>
      <c r="X89" s="987"/>
      <c r="Y89" s="987"/>
      <c r="Z89" s="987"/>
      <c r="AA89" s="992"/>
    </row>
    <row r="90" spans="1:27">
      <c r="B90" s="346" t="s">
        <v>654</v>
      </c>
      <c r="C90" s="346" t="s">
        <v>595</v>
      </c>
      <c r="D90" s="351" t="s">
        <v>619</v>
      </c>
      <c r="E90" s="351" t="s">
        <v>621</v>
      </c>
      <c r="F90" s="352" t="s">
        <v>623</v>
      </c>
      <c r="G90" s="410" t="s">
        <v>654</v>
      </c>
      <c r="H90" s="348" t="s">
        <v>595</v>
      </c>
      <c r="I90" s="349" t="s">
        <v>619</v>
      </c>
      <c r="J90" s="349" t="s">
        <v>621</v>
      </c>
      <c r="K90" s="350" t="s">
        <v>623</v>
      </c>
      <c r="L90" s="411" t="s">
        <v>655</v>
      </c>
      <c r="M90" s="357" t="s">
        <v>656</v>
      </c>
      <c r="N90" s="356" t="s">
        <v>656</v>
      </c>
      <c r="O90" s="348" t="s">
        <v>654</v>
      </c>
      <c r="P90" s="349" t="s">
        <v>595</v>
      </c>
      <c r="Q90" s="349" t="s">
        <v>619</v>
      </c>
      <c r="R90" s="412" t="s">
        <v>621</v>
      </c>
      <c r="S90" s="350" t="s">
        <v>623</v>
      </c>
      <c r="T90" s="348" t="s">
        <v>654</v>
      </c>
      <c r="U90" s="349" t="s">
        <v>595</v>
      </c>
      <c r="V90" s="412" t="s">
        <v>619</v>
      </c>
      <c r="W90" s="346" t="s">
        <v>654</v>
      </c>
      <c r="X90" s="346" t="s">
        <v>595</v>
      </c>
      <c r="Y90" s="346" t="s">
        <v>619</v>
      </c>
      <c r="Z90" s="346" t="s">
        <v>621</v>
      </c>
      <c r="AA90" s="347" t="s">
        <v>623</v>
      </c>
    </row>
    <row r="91" spans="1:27">
      <c r="A91" s="45" t="s">
        <v>657</v>
      </c>
      <c r="B91" s="22"/>
      <c r="C91" s="22"/>
      <c r="D91" s="22"/>
      <c r="E91" s="22"/>
      <c r="F91" s="22"/>
      <c r="G91" s="22"/>
      <c r="H91" s="22"/>
      <c r="I91" s="22"/>
      <c r="J91" s="22"/>
      <c r="K91" s="22"/>
      <c r="L91" s="22"/>
      <c r="M91" s="63"/>
      <c r="N91" s="22"/>
      <c r="O91" s="63"/>
      <c r="P91" s="63"/>
      <c r="Q91" s="63"/>
      <c r="R91" s="63"/>
      <c r="S91" s="63"/>
      <c r="T91" s="63"/>
      <c r="U91" s="63"/>
      <c r="V91" s="416"/>
      <c r="W91" s="63"/>
      <c r="X91" s="63"/>
      <c r="Y91" s="63"/>
      <c r="Z91" s="63"/>
      <c r="AA91" s="63"/>
    </row>
    <row r="92" spans="1:27">
      <c r="B92" s="1"/>
      <c r="C92" s="1"/>
      <c r="D92" s="1"/>
      <c r="E92" s="11"/>
      <c r="F92" s="11"/>
      <c r="G92" s="11"/>
      <c r="H92" s="11"/>
      <c r="I92" s="11"/>
      <c r="J92" s="11"/>
      <c r="K92" s="11"/>
      <c r="L92" s="11"/>
      <c r="M92" s="11"/>
      <c r="N92" s="11"/>
      <c r="O92" s="11"/>
      <c r="P92" s="11"/>
      <c r="Q92" s="11"/>
      <c r="R92" s="11"/>
    </row>
    <row r="93" spans="1:27" ht="18">
      <c r="B93" s="14" t="s">
        <v>648</v>
      </c>
      <c r="C93" s="409"/>
      <c r="D93" s="24" t="str">
        <f>'Student Data'!D19&amp;" "&amp;'Student Data'!C19</f>
        <v xml:space="preserve"> </v>
      </c>
      <c r="E93" s="24"/>
      <c r="F93" s="24"/>
      <c r="G93" s="24"/>
      <c r="H93" s="24"/>
      <c r="I93" s="24"/>
      <c r="J93" s="24"/>
      <c r="K93" s="25"/>
      <c r="L93" s="25"/>
      <c r="M93" s="25"/>
      <c r="N93" s="25"/>
      <c r="O93" s="982"/>
      <c r="P93" s="983"/>
      <c r="Q93" s="983"/>
      <c r="R93" s="983"/>
      <c r="S93" s="983"/>
      <c r="T93" s="414"/>
      <c r="U93" s="415"/>
      <c r="V93" s="415"/>
      <c r="W93" s="415"/>
      <c r="X93" s="415"/>
      <c r="Y93" s="415"/>
      <c r="Z93" s="415"/>
      <c r="AA93" s="415"/>
    </row>
    <row r="94" spans="1:27" ht="15" customHeight="1">
      <c r="B94" s="990" t="s">
        <v>25</v>
      </c>
      <c r="C94" s="993"/>
      <c r="D94" s="993"/>
      <c r="E94" s="993"/>
      <c r="F94" s="991"/>
      <c r="G94" s="990" t="s">
        <v>649</v>
      </c>
      <c r="H94" s="993"/>
      <c r="I94" s="993"/>
      <c r="J94" s="993"/>
      <c r="K94" s="991"/>
      <c r="L94" s="990" t="s">
        <v>172</v>
      </c>
      <c r="M94" s="991"/>
      <c r="N94" s="988" t="s">
        <v>650</v>
      </c>
      <c r="O94" s="984" t="s">
        <v>651</v>
      </c>
      <c r="P94" s="985"/>
      <c r="Q94" s="985"/>
      <c r="R94" s="985"/>
      <c r="S94" s="985"/>
      <c r="T94" s="984" t="s">
        <v>652</v>
      </c>
      <c r="U94" s="985"/>
      <c r="V94" s="985"/>
      <c r="W94" s="990" t="s">
        <v>653</v>
      </c>
      <c r="X94" s="993"/>
      <c r="Y94" s="993"/>
      <c r="Z94" s="993"/>
      <c r="AA94" s="991"/>
    </row>
    <row r="95" spans="1:27">
      <c r="B95" s="986"/>
      <c r="C95" s="987"/>
      <c r="D95" s="987"/>
      <c r="E95" s="987"/>
      <c r="F95" s="992"/>
      <c r="G95" s="986"/>
      <c r="H95" s="987"/>
      <c r="I95" s="987"/>
      <c r="J95" s="987"/>
      <c r="K95" s="992"/>
      <c r="L95" s="986"/>
      <c r="M95" s="992"/>
      <c r="N95" s="989"/>
      <c r="O95" s="986"/>
      <c r="P95" s="987"/>
      <c r="Q95" s="987"/>
      <c r="R95" s="987"/>
      <c r="S95" s="987"/>
      <c r="T95" s="986"/>
      <c r="U95" s="987"/>
      <c r="V95" s="987"/>
      <c r="W95" s="986"/>
      <c r="X95" s="987"/>
      <c r="Y95" s="987"/>
      <c r="Z95" s="987"/>
      <c r="AA95" s="992"/>
    </row>
    <row r="96" spans="1:27">
      <c r="B96" s="346" t="s">
        <v>654</v>
      </c>
      <c r="C96" s="346" t="s">
        <v>595</v>
      </c>
      <c r="D96" s="351" t="s">
        <v>619</v>
      </c>
      <c r="E96" s="351" t="s">
        <v>621</v>
      </c>
      <c r="F96" s="352" t="s">
        <v>623</v>
      </c>
      <c r="G96" s="410" t="s">
        <v>654</v>
      </c>
      <c r="H96" s="348" t="s">
        <v>595</v>
      </c>
      <c r="I96" s="349" t="s">
        <v>619</v>
      </c>
      <c r="J96" s="349" t="s">
        <v>621</v>
      </c>
      <c r="K96" s="350" t="s">
        <v>623</v>
      </c>
      <c r="L96" s="411" t="s">
        <v>655</v>
      </c>
      <c r="M96" s="357" t="s">
        <v>656</v>
      </c>
      <c r="N96" s="356" t="s">
        <v>656</v>
      </c>
      <c r="O96" s="348" t="s">
        <v>654</v>
      </c>
      <c r="P96" s="349" t="s">
        <v>595</v>
      </c>
      <c r="Q96" s="349" t="s">
        <v>619</v>
      </c>
      <c r="R96" s="412" t="s">
        <v>621</v>
      </c>
      <c r="S96" s="350" t="s">
        <v>623</v>
      </c>
      <c r="T96" s="348" t="s">
        <v>654</v>
      </c>
      <c r="U96" s="349" t="s">
        <v>595</v>
      </c>
      <c r="V96" s="412" t="s">
        <v>619</v>
      </c>
      <c r="W96" s="346" t="s">
        <v>654</v>
      </c>
      <c r="X96" s="346" t="s">
        <v>595</v>
      </c>
      <c r="Y96" s="346" t="s">
        <v>619</v>
      </c>
      <c r="Z96" s="346" t="s">
        <v>621</v>
      </c>
      <c r="AA96" s="347" t="s">
        <v>623</v>
      </c>
    </row>
    <row r="97" spans="1:27">
      <c r="A97" s="45" t="s">
        <v>657</v>
      </c>
      <c r="B97" s="22"/>
      <c r="C97" s="22"/>
      <c r="D97" s="22"/>
      <c r="E97" s="22"/>
      <c r="F97" s="22"/>
      <c r="G97" s="22"/>
      <c r="H97" s="22"/>
      <c r="I97" s="22"/>
      <c r="J97" s="22"/>
      <c r="K97" s="22"/>
      <c r="L97" s="22"/>
      <c r="M97" s="63"/>
      <c r="N97" s="22"/>
      <c r="O97" s="63"/>
      <c r="P97" s="63"/>
      <c r="Q97" s="63"/>
      <c r="R97" s="63"/>
      <c r="S97" s="63"/>
      <c r="T97" s="63"/>
      <c r="U97" s="63"/>
      <c r="V97" s="416"/>
      <c r="W97" s="63"/>
      <c r="X97" s="63"/>
      <c r="Y97" s="63"/>
      <c r="Z97" s="63"/>
      <c r="AA97" s="63"/>
    </row>
    <row r="98" spans="1:27">
      <c r="B98" s="1"/>
      <c r="C98" s="1"/>
      <c r="D98" s="1"/>
      <c r="E98" s="11"/>
      <c r="F98" s="11"/>
      <c r="G98" s="11"/>
      <c r="H98" s="11"/>
      <c r="I98" s="11"/>
      <c r="J98" s="11"/>
      <c r="K98" s="11"/>
      <c r="L98" s="11"/>
      <c r="M98" s="11"/>
      <c r="N98" s="11"/>
      <c r="O98" s="11"/>
      <c r="P98" s="11"/>
      <c r="Q98" s="11"/>
      <c r="R98" s="11"/>
    </row>
    <row r="99" spans="1:27" ht="18">
      <c r="B99" s="14" t="s">
        <v>648</v>
      </c>
      <c r="C99" s="409"/>
      <c r="D99" s="24" t="str">
        <f>'Student Data'!D20&amp;" "&amp;'Student Data'!C20</f>
        <v xml:space="preserve"> </v>
      </c>
      <c r="E99" s="24"/>
      <c r="F99" s="24"/>
      <c r="G99" s="24"/>
      <c r="H99" s="24"/>
      <c r="I99" s="24"/>
      <c r="J99" s="24"/>
      <c r="K99" s="25"/>
      <c r="L99" s="25"/>
      <c r="M99" s="25"/>
      <c r="N99" s="25"/>
      <c r="O99" s="982"/>
      <c r="P99" s="983"/>
      <c r="Q99" s="983"/>
      <c r="R99" s="983"/>
      <c r="S99" s="983"/>
      <c r="T99" s="414"/>
      <c r="U99" s="415"/>
      <c r="V99" s="415"/>
      <c r="W99" s="415"/>
      <c r="X99" s="415"/>
      <c r="Y99" s="415"/>
      <c r="Z99" s="415"/>
      <c r="AA99" s="415"/>
    </row>
    <row r="100" spans="1:27" ht="15" customHeight="1">
      <c r="B100" s="990" t="s">
        <v>25</v>
      </c>
      <c r="C100" s="993"/>
      <c r="D100" s="993"/>
      <c r="E100" s="993"/>
      <c r="F100" s="991"/>
      <c r="G100" s="990" t="s">
        <v>649</v>
      </c>
      <c r="H100" s="993"/>
      <c r="I100" s="993"/>
      <c r="J100" s="993"/>
      <c r="K100" s="991"/>
      <c r="L100" s="990" t="s">
        <v>172</v>
      </c>
      <c r="M100" s="991"/>
      <c r="N100" s="988" t="s">
        <v>650</v>
      </c>
      <c r="O100" s="984" t="s">
        <v>651</v>
      </c>
      <c r="P100" s="985"/>
      <c r="Q100" s="985"/>
      <c r="R100" s="985"/>
      <c r="S100" s="985"/>
      <c r="T100" s="984" t="s">
        <v>652</v>
      </c>
      <c r="U100" s="985"/>
      <c r="V100" s="985"/>
      <c r="W100" s="990" t="s">
        <v>653</v>
      </c>
      <c r="X100" s="993"/>
      <c r="Y100" s="993"/>
      <c r="Z100" s="993"/>
      <c r="AA100" s="991"/>
    </row>
    <row r="101" spans="1:27">
      <c r="B101" s="986"/>
      <c r="C101" s="987"/>
      <c r="D101" s="987"/>
      <c r="E101" s="987"/>
      <c r="F101" s="992"/>
      <c r="G101" s="986"/>
      <c r="H101" s="987"/>
      <c r="I101" s="987"/>
      <c r="J101" s="987"/>
      <c r="K101" s="992"/>
      <c r="L101" s="986"/>
      <c r="M101" s="992"/>
      <c r="N101" s="989"/>
      <c r="O101" s="986"/>
      <c r="P101" s="987"/>
      <c r="Q101" s="987"/>
      <c r="R101" s="987"/>
      <c r="S101" s="987"/>
      <c r="T101" s="986"/>
      <c r="U101" s="987"/>
      <c r="V101" s="987"/>
      <c r="W101" s="986"/>
      <c r="X101" s="987"/>
      <c r="Y101" s="987"/>
      <c r="Z101" s="987"/>
      <c r="AA101" s="992"/>
    </row>
    <row r="102" spans="1:27">
      <c r="B102" s="346" t="s">
        <v>654</v>
      </c>
      <c r="C102" s="346" t="s">
        <v>595</v>
      </c>
      <c r="D102" s="351" t="s">
        <v>619</v>
      </c>
      <c r="E102" s="351" t="s">
        <v>621</v>
      </c>
      <c r="F102" s="352" t="s">
        <v>623</v>
      </c>
      <c r="G102" s="410" t="s">
        <v>654</v>
      </c>
      <c r="H102" s="348" t="s">
        <v>595</v>
      </c>
      <c r="I102" s="349" t="s">
        <v>619</v>
      </c>
      <c r="J102" s="349" t="s">
        <v>621</v>
      </c>
      <c r="K102" s="350" t="s">
        <v>623</v>
      </c>
      <c r="L102" s="411" t="s">
        <v>655</v>
      </c>
      <c r="M102" s="357" t="s">
        <v>656</v>
      </c>
      <c r="N102" s="356" t="s">
        <v>656</v>
      </c>
      <c r="O102" s="348" t="s">
        <v>654</v>
      </c>
      <c r="P102" s="349" t="s">
        <v>595</v>
      </c>
      <c r="Q102" s="349" t="s">
        <v>619</v>
      </c>
      <c r="R102" s="412" t="s">
        <v>621</v>
      </c>
      <c r="S102" s="350" t="s">
        <v>623</v>
      </c>
      <c r="T102" s="348" t="s">
        <v>654</v>
      </c>
      <c r="U102" s="349" t="s">
        <v>595</v>
      </c>
      <c r="V102" s="412" t="s">
        <v>619</v>
      </c>
      <c r="W102" s="346" t="s">
        <v>654</v>
      </c>
      <c r="X102" s="346" t="s">
        <v>595</v>
      </c>
      <c r="Y102" s="346" t="s">
        <v>619</v>
      </c>
      <c r="Z102" s="346" t="s">
        <v>621</v>
      </c>
      <c r="AA102" s="347" t="s">
        <v>623</v>
      </c>
    </row>
    <row r="103" spans="1:27">
      <c r="A103" s="45" t="s">
        <v>657</v>
      </c>
      <c r="B103" s="22"/>
      <c r="C103" s="22"/>
      <c r="D103" s="22"/>
      <c r="E103" s="22"/>
      <c r="F103" s="22"/>
      <c r="G103" s="22"/>
      <c r="H103" s="22"/>
      <c r="I103" s="22"/>
      <c r="J103" s="22"/>
      <c r="K103" s="22"/>
      <c r="L103" s="22"/>
      <c r="M103" s="63"/>
      <c r="N103" s="22"/>
      <c r="O103" s="63"/>
      <c r="P103" s="63"/>
      <c r="Q103" s="63"/>
      <c r="R103" s="63"/>
      <c r="S103" s="63"/>
      <c r="T103" s="63"/>
      <c r="U103" s="63"/>
      <c r="V103" s="416"/>
      <c r="W103" s="63"/>
      <c r="X103" s="63"/>
      <c r="Y103" s="63"/>
      <c r="Z103" s="63"/>
      <c r="AA103" s="63"/>
    </row>
    <row r="104" spans="1:27">
      <c r="B104" s="1"/>
      <c r="C104" s="1"/>
      <c r="D104" s="1"/>
      <c r="E104" s="11"/>
      <c r="F104" s="11"/>
      <c r="G104" s="11"/>
      <c r="H104" s="11"/>
      <c r="I104" s="11"/>
      <c r="J104" s="11"/>
      <c r="K104" s="11"/>
      <c r="L104" s="11"/>
      <c r="M104" s="11"/>
      <c r="N104" s="11"/>
      <c r="O104" s="11"/>
      <c r="P104" s="11"/>
      <c r="Q104" s="11"/>
      <c r="R104" s="11"/>
    </row>
    <row r="105" spans="1:27" ht="18">
      <c r="B105" s="14" t="s">
        <v>648</v>
      </c>
      <c r="C105" s="409"/>
      <c r="D105" s="24" t="str">
        <f>'Student Data'!D21&amp;" "&amp;'Student Data'!C21</f>
        <v xml:space="preserve"> </v>
      </c>
      <c r="E105" s="24"/>
      <c r="F105" s="24"/>
      <c r="G105" s="24"/>
      <c r="H105" s="24"/>
      <c r="I105" s="24"/>
      <c r="J105" s="24"/>
      <c r="K105" s="25"/>
      <c r="L105" s="25"/>
      <c r="M105" s="25"/>
      <c r="N105" s="25"/>
      <c r="O105" s="982"/>
      <c r="P105" s="983"/>
      <c r="Q105" s="983"/>
      <c r="R105" s="983"/>
      <c r="S105" s="983"/>
      <c r="T105" s="414"/>
      <c r="U105" s="415"/>
      <c r="V105" s="415"/>
      <c r="W105" s="415"/>
      <c r="X105" s="415"/>
      <c r="Y105" s="415"/>
      <c r="Z105" s="415"/>
      <c r="AA105" s="415"/>
    </row>
    <row r="106" spans="1:27" ht="15" customHeight="1">
      <c r="B106" s="990" t="s">
        <v>25</v>
      </c>
      <c r="C106" s="993"/>
      <c r="D106" s="993"/>
      <c r="E106" s="993"/>
      <c r="F106" s="991"/>
      <c r="G106" s="990" t="s">
        <v>649</v>
      </c>
      <c r="H106" s="993"/>
      <c r="I106" s="993"/>
      <c r="J106" s="993"/>
      <c r="K106" s="991"/>
      <c r="L106" s="990" t="s">
        <v>172</v>
      </c>
      <c r="M106" s="991"/>
      <c r="N106" s="988" t="s">
        <v>650</v>
      </c>
      <c r="O106" s="984" t="s">
        <v>651</v>
      </c>
      <c r="P106" s="985"/>
      <c r="Q106" s="985"/>
      <c r="R106" s="985"/>
      <c r="S106" s="985"/>
      <c r="T106" s="984" t="s">
        <v>652</v>
      </c>
      <c r="U106" s="985"/>
      <c r="V106" s="985"/>
      <c r="W106" s="990" t="s">
        <v>653</v>
      </c>
      <c r="X106" s="993"/>
      <c r="Y106" s="993"/>
      <c r="Z106" s="993"/>
      <c r="AA106" s="991"/>
    </row>
    <row r="107" spans="1:27">
      <c r="B107" s="986"/>
      <c r="C107" s="987"/>
      <c r="D107" s="987"/>
      <c r="E107" s="987"/>
      <c r="F107" s="992"/>
      <c r="G107" s="986"/>
      <c r="H107" s="987"/>
      <c r="I107" s="987"/>
      <c r="J107" s="987"/>
      <c r="K107" s="992"/>
      <c r="L107" s="986"/>
      <c r="M107" s="992"/>
      <c r="N107" s="989"/>
      <c r="O107" s="986"/>
      <c r="P107" s="987"/>
      <c r="Q107" s="987"/>
      <c r="R107" s="987"/>
      <c r="S107" s="987"/>
      <c r="T107" s="986"/>
      <c r="U107" s="987"/>
      <c r="V107" s="987"/>
      <c r="W107" s="986"/>
      <c r="X107" s="987"/>
      <c r="Y107" s="987"/>
      <c r="Z107" s="987"/>
      <c r="AA107" s="992"/>
    </row>
    <row r="108" spans="1:27">
      <c r="B108" s="346" t="s">
        <v>654</v>
      </c>
      <c r="C108" s="346" t="s">
        <v>595</v>
      </c>
      <c r="D108" s="351" t="s">
        <v>619</v>
      </c>
      <c r="E108" s="351" t="s">
        <v>621</v>
      </c>
      <c r="F108" s="352" t="s">
        <v>623</v>
      </c>
      <c r="G108" s="410" t="s">
        <v>654</v>
      </c>
      <c r="H108" s="348" t="s">
        <v>595</v>
      </c>
      <c r="I108" s="349" t="s">
        <v>619</v>
      </c>
      <c r="J108" s="349" t="s">
        <v>621</v>
      </c>
      <c r="K108" s="350" t="s">
        <v>623</v>
      </c>
      <c r="L108" s="411" t="s">
        <v>655</v>
      </c>
      <c r="M108" s="357" t="s">
        <v>656</v>
      </c>
      <c r="N108" s="356" t="s">
        <v>656</v>
      </c>
      <c r="O108" s="348" t="s">
        <v>654</v>
      </c>
      <c r="P108" s="349" t="s">
        <v>595</v>
      </c>
      <c r="Q108" s="349" t="s">
        <v>619</v>
      </c>
      <c r="R108" s="412" t="s">
        <v>621</v>
      </c>
      <c r="S108" s="350" t="s">
        <v>623</v>
      </c>
      <c r="T108" s="348" t="s">
        <v>654</v>
      </c>
      <c r="U108" s="349" t="s">
        <v>595</v>
      </c>
      <c r="V108" s="412" t="s">
        <v>619</v>
      </c>
      <c r="W108" s="346" t="s">
        <v>654</v>
      </c>
      <c r="X108" s="346" t="s">
        <v>595</v>
      </c>
      <c r="Y108" s="346" t="s">
        <v>619</v>
      </c>
      <c r="Z108" s="346" t="s">
        <v>621</v>
      </c>
      <c r="AA108" s="347" t="s">
        <v>623</v>
      </c>
    </row>
    <row r="109" spans="1:27">
      <c r="A109" s="45" t="s">
        <v>657</v>
      </c>
      <c r="B109" s="22"/>
      <c r="C109" s="22"/>
      <c r="D109" s="22"/>
      <c r="E109" s="22"/>
      <c r="F109" s="22"/>
      <c r="G109" s="22"/>
      <c r="H109" s="22"/>
      <c r="I109" s="22"/>
      <c r="J109" s="22"/>
      <c r="K109" s="22"/>
      <c r="L109" s="22"/>
      <c r="M109" s="63"/>
      <c r="N109" s="22"/>
      <c r="O109" s="63"/>
      <c r="P109" s="63"/>
      <c r="Q109" s="63"/>
      <c r="R109" s="63"/>
      <c r="S109" s="63"/>
      <c r="T109" s="63"/>
      <c r="U109" s="63"/>
      <c r="V109" s="416"/>
      <c r="W109" s="63"/>
      <c r="X109" s="63"/>
      <c r="Y109" s="63"/>
      <c r="Z109" s="63"/>
      <c r="AA109" s="63"/>
    </row>
    <row r="110" spans="1:27">
      <c r="B110" s="1"/>
      <c r="C110" s="1"/>
      <c r="D110" s="1"/>
      <c r="E110" s="11"/>
      <c r="F110" s="11"/>
      <c r="G110" s="11"/>
      <c r="H110" s="11"/>
      <c r="I110" s="11"/>
      <c r="J110" s="11"/>
      <c r="K110" s="11"/>
      <c r="L110" s="11"/>
      <c r="M110" s="11"/>
      <c r="N110" s="11"/>
      <c r="O110" s="11"/>
      <c r="P110" s="11"/>
      <c r="Q110" s="11"/>
      <c r="R110" s="11"/>
    </row>
    <row r="111" spans="1:27" ht="18">
      <c r="B111" s="14" t="s">
        <v>648</v>
      </c>
      <c r="C111" s="409"/>
      <c r="D111" s="24" t="str">
        <f>'Student Data'!D22&amp;" "&amp;'Student Data'!C22</f>
        <v xml:space="preserve"> </v>
      </c>
      <c r="E111" s="24"/>
      <c r="F111" s="24"/>
      <c r="G111" s="24"/>
      <c r="H111" s="24"/>
      <c r="I111" s="24"/>
      <c r="J111" s="24"/>
      <c r="K111" s="25"/>
      <c r="L111" s="25"/>
      <c r="M111" s="25"/>
      <c r="N111" s="25"/>
      <c r="O111" s="982"/>
      <c r="P111" s="983"/>
      <c r="Q111" s="983"/>
      <c r="R111" s="983"/>
      <c r="S111" s="983"/>
      <c r="T111" s="414"/>
      <c r="U111" s="415"/>
      <c r="V111" s="415"/>
      <c r="W111" s="415"/>
      <c r="X111" s="415"/>
      <c r="Y111" s="415"/>
      <c r="Z111" s="415"/>
      <c r="AA111" s="415"/>
    </row>
    <row r="112" spans="1:27" ht="15" customHeight="1">
      <c r="B112" s="990" t="s">
        <v>25</v>
      </c>
      <c r="C112" s="993"/>
      <c r="D112" s="993"/>
      <c r="E112" s="993"/>
      <c r="F112" s="991"/>
      <c r="G112" s="990" t="s">
        <v>649</v>
      </c>
      <c r="H112" s="993"/>
      <c r="I112" s="993"/>
      <c r="J112" s="993"/>
      <c r="K112" s="991"/>
      <c r="L112" s="990" t="s">
        <v>172</v>
      </c>
      <c r="M112" s="991"/>
      <c r="N112" s="988" t="s">
        <v>650</v>
      </c>
      <c r="O112" s="984" t="s">
        <v>651</v>
      </c>
      <c r="P112" s="985"/>
      <c r="Q112" s="985"/>
      <c r="R112" s="985"/>
      <c r="S112" s="985"/>
      <c r="T112" s="984" t="s">
        <v>652</v>
      </c>
      <c r="U112" s="985"/>
      <c r="V112" s="985"/>
      <c r="W112" s="990" t="s">
        <v>653</v>
      </c>
      <c r="X112" s="993"/>
      <c r="Y112" s="993"/>
      <c r="Z112" s="993"/>
      <c r="AA112" s="991"/>
    </row>
    <row r="113" spans="1:27">
      <c r="B113" s="986"/>
      <c r="C113" s="987"/>
      <c r="D113" s="987"/>
      <c r="E113" s="987"/>
      <c r="F113" s="992"/>
      <c r="G113" s="986"/>
      <c r="H113" s="987"/>
      <c r="I113" s="987"/>
      <c r="J113" s="987"/>
      <c r="K113" s="992"/>
      <c r="L113" s="986"/>
      <c r="M113" s="992"/>
      <c r="N113" s="989"/>
      <c r="O113" s="986"/>
      <c r="P113" s="987"/>
      <c r="Q113" s="987"/>
      <c r="R113" s="987"/>
      <c r="S113" s="987"/>
      <c r="T113" s="986"/>
      <c r="U113" s="987"/>
      <c r="V113" s="987"/>
      <c r="W113" s="986"/>
      <c r="X113" s="987"/>
      <c r="Y113" s="987"/>
      <c r="Z113" s="987"/>
      <c r="AA113" s="992"/>
    </row>
    <row r="114" spans="1:27">
      <c r="B114" s="346" t="s">
        <v>654</v>
      </c>
      <c r="C114" s="346" t="s">
        <v>595</v>
      </c>
      <c r="D114" s="351" t="s">
        <v>619</v>
      </c>
      <c r="E114" s="351" t="s">
        <v>621</v>
      </c>
      <c r="F114" s="352" t="s">
        <v>623</v>
      </c>
      <c r="G114" s="410" t="s">
        <v>654</v>
      </c>
      <c r="H114" s="348" t="s">
        <v>595</v>
      </c>
      <c r="I114" s="349" t="s">
        <v>619</v>
      </c>
      <c r="J114" s="349" t="s">
        <v>621</v>
      </c>
      <c r="K114" s="350" t="s">
        <v>623</v>
      </c>
      <c r="L114" s="411" t="s">
        <v>655</v>
      </c>
      <c r="M114" s="357" t="s">
        <v>656</v>
      </c>
      <c r="N114" s="356" t="s">
        <v>656</v>
      </c>
      <c r="O114" s="348" t="s">
        <v>654</v>
      </c>
      <c r="P114" s="349" t="s">
        <v>595</v>
      </c>
      <c r="Q114" s="349" t="s">
        <v>619</v>
      </c>
      <c r="R114" s="412" t="s">
        <v>621</v>
      </c>
      <c r="S114" s="350" t="s">
        <v>623</v>
      </c>
      <c r="T114" s="348" t="s">
        <v>654</v>
      </c>
      <c r="U114" s="349" t="s">
        <v>595</v>
      </c>
      <c r="V114" s="412" t="s">
        <v>619</v>
      </c>
      <c r="W114" s="346" t="s">
        <v>654</v>
      </c>
      <c r="X114" s="346" t="s">
        <v>595</v>
      </c>
      <c r="Y114" s="346" t="s">
        <v>619</v>
      </c>
      <c r="Z114" s="346" t="s">
        <v>621</v>
      </c>
      <c r="AA114" s="347" t="s">
        <v>623</v>
      </c>
    </row>
    <row r="115" spans="1:27">
      <c r="A115" s="45" t="s">
        <v>657</v>
      </c>
      <c r="B115" s="22"/>
      <c r="C115" s="22"/>
      <c r="D115" s="22"/>
      <c r="E115" s="22"/>
      <c r="F115" s="22"/>
      <c r="G115" s="22"/>
      <c r="H115" s="22"/>
      <c r="I115" s="22"/>
      <c r="J115" s="22"/>
      <c r="K115" s="22"/>
      <c r="L115" s="22"/>
      <c r="M115" s="63"/>
      <c r="N115" s="22"/>
      <c r="O115" s="63"/>
      <c r="P115" s="63"/>
      <c r="Q115" s="63"/>
      <c r="R115" s="63"/>
      <c r="S115" s="63"/>
      <c r="T115" s="63"/>
      <c r="U115" s="63"/>
      <c r="V115" s="416"/>
      <c r="W115" s="63"/>
      <c r="X115" s="63"/>
      <c r="Y115" s="63"/>
      <c r="Z115" s="63"/>
      <c r="AA115" s="63"/>
    </row>
    <row r="116" spans="1:27">
      <c r="B116" s="1"/>
      <c r="C116" s="1"/>
      <c r="D116" s="1"/>
      <c r="E116" s="11"/>
      <c r="F116" s="11"/>
      <c r="G116" s="11"/>
      <c r="H116" s="11"/>
      <c r="I116" s="11"/>
      <c r="J116" s="11"/>
      <c r="K116" s="11"/>
      <c r="L116" s="11"/>
      <c r="M116" s="11"/>
      <c r="N116" s="11"/>
      <c r="O116" s="11"/>
      <c r="P116" s="11"/>
      <c r="Q116" s="11"/>
      <c r="R116" s="11"/>
    </row>
    <row r="117" spans="1:27" ht="18">
      <c r="B117" s="14" t="s">
        <v>648</v>
      </c>
      <c r="C117" s="409"/>
      <c r="D117" s="24" t="str">
        <f>'Student Data'!D23&amp;" "&amp;'Student Data'!C23</f>
        <v xml:space="preserve"> </v>
      </c>
      <c r="E117" s="24"/>
      <c r="F117" s="24"/>
      <c r="G117" s="24"/>
      <c r="H117" s="24"/>
      <c r="I117" s="24"/>
      <c r="J117" s="24"/>
      <c r="K117" s="25"/>
      <c r="L117" s="25"/>
      <c r="M117" s="25"/>
      <c r="N117" s="25"/>
      <c r="O117" s="982"/>
      <c r="P117" s="983"/>
      <c r="Q117" s="983"/>
      <c r="R117" s="983"/>
      <c r="S117" s="983"/>
      <c r="T117" s="414"/>
      <c r="U117" s="415"/>
      <c r="V117" s="415"/>
      <c r="W117" s="415"/>
      <c r="X117" s="415"/>
      <c r="Y117" s="415"/>
      <c r="Z117" s="415"/>
      <c r="AA117" s="415"/>
    </row>
    <row r="118" spans="1:27" ht="15" customHeight="1">
      <c r="B118" s="990" t="s">
        <v>25</v>
      </c>
      <c r="C118" s="993"/>
      <c r="D118" s="993"/>
      <c r="E118" s="993"/>
      <c r="F118" s="991"/>
      <c r="G118" s="990" t="s">
        <v>649</v>
      </c>
      <c r="H118" s="993"/>
      <c r="I118" s="993"/>
      <c r="J118" s="993"/>
      <c r="K118" s="991"/>
      <c r="L118" s="990" t="s">
        <v>172</v>
      </c>
      <c r="M118" s="991"/>
      <c r="N118" s="988" t="s">
        <v>650</v>
      </c>
      <c r="O118" s="984" t="s">
        <v>651</v>
      </c>
      <c r="P118" s="985"/>
      <c r="Q118" s="985"/>
      <c r="R118" s="985"/>
      <c r="S118" s="985"/>
      <c r="T118" s="984" t="s">
        <v>652</v>
      </c>
      <c r="U118" s="985"/>
      <c r="V118" s="985"/>
      <c r="W118" s="990" t="s">
        <v>653</v>
      </c>
      <c r="X118" s="993"/>
      <c r="Y118" s="993"/>
      <c r="Z118" s="993"/>
      <c r="AA118" s="991"/>
    </row>
    <row r="119" spans="1:27">
      <c r="B119" s="986"/>
      <c r="C119" s="987"/>
      <c r="D119" s="987"/>
      <c r="E119" s="987"/>
      <c r="F119" s="992"/>
      <c r="G119" s="986"/>
      <c r="H119" s="987"/>
      <c r="I119" s="987"/>
      <c r="J119" s="987"/>
      <c r="K119" s="992"/>
      <c r="L119" s="986"/>
      <c r="M119" s="992"/>
      <c r="N119" s="989"/>
      <c r="O119" s="986"/>
      <c r="P119" s="987"/>
      <c r="Q119" s="987"/>
      <c r="R119" s="987"/>
      <c r="S119" s="987"/>
      <c r="T119" s="986"/>
      <c r="U119" s="987"/>
      <c r="V119" s="987"/>
      <c r="W119" s="986"/>
      <c r="X119" s="987"/>
      <c r="Y119" s="987"/>
      <c r="Z119" s="987"/>
      <c r="AA119" s="992"/>
    </row>
    <row r="120" spans="1:27">
      <c r="B120" s="346" t="s">
        <v>654</v>
      </c>
      <c r="C120" s="346" t="s">
        <v>595</v>
      </c>
      <c r="D120" s="351" t="s">
        <v>619</v>
      </c>
      <c r="E120" s="351" t="s">
        <v>621</v>
      </c>
      <c r="F120" s="352" t="s">
        <v>623</v>
      </c>
      <c r="G120" s="410" t="s">
        <v>654</v>
      </c>
      <c r="H120" s="348" t="s">
        <v>595</v>
      </c>
      <c r="I120" s="349" t="s">
        <v>619</v>
      </c>
      <c r="J120" s="349" t="s">
        <v>621</v>
      </c>
      <c r="K120" s="350" t="s">
        <v>623</v>
      </c>
      <c r="L120" s="411" t="s">
        <v>655</v>
      </c>
      <c r="M120" s="357" t="s">
        <v>656</v>
      </c>
      <c r="N120" s="356" t="s">
        <v>656</v>
      </c>
      <c r="O120" s="348" t="s">
        <v>654</v>
      </c>
      <c r="P120" s="349" t="s">
        <v>595</v>
      </c>
      <c r="Q120" s="349" t="s">
        <v>619</v>
      </c>
      <c r="R120" s="412" t="s">
        <v>621</v>
      </c>
      <c r="S120" s="350" t="s">
        <v>623</v>
      </c>
      <c r="T120" s="348" t="s">
        <v>654</v>
      </c>
      <c r="U120" s="349" t="s">
        <v>595</v>
      </c>
      <c r="V120" s="412" t="s">
        <v>619</v>
      </c>
      <c r="W120" s="346" t="s">
        <v>654</v>
      </c>
      <c r="X120" s="346" t="s">
        <v>595</v>
      </c>
      <c r="Y120" s="346" t="s">
        <v>619</v>
      </c>
      <c r="Z120" s="346" t="s">
        <v>621</v>
      </c>
      <c r="AA120" s="347" t="s">
        <v>623</v>
      </c>
    </row>
    <row r="121" spans="1:27">
      <c r="A121" s="45" t="s">
        <v>657</v>
      </c>
      <c r="B121" s="22"/>
      <c r="C121" s="22"/>
      <c r="D121" s="22"/>
      <c r="E121" s="22"/>
      <c r="F121" s="22"/>
      <c r="G121" s="22"/>
      <c r="H121" s="22"/>
      <c r="I121" s="22"/>
      <c r="J121" s="22"/>
      <c r="K121" s="22"/>
      <c r="L121" s="22"/>
      <c r="M121" s="63"/>
      <c r="N121" s="22"/>
      <c r="O121" s="63"/>
      <c r="P121" s="63"/>
      <c r="Q121" s="63"/>
      <c r="R121" s="63"/>
      <c r="S121" s="63"/>
      <c r="T121" s="63"/>
      <c r="U121" s="63"/>
      <c r="V121" s="416"/>
      <c r="W121" s="63"/>
      <c r="X121" s="63"/>
      <c r="Y121" s="63"/>
      <c r="Z121" s="63"/>
      <c r="AA121" s="63"/>
    </row>
    <row r="122" spans="1:27">
      <c r="B122" s="1"/>
      <c r="C122" s="1"/>
      <c r="D122" s="1"/>
      <c r="E122" s="11"/>
      <c r="F122" s="11"/>
      <c r="G122" s="11"/>
      <c r="H122" s="11"/>
      <c r="I122" s="11"/>
      <c r="J122" s="11"/>
      <c r="K122" s="11"/>
      <c r="L122" s="11"/>
      <c r="M122" s="11"/>
      <c r="N122" s="11"/>
      <c r="O122" s="11"/>
      <c r="P122" s="11"/>
      <c r="Q122" s="11"/>
      <c r="R122" s="11"/>
    </row>
    <row r="123" spans="1:27" ht="18">
      <c r="B123" s="14" t="s">
        <v>648</v>
      </c>
      <c r="C123" s="409"/>
      <c r="D123" s="24" t="str">
        <f>'Student Data'!D24&amp;" "&amp;'Student Data'!C24</f>
        <v xml:space="preserve"> </v>
      </c>
      <c r="E123" s="24"/>
      <c r="F123" s="24"/>
      <c r="G123" s="24"/>
      <c r="H123" s="24"/>
      <c r="I123" s="24"/>
      <c r="J123" s="24"/>
      <c r="K123" s="25"/>
      <c r="L123" s="25"/>
      <c r="M123" s="25"/>
      <c r="N123" s="25"/>
      <c r="O123" s="982"/>
      <c r="P123" s="983"/>
      <c r="Q123" s="983"/>
      <c r="R123" s="983"/>
      <c r="S123" s="983"/>
      <c r="T123" s="414"/>
      <c r="U123" s="415"/>
      <c r="V123" s="415"/>
      <c r="W123" s="415"/>
      <c r="X123" s="415"/>
      <c r="Y123" s="415"/>
      <c r="Z123" s="415"/>
      <c r="AA123" s="415"/>
    </row>
    <row r="124" spans="1:27" ht="15" customHeight="1">
      <c r="B124" s="990" t="s">
        <v>25</v>
      </c>
      <c r="C124" s="993"/>
      <c r="D124" s="993"/>
      <c r="E124" s="993"/>
      <c r="F124" s="991"/>
      <c r="G124" s="990" t="s">
        <v>649</v>
      </c>
      <c r="H124" s="993"/>
      <c r="I124" s="993"/>
      <c r="J124" s="993"/>
      <c r="K124" s="991"/>
      <c r="L124" s="990" t="s">
        <v>172</v>
      </c>
      <c r="M124" s="991"/>
      <c r="N124" s="988" t="s">
        <v>650</v>
      </c>
      <c r="O124" s="984" t="s">
        <v>651</v>
      </c>
      <c r="P124" s="985"/>
      <c r="Q124" s="985"/>
      <c r="R124" s="985"/>
      <c r="S124" s="985"/>
      <c r="T124" s="984" t="s">
        <v>652</v>
      </c>
      <c r="U124" s="985"/>
      <c r="V124" s="985"/>
      <c r="W124" s="990" t="s">
        <v>653</v>
      </c>
      <c r="X124" s="993"/>
      <c r="Y124" s="993"/>
      <c r="Z124" s="993"/>
      <c r="AA124" s="991"/>
    </row>
    <row r="125" spans="1:27">
      <c r="B125" s="986"/>
      <c r="C125" s="987"/>
      <c r="D125" s="987"/>
      <c r="E125" s="987"/>
      <c r="F125" s="992"/>
      <c r="G125" s="986"/>
      <c r="H125" s="987"/>
      <c r="I125" s="987"/>
      <c r="J125" s="987"/>
      <c r="K125" s="992"/>
      <c r="L125" s="986"/>
      <c r="M125" s="992"/>
      <c r="N125" s="989"/>
      <c r="O125" s="986"/>
      <c r="P125" s="987"/>
      <c r="Q125" s="987"/>
      <c r="R125" s="987"/>
      <c r="S125" s="987"/>
      <c r="T125" s="986"/>
      <c r="U125" s="987"/>
      <c r="V125" s="987"/>
      <c r="W125" s="986"/>
      <c r="X125" s="987"/>
      <c r="Y125" s="987"/>
      <c r="Z125" s="987"/>
      <c r="AA125" s="992"/>
    </row>
    <row r="126" spans="1:27">
      <c r="B126" s="346" t="s">
        <v>654</v>
      </c>
      <c r="C126" s="346" t="s">
        <v>595</v>
      </c>
      <c r="D126" s="351" t="s">
        <v>619</v>
      </c>
      <c r="E126" s="351" t="s">
        <v>621</v>
      </c>
      <c r="F126" s="352" t="s">
        <v>623</v>
      </c>
      <c r="G126" s="410" t="s">
        <v>654</v>
      </c>
      <c r="H126" s="348" t="s">
        <v>595</v>
      </c>
      <c r="I126" s="349" t="s">
        <v>619</v>
      </c>
      <c r="J126" s="349" t="s">
        <v>621</v>
      </c>
      <c r="K126" s="350" t="s">
        <v>623</v>
      </c>
      <c r="L126" s="411" t="s">
        <v>655</v>
      </c>
      <c r="M126" s="357" t="s">
        <v>656</v>
      </c>
      <c r="N126" s="356" t="s">
        <v>656</v>
      </c>
      <c r="O126" s="348" t="s">
        <v>654</v>
      </c>
      <c r="P126" s="349" t="s">
        <v>595</v>
      </c>
      <c r="Q126" s="349" t="s">
        <v>619</v>
      </c>
      <c r="R126" s="412" t="s">
        <v>621</v>
      </c>
      <c r="S126" s="350" t="s">
        <v>623</v>
      </c>
      <c r="T126" s="348" t="s">
        <v>654</v>
      </c>
      <c r="U126" s="349" t="s">
        <v>595</v>
      </c>
      <c r="V126" s="412" t="s">
        <v>619</v>
      </c>
      <c r="W126" s="346" t="s">
        <v>654</v>
      </c>
      <c r="X126" s="346" t="s">
        <v>595</v>
      </c>
      <c r="Y126" s="346" t="s">
        <v>619</v>
      </c>
      <c r="Z126" s="346" t="s">
        <v>621</v>
      </c>
      <c r="AA126" s="347" t="s">
        <v>623</v>
      </c>
    </row>
    <row r="127" spans="1:27">
      <c r="A127" s="45" t="s">
        <v>657</v>
      </c>
      <c r="B127" s="22"/>
      <c r="C127" s="22"/>
      <c r="D127" s="22"/>
      <c r="E127" s="22"/>
      <c r="F127" s="22"/>
      <c r="G127" s="22"/>
      <c r="H127" s="22"/>
      <c r="I127" s="22"/>
      <c r="J127" s="22"/>
      <c r="K127" s="22"/>
      <c r="L127" s="22"/>
      <c r="M127" s="63"/>
      <c r="N127" s="22"/>
      <c r="O127" s="63"/>
      <c r="P127" s="63"/>
      <c r="Q127" s="63"/>
      <c r="R127" s="63"/>
      <c r="S127" s="63"/>
      <c r="T127" s="63"/>
      <c r="U127" s="63"/>
      <c r="V127" s="416"/>
      <c r="W127" s="63"/>
      <c r="X127" s="63"/>
      <c r="Y127" s="63"/>
      <c r="Z127" s="63"/>
      <c r="AA127" s="63"/>
    </row>
    <row r="128" spans="1:27">
      <c r="B128" s="1"/>
      <c r="C128" s="1"/>
      <c r="D128" s="1"/>
      <c r="E128" s="11"/>
      <c r="F128" s="11"/>
      <c r="G128" s="11"/>
      <c r="H128" s="11"/>
      <c r="I128" s="11"/>
      <c r="J128" s="11"/>
      <c r="K128" s="11"/>
      <c r="L128" s="11"/>
      <c r="M128" s="11"/>
      <c r="N128" s="11"/>
      <c r="O128" s="11"/>
      <c r="P128" s="11"/>
      <c r="Q128" s="11"/>
      <c r="R128" s="11"/>
    </row>
    <row r="129" spans="1:27" ht="18">
      <c r="B129" s="14" t="s">
        <v>648</v>
      </c>
      <c r="C129" s="409"/>
      <c r="D129" s="24" t="str">
        <f>'Student Data'!D25&amp;" "&amp;'Student Data'!C25</f>
        <v xml:space="preserve"> </v>
      </c>
      <c r="E129" s="24"/>
      <c r="F129" s="24"/>
      <c r="G129" s="24"/>
      <c r="H129" s="24"/>
      <c r="I129" s="24"/>
      <c r="J129" s="24"/>
      <c r="K129" s="25"/>
      <c r="L129" s="25"/>
      <c r="M129" s="25"/>
      <c r="N129" s="25"/>
      <c r="O129" s="982"/>
      <c r="P129" s="983"/>
      <c r="Q129" s="983"/>
      <c r="R129" s="983"/>
      <c r="S129" s="983"/>
      <c r="T129" s="414"/>
      <c r="U129" s="415"/>
      <c r="V129" s="415"/>
      <c r="W129" s="415"/>
      <c r="X129" s="415"/>
      <c r="Y129" s="415"/>
      <c r="Z129" s="415"/>
      <c r="AA129" s="415"/>
    </row>
    <row r="130" spans="1:27" ht="15" customHeight="1">
      <c r="B130" s="990" t="s">
        <v>25</v>
      </c>
      <c r="C130" s="993"/>
      <c r="D130" s="993"/>
      <c r="E130" s="993"/>
      <c r="F130" s="991"/>
      <c r="G130" s="990" t="s">
        <v>649</v>
      </c>
      <c r="H130" s="993"/>
      <c r="I130" s="993"/>
      <c r="J130" s="993"/>
      <c r="K130" s="991"/>
      <c r="L130" s="990" t="s">
        <v>172</v>
      </c>
      <c r="M130" s="991"/>
      <c r="N130" s="988" t="s">
        <v>650</v>
      </c>
      <c r="O130" s="984" t="s">
        <v>651</v>
      </c>
      <c r="P130" s="985"/>
      <c r="Q130" s="985"/>
      <c r="R130" s="985"/>
      <c r="S130" s="985"/>
      <c r="T130" s="984" t="s">
        <v>652</v>
      </c>
      <c r="U130" s="985"/>
      <c r="V130" s="985"/>
      <c r="W130" s="990" t="s">
        <v>653</v>
      </c>
      <c r="X130" s="993"/>
      <c r="Y130" s="993"/>
      <c r="Z130" s="993"/>
      <c r="AA130" s="991"/>
    </row>
    <row r="131" spans="1:27">
      <c r="B131" s="986"/>
      <c r="C131" s="987"/>
      <c r="D131" s="987"/>
      <c r="E131" s="987"/>
      <c r="F131" s="992"/>
      <c r="G131" s="986"/>
      <c r="H131" s="987"/>
      <c r="I131" s="987"/>
      <c r="J131" s="987"/>
      <c r="K131" s="992"/>
      <c r="L131" s="986"/>
      <c r="M131" s="992"/>
      <c r="N131" s="989"/>
      <c r="O131" s="986"/>
      <c r="P131" s="987"/>
      <c r="Q131" s="987"/>
      <c r="R131" s="987"/>
      <c r="S131" s="987"/>
      <c r="T131" s="986"/>
      <c r="U131" s="987"/>
      <c r="V131" s="987"/>
      <c r="W131" s="986"/>
      <c r="X131" s="987"/>
      <c r="Y131" s="987"/>
      <c r="Z131" s="987"/>
      <c r="AA131" s="992"/>
    </row>
    <row r="132" spans="1:27">
      <c r="B132" s="346" t="s">
        <v>654</v>
      </c>
      <c r="C132" s="346" t="s">
        <v>595</v>
      </c>
      <c r="D132" s="351" t="s">
        <v>619</v>
      </c>
      <c r="E132" s="351" t="s">
        <v>621</v>
      </c>
      <c r="F132" s="352" t="s">
        <v>623</v>
      </c>
      <c r="G132" s="410" t="s">
        <v>654</v>
      </c>
      <c r="H132" s="348" t="s">
        <v>595</v>
      </c>
      <c r="I132" s="349" t="s">
        <v>619</v>
      </c>
      <c r="J132" s="349" t="s">
        <v>621</v>
      </c>
      <c r="K132" s="350" t="s">
        <v>623</v>
      </c>
      <c r="L132" s="411" t="s">
        <v>655</v>
      </c>
      <c r="M132" s="357" t="s">
        <v>656</v>
      </c>
      <c r="N132" s="356" t="s">
        <v>656</v>
      </c>
      <c r="O132" s="348" t="s">
        <v>654</v>
      </c>
      <c r="P132" s="349" t="s">
        <v>595</v>
      </c>
      <c r="Q132" s="349" t="s">
        <v>619</v>
      </c>
      <c r="R132" s="412" t="s">
        <v>621</v>
      </c>
      <c r="S132" s="350" t="s">
        <v>623</v>
      </c>
      <c r="T132" s="348" t="s">
        <v>654</v>
      </c>
      <c r="U132" s="349" t="s">
        <v>595</v>
      </c>
      <c r="V132" s="412" t="s">
        <v>619</v>
      </c>
      <c r="W132" s="346" t="s">
        <v>654</v>
      </c>
      <c r="X132" s="346" t="s">
        <v>595</v>
      </c>
      <c r="Y132" s="346" t="s">
        <v>619</v>
      </c>
      <c r="Z132" s="346" t="s">
        <v>621</v>
      </c>
      <c r="AA132" s="347" t="s">
        <v>623</v>
      </c>
    </row>
    <row r="133" spans="1:27">
      <c r="A133" s="45" t="s">
        <v>657</v>
      </c>
      <c r="B133" s="22"/>
      <c r="C133" s="22"/>
      <c r="D133" s="22"/>
      <c r="E133" s="22"/>
      <c r="F133" s="22"/>
      <c r="G133" s="22"/>
      <c r="H133" s="22"/>
      <c r="I133" s="22"/>
      <c r="J133" s="22"/>
      <c r="K133" s="22"/>
      <c r="L133" s="22"/>
      <c r="M133" s="63"/>
      <c r="N133" s="22"/>
      <c r="O133" s="63"/>
      <c r="P133" s="63"/>
      <c r="Q133" s="63"/>
      <c r="R133" s="63"/>
      <c r="S133" s="63"/>
      <c r="T133" s="63"/>
      <c r="U133" s="63"/>
      <c r="V133" s="416"/>
      <c r="W133" s="63"/>
      <c r="X133" s="63"/>
      <c r="Y133" s="63"/>
      <c r="Z133" s="63"/>
      <c r="AA133" s="63"/>
    </row>
    <row r="135" spans="1:27" ht="18">
      <c r="B135" s="14" t="s">
        <v>648</v>
      </c>
      <c r="C135" s="409"/>
      <c r="D135" s="24" t="str">
        <f>'Student Data'!D26&amp;" "&amp;'Student Data'!C26</f>
        <v xml:space="preserve"> </v>
      </c>
      <c r="E135" s="24"/>
      <c r="F135" s="24"/>
      <c r="G135" s="24"/>
      <c r="H135" s="24"/>
      <c r="I135" s="24"/>
      <c r="J135" s="24"/>
      <c r="K135" s="25"/>
      <c r="L135" s="25"/>
      <c r="M135" s="25"/>
      <c r="N135" s="25"/>
      <c r="O135" s="982"/>
      <c r="P135" s="983"/>
      <c r="Q135" s="983"/>
      <c r="R135" s="983"/>
      <c r="S135" s="983"/>
      <c r="T135" s="414"/>
      <c r="U135" s="415"/>
      <c r="V135" s="415"/>
      <c r="W135" s="415"/>
      <c r="X135" s="415"/>
      <c r="Y135" s="415"/>
      <c r="Z135" s="415"/>
      <c r="AA135" s="415"/>
    </row>
    <row r="136" spans="1:27" ht="15" customHeight="1">
      <c r="B136" s="990" t="s">
        <v>25</v>
      </c>
      <c r="C136" s="993"/>
      <c r="D136" s="993"/>
      <c r="E136" s="993"/>
      <c r="F136" s="991"/>
      <c r="G136" s="990" t="s">
        <v>649</v>
      </c>
      <c r="H136" s="993"/>
      <c r="I136" s="993"/>
      <c r="J136" s="993"/>
      <c r="K136" s="991"/>
      <c r="L136" s="990" t="s">
        <v>172</v>
      </c>
      <c r="M136" s="991"/>
      <c r="N136" s="988" t="s">
        <v>650</v>
      </c>
      <c r="O136" s="984" t="s">
        <v>651</v>
      </c>
      <c r="P136" s="985"/>
      <c r="Q136" s="985"/>
      <c r="R136" s="985"/>
      <c r="S136" s="985"/>
      <c r="T136" s="984" t="s">
        <v>652</v>
      </c>
      <c r="U136" s="985"/>
      <c r="V136" s="985"/>
      <c r="W136" s="990" t="s">
        <v>653</v>
      </c>
      <c r="X136" s="993"/>
      <c r="Y136" s="993"/>
      <c r="Z136" s="993"/>
      <c r="AA136" s="991"/>
    </row>
    <row r="137" spans="1:27">
      <c r="B137" s="986"/>
      <c r="C137" s="987"/>
      <c r="D137" s="987"/>
      <c r="E137" s="987"/>
      <c r="F137" s="992"/>
      <c r="G137" s="986"/>
      <c r="H137" s="987"/>
      <c r="I137" s="987"/>
      <c r="J137" s="987"/>
      <c r="K137" s="992"/>
      <c r="L137" s="986"/>
      <c r="M137" s="992"/>
      <c r="N137" s="989"/>
      <c r="O137" s="986"/>
      <c r="P137" s="987"/>
      <c r="Q137" s="987"/>
      <c r="R137" s="987"/>
      <c r="S137" s="987"/>
      <c r="T137" s="986"/>
      <c r="U137" s="987"/>
      <c r="V137" s="987"/>
      <c r="W137" s="986"/>
      <c r="X137" s="987"/>
      <c r="Y137" s="987"/>
      <c r="Z137" s="987"/>
      <c r="AA137" s="992"/>
    </row>
    <row r="138" spans="1:27">
      <c r="B138" s="346" t="s">
        <v>654</v>
      </c>
      <c r="C138" s="346" t="s">
        <v>595</v>
      </c>
      <c r="D138" s="351" t="s">
        <v>619</v>
      </c>
      <c r="E138" s="351" t="s">
        <v>621</v>
      </c>
      <c r="F138" s="352" t="s">
        <v>623</v>
      </c>
      <c r="G138" s="410" t="s">
        <v>654</v>
      </c>
      <c r="H138" s="348" t="s">
        <v>595</v>
      </c>
      <c r="I138" s="349" t="s">
        <v>619</v>
      </c>
      <c r="J138" s="349" t="s">
        <v>621</v>
      </c>
      <c r="K138" s="350" t="s">
        <v>623</v>
      </c>
      <c r="L138" s="411" t="s">
        <v>655</v>
      </c>
      <c r="M138" s="357" t="s">
        <v>656</v>
      </c>
      <c r="N138" s="356" t="s">
        <v>656</v>
      </c>
      <c r="O138" s="348" t="s">
        <v>654</v>
      </c>
      <c r="P138" s="349" t="s">
        <v>595</v>
      </c>
      <c r="Q138" s="349" t="s">
        <v>619</v>
      </c>
      <c r="R138" s="412" t="s">
        <v>621</v>
      </c>
      <c r="S138" s="350" t="s">
        <v>623</v>
      </c>
      <c r="T138" s="348" t="s">
        <v>654</v>
      </c>
      <c r="U138" s="349" t="s">
        <v>595</v>
      </c>
      <c r="V138" s="412" t="s">
        <v>619</v>
      </c>
      <c r="W138" s="346" t="s">
        <v>654</v>
      </c>
      <c r="X138" s="346" t="s">
        <v>595</v>
      </c>
      <c r="Y138" s="346" t="s">
        <v>619</v>
      </c>
      <c r="Z138" s="346" t="s">
        <v>621</v>
      </c>
      <c r="AA138" s="347" t="s">
        <v>623</v>
      </c>
    </row>
    <row r="139" spans="1:27">
      <c r="A139" s="45" t="s">
        <v>657</v>
      </c>
      <c r="B139" s="22"/>
      <c r="C139" s="22"/>
      <c r="D139" s="22"/>
      <c r="E139" s="22"/>
      <c r="F139" s="22"/>
      <c r="G139" s="22"/>
      <c r="H139" s="22"/>
      <c r="I139" s="22"/>
      <c r="J139" s="22"/>
      <c r="K139" s="22"/>
      <c r="L139" s="22"/>
      <c r="M139" s="63"/>
      <c r="N139" s="22"/>
      <c r="O139" s="63"/>
      <c r="P139" s="63"/>
      <c r="Q139" s="63"/>
      <c r="R139" s="63"/>
      <c r="S139" s="63"/>
      <c r="T139" s="63"/>
      <c r="U139" s="63"/>
      <c r="V139" s="416"/>
      <c r="W139" s="63"/>
      <c r="X139" s="63"/>
      <c r="Y139" s="63"/>
      <c r="Z139" s="63"/>
      <c r="AA139" s="63"/>
    </row>
    <row r="141" spans="1:27" ht="18">
      <c r="B141" s="14" t="s">
        <v>648</v>
      </c>
      <c r="C141" s="409"/>
      <c r="D141" s="24" t="str">
        <f>'Student Data'!D27&amp;" "&amp;'Student Data'!C27</f>
        <v xml:space="preserve"> </v>
      </c>
      <c r="E141" s="24"/>
      <c r="F141" s="24"/>
      <c r="G141" s="24"/>
      <c r="H141" s="24"/>
      <c r="I141" s="24"/>
      <c r="J141" s="24"/>
      <c r="K141" s="25"/>
      <c r="L141" s="25"/>
      <c r="M141" s="25"/>
      <c r="N141" s="25"/>
      <c r="O141" s="982"/>
      <c r="P141" s="983"/>
      <c r="Q141" s="983"/>
      <c r="R141" s="983"/>
      <c r="S141" s="983"/>
      <c r="T141" s="414"/>
      <c r="U141" s="415"/>
      <c r="V141" s="415"/>
      <c r="W141" s="415"/>
      <c r="X141" s="415"/>
      <c r="Y141" s="415"/>
      <c r="Z141" s="415"/>
      <c r="AA141" s="415"/>
    </row>
    <row r="142" spans="1:27" ht="15" customHeight="1">
      <c r="B142" s="990" t="s">
        <v>25</v>
      </c>
      <c r="C142" s="993"/>
      <c r="D142" s="993"/>
      <c r="E142" s="993"/>
      <c r="F142" s="991"/>
      <c r="G142" s="990" t="s">
        <v>649</v>
      </c>
      <c r="H142" s="993"/>
      <c r="I142" s="993"/>
      <c r="J142" s="993"/>
      <c r="K142" s="991"/>
      <c r="L142" s="990" t="s">
        <v>172</v>
      </c>
      <c r="M142" s="991"/>
      <c r="N142" s="988" t="s">
        <v>650</v>
      </c>
      <c r="O142" s="984" t="s">
        <v>651</v>
      </c>
      <c r="P142" s="985"/>
      <c r="Q142" s="985"/>
      <c r="R142" s="985"/>
      <c r="S142" s="985"/>
      <c r="T142" s="984" t="s">
        <v>652</v>
      </c>
      <c r="U142" s="985"/>
      <c r="V142" s="985"/>
      <c r="W142" s="990" t="s">
        <v>653</v>
      </c>
      <c r="X142" s="993"/>
      <c r="Y142" s="993"/>
      <c r="Z142" s="993"/>
      <c r="AA142" s="991"/>
    </row>
    <row r="143" spans="1:27">
      <c r="B143" s="986"/>
      <c r="C143" s="987"/>
      <c r="D143" s="987"/>
      <c r="E143" s="987"/>
      <c r="F143" s="992"/>
      <c r="G143" s="986"/>
      <c r="H143" s="987"/>
      <c r="I143" s="987"/>
      <c r="J143" s="987"/>
      <c r="K143" s="992"/>
      <c r="L143" s="986"/>
      <c r="M143" s="992"/>
      <c r="N143" s="989"/>
      <c r="O143" s="986"/>
      <c r="P143" s="987"/>
      <c r="Q143" s="987"/>
      <c r="R143" s="987"/>
      <c r="S143" s="987"/>
      <c r="T143" s="986"/>
      <c r="U143" s="987"/>
      <c r="V143" s="987"/>
      <c r="W143" s="986"/>
      <c r="X143" s="987"/>
      <c r="Y143" s="987"/>
      <c r="Z143" s="987"/>
      <c r="AA143" s="992"/>
    </row>
    <row r="144" spans="1:27">
      <c r="B144" s="346" t="s">
        <v>654</v>
      </c>
      <c r="C144" s="346" t="s">
        <v>595</v>
      </c>
      <c r="D144" s="351" t="s">
        <v>619</v>
      </c>
      <c r="E144" s="351" t="s">
        <v>621</v>
      </c>
      <c r="F144" s="352" t="s">
        <v>623</v>
      </c>
      <c r="G144" s="410" t="s">
        <v>654</v>
      </c>
      <c r="H144" s="348" t="s">
        <v>595</v>
      </c>
      <c r="I144" s="349" t="s">
        <v>619</v>
      </c>
      <c r="J144" s="349" t="s">
        <v>621</v>
      </c>
      <c r="K144" s="350" t="s">
        <v>623</v>
      </c>
      <c r="L144" s="411" t="s">
        <v>655</v>
      </c>
      <c r="M144" s="357" t="s">
        <v>656</v>
      </c>
      <c r="N144" s="356" t="s">
        <v>656</v>
      </c>
      <c r="O144" s="348" t="s">
        <v>654</v>
      </c>
      <c r="P144" s="349" t="s">
        <v>595</v>
      </c>
      <c r="Q144" s="349" t="s">
        <v>619</v>
      </c>
      <c r="R144" s="412" t="s">
        <v>621</v>
      </c>
      <c r="S144" s="350" t="s">
        <v>623</v>
      </c>
      <c r="T144" s="348" t="s">
        <v>654</v>
      </c>
      <c r="U144" s="349" t="s">
        <v>595</v>
      </c>
      <c r="V144" s="412" t="s">
        <v>619</v>
      </c>
      <c r="W144" s="346" t="s">
        <v>654</v>
      </c>
      <c r="X144" s="346" t="s">
        <v>595</v>
      </c>
      <c r="Y144" s="346" t="s">
        <v>619</v>
      </c>
      <c r="Z144" s="346" t="s">
        <v>621</v>
      </c>
      <c r="AA144" s="347" t="s">
        <v>623</v>
      </c>
    </row>
    <row r="145" spans="1:27">
      <c r="A145" s="45" t="s">
        <v>657</v>
      </c>
      <c r="B145" s="22"/>
      <c r="C145" s="22"/>
      <c r="D145" s="22"/>
      <c r="E145" s="22"/>
      <c r="F145" s="22"/>
      <c r="G145" s="22"/>
      <c r="H145" s="22"/>
      <c r="I145" s="22"/>
      <c r="J145" s="22"/>
      <c r="K145" s="22"/>
      <c r="L145" s="22"/>
      <c r="M145" s="63"/>
      <c r="N145" s="22"/>
      <c r="O145" s="63"/>
      <c r="P145" s="63"/>
      <c r="Q145" s="63"/>
      <c r="R145" s="63"/>
      <c r="S145" s="63"/>
      <c r="T145" s="63"/>
      <c r="U145" s="63"/>
      <c r="V145" s="416"/>
      <c r="W145" s="63"/>
      <c r="X145" s="63"/>
      <c r="Y145" s="63"/>
      <c r="Z145" s="63"/>
      <c r="AA145" s="63"/>
    </row>
    <row r="147" spans="1:27" ht="18">
      <c r="B147" s="14" t="s">
        <v>648</v>
      </c>
      <c r="C147" s="409"/>
      <c r="D147" s="24" t="str">
        <f>'Student Data'!D28&amp;" "&amp;'Student Data'!C28</f>
        <v xml:space="preserve"> </v>
      </c>
      <c r="E147" s="24"/>
      <c r="F147" s="24"/>
      <c r="G147" s="24"/>
      <c r="H147" s="24"/>
      <c r="I147" s="24"/>
      <c r="J147" s="24"/>
      <c r="K147" s="25"/>
      <c r="L147" s="25"/>
      <c r="M147" s="25"/>
      <c r="N147" s="25"/>
      <c r="O147" s="982"/>
      <c r="P147" s="983"/>
      <c r="Q147" s="983"/>
      <c r="R147" s="983"/>
      <c r="S147" s="983"/>
      <c r="T147" s="414"/>
      <c r="U147" s="415"/>
      <c r="V147" s="415"/>
      <c r="W147" s="415"/>
      <c r="X147" s="415"/>
      <c r="Y147" s="415"/>
      <c r="Z147" s="415"/>
      <c r="AA147" s="415"/>
    </row>
    <row r="148" spans="1:27" ht="15" customHeight="1">
      <c r="B148" s="990" t="s">
        <v>25</v>
      </c>
      <c r="C148" s="993"/>
      <c r="D148" s="993"/>
      <c r="E148" s="993"/>
      <c r="F148" s="991"/>
      <c r="G148" s="990" t="s">
        <v>649</v>
      </c>
      <c r="H148" s="993"/>
      <c r="I148" s="993"/>
      <c r="J148" s="993"/>
      <c r="K148" s="991"/>
      <c r="L148" s="990" t="s">
        <v>172</v>
      </c>
      <c r="M148" s="991"/>
      <c r="N148" s="988" t="s">
        <v>650</v>
      </c>
      <c r="O148" s="984" t="s">
        <v>651</v>
      </c>
      <c r="P148" s="985"/>
      <c r="Q148" s="985"/>
      <c r="R148" s="985"/>
      <c r="S148" s="985"/>
      <c r="T148" s="984" t="s">
        <v>652</v>
      </c>
      <c r="U148" s="985"/>
      <c r="V148" s="985"/>
      <c r="W148" s="990" t="s">
        <v>653</v>
      </c>
      <c r="X148" s="993"/>
      <c r="Y148" s="993"/>
      <c r="Z148" s="993"/>
      <c r="AA148" s="991"/>
    </row>
    <row r="149" spans="1:27">
      <c r="B149" s="986"/>
      <c r="C149" s="987"/>
      <c r="D149" s="987"/>
      <c r="E149" s="987"/>
      <c r="F149" s="992"/>
      <c r="G149" s="986"/>
      <c r="H149" s="987"/>
      <c r="I149" s="987"/>
      <c r="J149" s="987"/>
      <c r="K149" s="992"/>
      <c r="L149" s="986"/>
      <c r="M149" s="992"/>
      <c r="N149" s="989"/>
      <c r="O149" s="986"/>
      <c r="P149" s="987"/>
      <c r="Q149" s="987"/>
      <c r="R149" s="987"/>
      <c r="S149" s="987"/>
      <c r="T149" s="986"/>
      <c r="U149" s="987"/>
      <c r="V149" s="987"/>
      <c r="W149" s="986"/>
      <c r="X149" s="987"/>
      <c r="Y149" s="987"/>
      <c r="Z149" s="987"/>
      <c r="AA149" s="992"/>
    </row>
    <row r="150" spans="1:27">
      <c r="B150" s="346" t="s">
        <v>654</v>
      </c>
      <c r="C150" s="346" t="s">
        <v>595</v>
      </c>
      <c r="D150" s="351" t="s">
        <v>619</v>
      </c>
      <c r="E150" s="351" t="s">
        <v>621</v>
      </c>
      <c r="F150" s="352" t="s">
        <v>623</v>
      </c>
      <c r="G150" s="410" t="s">
        <v>654</v>
      </c>
      <c r="H150" s="348" t="s">
        <v>595</v>
      </c>
      <c r="I150" s="349" t="s">
        <v>619</v>
      </c>
      <c r="J150" s="349" t="s">
        <v>621</v>
      </c>
      <c r="K150" s="350" t="s">
        <v>623</v>
      </c>
      <c r="L150" s="411" t="s">
        <v>655</v>
      </c>
      <c r="M150" s="357" t="s">
        <v>656</v>
      </c>
      <c r="N150" s="356" t="s">
        <v>656</v>
      </c>
      <c r="O150" s="348" t="s">
        <v>654</v>
      </c>
      <c r="P150" s="349" t="s">
        <v>595</v>
      </c>
      <c r="Q150" s="349" t="s">
        <v>619</v>
      </c>
      <c r="R150" s="412" t="s">
        <v>621</v>
      </c>
      <c r="S150" s="350" t="s">
        <v>623</v>
      </c>
      <c r="T150" s="348" t="s">
        <v>654</v>
      </c>
      <c r="U150" s="349" t="s">
        <v>595</v>
      </c>
      <c r="V150" s="412" t="s">
        <v>619</v>
      </c>
      <c r="W150" s="346" t="s">
        <v>654</v>
      </c>
      <c r="X150" s="346" t="s">
        <v>595</v>
      </c>
      <c r="Y150" s="346" t="s">
        <v>619</v>
      </c>
      <c r="Z150" s="346" t="s">
        <v>621</v>
      </c>
      <c r="AA150" s="347" t="s">
        <v>623</v>
      </c>
    </row>
    <row r="151" spans="1:27">
      <c r="A151" s="45" t="s">
        <v>657</v>
      </c>
      <c r="B151" s="22"/>
      <c r="C151" s="22"/>
      <c r="D151" s="22"/>
      <c r="E151" s="22"/>
      <c r="F151" s="22"/>
      <c r="G151" s="22"/>
      <c r="H151" s="22"/>
      <c r="I151" s="22"/>
      <c r="J151" s="22"/>
      <c r="K151" s="22"/>
      <c r="L151" s="22"/>
      <c r="M151" s="63"/>
      <c r="N151" s="22"/>
      <c r="O151" s="63"/>
      <c r="P151" s="63"/>
      <c r="Q151" s="63"/>
      <c r="R151" s="63"/>
      <c r="S151" s="63"/>
      <c r="T151" s="63"/>
      <c r="U151" s="63"/>
      <c r="V151" s="416"/>
      <c r="W151" s="63"/>
      <c r="X151" s="63"/>
      <c r="Y151" s="63"/>
      <c r="Z151" s="63"/>
      <c r="AA151" s="63"/>
    </row>
    <row r="153" spans="1:27" ht="18">
      <c r="B153" s="14" t="s">
        <v>648</v>
      </c>
      <c r="C153" s="409"/>
      <c r="D153" s="24" t="str">
        <f>'Student Data'!D29&amp;" "&amp;'Student Data'!C29</f>
        <v xml:space="preserve"> </v>
      </c>
      <c r="E153" s="24"/>
      <c r="F153" s="24"/>
      <c r="G153" s="24"/>
      <c r="H153" s="24"/>
      <c r="I153" s="24"/>
      <c r="J153" s="24"/>
      <c r="K153" s="25"/>
      <c r="L153" s="25"/>
      <c r="M153" s="25"/>
      <c r="N153" s="25"/>
      <c r="O153" s="982"/>
      <c r="P153" s="983"/>
      <c r="Q153" s="983"/>
      <c r="R153" s="983"/>
      <c r="S153" s="983"/>
      <c r="T153" s="414"/>
      <c r="U153" s="415"/>
      <c r="V153" s="415"/>
      <c r="W153" s="415"/>
      <c r="X153" s="415"/>
      <c r="Y153" s="415"/>
      <c r="Z153" s="415"/>
      <c r="AA153" s="415"/>
    </row>
    <row r="154" spans="1:27" ht="15" customHeight="1">
      <c r="B154" s="990" t="s">
        <v>25</v>
      </c>
      <c r="C154" s="993"/>
      <c r="D154" s="993"/>
      <c r="E154" s="993"/>
      <c r="F154" s="991"/>
      <c r="G154" s="990" t="s">
        <v>649</v>
      </c>
      <c r="H154" s="993"/>
      <c r="I154" s="993"/>
      <c r="J154" s="993"/>
      <c r="K154" s="991"/>
      <c r="L154" s="990" t="s">
        <v>172</v>
      </c>
      <c r="M154" s="991"/>
      <c r="N154" s="988" t="s">
        <v>650</v>
      </c>
      <c r="O154" s="984" t="s">
        <v>651</v>
      </c>
      <c r="P154" s="985"/>
      <c r="Q154" s="985"/>
      <c r="R154" s="985"/>
      <c r="S154" s="985"/>
      <c r="T154" s="984" t="s">
        <v>652</v>
      </c>
      <c r="U154" s="985"/>
      <c r="V154" s="985"/>
      <c r="W154" s="990" t="s">
        <v>653</v>
      </c>
      <c r="X154" s="993"/>
      <c r="Y154" s="993"/>
      <c r="Z154" s="993"/>
      <c r="AA154" s="991"/>
    </row>
    <row r="155" spans="1:27">
      <c r="B155" s="986"/>
      <c r="C155" s="987"/>
      <c r="D155" s="987"/>
      <c r="E155" s="987"/>
      <c r="F155" s="992"/>
      <c r="G155" s="986"/>
      <c r="H155" s="987"/>
      <c r="I155" s="987"/>
      <c r="J155" s="987"/>
      <c r="K155" s="992"/>
      <c r="L155" s="986"/>
      <c r="M155" s="992"/>
      <c r="N155" s="989"/>
      <c r="O155" s="986"/>
      <c r="P155" s="987"/>
      <c r="Q155" s="987"/>
      <c r="R155" s="987"/>
      <c r="S155" s="987"/>
      <c r="T155" s="986"/>
      <c r="U155" s="987"/>
      <c r="V155" s="987"/>
      <c r="W155" s="986"/>
      <c r="X155" s="987"/>
      <c r="Y155" s="987"/>
      <c r="Z155" s="987"/>
      <c r="AA155" s="992"/>
    </row>
    <row r="156" spans="1:27">
      <c r="B156" s="346" t="s">
        <v>654</v>
      </c>
      <c r="C156" s="346" t="s">
        <v>595</v>
      </c>
      <c r="D156" s="351" t="s">
        <v>619</v>
      </c>
      <c r="E156" s="351" t="s">
        <v>621</v>
      </c>
      <c r="F156" s="352" t="s">
        <v>623</v>
      </c>
      <c r="G156" s="410" t="s">
        <v>654</v>
      </c>
      <c r="H156" s="348" t="s">
        <v>595</v>
      </c>
      <c r="I156" s="349" t="s">
        <v>619</v>
      </c>
      <c r="J156" s="349" t="s">
        <v>621</v>
      </c>
      <c r="K156" s="350" t="s">
        <v>623</v>
      </c>
      <c r="L156" s="411" t="s">
        <v>655</v>
      </c>
      <c r="M156" s="357" t="s">
        <v>656</v>
      </c>
      <c r="N156" s="356" t="s">
        <v>656</v>
      </c>
      <c r="O156" s="348" t="s">
        <v>654</v>
      </c>
      <c r="P156" s="349" t="s">
        <v>595</v>
      </c>
      <c r="Q156" s="349" t="s">
        <v>619</v>
      </c>
      <c r="R156" s="412" t="s">
        <v>621</v>
      </c>
      <c r="S156" s="350" t="s">
        <v>623</v>
      </c>
      <c r="T156" s="348" t="s">
        <v>654</v>
      </c>
      <c r="U156" s="349" t="s">
        <v>595</v>
      </c>
      <c r="V156" s="412" t="s">
        <v>619</v>
      </c>
      <c r="W156" s="346" t="s">
        <v>654</v>
      </c>
      <c r="X156" s="346" t="s">
        <v>595</v>
      </c>
      <c r="Y156" s="346" t="s">
        <v>619</v>
      </c>
      <c r="Z156" s="346" t="s">
        <v>621</v>
      </c>
      <c r="AA156" s="347" t="s">
        <v>623</v>
      </c>
    </row>
    <row r="157" spans="1:27">
      <c r="A157" s="45" t="s">
        <v>657</v>
      </c>
      <c r="B157" s="22"/>
      <c r="C157" s="22"/>
      <c r="D157" s="22"/>
      <c r="E157" s="22"/>
      <c r="F157" s="22"/>
      <c r="G157" s="22"/>
      <c r="H157" s="22"/>
      <c r="I157" s="22"/>
      <c r="J157" s="22"/>
      <c r="K157" s="22"/>
      <c r="L157" s="22"/>
      <c r="M157" s="63"/>
      <c r="N157" s="22"/>
      <c r="O157" s="63"/>
      <c r="P157" s="63"/>
      <c r="Q157" s="63"/>
      <c r="R157" s="63"/>
      <c r="S157" s="63"/>
      <c r="T157" s="63"/>
      <c r="U157" s="63"/>
      <c r="V157" s="416"/>
      <c r="W157" s="63"/>
      <c r="X157" s="63"/>
      <c r="Y157" s="63"/>
      <c r="Z157" s="63"/>
      <c r="AA157" s="63"/>
    </row>
    <row r="159" spans="1:27" ht="18">
      <c r="B159" s="14" t="s">
        <v>648</v>
      </c>
      <c r="C159" s="409"/>
      <c r="D159" s="24" t="str">
        <f>'Student Data'!D30&amp;" "&amp;'Student Data'!C30</f>
        <v xml:space="preserve"> </v>
      </c>
      <c r="E159" s="24"/>
      <c r="F159" s="24"/>
      <c r="G159" s="24"/>
      <c r="H159" s="24"/>
      <c r="I159" s="24"/>
      <c r="J159" s="24"/>
      <c r="K159" s="25"/>
      <c r="L159" s="25"/>
      <c r="M159" s="25"/>
      <c r="N159" s="25"/>
      <c r="O159" s="982"/>
      <c r="P159" s="983"/>
      <c r="Q159" s="983"/>
      <c r="R159" s="983"/>
      <c r="S159" s="983"/>
      <c r="T159" s="414"/>
      <c r="U159" s="415"/>
      <c r="V159" s="415"/>
      <c r="W159" s="415"/>
      <c r="X159" s="415"/>
      <c r="Y159" s="415"/>
      <c r="Z159" s="415"/>
      <c r="AA159" s="415"/>
    </row>
    <row r="160" spans="1:27" ht="15" customHeight="1">
      <c r="B160" s="990" t="s">
        <v>25</v>
      </c>
      <c r="C160" s="993"/>
      <c r="D160" s="993"/>
      <c r="E160" s="993"/>
      <c r="F160" s="991"/>
      <c r="G160" s="990" t="s">
        <v>649</v>
      </c>
      <c r="H160" s="993"/>
      <c r="I160" s="993"/>
      <c r="J160" s="993"/>
      <c r="K160" s="991"/>
      <c r="L160" s="990" t="s">
        <v>172</v>
      </c>
      <c r="M160" s="991"/>
      <c r="N160" s="988" t="s">
        <v>650</v>
      </c>
      <c r="O160" s="984" t="s">
        <v>651</v>
      </c>
      <c r="P160" s="985"/>
      <c r="Q160" s="985"/>
      <c r="R160" s="985"/>
      <c r="S160" s="985"/>
      <c r="T160" s="984" t="s">
        <v>652</v>
      </c>
      <c r="U160" s="985"/>
      <c r="V160" s="985"/>
      <c r="W160" s="990" t="s">
        <v>653</v>
      </c>
      <c r="X160" s="993"/>
      <c r="Y160" s="993"/>
      <c r="Z160" s="993"/>
      <c r="AA160" s="991"/>
    </row>
    <row r="161" spans="1:27">
      <c r="B161" s="986"/>
      <c r="C161" s="987"/>
      <c r="D161" s="987"/>
      <c r="E161" s="987"/>
      <c r="F161" s="992"/>
      <c r="G161" s="986"/>
      <c r="H161" s="987"/>
      <c r="I161" s="987"/>
      <c r="J161" s="987"/>
      <c r="K161" s="992"/>
      <c r="L161" s="986"/>
      <c r="M161" s="992"/>
      <c r="N161" s="989"/>
      <c r="O161" s="986"/>
      <c r="P161" s="987"/>
      <c r="Q161" s="987"/>
      <c r="R161" s="987"/>
      <c r="S161" s="987"/>
      <c r="T161" s="986"/>
      <c r="U161" s="987"/>
      <c r="V161" s="987"/>
      <c r="W161" s="986"/>
      <c r="X161" s="987"/>
      <c r="Y161" s="987"/>
      <c r="Z161" s="987"/>
      <c r="AA161" s="992"/>
    </row>
    <row r="162" spans="1:27">
      <c r="B162" s="346" t="s">
        <v>654</v>
      </c>
      <c r="C162" s="346" t="s">
        <v>595</v>
      </c>
      <c r="D162" s="351" t="s">
        <v>619</v>
      </c>
      <c r="E162" s="351" t="s">
        <v>621</v>
      </c>
      <c r="F162" s="352" t="s">
        <v>623</v>
      </c>
      <c r="G162" s="410" t="s">
        <v>654</v>
      </c>
      <c r="H162" s="348" t="s">
        <v>595</v>
      </c>
      <c r="I162" s="349" t="s">
        <v>619</v>
      </c>
      <c r="J162" s="349" t="s">
        <v>621</v>
      </c>
      <c r="K162" s="350" t="s">
        <v>623</v>
      </c>
      <c r="L162" s="411" t="s">
        <v>655</v>
      </c>
      <c r="M162" s="357" t="s">
        <v>656</v>
      </c>
      <c r="N162" s="356" t="s">
        <v>656</v>
      </c>
      <c r="O162" s="348" t="s">
        <v>654</v>
      </c>
      <c r="P162" s="349" t="s">
        <v>595</v>
      </c>
      <c r="Q162" s="349" t="s">
        <v>619</v>
      </c>
      <c r="R162" s="412" t="s">
        <v>621</v>
      </c>
      <c r="S162" s="350" t="s">
        <v>623</v>
      </c>
      <c r="T162" s="348" t="s">
        <v>654</v>
      </c>
      <c r="U162" s="349" t="s">
        <v>595</v>
      </c>
      <c r="V162" s="412" t="s">
        <v>619</v>
      </c>
      <c r="W162" s="346" t="s">
        <v>654</v>
      </c>
      <c r="X162" s="346" t="s">
        <v>595</v>
      </c>
      <c r="Y162" s="346" t="s">
        <v>619</v>
      </c>
      <c r="Z162" s="346" t="s">
        <v>621</v>
      </c>
      <c r="AA162" s="347" t="s">
        <v>623</v>
      </c>
    </row>
    <row r="163" spans="1:27">
      <c r="A163" s="45" t="s">
        <v>657</v>
      </c>
      <c r="B163" s="22"/>
      <c r="C163" s="22"/>
      <c r="D163" s="22"/>
      <c r="E163" s="22"/>
      <c r="F163" s="22"/>
      <c r="G163" s="22"/>
      <c r="H163" s="22"/>
      <c r="I163" s="22"/>
      <c r="J163" s="22"/>
      <c r="K163" s="22"/>
      <c r="L163" s="22"/>
      <c r="M163" s="63"/>
      <c r="N163" s="22"/>
      <c r="O163" s="63"/>
      <c r="P163" s="63"/>
      <c r="Q163" s="63"/>
      <c r="R163" s="63"/>
      <c r="S163" s="63"/>
      <c r="T163" s="63"/>
      <c r="U163" s="63"/>
      <c r="V163" s="416"/>
      <c r="W163" s="63"/>
      <c r="X163" s="63"/>
      <c r="Y163" s="63"/>
      <c r="Z163" s="63"/>
      <c r="AA163" s="63"/>
    </row>
  </sheetData>
  <mergeCells count="248">
    <mergeCell ref="W118:AA119"/>
    <mergeCell ref="W124:AA125"/>
    <mergeCell ref="W130:AA131"/>
    <mergeCell ref="W136:AA137"/>
    <mergeCell ref="W142:AA143"/>
    <mergeCell ref="W148:AA149"/>
    <mergeCell ref="W154:AA155"/>
    <mergeCell ref="W160:AA161"/>
    <mergeCell ref="W64:AA65"/>
    <mergeCell ref="W70:AA71"/>
    <mergeCell ref="W76:AA77"/>
    <mergeCell ref="W82:AA83"/>
    <mergeCell ref="W88:AA89"/>
    <mergeCell ref="W94:AA95"/>
    <mergeCell ref="W100:AA101"/>
    <mergeCell ref="W106:AA107"/>
    <mergeCell ref="W112:AA113"/>
    <mergeCell ref="W10:AA11"/>
    <mergeCell ref="W16:AA17"/>
    <mergeCell ref="W22:AA23"/>
    <mergeCell ref="W28:AA29"/>
    <mergeCell ref="W34:AA35"/>
    <mergeCell ref="W40:AA41"/>
    <mergeCell ref="W46:AA47"/>
    <mergeCell ref="W52:AA53"/>
    <mergeCell ref="W58:AA59"/>
    <mergeCell ref="T136:V137"/>
    <mergeCell ref="B130:F131"/>
    <mergeCell ref="G130:K131"/>
    <mergeCell ref="L130:M131"/>
    <mergeCell ref="N130:N131"/>
    <mergeCell ref="O130:S131"/>
    <mergeCell ref="T130:V131"/>
    <mergeCell ref="O159:S159"/>
    <mergeCell ref="B160:F161"/>
    <mergeCell ref="G160:K161"/>
    <mergeCell ref="L160:M161"/>
    <mergeCell ref="N160:N161"/>
    <mergeCell ref="O160:S161"/>
    <mergeCell ref="T160:V161"/>
    <mergeCell ref="O147:S147"/>
    <mergeCell ref="B148:F149"/>
    <mergeCell ref="G148:K149"/>
    <mergeCell ref="L148:M149"/>
    <mergeCell ref="N148:N149"/>
    <mergeCell ref="O148:S149"/>
    <mergeCell ref="T148:V149"/>
    <mergeCell ref="O153:S153"/>
    <mergeCell ref="B154:F155"/>
    <mergeCell ref="G154:K155"/>
    <mergeCell ref="L154:M155"/>
    <mergeCell ref="N154:N155"/>
    <mergeCell ref="O141:S141"/>
    <mergeCell ref="B142:F143"/>
    <mergeCell ref="G142:K143"/>
    <mergeCell ref="L142:M143"/>
    <mergeCell ref="N142:N143"/>
    <mergeCell ref="O142:S143"/>
    <mergeCell ref="T142:V143"/>
    <mergeCell ref="O154:S155"/>
    <mergeCell ref="T154:V155"/>
    <mergeCell ref="O135:S135"/>
    <mergeCell ref="B136:F137"/>
    <mergeCell ref="T94:V95"/>
    <mergeCell ref="O99:S99"/>
    <mergeCell ref="G100:K101"/>
    <mergeCell ref="L100:M101"/>
    <mergeCell ref="N100:N101"/>
    <mergeCell ref="O100:S101"/>
    <mergeCell ref="T100:V101"/>
    <mergeCell ref="T106:V107"/>
    <mergeCell ref="O111:S111"/>
    <mergeCell ref="T112:V113"/>
    <mergeCell ref="O117:S117"/>
    <mergeCell ref="G118:K119"/>
    <mergeCell ref="L118:M119"/>
    <mergeCell ref="N118:N119"/>
    <mergeCell ref="O118:S119"/>
    <mergeCell ref="T118:V119"/>
    <mergeCell ref="T124:V125"/>
    <mergeCell ref="O129:S129"/>
    <mergeCell ref="G136:K137"/>
    <mergeCell ref="L136:M137"/>
    <mergeCell ref="N136:N137"/>
    <mergeCell ref="O136:S137"/>
    <mergeCell ref="G46:K47"/>
    <mergeCell ref="G52:K53"/>
    <mergeCell ref="G58:K59"/>
    <mergeCell ref="I2:J2"/>
    <mergeCell ref="I3:J3"/>
    <mergeCell ref="I4:J4"/>
    <mergeCell ref="I5:J5"/>
    <mergeCell ref="I6:J6"/>
    <mergeCell ref="T10:V11"/>
    <mergeCell ref="T16:V17"/>
    <mergeCell ref="T22:V23"/>
    <mergeCell ref="T28:V29"/>
    <mergeCell ref="T34:V35"/>
    <mergeCell ref="T40:V41"/>
    <mergeCell ref="T46:V47"/>
    <mergeCell ref="L10:M11"/>
    <mergeCell ref="L16:M17"/>
    <mergeCell ref="L22:M23"/>
    <mergeCell ref="L28:M29"/>
    <mergeCell ref="L34:M35"/>
    <mergeCell ref="L40:M41"/>
    <mergeCell ref="L46:M47"/>
    <mergeCell ref="T52:V53"/>
    <mergeCell ref="T58:V59"/>
    <mergeCell ref="C3:D3"/>
    <mergeCell ref="C4:D4"/>
    <mergeCell ref="C5:D5"/>
    <mergeCell ref="C6:D6"/>
    <mergeCell ref="B10:F11"/>
    <mergeCell ref="E6:F6"/>
    <mergeCell ref="G2:H2"/>
    <mergeCell ref="G3:H3"/>
    <mergeCell ref="G4:H4"/>
    <mergeCell ref="G5:H5"/>
    <mergeCell ref="G6:H6"/>
    <mergeCell ref="G10:K11"/>
    <mergeCell ref="A2:B2"/>
    <mergeCell ref="E2:F2"/>
    <mergeCell ref="E3:F3"/>
    <mergeCell ref="E4:F4"/>
    <mergeCell ref="E5:F5"/>
    <mergeCell ref="A3:B3"/>
    <mergeCell ref="A4:B4"/>
    <mergeCell ref="A5:B5"/>
    <mergeCell ref="A6:B6"/>
    <mergeCell ref="C2:D2"/>
    <mergeCell ref="K2:M2"/>
    <mergeCell ref="K3:M3"/>
    <mergeCell ref="G64:K65"/>
    <mergeCell ref="G70:K71"/>
    <mergeCell ref="B112:F113"/>
    <mergeCell ref="B16:F17"/>
    <mergeCell ref="B52:F53"/>
    <mergeCell ref="B58:F59"/>
    <mergeCell ref="B22:F23"/>
    <mergeCell ref="B40:F41"/>
    <mergeCell ref="B28:F29"/>
    <mergeCell ref="B34:F35"/>
    <mergeCell ref="B46:F47"/>
    <mergeCell ref="B64:F65"/>
    <mergeCell ref="B70:F71"/>
    <mergeCell ref="B76:F77"/>
    <mergeCell ref="B100:F101"/>
    <mergeCell ref="G16:K17"/>
    <mergeCell ref="G22:K23"/>
    <mergeCell ref="G28:K29"/>
    <mergeCell ref="G34:K35"/>
    <mergeCell ref="G40:K41"/>
    <mergeCell ref="B82:F83"/>
    <mergeCell ref="G76:K77"/>
    <mergeCell ref="B94:F95"/>
    <mergeCell ref="B88:F89"/>
    <mergeCell ref="G82:K83"/>
    <mergeCell ref="L82:M83"/>
    <mergeCell ref="N82:N83"/>
    <mergeCell ref="O82:S83"/>
    <mergeCell ref="O87:S87"/>
    <mergeCell ref="G88:K89"/>
    <mergeCell ref="L88:M89"/>
    <mergeCell ref="N88:N89"/>
    <mergeCell ref="O88:S89"/>
    <mergeCell ref="O93:S93"/>
    <mergeCell ref="G94:K95"/>
    <mergeCell ref="L94:M95"/>
    <mergeCell ref="B106:F107"/>
    <mergeCell ref="B124:F125"/>
    <mergeCell ref="B118:F119"/>
    <mergeCell ref="O105:S105"/>
    <mergeCell ref="G106:K107"/>
    <mergeCell ref="L106:M107"/>
    <mergeCell ref="N106:N107"/>
    <mergeCell ref="O106:S107"/>
    <mergeCell ref="O123:S123"/>
    <mergeCell ref="G124:K125"/>
    <mergeCell ref="L124:M125"/>
    <mergeCell ref="N124:N125"/>
    <mergeCell ref="O124:S125"/>
    <mergeCell ref="N94:N95"/>
    <mergeCell ref="O94:S95"/>
    <mergeCell ref="G112:K113"/>
    <mergeCell ref="L112:M113"/>
    <mergeCell ref="N112:N113"/>
    <mergeCell ref="O112:S113"/>
    <mergeCell ref="T64:V65"/>
    <mergeCell ref="T70:V71"/>
    <mergeCell ref="T76:V77"/>
    <mergeCell ref="L64:M65"/>
    <mergeCell ref="L70:M71"/>
    <mergeCell ref="L76:M77"/>
    <mergeCell ref="L52:M53"/>
    <mergeCell ref="L58:M59"/>
    <mergeCell ref="T82:V83"/>
    <mergeCell ref="O63:S63"/>
    <mergeCell ref="O64:S65"/>
    <mergeCell ref="O69:S69"/>
    <mergeCell ref="O81:S81"/>
    <mergeCell ref="T88:V89"/>
    <mergeCell ref="N10:N11"/>
    <mergeCell ref="N22:N23"/>
    <mergeCell ref="N28:N29"/>
    <mergeCell ref="N34:N35"/>
    <mergeCell ref="N40:N41"/>
    <mergeCell ref="N46:N47"/>
    <mergeCell ref="N52:N53"/>
    <mergeCell ref="N58:N59"/>
    <mergeCell ref="N64:N65"/>
    <mergeCell ref="N16:N17"/>
    <mergeCell ref="N70:N71"/>
    <mergeCell ref="N76:N77"/>
    <mergeCell ref="O70:S71"/>
    <mergeCell ref="O75:S75"/>
    <mergeCell ref="O76:S77"/>
    <mergeCell ref="O39:S39"/>
    <mergeCell ref="O40:S41"/>
    <mergeCell ref="O45:S45"/>
    <mergeCell ref="O46:S47"/>
    <mergeCell ref="O51:S51"/>
    <mergeCell ref="O52:S53"/>
    <mergeCell ref="O57:S57"/>
    <mergeCell ref="O58:S59"/>
    <mergeCell ref="O9:S9"/>
    <mergeCell ref="O15:S15"/>
    <mergeCell ref="O16:S17"/>
    <mergeCell ref="O21:S21"/>
    <mergeCell ref="O22:S23"/>
    <mergeCell ref="O27:S27"/>
    <mergeCell ref="O28:S29"/>
    <mergeCell ref="O33:S33"/>
    <mergeCell ref="O34:S35"/>
    <mergeCell ref="O10:S11"/>
    <mergeCell ref="K4:M4"/>
    <mergeCell ref="K5:M5"/>
    <mergeCell ref="K6:M6"/>
    <mergeCell ref="N2:O2"/>
    <mergeCell ref="N3:O3"/>
    <mergeCell ref="N4:O4"/>
    <mergeCell ref="N5:O5"/>
    <mergeCell ref="N6:O6"/>
    <mergeCell ref="P2:Q2"/>
    <mergeCell ref="P3:Q3"/>
    <mergeCell ref="P4:Q4"/>
    <mergeCell ref="P5:Q5"/>
    <mergeCell ref="P6:Q6"/>
  </mergeCells>
  <conditionalFormatting sqref="A2 A7">
    <cfRule type="expression" dxfId="670" priority="163">
      <formula>IF($K2="Resigned",TRUE,FALSE)</formula>
    </cfRule>
    <cfRule type="expression" dxfId="669" priority="164">
      <formula>IF($K2="Terminated",TRUE,FALSE)</formula>
    </cfRule>
  </conditionalFormatting>
  <conditionalFormatting sqref="A2 A7">
    <cfRule type="expression" dxfId="668" priority="167">
      <formula>IF($K2="Resigned",TRUE,FALSE)</formula>
    </cfRule>
  </conditionalFormatting>
  <conditionalFormatting sqref="A3:A6">
    <cfRule type="expression" dxfId="667" priority="165">
      <formula>IF($J3="Resigned",TRUE,FALSE)</formula>
    </cfRule>
    <cfRule type="expression" dxfId="666" priority="166">
      <formula>IF($J3="Terminated",TRUE,FALSE)</formula>
    </cfRule>
  </conditionalFormatting>
  <conditionalFormatting sqref="E4">
    <cfRule type="expression" dxfId="665" priority="160">
      <formula>IF($K2="Resigned",TRUE,FALSE)</formula>
    </cfRule>
    <cfRule type="expression" dxfId="664" priority="161">
      <formula>IF($K2="Terminated",TRUE,FALSE)</formula>
    </cfRule>
  </conditionalFormatting>
  <conditionalFormatting sqref="E4">
    <cfRule type="expression" dxfId="663" priority="162">
      <formula>IF($K2="Resigned",TRUE,FALSE)</formula>
    </cfRule>
  </conditionalFormatting>
  <conditionalFormatting sqref="E5">
    <cfRule type="expression" dxfId="662" priority="157">
      <formula>IF($J3="Resigned",TRUE,FALSE)</formula>
    </cfRule>
    <cfRule type="expression" dxfId="661" priority="158">
      <formula>IF($J3="Terminated",TRUE,FALSE)</formula>
    </cfRule>
  </conditionalFormatting>
  <conditionalFormatting sqref="A3:A6">
    <cfRule type="expression" dxfId="660" priority="159">
      <formula>IF($J3="Resigned",TRUE,FALSE)</formula>
    </cfRule>
  </conditionalFormatting>
  <conditionalFormatting sqref="E6">
    <cfRule type="expression" dxfId="659" priority="154">
      <formula>IF($J4="Resigned",TRUE,FALSE)</formula>
    </cfRule>
    <cfRule type="expression" dxfId="658" priority="155">
      <formula>IF($J4="Terminated",TRUE,FALSE)</formula>
    </cfRule>
  </conditionalFormatting>
  <conditionalFormatting sqref="E5:E6">
    <cfRule type="expression" dxfId="657" priority="156">
      <formula>IF($J3="Resigned",TRUE,FALSE)</formula>
    </cfRule>
  </conditionalFormatting>
  <conditionalFormatting sqref="G2">
    <cfRule type="expression" dxfId="656" priority="151">
      <formula>IF($J5="Resigned",TRUE,FALSE)</formula>
    </cfRule>
    <cfRule type="expression" dxfId="655" priority="152">
      <formula>IF($J5="Terminated",TRUE,FALSE)</formula>
    </cfRule>
  </conditionalFormatting>
  <conditionalFormatting sqref="G2">
    <cfRule type="expression" dxfId="654" priority="153">
      <formula>IF($J5="Resigned",TRUE,FALSE)</formula>
    </cfRule>
  </conditionalFormatting>
  <conditionalFormatting sqref="G3">
    <cfRule type="expression" dxfId="653" priority="148">
      <formula>IF($J6="Resigned",TRUE,FALSE)</formula>
    </cfRule>
    <cfRule type="expression" dxfId="652" priority="149">
      <formula>IF($J6="Terminated",TRUE,FALSE)</formula>
    </cfRule>
  </conditionalFormatting>
  <conditionalFormatting sqref="G3">
    <cfRule type="expression" dxfId="651" priority="150">
      <formula>IF($J6="Resigned",TRUE,FALSE)</formula>
    </cfRule>
  </conditionalFormatting>
  <conditionalFormatting sqref="I2">
    <cfRule type="expression" dxfId="650" priority="52">
      <formula>IF($J2="Resigned",TRUE,FALSE)</formula>
    </cfRule>
    <cfRule type="expression" dxfId="649" priority="53">
      <formula>IF($J2="Terminated",TRUE,FALSE)</formula>
    </cfRule>
  </conditionalFormatting>
  <conditionalFormatting sqref="I2">
    <cfRule type="expression" dxfId="648" priority="54">
      <formula>IF($J2="Resigned",TRUE,FALSE)</formula>
    </cfRule>
  </conditionalFormatting>
  <conditionalFormatting sqref="C2">
    <cfRule type="expression" dxfId="647" priority="38">
      <formula>IF($K2="Resigned",TRUE,FALSE)</formula>
    </cfRule>
    <cfRule type="expression" dxfId="646" priority="39">
      <formula>IF($K2="Terminated",TRUE,FALSE)</formula>
    </cfRule>
  </conditionalFormatting>
  <conditionalFormatting sqref="C2">
    <cfRule type="expression" dxfId="645" priority="42">
      <formula>IF($K2="Resigned",TRUE,FALSE)</formula>
    </cfRule>
  </conditionalFormatting>
  <conditionalFormatting sqref="C3">
    <cfRule type="expression" dxfId="644" priority="34">
      <formula>IF($K3="Resigned",TRUE,FALSE)</formula>
    </cfRule>
    <cfRule type="expression" dxfId="643" priority="35">
      <formula>IF($K3="Terminated",TRUE,FALSE)</formula>
    </cfRule>
  </conditionalFormatting>
  <conditionalFormatting sqref="C3">
    <cfRule type="expression" dxfId="642" priority="36">
      <formula>IF($K3="Resigned",TRUE,FALSE)</formula>
    </cfRule>
  </conditionalFormatting>
  <conditionalFormatting sqref="C4">
    <cfRule type="expression" dxfId="641" priority="31">
      <formula>IF($K4="Resigned",TRUE,FALSE)</formula>
    </cfRule>
    <cfRule type="expression" dxfId="640" priority="32">
      <formula>IF($K4="Terminated",TRUE,FALSE)</formula>
    </cfRule>
  </conditionalFormatting>
  <conditionalFormatting sqref="C4">
    <cfRule type="expression" dxfId="639" priority="33">
      <formula>IF($K4="Resigned",TRUE,FALSE)</formula>
    </cfRule>
  </conditionalFormatting>
  <conditionalFormatting sqref="C5">
    <cfRule type="expression" dxfId="638" priority="28">
      <formula>IF($K5="Resigned",TRUE,FALSE)</formula>
    </cfRule>
    <cfRule type="expression" dxfId="637" priority="29">
      <formula>IF($K5="Terminated",TRUE,FALSE)</formula>
    </cfRule>
  </conditionalFormatting>
  <conditionalFormatting sqref="C5">
    <cfRule type="expression" dxfId="636" priority="30">
      <formula>IF($K5="Resigned",TRUE,FALSE)</formula>
    </cfRule>
  </conditionalFormatting>
  <conditionalFormatting sqref="C6">
    <cfRule type="expression" dxfId="635" priority="25">
      <formula>IF($K6="Resigned",TRUE,FALSE)</formula>
    </cfRule>
    <cfRule type="expression" dxfId="634" priority="26">
      <formula>IF($K6="Terminated",TRUE,FALSE)</formula>
    </cfRule>
  </conditionalFormatting>
  <conditionalFormatting sqref="C6">
    <cfRule type="expression" dxfId="633" priority="27">
      <formula>IF($K6="Resigned",TRUE,FALSE)</formula>
    </cfRule>
  </conditionalFormatting>
  <conditionalFormatting sqref="E2">
    <cfRule type="expression" dxfId="632" priority="22">
      <formula>IF($K2="Resigned",TRUE,FALSE)</formula>
    </cfRule>
    <cfRule type="expression" dxfId="631" priority="23">
      <formula>IF($K2="Terminated",TRUE,FALSE)</formula>
    </cfRule>
  </conditionalFormatting>
  <conditionalFormatting sqref="E2">
    <cfRule type="expression" dxfId="630" priority="24">
      <formula>IF($K2="Resigned",TRUE,FALSE)</formula>
    </cfRule>
  </conditionalFormatting>
  <conditionalFormatting sqref="I3">
    <cfRule type="expression" dxfId="629" priority="19">
      <formula>IF($J3="Resigned",TRUE,FALSE)</formula>
    </cfRule>
    <cfRule type="expression" dxfId="628" priority="20">
      <formula>IF($J3="Terminated",TRUE,FALSE)</formula>
    </cfRule>
  </conditionalFormatting>
  <conditionalFormatting sqref="I3">
    <cfRule type="expression" dxfId="627" priority="21">
      <formula>IF($J3="Resigned",TRUE,FALSE)</formula>
    </cfRule>
  </conditionalFormatting>
  <conditionalFormatting sqref="I4">
    <cfRule type="expression" dxfId="626" priority="16">
      <formula>IF($J4="Resigned",TRUE,FALSE)</formula>
    </cfRule>
    <cfRule type="expression" dxfId="625" priority="17">
      <formula>IF($J4="Terminated",TRUE,FALSE)</formula>
    </cfRule>
  </conditionalFormatting>
  <conditionalFormatting sqref="I4">
    <cfRule type="expression" dxfId="624" priority="18">
      <formula>IF($J4="Resigned",TRUE,FALSE)</formula>
    </cfRule>
  </conditionalFormatting>
  <conditionalFormatting sqref="I5">
    <cfRule type="expression" dxfId="623" priority="13">
      <formula>IF($J5="Resigned",TRUE,FALSE)</formula>
    </cfRule>
    <cfRule type="expression" dxfId="622" priority="14">
      <formula>IF($J5="Terminated",TRUE,FALSE)</formula>
    </cfRule>
  </conditionalFormatting>
  <conditionalFormatting sqref="I5">
    <cfRule type="expression" dxfId="621" priority="15">
      <formula>IF($J5="Resigned",TRUE,FALSE)</formula>
    </cfRule>
  </conditionalFormatting>
  <conditionalFormatting sqref="I6">
    <cfRule type="expression" dxfId="620" priority="10">
      <formula>IF($J6="Resigned",TRUE,FALSE)</formula>
    </cfRule>
    <cfRule type="expression" dxfId="619" priority="11">
      <formula>IF($J6="Terminated",TRUE,FALSE)</formula>
    </cfRule>
  </conditionalFormatting>
  <conditionalFormatting sqref="I6">
    <cfRule type="expression" dxfId="618" priority="12">
      <formula>IF($J6="Resigned",TRUE,FALSE)</formula>
    </cfRule>
  </conditionalFormatting>
  <conditionalFormatting sqref="G4:G6">
    <cfRule type="expression" dxfId="617" priority="545">
      <formula>IF(#REF!="Resigned",TRUE,FALSE)</formula>
    </cfRule>
    <cfRule type="expression" dxfId="616" priority="546">
      <formula>IF(#REF!="Terminated",TRUE,FALSE)</formula>
    </cfRule>
  </conditionalFormatting>
  <conditionalFormatting sqref="G4:G6">
    <cfRule type="expression" dxfId="615" priority="547">
      <formula>IF(#REF!="Resigned",TRUE,FALSE)</formula>
    </cfRule>
  </conditionalFormatting>
  <conditionalFormatting sqref="E3">
    <cfRule type="expression" dxfId="614" priority="551">
      <formula>IF(#REF!="Resigned",TRUE,FALSE)</formula>
    </cfRule>
    <cfRule type="expression" dxfId="613" priority="552">
      <formula>IF(#REF!="Terminated",TRUE,FALSE)</formula>
    </cfRule>
  </conditionalFormatting>
  <conditionalFormatting sqref="E3">
    <cfRule type="expression" dxfId="612" priority="553">
      <formula>IF(#REF!="Resigned",TRUE,FALSE)</formula>
    </cfRule>
  </conditionalFormatting>
  <conditionalFormatting sqref="B8:C8">
    <cfRule type="expression" dxfId="611" priority="756">
      <formula>IF($O8="Resigned",TRUE,FALSE)</formula>
    </cfRule>
    <cfRule type="expression" dxfId="610" priority="757">
      <formula>IF($O8="Terminated",TRUE,FALSE)</formula>
    </cfRule>
  </conditionalFormatting>
  <conditionalFormatting sqref="B8:C8">
    <cfRule type="expression" dxfId="609" priority="760">
      <formula>IF($O8="Resigned",TRUE,FALSE)</formula>
    </cfRule>
  </conditionalFormatting>
  <conditionalFormatting sqref="K2:L6">
    <cfRule type="expression" dxfId="608" priority="7">
      <formula>IF($J2="Resigned",TRUE,FALSE)</formula>
    </cfRule>
    <cfRule type="expression" dxfId="607" priority="8">
      <formula>IF($J2="Terminated",TRUE,FALSE)</formula>
    </cfRule>
  </conditionalFormatting>
  <conditionalFormatting sqref="K2:L6">
    <cfRule type="expression" dxfId="606" priority="9">
      <formula>IF($J2="Resigned",TRUE,FALSE)</formula>
    </cfRule>
  </conditionalFormatting>
  <conditionalFormatting sqref="N2:N6">
    <cfRule type="expression" dxfId="605" priority="4">
      <formula>IF($J2="Resigned",TRUE,FALSE)</formula>
    </cfRule>
    <cfRule type="expression" dxfId="604" priority="5">
      <formula>IF($J2="Terminated",TRUE,FALSE)</formula>
    </cfRule>
  </conditionalFormatting>
  <conditionalFormatting sqref="N2:N6">
    <cfRule type="expression" dxfId="603" priority="6">
      <formula>IF($J2="Resigned",TRUE,FALSE)</formula>
    </cfRule>
  </conditionalFormatting>
  <conditionalFormatting sqref="P2:P6">
    <cfRule type="expression" dxfId="602" priority="1">
      <formula>IF($J2="Resigned",TRUE,FALSE)</formula>
    </cfRule>
    <cfRule type="expression" dxfId="601" priority="2">
      <formula>IF($J2="Terminated",TRUE,FALSE)</formula>
    </cfRule>
  </conditionalFormatting>
  <conditionalFormatting sqref="P2:P6">
    <cfRule type="expression" dxfId="600" priority="3">
      <formula>IF($J2="Resigned",TRUE,FALSE)</formula>
    </cfRule>
  </conditionalFormatting>
  <hyperlinks>
    <hyperlink ref="A2" location="'Nesting Observations'!A25" display="'Nesting Observations'!A25" xr:uid="{00000000-0004-0000-0E00-000000000000}"/>
    <hyperlink ref="A3" location="'Nesting Observations'!A25" display="'Nesting Observations'!A25" xr:uid="{00000000-0004-0000-0E00-000001000000}"/>
    <hyperlink ref="A4" location="'Nesting Observations'!A25" display="'Nesting Observations'!A25" xr:uid="{00000000-0004-0000-0E00-000002000000}"/>
    <hyperlink ref="A5" location="'Nesting Observations'!A25" display="'Nesting Observations'!A25" xr:uid="{00000000-0004-0000-0E00-000003000000}"/>
    <hyperlink ref="A6" location="'Nesting Observations'!A25" display="'Nesting Observations'!A25" xr:uid="{00000000-0004-0000-0E00-000004000000}"/>
    <hyperlink ref="E3" location="'Nesting Observations'!A25" display="'Nesting Observations'!A25" xr:uid="{00000000-0004-0000-0E00-000005000000}"/>
    <hyperlink ref="E4" location="'Nesting Observations'!A25" display="'Nesting Observations'!A25" xr:uid="{00000000-0004-0000-0E00-000006000000}"/>
    <hyperlink ref="E5" location="'Nesting Observations'!A25" display="'Nesting Observations'!A25" xr:uid="{00000000-0004-0000-0E00-000007000000}"/>
    <hyperlink ref="E6" location="'Nesting Observations'!A25" display="'Nesting Observations'!A25" xr:uid="{00000000-0004-0000-0E00-000008000000}"/>
    <hyperlink ref="G2" location="'Nesting Observations'!A25" display="'Nesting Observations'!A25" xr:uid="{00000000-0004-0000-0E00-000009000000}"/>
    <hyperlink ref="G3" location="'Nesting Observations'!A25" display="'Nesting Observations'!A25" xr:uid="{00000000-0004-0000-0E00-00000A000000}"/>
    <hyperlink ref="G4" location="'Nesting Observations'!A25" display="'Nesting Observations'!A25" xr:uid="{00000000-0004-0000-0E00-00000B000000}"/>
    <hyperlink ref="G5" location="'Nesting Observations'!A25" display="'Nesting Observations'!A25" xr:uid="{00000000-0004-0000-0E00-00000C000000}"/>
    <hyperlink ref="G6" location="'Nesting Observations'!A25" display="'Nesting Observations'!A25" xr:uid="{00000000-0004-0000-0E00-00000D000000}"/>
    <hyperlink ref="I2" location="'Nesting Observations'!A25" display="'Nesting Observations'!A25" xr:uid="{00000000-0004-0000-0E00-00000E000000}"/>
    <hyperlink ref="C2" location="'Nesting Observations'!A25" display="'Nesting Observations'!A25" xr:uid="{00000000-0004-0000-0E00-00000F000000}"/>
    <hyperlink ref="C3" location="'Nesting Observations'!A25" display="'Nesting Observations'!A25" xr:uid="{00000000-0004-0000-0E00-000010000000}"/>
    <hyperlink ref="C4" location="'Nesting Observations'!A25" display="'Nesting Observations'!A25" xr:uid="{00000000-0004-0000-0E00-000011000000}"/>
    <hyperlink ref="C5" location="'Nesting Observations'!A25" display="'Nesting Observations'!A25" xr:uid="{00000000-0004-0000-0E00-000012000000}"/>
    <hyperlink ref="C6" location="'Nesting Observations'!A25" display="'Nesting Observations'!A25" xr:uid="{00000000-0004-0000-0E00-000013000000}"/>
    <hyperlink ref="E2" location="'Nesting Observations'!A25" display="'Nesting Observations'!A25" xr:uid="{00000000-0004-0000-0E00-000014000000}"/>
    <hyperlink ref="I3" location="'Nesting Observations'!A25" display="'Nesting Observations'!A25" xr:uid="{00000000-0004-0000-0E00-000015000000}"/>
    <hyperlink ref="I4" location="'Nesting Observations'!A25" display="'Nesting Observations'!A25" xr:uid="{00000000-0004-0000-0E00-000016000000}"/>
    <hyperlink ref="I5" location="'Nesting Observations'!A25" display="'Nesting Observations'!A25" xr:uid="{00000000-0004-0000-0E00-000017000000}"/>
    <hyperlink ref="I6" location="'Nesting Observations'!A25" display="'Nesting Observations'!A25" xr:uid="{00000000-0004-0000-0E00-000018000000}"/>
    <hyperlink ref="A2:B2" location="'Perf. Mgmnt'!C9" display="'Perf. Mgmnt'!C9" xr:uid="{00000000-0004-0000-0E00-000019000000}"/>
    <hyperlink ref="A3:B3" location="'Perf. Mgmnt'!C15" display="'Perf. Mgmnt'!C15" xr:uid="{00000000-0004-0000-0E00-00001A000000}"/>
    <hyperlink ref="A4:B4" location="'Perf. Mgmnt'!C21" display="'Perf. Mgmnt'!C21" xr:uid="{00000000-0004-0000-0E00-00001B000000}"/>
    <hyperlink ref="A5:B5" location="'Perf. Mgmnt'!C27" display="'Perf. Mgmnt'!C27" xr:uid="{00000000-0004-0000-0E00-00001C000000}"/>
    <hyperlink ref="A6:B6" location="'Perf. Mgmnt'!C33" display="'Perf. Mgmnt'!C33" xr:uid="{00000000-0004-0000-0E00-00001D000000}"/>
    <hyperlink ref="C2:D2" location="'Perf. Mgmnt'!C39" display="'Perf. Mgmnt'!C39" xr:uid="{00000000-0004-0000-0E00-00001E000000}"/>
    <hyperlink ref="C3:D3" location="'Perf. Mgmnt'!C45" display="'Perf. Mgmnt'!C45" xr:uid="{00000000-0004-0000-0E00-00001F000000}"/>
    <hyperlink ref="C4:D4" location="'Perf. Mgmnt'!C51" display="'Perf. Mgmnt'!C51" xr:uid="{00000000-0004-0000-0E00-000020000000}"/>
    <hyperlink ref="C5:D5" location="'Perf. Mgmnt'!C57" display="'Perf. Mgmnt'!C57" xr:uid="{00000000-0004-0000-0E00-000021000000}"/>
    <hyperlink ref="C6:D6" location="'Perf. Mgmnt'!C63" display="'Perf. Mgmnt'!C63" xr:uid="{00000000-0004-0000-0E00-000022000000}"/>
    <hyperlink ref="E2:F2" location="'Perf. Mgmnt'!C69" display="'Perf. Mgmnt'!C69" xr:uid="{00000000-0004-0000-0E00-000023000000}"/>
    <hyperlink ref="E3:F3" location="'Perf. Mgmnt'!C75" display="'Perf. Mgmnt'!C75" xr:uid="{00000000-0004-0000-0E00-000024000000}"/>
    <hyperlink ref="E4:F4" location="'Perf. Mgmnt'!C81" display="'Perf. Mgmnt'!C81" xr:uid="{00000000-0004-0000-0E00-000025000000}"/>
    <hyperlink ref="E5:F5" location="'Perf. Mgmnt'!C87" display="'Perf. Mgmnt'!C87" xr:uid="{00000000-0004-0000-0E00-000026000000}"/>
    <hyperlink ref="E6:F6" location="'Perf. Mgmnt'!C93" display="'Perf. Mgmnt'!C93" xr:uid="{00000000-0004-0000-0E00-000027000000}"/>
    <hyperlink ref="G2:H2" location="'Perf. Mgmnt'!C99" display="'Perf. Mgmnt'!C99" xr:uid="{00000000-0004-0000-0E00-000028000000}"/>
    <hyperlink ref="G3:H3" location="'Perf. Mgmnt'!C105" display="'Perf. Mgmnt'!C105" xr:uid="{00000000-0004-0000-0E00-000029000000}"/>
    <hyperlink ref="G4:H4" location="'Perf. Mgmnt'!C111" display="'Perf. Mgmnt'!C111" xr:uid="{00000000-0004-0000-0E00-00002A000000}"/>
    <hyperlink ref="G5:H5" location="'Perf. Mgmnt'!C117" display="'Perf. Mgmnt'!C117" xr:uid="{00000000-0004-0000-0E00-00002B000000}"/>
    <hyperlink ref="G6:H6" location="'Perf. Mgmnt'!C123" display="'Perf. Mgmnt'!C123" xr:uid="{00000000-0004-0000-0E00-00002C000000}"/>
    <hyperlink ref="I2:J2" location="'Perf. Mgmnt'!C129" display="'Perf. Mgmnt'!C129" xr:uid="{00000000-0004-0000-0E00-00002D000000}"/>
    <hyperlink ref="I3:J3" location="'Perf. Mgmnt'!C135" display="'Perf. Mgmnt'!C135" xr:uid="{00000000-0004-0000-0E00-00002E000000}"/>
    <hyperlink ref="I4:J4" location="'Perf. Mgmnt'!C141" display="'Perf. Mgmnt'!C141" xr:uid="{00000000-0004-0000-0E00-00002F000000}"/>
    <hyperlink ref="I5:J5" location="'Perf. Mgmnt'!C147" display="'Perf. Mgmnt'!C147" xr:uid="{00000000-0004-0000-0E00-000030000000}"/>
    <hyperlink ref="I6:J6" location="'Perf. Mgmnt'!C153" display="'Perf. Mgmnt'!C153" xr:uid="{00000000-0004-0000-0E00-000031000000}"/>
    <hyperlink ref="A8" location="'Quick Links'!A1" display="Home" xr:uid="{EA7325F5-4DF6-47B6-BAA2-9410165F44AD}"/>
    <hyperlink ref="K2" location="'Nesting Observations'!A25" display="'Nesting Observations'!A25" xr:uid="{5537D15C-EA7B-4393-B00E-F56DAFC2F678}"/>
    <hyperlink ref="K2:M2" location="'Perf. Mgmnt'!C159" display="'Perf. Mgmnt'!C159" xr:uid="{8E1D3399-DFC8-42AE-9E84-45EEE0144440}"/>
    <hyperlink ref="K3" location="'Nesting Observations'!A25" display="'Nesting Observations'!A25" xr:uid="{EF6F45E1-14E5-4F50-9D32-9FBD5868250C}"/>
    <hyperlink ref="K4" location="'Nesting Observations'!A25" display="'Nesting Observations'!A25" xr:uid="{4C5E4805-BC77-4363-8145-1C5F7DE25D8F}"/>
    <hyperlink ref="K5" location="'Nesting Observations'!A25" display="'Nesting Observations'!A25" xr:uid="{CA648005-CA61-46E0-B626-C72F41FE4381}"/>
    <hyperlink ref="K6" location="'Nesting Observations'!A25" display="'Nesting Observations'!A25" xr:uid="{53F2FCD9-A453-474C-9942-09BC4AADE92C}"/>
    <hyperlink ref="K3:M6" location="Discipline!C129" display="Discipline!C129" xr:uid="{10B3B4C2-6C78-4CC7-B852-BEECBBD0FD0F}"/>
    <hyperlink ref="N2" location="'Nesting Observations'!A25" display="'Nesting Observations'!A25" xr:uid="{38E1E94A-B104-4A48-AD6C-C3296FDFDF16}"/>
    <hyperlink ref="N2:O2" location="'Perf. Mgmnt'!C189" display="'Perf. Mgmnt'!C189" xr:uid="{B2E00DD8-1B1F-4AE5-81A9-9CDCEDFFFF7F}"/>
    <hyperlink ref="N3" location="'Nesting Observations'!A25" display="'Nesting Observations'!A25" xr:uid="{0C9F3CC6-065C-417A-8E43-F1569F353B35}"/>
    <hyperlink ref="N4" location="'Nesting Observations'!A25" display="'Nesting Observations'!A25" xr:uid="{0D957EFC-4752-4512-BEB2-95929734FD3F}"/>
    <hyperlink ref="N5" location="'Nesting Observations'!A25" display="'Nesting Observations'!A25" xr:uid="{2648AA3B-475C-41D7-A7EE-9AFA793BDE9B}"/>
    <hyperlink ref="N6" location="'Nesting Observations'!A25" display="'Nesting Observations'!A25" xr:uid="{CC67D566-4CB4-4B30-8CC6-18EB03CFE172}"/>
    <hyperlink ref="N3:O6" location="Discipline!C129" display="Discipline!C129" xr:uid="{F041E540-DAFF-4788-A733-40328ADCE0A4}"/>
    <hyperlink ref="P2" location="'Nesting Observations'!A25" display="'Nesting Observations'!A25" xr:uid="{237D0796-04AA-45FE-844C-AE5F65F57179}"/>
    <hyperlink ref="P2:Q2" location="'Perf. Mgmnt'!C219" display="'Perf. Mgmnt'!C219" xr:uid="{926A4BEA-F0A9-4A52-9660-392F98AFDC9C}"/>
    <hyperlink ref="P3" location="'Nesting Observations'!A25" display="'Nesting Observations'!A25" xr:uid="{35005708-7471-4CC4-BAF1-CA49B076FE5C}"/>
    <hyperlink ref="P4" location="'Nesting Observations'!A25" display="'Nesting Observations'!A25" xr:uid="{143AD4F6-BDFF-469E-AB52-CF1F1569033D}"/>
    <hyperlink ref="P5" location="'Nesting Observations'!A25" display="'Nesting Observations'!A25" xr:uid="{ECB75C21-C243-47CF-B583-C3360020E6A6}"/>
    <hyperlink ref="P6" location="'Nesting Observations'!A25" display="'Nesting Observations'!A25" xr:uid="{9A5A52E5-0B9D-4A06-B8AF-520CBB50D7AF}"/>
    <hyperlink ref="P3:Q6" location="Discipline!C129" display="Discipline!C129" xr:uid="{A5F6A727-F4B7-4DC3-9A31-BD88D0E07187}"/>
    <hyperlink ref="K3:M3" location="'Perf. Mgmnt'!C165" display="'Perf. Mgmnt'!C165" xr:uid="{6C34309C-750D-4A42-B621-8FC55547B755}"/>
    <hyperlink ref="K4:M4" location="'Perf. Mgmnt'!C171" display="'Perf. Mgmnt'!C171" xr:uid="{5622E250-DCA9-4DAE-9E63-D136BFCDA1F9}"/>
    <hyperlink ref="K5:M5" location="'Perf. Mgmnt'!C177" display="'Perf. Mgmnt'!C177" xr:uid="{C495E839-1305-4553-8273-DEB12778A0E7}"/>
    <hyperlink ref="K6:M6" location="'Perf. Mgmnt'!C183" display="'Perf. Mgmnt'!C183" xr:uid="{EBC10596-F47E-420D-954B-43DC4C1AED87}"/>
    <hyperlink ref="N3:O3" location="'Perf. Mgmnt'!C195" display="'Perf. Mgmnt'!C195" xr:uid="{5E5EE34A-AEFE-4F26-A954-2C1A41C3089E}"/>
    <hyperlink ref="N4:O4" location="'Perf. Mgmnt'!C201" display="'Perf. Mgmnt'!C201" xr:uid="{D742CEDE-CE6B-4BDF-ADC4-92F03F887538}"/>
    <hyperlink ref="N5:O5" location="'Perf. Mgmnt'!C207" display="'Perf. Mgmnt'!C207" xr:uid="{E5C361FD-8F51-4336-915B-79BFB3A465D4}"/>
    <hyperlink ref="N6:O6" location="'Perf. Mgmnt'!C213" display="'Perf. Mgmnt'!C213" xr:uid="{588DB65B-9F8C-4307-8C31-3AE17A977B72}"/>
    <hyperlink ref="P3:Q3" location="'Perf. Mgmnt'!C225" display="'Perf. Mgmnt'!C225" xr:uid="{5B1C79E1-F027-452A-B417-137A236274FA}"/>
    <hyperlink ref="P4:Q4" location="'Perf. Mgmnt'!C231" display="'Perf. Mgmnt'!C231" xr:uid="{FDF0F4F8-4468-42C1-81B6-2C8A60C8D242}"/>
    <hyperlink ref="P5:Q5" location="'Perf. Mgmnt'!C237" display="'Perf. Mgmnt'!C237" xr:uid="{C789E3E5-A4AA-41AC-8784-9DC953D6AD49}"/>
    <hyperlink ref="P6:Q6" location="'Perf. Mgmnt'!C243" display="'Perf. Mgmnt'!C243" xr:uid="{03E23892-B47F-4EC1-8CDC-1703D62EF254}"/>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8FD86-CAC8-442D-B193-AB94BBD5E202}">
  <sheetPr codeName="Sheet26"/>
  <dimension ref="B1:GA137"/>
  <sheetViews>
    <sheetView showGridLines="0" zoomScaleNormal="100" workbookViewId="0">
      <pane xSplit="2" ySplit="1" topLeftCell="CR21" activePane="bottomRight" state="frozen"/>
      <selection pane="bottomRight" activeCell="CR21" sqref="CR21"/>
      <selection pane="bottomLeft"/>
      <selection pane="topRight"/>
    </sheetView>
  </sheetViews>
  <sheetFormatPr defaultColWidth="9.140625" defaultRowHeight="15" customHeight="1" outlineLevelCol="1"/>
  <cols>
    <col min="1" max="1" width="3.28515625" style="11" customWidth="1"/>
    <col min="2" max="2" width="35.7109375" style="11" bestFit="1" customWidth="1"/>
    <col min="3" max="14" width="12.7109375" style="11" customWidth="1"/>
    <col min="15" max="15" width="2.42578125" style="11" customWidth="1"/>
    <col min="16" max="40" width="8" style="11" customWidth="1" outlineLevel="1"/>
    <col min="41" max="16384" width="9.140625" style="11"/>
  </cols>
  <sheetData>
    <row r="1" spans="2:183">
      <c r="B1" s="288"/>
      <c r="C1" s="288"/>
      <c r="D1" s="288"/>
      <c r="E1" s="288"/>
      <c r="F1" s="288"/>
      <c r="G1" s="288"/>
      <c r="H1" s="288"/>
      <c r="I1" s="288"/>
      <c r="J1" s="288"/>
      <c r="K1" s="288"/>
      <c r="L1" s="288"/>
      <c r="M1" s="288"/>
      <c r="N1" s="288"/>
    </row>
    <row r="2" spans="2:183" ht="36.75" customHeight="1">
      <c r="O2" s="97"/>
      <c r="AO2" s="17"/>
    </row>
    <row r="3" spans="2:183" ht="30" customHeight="1">
      <c r="C3" s="972" t="s">
        <v>628</v>
      </c>
      <c r="D3" s="972"/>
      <c r="E3" s="972"/>
      <c r="F3" s="973" t="s">
        <v>629</v>
      </c>
      <c r="G3" s="973"/>
      <c r="H3" s="973"/>
      <c r="I3" s="973"/>
      <c r="J3" s="974" t="s">
        <v>630</v>
      </c>
      <c r="K3" s="974"/>
      <c r="L3" s="974"/>
      <c r="M3" s="974"/>
      <c r="N3" s="974"/>
      <c r="P3" s="1013" t="s">
        <v>661</v>
      </c>
      <c r="Q3" s="1014"/>
      <c r="R3" s="1014"/>
      <c r="S3" s="1014"/>
      <c r="T3" s="1014"/>
      <c r="U3" s="1014"/>
      <c r="V3" s="1014"/>
      <c r="W3" s="1014"/>
      <c r="X3" s="1014"/>
      <c r="Y3" s="1014"/>
      <c r="Z3" s="1014"/>
      <c r="AA3" s="1014"/>
      <c r="AB3" s="1014"/>
      <c r="AC3" s="1014"/>
      <c r="AD3" s="1014"/>
      <c r="AE3" s="1014"/>
      <c r="AF3" s="1014"/>
      <c r="AG3" s="1014"/>
      <c r="AH3" s="1014"/>
      <c r="AI3" s="1014"/>
      <c r="AJ3" s="1014"/>
      <c r="AK3" s="1014"/>
      <c r="AL3" s="1015"/>
      <c r="AM3" s="562"/>
      <c r="AN3" s="565" t="e">
        <f>AVERAGE(AN6:AN23)</f>
        <v>#DIV/0!</v>
      </c>
      <c r="AO3" s="996" t="s">
        <v>63</v>
      </c>
      <c r="AP3" s="996"/>
      <c r="AQ3" s="996"/>
      <c r="AR3" s="996"/>
      <c r="AS3" s="996"/>
      <c r="AT3" s="996"/>
      <c r="AU3" s="996"/>
      <c r="AV3" s="996"/>
      <c r="AW3" s="996"/>
      <c r="AX3" s="996"/>
      <c r="AY3" s="996"/>
      <c r="AZ3" s="996"/>
      <c r="BA3" s="996"/>
      <c r="BB3" s="996"/>
      <c r="BC3" s="996"/>
      <c r="BD3" s="996"/>
      <c r="BE3" s="996"/>
      <c r="BF3" s="996"/>
      <c r="BG3" s="996"/>
      <c r="BH3" s="996"/>
      <c r="BI3" s="996"/>
      <c r="BJ3" s="996"/>
      <c r="BK3" s="996"/>
      <c r="BL3" s="560"/>
      <c r="BM3" s="565" t="e">
        <f>AVERAGE(BM6:BM23)</f>
        <v>#DIV/0!</v>
      </c>
      <c r="BN3" s="996" t="s">
        <v>662</v>
      </c>
      <c r="BO3" s="996"/>
      <c r="BP3" s="996"/>
      <c r="BQ3" s="996"/>
      <c r="BR3" s="996"/>
      <c r="BS3" s="996"/>
      <c r="BT3" s="996"/>
      <c r="BU3" s="996"/>
      <c r="BV3" s="996"/>
      <c r="BW3" s="996"/>
      <c r="BX3" s="996"/>
      <c r="BY3" s="996"/>
      <c r="BZ3" s="996"/>
      <c r="CA3" s="996"/>
      <c r="CB3" s="996"/>
      <c r="CC3" s="996"/>
      <c r="CD3" s="996"/>
      <c r="CE3" s="996"/>
      <c r="CF3" s="996"/>
      <c r="CG3" s="996"/>
      <c r="CH3" s="996"/>
      <c r="CI3" s="996"/>
      <c r="CJ3" s="996"/>
      <c r="CK3" s="560"/>
      <c r="CL3" s="565" t="e">
        <f>AVERAGE(CL6:CL23)</f>
        <v>#DIV/0!</v>
      </c>
    </row>
    <row r="4" spans="2:183" ht="30" customHeight="1">
      <c r="C4" s="972"/>
      <c r="D4" s="972"/>
      <c r="E4" s="972"/>
      <c r="F4" s="973"/>
      <c r="G4" s="973"/>
      <c r="H4" s="973"/>
      <c r="I4" s="973"/>
      <c r="J4" s="974"/>
      <c r="K4" s="974"/>
      <c r="L4" s="974"/>
      <c r="M4" s="974"/>
      <c r="N4" s="974"/>
      <c r="P4" s="1008" t="s">
        <v>231</v>
      </c>
      <c r="Q4" s="1009"/>
      <c r="R4" s="1009"/>
      <c r="S4" s="1009"/>
      <c r="T4" s="1004"/>
      <c r="U4" s="1000" t="s">
        <v>528</v>
      </c>
      <c r="V4" s="1010" t="s">
        <v>281</v>
      </c>
      <c r="W4" s="1011"/>
      <c r="X4" s="1011"/>
      <c r="Y4" s="1011"/>
      <c r="Z4" s="1011"/>
      <c r="AA4" s="1012"/>
      <c r="AB4" s="1000" t="s">
        <v>528</v>
      </c>
      <c r="AC4" s="1005" t="s">
        <v>663</v>
      </c>
      <c r="AD4" s="1006"/>
      <c r="AE4" s="1006"/>
      <c r="AF4" s="1006"/>
      <c r="AG4" s="1006"/>
      <c r="AH4" s="1006"/>
      <c r="AI4" s="1006"/>
      <c r="AJ4" s="1006"/>
      <c r="AK4" s="1006"/>
      <c r="AL4" s="1007"/>
      <c r="AM4" s="1000" t="s">
        <v>528</v>
      </c>
      <c r="AN4" s="1002" t="s">
        <v>415</v>
      </c>
      <c r="AO4" s="1004" t="s">
        <v>231</v>
      </c>
      <c r="AP4" s="997"/>
      <c r="AQ4" s="997"/>
      <c r="AR4" s="997"/>
      <c r="AS4" s="997"/>
      <c r="AT4" s="566" t="s">
        <v>528</v>
      </c>
      <c r="AU4" s="998" t="s">
        <v>281</v>
      </c>
      <c r="AV4" s="998"/>
      <c r="AW4" s="998"/>
      <c r="AX4" s="998"/>
      <c r="AY4" s="998"/>
      <c r="AZ4" s="998"/>
      <c r="BA4" s="1000" t="s">
        <v>528</v>
      </c>
      <c r="BB4" s="999" t="s">
        <v>663</v>
      </c>
      <c r="BC4" s="999"/>
      <c r="BD4" s="999"/>
      <c r="BE4" s="999"/>
      <c r="BF4" s="999"/>
      <c r="BG4" s="999"/>
      <c r="BH4" s="999"/>
      <c r="BI4" s="999"/>
      <c r="BJ4" s="999"/>
      <c r="BK4" s="999"/>
      <c r="BL4" s="1000" t="s">
        <v>528</v>
      </c>
      <c r="BM4" s="1002" t="s">
        <v>415</v>
      </c>
      <c r="BN4" s="997" t="s">
        <v>231</v>
      </c>
      <c r="BO4" s="997"/>
      <c r="BP4" s="997"/>
      <c r="BQ4" s="997"/>
      <c r="BR4" s="997"/>
      <c r="BS4" s="1000" t="s">
        <v>528</v>
      </c>
      <c r="BT4" s="998" t="s">
        <v>281</v>
      </c>
      <c r="BU4" s="998"/>
      <c r="BV4" s="998"/>
      <c r="BW4" s="998"/>
      <c r="BX4" s="998"/>
      <c r="BY4" s="998"/>
      <c r="BZ4" s="1000" t="s">
        <v>528</v>
      </c>
      <c r="CA4" s="999" t="s">
        <v>663</v>
      </c>
      <c r="CB4" s="999"/>
      <c r="CC4" s="999"/>
      <c r="CD4" s="999"/>
      <c r="CE4" s="999"/>
      <c r="CF4" s="999"/>
      <c r="CG4" s="999"/>
      <c r="CH4" s="999"/>
      <c r="CI4" s="999"/>
      <c r="CJ4" s="999"/>
      <c r="CK4" s="1000" t="s">
        <v>528</v>
      </c>
      <c r="CL4" s="994" t="s">
        <v>415</v>
      </c>
      <c r="CM4" s="685" t="str">
        <f>Attendance!L19</f>
        <v>Day 1</v>
      </c>
      <c r="CN4" s="686" t="s">
        <v>664</v>
      </c>
      <c r="CO4" s="685" t="str">
        <f>Attendance!M19</f>
        <v>Day 2</v>
      </c>
      <c r="CP4" s="686" t="s">
        <v>665</v>
      </c>
      <c r="CQ4" s="685" t="str">
        <f>Attendance!N19</f>
        <v>Day 3</v>
      </c>
      <c r="CR4" s="686" t="s">
        <v>665</v>
      </c>
      <c r="CS4" s="685" t="str">
        <f>Attendance!O19</f>
        <v>Day 4</v>
      </c>
      <c r="CT4" s="686" t="s">
        <v>665</v>
      </c>
      <c r="CU4" s="685" t="str">
        <f>Attendance!P19</f>
        <v>Day 5</v>
      </c>
      <c r="CV4" s="686" t="s">
        <v>665</v>
      </c>
      <c r="CW4" s="685" t="str">
        <f>Attendance!Q19</f>
        <v>Day 6</v>
      </c>
      <c r="CX4" s="686" t="s">
        <v>665</v>
      </c>
      <c r="CY4" s="685" t="str">
        <f>Attendance!R19</f>
        <v>Day 7</v>
      </c>
      <c r="CZ4" s="686" t="s">
        <v>665</v>
      </c>
      <c r="DA4" s="685" t="str">
        <f>Attendance!S19</f>
        <v>Day 8</v>
      </c>
      <c r="DB4" s="686" t="s">
        <v>665</v>
      </c>
      <c r="DC4" s="685" t="str">
        <f>Attendance!U19</f>
        <v>Day 9</v>
      </c>
      <c r="DD4" s="686" t="s">
        <v>665</v>
      </c>
      <c r="DE4" s="685" t="str">
        <f>Attendance!V19</f>
        <v>Day 10</v>
      </c>
      <c r="DF4" s="686" t="s">
        <v>665</v>
      </c>
      <c r="DG4" s="685" t="str">
        <f>Attendance!W19</f>
        <v>Day 11</v>
      </c>
      <c r="DH4" s="686" t="s">
        <v>665</v>
      </c>
      <c r="DI4" s="685" t="str">
        <f>Attendance!X19</f>
        <v>Day 12</v>
      </c>
      <c r="DJ4" s="686" t="s">
        <v>665</v>
      </c>
      <c r="DK4" s="685" t="str">
        <f>Attendance!Y19</f>
        <v xml:space="preserve">Day 13 </v>
      </c>
      <c r="DL4" s="686" t="s">
        <v>665</v>
      </c>
      <c r="DM4" s="685" t="str">
        <f>Attendance!Z19</f>
        <v>Day 14</v>
      </c>
      <c r="DN4" s="686" t="s">
        <v>665</v>
      </c>
      <c r="DO4" s="685" t="str">
        <f>Attendance!AB19</f>
        <v>Day 15</v>
      </c>
      <c r="DP4" s="686" t="s">
        <v>665</v>
      </c>
      <c r="DQ4" s="685" t="str">
        <f>Attendance!AC19</f>
        <v>Day 16</v>
      </c>
      <c r="DR4" s="686" t="s">
        <v>665</v>
      </c>
      <c r="DS4" s="685" t="str">
        <f>Attendance!AD19</f>
        <v>Day 17</v>
      </c>
      <c r="DT4" s="686" t="s">
        <v>665</v>
      </c>
      <c r="DU4" s="685" t="str">
        <f>Attendance!AE19</f>
        <v>Day 18</v>
      </c>
      <c r="DV4" s="686" t="s">
        <v>665</v>
      </c>
      <c r="DW4" s="685" t="str">
        <f>Attendance!AF19</f>
        <v>Day 19</v>
      </c>
      <c r="DX4" s="686" t="s">
        <v>665</v>
      </c>
      <c r="DY4" s="685" t="str">
        <f>Attendance!AG19</f>
        <v>Day 20</v>
      </c>
      <c r="DZ4" s="686" t="s">
        <v>665</v>
      </c>
      <c r="EA4" s="685" t="str">
        <f>Attendance!AI19</f>
        <v>Day 21</v>
      </c>
      <c r="EB4" s="686" t="s">
        <v>665</v>
      </c>
      <c r="EC4" s="685" t="str">
        <f>Attendance!AJ19</f>
        <v>Day 22</v>
      </c>
      <c r="ED4" s="686" t="s">
        <v>665</v>
      </c>
      <c r="EE4" s="685" t="str">
        <f>Attendance!AK19</f>
        <v>Day 23</v>
      </c>
      <c r="EF4" s="686" t="s">
        <v>665</v>
      </c>
      <c r="EG4" s="685" t="str">
        <f>Attendance!AL19</f>
        <v>Day 24</v>
      </c>
      <c r="EH4" s="686" t="s">
        <v>665</v>
      </c>
      <c r="EI4" s="685" t="str">
        <f>Attendance!AM19</f>
        <v>Day 25</v>
      </c>
      <c r="EJ4" s="686" t="s">
        <v>665</v>
      </c>
      <c r="EK4" s="685" t="str">
        <f>Attendance!AO19</f>
        <v>Day 26</v>
      </c>
      <c r="EL4" s="686" t="s">
        <v>665</v>
      </c>
      <c r="EM4" s="685" t="str">
        <f>Attendance!AP19</f>
        <v>Day 27</v>
      </c>
      <c r="EN4" s="686" t="s">
        <v>665</v>
      </c>
      <c r="EO4" s="685" t="str">
        <f>Attendance!AQ19</f>
        <v>Day 28</v>
      </c>
      <c r="EP4" s="686" t="s">
        <v>665</v>
      </c>
      <c r="EQ4" s="685" t="str">
        <f>Attendance!AR19</f>
        <v>Day 29</v>
      </c>
      <c r="ER4" s="686" t="s">
        <v>665</v>
      </c>
      <c r="ES4" s="685" t="str">
        <f>Attendance!AS19</f>
        <v>Day 30</v>
      </c>
      <c r="ET4" s="686" t="s">
        <v>665</v>
      </c>
      <c r="EU4" s="685" t="str">
        <f>Attendance!AT19</f>
        <v>Day 31</v>
      </c>
      <c r="EV4" s="686" t="s">
        <v>665</v>
      </c>
      <c r="EW4" s="685" t="str">
        <f>Attendance!AV19</f>
        <v>Day 32</v>
      </c>
      <c r="EX4" s="686" t="s">
        <v>665</v>
      </c>
      <c r="EY4" s="685" t="str">
        <f>Attendance!AW19</f>
        <v>Day 33</v>
      </c>
      <c r="EZ4" s="686" t="s">
        <v>665</v>
      </c>
      <c r="FA4" s="685" t="str">
        <f>Attendance!AX19</f>
        <v>Day 34</v>
      </c>
      <c r="FB4" s="686" t="s">
        <v>665</v>
      </c>
      <c r="FC4" s="685" t="str">
        <f>Attendance!AY19</f>
        <v>Day 35</v>
      </c>
      <c r="FD4" s="686" t="s">
        <v>665</v>
      </c>
      <c r="FE4" s="685" t="str">
        <f>Attendance!AZ19</f>
        <v>Day 36</v>
      </c>
      <c r="FF4" s="686" t="s">
        <v>665</v>
      </c>
      <c r="FG4" s="685" t="str">
        <f>Attendance!BA19</f>
        <v>Day 37</v>
      </c>
      <c r="FH4" s="686" t="s">
        <v>665</v>
      </c>
      <c r="FI4" s="685" t="str">
        <f>Attendance!BC19</f>
        <v>Day 38</v>
      </c>
      <c r="FJ4" s="686" t="s">
        <v>665</v>
      </c>
      <c r="FK4" s="685" t="str">
        <f>Attendance!BE19</f>
        <v>Day 39</v>
      </c>
      <c r="FL4" s="686" t="s">
        <v>665</v>
      </c>
      <c r="FM4" s="685" t="str">
        <f>Attendance!BF19</f>
        <v>Day 40</v>
      </c>
      <c r="FN4" s="686" t="s">
        <v>665</v>
      </c>
      <c r="FO4" s="685" t="str">
        <f>Attendance!BG19</f>
        <v>Day 41</v>
      </c>
      <c r="FP4" s="686" t="s">
        <v>665</v>
      </c>
      <c r="FQ4" s="685" t="str">
        <f>Attendance!BH19</f>
        <v>Day 42</v>
      </c>
      <c r="FR4" s="686" t="s">
        <v>665</v>
      </c>
      <c r="FS4" s="685" t="str">
        <f>Attendance!BI19</f>
        <v>Day 43</v>
      </c>
      <c r="FT4" s="686" t="s">
        <v>665</v>
      </c>
      <c r="FU4" s="685" t="str">
        <f>Attendance!BJ19</f>
        <v>Day 44</v>
      </c>
      <c r="FV4" s="686" t="s">
        <v>665</v>
      </c>
      <c r="FW4" s="685" t="str">
        <f>Attendance!BK19</f>
        <v>Day 45</v>
      </c>
      <c r="FX4" s="686" t="s">
        <v>665</v>
      </c>
      <c r="FY4" s="685" t="str">
        <f>Attendance!BL19</f>
        <v>Day 46</v>
      </c>
      <c r="FZ4" s="686" t="s">
        <v>665</v>
      </c>
      <c r="GA4" s="685" t="str">
        <f>Attendance!BM19</f>
        <v>Day 47</v>
      </c>
    </row>
    <row r="5" spans="2:183">
      <c r="B5" s="375" t="s">
        <v>557</v>
      </c>
      <c r="C5" s="525" t="s">
        <v>666</v>
      </c>
      <c r="D5" s="525" t="s">
        <v>667</v>
      </c>
      <c r="E5" s="525" t="s">
        <v>668</v>
      </c>
      <c r="F5" s="525" t="s">
        <v>669</v>
      </c>
      <c r="G5" s="525" t="s">
        <v>670</v>
      </c>
      <c r="H5" s="525" t="s">
        <v>671</v>
      </c>
      <c r="I5" s="525" t="s">
        <v>672</v>
      </c>
      <c r="J5" s="525" t="s">
        <v>673</v>
      </c>
      <c r="K5" s="525" t="s">
        <v>674</v>
      </c>
      <c r="L5" s="525" t="s">
        <v>675</v>
      </c>
      <c r="M5" s="525" t="s">
        <v>676</v>
      </c>
      <c r="N5" s="525" t="s">
        <v>677</v>
      </c>
      <c r="P5" s="527" t="s">
        <v>436</v>
      </c>
      <c r="Q5" s="527" t="s">
        <v>437</v>
      </c>
      <c r="R5" s="527" t="s">
        <v>438</v>
      </c>
      <c r="S5" s="527" t="s">
        <v>439</v>
      </c>
      <c r="T5" s="527" t="s">
        <v>440</v>
      </c>
      <c r="U5" s="1003"/>
      <c r="V5" s="516" t="s">
        <v>447</v>
      </c>
      <c r="W5" s="516" t="s">
        <v>448</v>
      </c>
      <c r="X5" s="516" t="s">
        <v>449</v>
      </c>
      <c r="Y5" s="516" t="s">
        <v>450</v>
      </c>
      <c r="Z5" s="516" t="s">
        <v>451</v>
      </c>
      <c r="AA5" s="516" t="s">
        <v>452</v>
      </c>
      <c r="AB5" s="1001"/>
      <c r="AC5" s="528" t="s">
        <v>453</v>
      </c>
      <c r="AD5" s="528" t="s">
        <v>454</v>
      </c>
      <c r="AE5" s="528" t="s">
        <v>455</v>
      </c>
      <c r="AF5" s="528" t="s">
        <v>456</v>
      </c>
      <c r="AG5" s="528" t="s">
        <v>457</v>
      </c>
      <c r="AH5" s="528" t="s">
        <v>458</v>
      </c>
      <c r="AI5" s="528" t="s">
        <v>459</v>
      </c>
      <c r="AJ5" s="528" t="s">
        <v>460</v>
      </c>
      <c r="AK5" s="528" t="s">
        <v>461</v>
      </c>
      <c r="AL5" s="528" t="s">
        <v>462</v>
      </c>
      <c r="AM5" s="1001"/>
      <c r="AN5" s="995"/>
      <c r="AO5" s="527" t="s">
        <v>436</v>
      </c>
      <c r="AP5" s="527" t="s">
        <v>437</v>
      </c>
      <c r="AQ5" s="527" t="s">
        <v>438</v>
      </c>
      <c r="AR5" s="527" t="s">
        <v>439</v>
      </c>
      <c r="AS5" s="527" t="s">
        <v>440</v>
      </c>
      <c r="AT5" s="567"/>
      <c r="AU5" s="516" t="s">
        <v>447</v>
      </c>
      <c r="AV5" s="516" t="s">
        <v>448</v>
      </c>
      <c r="AW5" s="516" t="s">
        <v>449</v>
      </c>
      <c r="AX5" s="516" t="s">
        <v>450</v>
      </c>
      <c r="AY5" s="516" t="s">
        <v>451</v>
      </c>
      <c r="AZ5" s="516" t="s">
        <v>452</v>
      </c>
      <c r="BA5" s="1001"/>
      <c r="BB5" s="528" t="s">
        <v>453</v>
      </c>
      <c r="BC5" s="528" t="s">
        <v>454</v>
      </c>
      <c r="BD5" s="528" t="s">
        <v>455</v>
      </c>
      <c r="BE5" s="528" t="s">
        <v>456</v>
      </c>
      <c r="BF5" s="528" t="s">
        <v>457</v>
      </c>
      <c r="BG5" s="528" t="s">
        <v>458</v>
      </c>
      <c r="BH5" s="528" t="s">
        <v>459</v>
      </c>
      <c r="BI5" s="528" t="s">
        <v>460</v>
      </c>
      <c r="BJ5" s="528" t="s">
        <v>461</v>
      </c>
      <c r="BK5" s="528" t="s">
        <v>462</v>
      </c>
      <c r="BL5" s="1001"/>
      <c r="BM5" s="995"/>
      <c r="BN5" s="527" t="s">
        <v>436</v>
      </c>
      <c r="BO5" s="527" t="s">
        <v>437</v>
      </c>
      <c r="BP5" s="527" t="s">
        <v>438</v>
      </c>
      <c r="BQ5" s="527" t="s">
        <v>439</v>
      </c>
      <c r="BR5" s="527" t="s">
        <v>440</v>
      </c>
      <c r="BS5" s="1001"/>
      <c r="BT5" s="516" t="s">
        <v>447</v>
      </c>
      <c r="BU5" s="516" t="s">
        <v>448</v>
      </c>
      <c r="BV5" s="516" t="s">
        <v>449</v>
      </c>
      <c r="BW5" s="516" t="s">
        <v>450</v>
      </c>
      <c r="BX5" s="516" t="s">
        <v>451</v>
      </c>
      <c r="BY5" s="516" t="s">
        <v>452</v>
      </c>
      <c r="BZ5" s="1001"/>
      <c r="CA5" s="528" t="s">
        <v>453</v>
      </c>
      <c r="CB5" s="528" t="s">
        <v>454</v>
      </c>
      <c r="CC5" s="528" t="s">
        <v>455</v>
      </c>
      <c r="CD5" s="528" t="s">
        <v>456</v>
      </c>
      <c r="CE5" s="528" t="s">
        <v>457</v>
      </c>
      <c r="CF5" s="528" t="s">
        <v>458</v>
      </c>
      <c r="CG5" s="528" t="s">
        <v>459</v>
      </c>
      <c r="CH5" s="528" t="s">
        <v>460</v>
      </c>
      <c r="CI5" s="528" t="s">
        <v>461</v>
      </c>
      <c r="CJ5" s="528" t="s">
        <v>462</v>
      </c>
      <c r="CK5" s="1001"/>
      <c r="CL5" s="995"/>
      <c r="CM5" s="683">
        <f>Attendance!L20</f>
        <v>46023</v>
      </c>
      <c r="CO5" s="683">
        <f>Attendance!M20</f>
        <v>46024</v>
      </c>
      <c r="CQ5" s="683">
        <f>Attendance!N20</f>
        <v>46027</v>
      </c>
      <c r="CS5" s="683">
        <f>Attendance!O20</f>
        <v>46028</v>
      </c>
      <c r="CU5" s="683">
        <f>Attendance!P20</f>
        <v>46029</v>
      </c>
      <c r="CW5" s="683">
        <f>Attendance!Q20</f>
        <v>46030</v>
      </c>
      <c r="CY5" s="683">
        <f>Attendance!R20</f>
        <v>46031</v>
      </c>
      <c r="DA5" s="683">
        <f>Attendance!S20</f>
        <v>46034</v>
      </c>
    </row>
    <row r="6" spans="2:183">
      <c r="B6" s="31" t="str">
        <f>'Student Data'!D5&amp;" "&amp;'Student Data'!C5</f>
        <v>Donna Rnne</v>
      </c>
      <c r="C6" s="526">
        <f>'PCB Nesting QA'!D5</f>
        <v>0</v>
      </c>
      <c r="D6" s="526">
        <f>'PCB Nesting QA'!E5</f>
        <v>0</v>
      </c>
      <c r="E6" s="526">
        <f>'PCB Nesting QA'!F5</f>
        <v>0</v>
      </c>
      <c r="F6" s="526">
        <f>'PCB Nesting QA'!G5</f>
        <v>0</v>
      </c>
      <c r="G6" s="526">
        <f>'PCB Nesting QA'!H5</f>
        <v>0</v>
      </c>
      <c r="H6" s="526">
        <f>'PCB Nesting QA'!I5</f>
        <v>0</v>
      </c>
      <c r="I6" s="526">
        <f>'PCB Nesting QA'!J5</f>
        <v>0</v>
      </c>
      <c r="J6" s="526">
        <f>'PCB Nesting QA'!K5</f>
        <v>0</v>
      </c>
      <c r="K6" s="526">
        <f>'PCB Nesting QA'!L5</f>
        <v>0</v>
      </c>
      <c r="L6" s="526">
        <f>'PCB Nesting QA'!M5</f>
        <v>0</v>
      </c>
      <c r="M6" s="526">
        <f>'PCB Nesting QA'!N5</f>
        <v>0</v>
      </c>
      <c r="N6" s="526">
        <f>'PCB Nesting QA'!O5</f>
        <v>0</v>
      </c>
      <c r="P6" s="529"/>
      <c r="Q6" s="529"/>
      <c r="R6" s="529"/>
      <c r="S6" s="529"/>
      <c r="T6" s="529"/>
      <c r="U6" s="561" t="e">
        <f>AVERAGE(P6:T6)</f>
        <v>#DIV/0!</v>
      </c>
      <c r="V6" s="529"/>
      <c r="W6" s="529"/>
      <c r="X6" s="529"/>
      <c r="Y6" s="529"/>
      <c r="Z6" s="529"/>
      <c r="AA6" s="529"/>
      <c r="AB6" s="561" t="e">
        <f>AVERAGE(V6:AA6)</f>
        <v>#DIV/0!</v>
      </c>
      <c r="AC6" s="529"/>
      <c r="AD6" s="529"/>
      <c r="AE6" s="529"/>
      <c r="AF6" s="529"/>
      <c r="AG6" s="529"/>
      <c r="AH6" s="529"/>
      <c r="AI6" s="529"/>
      <c r="AJ6" s="529"/>
      <c r="AK6" s="529"/>
      <c r="AL6" s="529"/>
      <c r="AM6" s="561" t="e">
        <f>AVERAGE(AD6:AL6)</f>
        <v>#DIV/0!</v>
      </c>
      <c r="AN6" s="564" t="e">
        <f>AVERAGE(U6,AB6,AM6)</f>
        <v>#DIV/0!</v>
      </c>
      <c r="AO6" s="563"/>
      <c r="AP6" s="529"/>
      <c r="AQ6" s="529"/>
      <c r="AR6" s="529"/>
      <c r="AS6" s="529"/>
      <c r="AT6" s="561" t="e">
        <f>AVERAGE(AO6:AS6)</f>
        <v>#DIV/0!</v>
      </c>
      <c r="AU6" s="529"/>
      <c r="AV6" s="529"/>
      <c r="AW6" s="529"/>
      <c r="AX6" s="529"/>
      <c r="AY6" s="529"/>
      <c r="AZ6" s="529"/>
      <c r="BA6" s="561" t="e">
        <f>AVERAGE(AU6:AZ6)</f>
        <v>#DIV/0!</v>
      </c>
      <c r="BB6" s="529"/>
      <c r="BC6" s="529"/>
      <c r="BD6" s="529"/>
      <c r="BE6" s="529"/>
      <c r="BF6" s="529"/>
      <c r="BG6" s="529"/>
      <c r="BH6" s="529"/>
      <c r="BI6" s="529"/>
      <c r="BJ6" s="529"/>
      <c r="BK6" s="529"/>
      <c r="BL6" s="561" t="e">
        <f>AVERAGE(BB6:BK6)</f>
        <v>#DIV/0!</v>
      </c>
      <c r="BM6" s="564" t="e">
        <f>AVERAGE(AT6,BA6,BL6)</f>
        <v>#DIV/0!</v>
      </c>
      <c r="BN6" s="529"/>
      <c r="BO6" s="529"/>
      <c r="BP6" s="529"/>
      <c r="BQ6" s="529"/>
      <c r="BR6" s="529"/>
      <c r="BS6" s="561" t="e">
        <f>AVERAGE(BN6:BR6)</f>
        <v>#DIV/0!</v>
      </c>
      <c r="BT6" s="529"/>
      <c r="BU6" s="529"/>
      <c r="BV6" s="529"/>
      <c r="BW6" s="529"/>
      <c r="BX6" s="529"/>
      <c r="BY6" s="529"/>
      <c r="BZ6" s="561" t="e">
        <f>AVERAGE(BT6:BY6)</f>
        <v>#DIV/0!</v>
      </c>
      <c r="CA6" s="529"/>
      <c r="CB6" s="529"/>
      <c r="CC6" s="529"/>
      <c r="CD6" s="529"/>
      <c r="CE6" s="529"/>
      <c r="CF6" s="529"/>
      <c r="CG6" s="529"/>
      <c r="CH6" s="529"/>
      <c r="CI6" s="529"/>
      <c r="CJ6" s="529"/>
      <c r="CK6" s="561" t="e">
        <f>AVERAGE(CA6:CJ6)</f>
        <v>#DIV/0!</v>
      </c>
      <c r="CL6" s="564" t="e">
        <f>AVERAGE(BS6,BZ6,CK6)</f>
        <v>#DIV/0!</v>
      </c>
      <c r="CN6" s="684" t="str">
        <f>'Daily Observation'!D5</f>
        <v>NI</v>
      </c>
    </row>
    <row r="7" spans="2:183">
      <c r="B7" s="31" t="str">
        <f>'Student Data'!D6&amp;" "&amp;'Student Data'!C6</f>
        <v xml:space="preserve">Summer Aquino </v>
      </c>
      <c r="C7" s="526">
        <f>'PCB Nesting QA'!D6</f>
        <v>0</v>
      </c>
      <c r="D7" s="526">
        <f>'PCB Nesting QA'!E6</f>
        <v>0</v>
      </c>
      <c r="E7" s="526">
        <f>'PCB Nesting QA'!F6</f>
        <v>0</v>
      </c>
      <c r="F7" s="526">
        <f>'PCB Nesting QA'!G6</f>
        <v>0</v>
      </c>
      <c r="G7" s="526">
        <f>'PCB Nesting QA'!H6</f>
        <v>0</v>
      </c>
      <c r="H7" s="526">
        <f>'PCB Nesting QA'!I6</f>
        <v>0</v>
      </c>
      <c r="I7" s="526">
        <f>'PCB Nesting QA'!J6</f>
        <v>0</v>
      </c>
      <c r="J7" s="526">
        <f>'PCB Nesting QA'!K6</f>
        <v>0</v>
      </c>
      <c r="K7" s="526">
        <f>'PCB Nesting QA'!L6</f>
        <v>0</v>
      </c>
      <c r="L7" s="526">
        <f>'PCB Nesting QA'!M6</f>
        <v>0</v>
      </c>
      <c r="M7" s="526">
        <f>'PCB Nesting QA'!N6</f>
        <v>0</v>
      </c>
      <c r="N7" s="526">
        <f>'PCB Nesting QA'!O6</f>
        <v>0</v>
      </c>
      <c r="P7" s="529"/>
      <c r="Q7" s="529"/>
      <c r="R7" s="529"/>
      <c r="S7" s="529"/>
      <c r="T7" s="529"/>
      <c r="U7" s="561" t="e">
        <f>AVERAGE(P7:T7)</f>
        <v>#DIV/0!</v>
      </c>
      <c r="V7" s="529"/>
      <c r="W7" s="529"/>
      <c r="X7" s="529"/>
      <c r="Y7" s="529"/>
      <c r="Z7" s="529"/>
      <c r="AA7" s="529"/>
      <c r="AB7" s="561" t="e">
        <f>AVERAGE(V7:AA7)</f>
        <v>#DIV/0!</v>
      </c>
      <c r="AC7" s="529"/>
      <c r="AD7" s="529"/>
      <c r="AE7" s="529"/>
      <c r="AF7" s="529"/>
      <c r="AG7" s="529"/>
      <c r="AH7" s="529"/>
      <c r="AI7" s="529"/>
      <c r="AJ7" s="529"/>
      <c r="AK7" s="529"/>
      <c r="AL7" s="529"/>
      <c r="AM7" s="561" t="e">
        <f>AVERAGE(AD7:AL7)</f>
        <v>#DIV/0!</v>
      </c>
      <c r="AN7" s="564" t="e">
        <f>AVERAGE(U7,AB7,AM7)</f>
        <v>#DIV/0!</v>
      </c>
      <c r="AO7" s="529"/>
      <c r="AP7" s="529"/>
      <c r="AQ7" s="529"/>
      <c r="AR7" s="529"/>
      <c r="AS7" s="529"/>
      <c r="AT7" s="561" t="e">
        <f>AVERAGE(AO7:AS7)</f>
        <v>#DIV/0!</v>
      </c>
      <c r="AU7" s="529"/>
      <c r="AV7" s="529"/>
      <c r="AW7" s="529"/>
      <c r="AX7" s="529"/>
      <c r="AY7" s="529"/>
      <c r="AZ7" s="529"/>
      <c r="BA7" s="561" t="e">
        <f>AVERAGE(AU7:AZ7)</f>
        <v>#DIV/0!</v>
      </c>
      <c r="BB7" s="529"/>
      <c r="BC7" s="529"/>
      <c r="BD7" s="529"/>
      <c r="BE7" s="529"/>
      <c r="BF7" s="529"/>
      <c r="BG7" s="529"/>
      <c r="BH7" s="529"/>
      <c r="BI7" s="529"/>
      <c r="BJ7" s="529"/>
      <c r="BK7" s="529"/>
      <c r="BL7" s="561" t="e">
        <f>AVERAGE(BB7:BK7)</f>
        <v>#DIV/0!</v>
      </c>
      <c r="BM7" s="564" t="e">
        <f t="shared" ref="BM7:BM23" si="0">AVERAGE(AT7,BA7,BL7)</f>
        <v>#DIV/0!</v>
      </c>
      <c r="BN7" s="529"/>
      <c r="BO7" s="529"/>
      <c r="BP7" s="529"/>
      <c r="BQ7" s="529"/>
      <c r="BR7" s="529"/>
      <c r="BS7" s="561" t="e">
        <f>AVERAGE(BN7:BR7)</f>
        <v>#DIV/0!</v>
      </c>
      <c r="BT7" s="529"/>
      <c r="BU7" s="529"/>
      <c r="BV7" s="529"/>
      <c r="BW7" s="529"/>
      <c r="BX7" s="529"/>
      <c r="BY7" s="529"/>
      <c r="BZ7" s="561" t="e">
        <f>AVERAGE(BT7:BY7)</f>
        <v>#DIV/0!</v>
      </c>
      <c r="CA7" s="529"/>
      <c r="CB7" s="529"/>
      <c r="CC7" s="529"/>
      <c r="CD7" s="529"/>
      <c r="CE7" s="529"/>
      <c r="CF7" s="529"/>
      <c r="CG7" s="529"/>
      <c r="CH7" s="529"/>
      <c r="CI7" s="529"/>
      <c r="CJ7" s="529"/>
      <c r="CK7" s="561" t="e">
        <f>AVERAGE(CA7:CJ7)</f>
        <v>#DIV/0!</v>
      </c>
      <c r="CL7" s="564" t="e">
        <f t="shared" ref="CL7:CL23" si="1">AVERAGE(BS7,BZ7,CK7)</f>
        <v>#DIV/0!</v>
      </c>
      <c r="CN7" s="684" t="str">
        <f>'Daily Observation'!D6</f>
        <v>EE</v>
      </c>
    </row>
    <row r="8" spans="2:183">
      <c r="B8" s="31" t="str">
        <f>'Student Data'!D7&amp;" "&amp;'Student Data'!C7</f>
        <v xml:space="preserve">Joana Reyes </v>
      </c>
      <c r="C8" s="526">
        <f>'PCB Nesting QA'!D7</f>
        <v>0</v>
      </c>
      <c r="D8" s="526">
        <f>'PCB Nesting QA'!E7</f>
        <v>0</v>
      </c>
      <c r="E8" s="526">
        <f>'PCB Nesting QA'!F7</f>
        <v>0</v>
      </c>
      <c r="F8" s="526">
        <f>'PCB Nesting QA'!G7</f>
        <v>0</v>
      </c>
      <c r="G8" s="526">
        <f>'PCB Nesting QA'!H7</f>
        <v>0</v>
      </c>
      <c r="H8" s="526">
        <f>'PCB Nesting QA'!I7</f>
        <v>0</v>
      </c>
      <c r="I8" s="526">
        <f>'PCB Nesting QA'!J7</f>
        <v>0</v>
      </c>
      <c r="J8" s="526">
        <f>'PCB Nesting QA'!K7</f>
        <v>0</v>
      </c>
      <c r="K8" s="526">
        <f>'PCB Nesting QA'!L7</f>
        <v>0</v>
      </c>
      <c r="L8" s="526">
        <f>'PCB Nesting QA'!M7</f>
        <v>0</v>
      </c>
      <c r="M8" s="526">
        <f>'PCB Nesting QA'!N7</f>
        <v>0</v>
      </c>
      <c r="N8" s="526">
        <f>'PCB Nesting QA'!O7</f>
        <v>0</v>
      </c>
      <c r="P8" s="529"/>
      <c r="Q8" s="529"/>
      <c r="R8" s="529"/>
      <c r="S8" s="529"/>
      <c r="T8" s="529"/>
      <c r="U8" s="561" t="e">
        <f>AVERAGE(P8:T8)</f>
        <v>#DIV/0!</v>
      </c>
      <c r="V8" s="529"/>
      <c r="W8" s="529"/>
      <c r="X8" s="529"/>
      <c r="Y8" s="529"/>
      <c r="Z8" s="529"/>
      <c r="AA8" s="529"/>
      <c r="AB8" s="561" t="e">
        <f>AVERAGE(V8:AA8)</f>
        <v>#DIV/0!</v>
      </c>
      <c r="AC8" s="529"/>
      <c r="AD8" s="529"/>
      <c r="AE8" s="529"/>
      <c r="AF8" s="529"/>
      <c r="AG8" s="529"/>
      <c r="AH8" s="529"/>
      <c r="AI8" s="529"/>
      <c r="AJ8" s="529"/>
      <c r="AK8" s="529"/>
      <c r="AL8" s="529"/>
      <c r="AM8" s="561" t="e">
        <f>AVERAGE(AD8:AL8)</f>
        <v>#DIV/0!</v>
      </c>
      <c r="AN8" s="564" t="e">
        <f t="shared" ref="AN8:AN23" si="2">AVERAGE(U8,AB8,AM8)</f>
        <v>#DIV/0!</v>
      </c>
      <c r="AO8" s="529"/>
      <c r="AP8" s="529"/>
      <c r="AQ8" s="529"/>
      <c r="AR8" s="529"/>
      <c r="AS8" s="529"/>
      <c r="AT8" s="561" t="e">
        <f>AVERAGE(AO8:AS8)</f>
        <v>#DIV/0!</v>
      </c>
      <c r="AU8" s="529"/>
      <c r="AV8" s="529"/>
      <c r="AW8" s="529"/>
      <c r="AX8" s="529"/>
      <c r="AY8" s="529"/>
      <c r="AZ8" s="529"/>
      <c r="BA8" s="561" t="e">
        <f>AVERAGE(AU8:AZ8)</f>
        <v>#DIV/0!</v>
      </c>
      <c r="BB8" s="529"/>
      <c r="BC8" s="529"/>
      <c r="BD8" s="529"/>
      <c r="BE8" s="529"/>
      <c r="BF8" s="529"/>
      <c r="BG8" s="529"/>
      <c r="BH8" s="529"/>
      <c r="BI8" s="529"/>
      <c r="BJ8" s="529"/>
      <c r="BK8" s="529"/>
      <c r="BL8" s="561" t="e">
        <f>AVERAGE(BB8:BK8)</f>
        <v>#DIV/0!</v>
      </c>
      <c r="BM8" s="564" t="e">
        <f t="shared" si="0"/>
        <v>#DIV/0!</v>
      </c>
      <c r="BN8" s="529"/>
      <c r="BO8" s="529"/>
      <c r="BP8" s="529"/>
      <c r="BQ8" s="529"/>
      <c r="BR8" s="529"/>
      <c r="BS8" s="561" t="e">
        <f>AVERAGE(BN8:BR8)</f>
        <v>#DIV/0!</v>
      </c>
      <c r="BT8" s="529"/>
      <c r="BU8" s="529"/>
      <c r="BV8" s="529"/>
      <c r="BW8" s="529"/>
      <c r="BX8" s="529"/>
      <c r="BY8" s="529"/>
      <c r="BZ8" s="561" t="e">
        <f>AVERAGE(BT8:BY8)</f>
        <v>#DIV/0!</v>
      </c>
      <c r="CA8" s="529"/>
      <c r="CB8" s="529"/>
      <c r="CC8" s="529"/>
      <c r="CD8" s="529"/>
      <c r="CE8" s="529"/>
      <c r="CF8" s="529"/>
      <c r="CG8" s="529"/>
      <c r="CH8" s="529"/>
      <c r="CI8" s="529"/>
      <c r="CJ8" s="529"/>
      <c r="CK8" s="561" t="e">
        <f>AVERAGE(CA8:CJ8)</f>
        <v>#DIV/0!</v>
      </c>
      <c r="CL8" s="564" t="e">
        <f t="shared" si="1"/>
        <v>#DIV/0!</v>
      </c>
      <c r="CN8" s="684" t="str">
        <f>'Daily Observation'!D7</f>
        <v>NI</v>
      </c>
    </row>
    <row r="9" spans="2:183">
      <c r="B9" s="31" t="str">
        <f>'Student Data'!D8&amp;" "&amp;'Student Data'!C8</f>
        <v>Quezon Manuel</v>
      </c>
      <c r="C9" s="526">
        <f>'PCB Nesting QA'!D8</f>
        <v>0</v>
      </c>
      <c r="D9" s="526">
        <f>'PCB Nesting QA'!E8</f>
        <v>0</v>
      </c>
      <c r="E9" s="526">
        <f>'PCB Nesting QA'!F8</f>
        <v>0</v>
      </c>
      <c r="F9" s="526">
        <f>'PCB Nesting QA'!G8</f>
        <v>0</v>
      </c>
      <c r="G9" s="526">
        <f>'PCB Nesting QA'!H8</f>
        <v>0</v>
      </c>
      <c r="H9" s="526">
        <f>'PCB Nesting QA'!I8</f>
        <v>0</v>
      </c>
      <c r="I9" s="526">
        <f>'PCB Nesting QA'!J8</f>
        <v>0</v>
      </c>
      <c r="J9" s="526">
        <f>'PCB Nesting QA'!K8</f>
        <v>0</v>
      </c>
      <c r="K9" s="526">
        <f>'PCB Nesting QA'!L8</f>
        <v>0</v>
      </c>
      <c r="L9" s="526">
        <f>'PCB Nesting QA'!M8</f>
        <v>0</v>
      </c>
      <c r="M9" s="526">
        <f>'PCB Nesting QA'!N8</f>
        <v>0</v>
      </c>
      <c r="N9" s="526">
        <f>'PCB Nesting QA'!O8</f>
        <v>0</v>
      </c>
      <c r="P9" s="529"/>
      <c r="Q9" s="529"/>
      <c r="R9" s="529"/>
      <c r="S9" s="529"/>
      <c r="T9" s="529"/>
      <c r="U9" s="561" t="e">
        <f>AVERAGE(P9:T9)</f>
        <v>#DIV/0!</v>
      </c>
      <c r="V9" s="529"/>
      <c r="W9" s="529"/>
      <c r="X9" s="529"/>
      <c r="Y9" s="529"/>
      <c r="Z9" s="529"/>
      <c r="AA9" s="529"/>
      <c r="AB9" s="561" t="e">
        <f>AVERAGE(V9:AA9)</f>
        <v>#DIV/0!</v>
      </c>
      <c r="AC9" s="529"/>
      <c r="AD9" s="529"/>
      <c r="AE9" s="529"/>
      <c r="AF9" s="529"/>
      <c r="AG9" s="529"/>
      <c r="AH9" s="529"/>
      <c r="AI9" s="529"/>
      <c r="AJ9" s="529"/>
      <c r="AK9" s="529"/>
      <c r="AL9" s="529"/>
      <c r="AM9" s="561" t="e">
        <f>AVERAGE(AD9:AL9)</f>
        <v>#DIV/0!</v>
      </c>
      <c r="AN9" s="564" t="e">
        <f t="shared" si="2"/>
        <v>#DIV/0!</v>
      </c>
      <c r="AO9" s="529"/>
      <c r="AP9" s="529"/>
      <c r="AQ9" s="529"/>
      <c r="AR9" s="529"/>
      <c r="AS9" s="529"/>
      <c r="AT9" s="561" t="e">
        <f>AVERAGE(AO9:AS9)</f>
        <v>#DIV/0!</v>
      </c>
      <c r="AU9" s="529"/>
      <c r="AV9" s="529"/>
      <c r="AW9" s="529"/>
      <c r="AX9" s="529"/>
      <c r="AY9" s="529"/>
      <c r="AZ9" s="529"/>
      <c r="BA9" s="561" t="e">
        <f>AVERAGE(AU9:AZ9)</f>
        <v>#DIV/0!</v>
      </c>
      <c r="BB9" s="529"/>
      <c r="BC9" s="529"/>
      <c r="BD9" s="529"/>
      <c r="BE9" s="529"/>
      <c r="BF9" s="529"/>
      <c r="BG9" s="529"/>
      <c r="BH9" s="529"/>
      <c r="BI9" s="529"/>
      <c r="BJ9" s="529"/>
      <c r="BK9" s="529"/>
      <c r="BL9" s="561" t="e">
        <f>AVERAGE(BB9:BK9)</f>
        <v>#DIV/0!</v>
      </c>
      <c r="BM9" s="564" t="e">
        <f t="shared" si="0"/>
        <v>#DIV/0!</v>
      </c>
      <c r="BN9" s="529"/>
      <c r="BO9" s="529"/>
      <c r="BP9" s="529"/>
      <c r="BQ9" s="529"/>
      <c r="BR9" s="529"/>
      <c r="BS9" s="561" t="e">
        <f>AVERAGE(BN9:BR9)</f>
        <v>#DIV/0!</v>
      </c>
      <c r="BT9" s="529"/>
      <c r="BU9" s="529"/>
      <c r="BV9" s="529"/>
      <c r="BW9" s="529"/>
      <c r="BX9" s="529"/>
      <c r="BY9" s="529"/>
      <c r="BZ9" s="561" t="e">
        <f>AVERAGE(BT9:BY9)</f>
        <v>#DIV/0!</v>
      </c>
      <c r="CA9" s="529"/>
      <c r="CB9" s="529"/>
      <c r="CC9" s="529"/>
      <c r="CD9" s="529"/>
      <c r="CE9" s="529"/>
      <c r="CF9" s="529"/>
      <c r="CG9" s="529"/>
      <c r="CH9" s="529"/>
      <c r="CI9" s="529"/>
      <c r="CJ9" s="529"/>
      <c r="CK9" s="561" t="e">
        <f>AVERAGE(CA9:CJ9)</f>
        <v>#DIV/0!</v>
      </c>
      <c r="CL9" s="564" t="e">
        <f t="shared" si="1"/>
        <v>#DIV/0!</v>
      </c>
      <c r="CN9" s="684" t="str">
        <f>'Daily Observation'!D8</f>
        <v>ME</v>
      </c>
    </row>
    <row r="10" spans="2:183">
      <c r="B10" s="31" t="str">
        <f>'Student Data'!D9&amp;" "&amp;'Student Data'!C9</f>
        <v xml:space="preserve"> </v>
      </c>
      <c r="C10" s="526">
        <f>'PCB Nesting QA'!D9</f>
        <v>0</v>
      </c>
      <c r="D10" s="526">
        <f>'PCB Nesting QA'!E9</f>
        <v>0</v>
      </c>
      <c r="E10" s="526">
        <f>'PCB Nesting QA'!F9</f>
        <v>0</v>
      </c>
      <c r="F10" s="526">
        <f>'PCB Nesting QA'!G9</f>
        <v>0</v>
      </c>
      <c r="G10" s="526">
        <f>'PCB Nesting QA'!H9</f>
        <v>0</v>
      </c>
      <c r="H10" s="526">
        <f>'PCB Nesting QA'!I9</f>
        <v>0</v>
      </c>
      <c r="I10" s="526">
        <f>'PCB Nesting QA'!J9</f>
        <v>0</v>
      </c>
      <c r="J10" s="526">
        <f>'PCB Nesting QA'!K9</f>
        <v>0</v>
      </c>
      <c r="K10" s="526">
        <f>'PCB Nesting QA'!L9</f>
        <v>0</v>
      </c>
      <c r="L10" s="526">
        <f>'PCB Nesting QA'!M9</f>
        <v>0</v>
      </c>
      <c r="M10" s="526">
        <f>'PCB Nesting QA'!N9</f>
        <v>0</v>
      </c>
      <c r="N10" s="526">
        <f>'PCB Nesting QA'!O9</f>
        <v>0</v>
      </c>
      <c r="P10" s="529"/>
      <c r="Q10" s="529"/>
      <c r="R10" s="529"/>
      <c r="S10" s="529"/>
      <c r="T10" s="529"/>
      <c r="U10" s="561" t="e">
        <f>AVERAGE(P10:T10)</f>
        <v>#DIV/0!</v>
      </c>
      <c r="V10" s="529"/>
      <c r="W10" s="529"/>
      <c r="X10" s="529"/>
      <c r="Y10" s="529"/>
      <c r="Z10" s="529"/>
      <c r="AA10" s="529"/>
      <c r="AB10" s="561" t="e">
        <f>AVERAGE(V10:AA10)</f>
        <v>#DIV/0!</v>
      </c>
      <c r="AC10" s="529"/>
      <c r="AD10" s="529"/>
      <c r="AE10" s="529"/>
      <c r="AF10" s="529"/>
      <c r="AG10" s="529"/>
      <c r="AH10" s="529"/>
      <c r="AI10" s="529"/>
      <c r="AJ10" s="529"/>
      <c r="AK10" s="529"/>
      <c r="AL10" s="529"/>
      <c r="AM10" s="561" t="e">
        <f>AVERAGE(AD10:AL10)</f>
        <v>#DIV/0!</v>
      </c>
      <c r="AN10" s="564" t="e">
        <f t="shared" si="2"/>
        <v>#DIV/0!</v>
      </c>
      <c r="AO10" s="529"/>
      <c r="AP10" s="529"/>
      <c r="AQ10" s="529"/>
      <c r="AR10" s="529"/>
      <c r="AS10" s="529"/>
      <c r="AT10" s="561" t="e">
        <f>AVERAGE(AO10:AS10)</f>
        <v>#DIV/0!</v>
      </c>
      <c r="AU10" s="529"/>
      <c r="AV10" s="529"/>
      <c r="AW10" s="529"/>
      <c r="AX10" s="529"/>
      <c r="AY10" s="529"/>
      <c r="AZ10" s="529"/>
      <c r="BA10" s="561" t="e">
        <f>AVERAGE(AU10:AZ10)</f>
        <v>#DIV/0!</v>
      </c>
      <c r="BB10" s="529"/>
      <c r="BC10" s="529"/>
      <c r="BD10" s="529"/>
      <c r="BE10" s="529"/>
      <c r="BF10" s="529"/>
      <c r="BG10" s="529"/>
      <c r="BH10" s="529"/>
      <c r="BI10" s="529"/>
      <c r="BJ10" s="529"/>
      <c r="BK10" s="529"/>
      <c r="BL10" s="561" t="e">
        <f>AVERAGE(BB10:BK10)</f>
        <v>#DIV/0!</v>
      </c>
      <c r="BM10" s="564" t="e">
        <f t="shared" si="0"/>
        <v>#DIV/0!</v>
      </c>
      <c r="BN10" s="529"/>
      <c r="BO10" s="529"/>
      <c r="BP10" s="529"/>
      <c r="BQ10" s="529"/>
      <c r="BR10" s="529"/>
      <c r="BS10" s="561" t="e">
        <f>AVERAGE(BN10:BR10)</f>
        <v>#DIV/0!</v>
      </c>
      <c r="BT10" s="529"/>
      <c r="BU10" s="529"/>
      <c r="BV10" s="529"/>
      <c r="BW10" s="529"/>
      <c r="BX10" s="529"/>
      <c r="BY10" s="529"/>
      <c r="BZ10" s="561" t="e">
        <f>AVERAGE(BT10:BY10)</f>
        <v>#DIV/0!</v>
      </c>
      <c r="CA10" s="529"/>
      <c r="CB10" s="529"/>
      <c r="CC10" s="529"/>
      <c r="CD10" s="529"/>
      <c r="CE10" s="529"/>
      <c r="CF10" s="529"/>
      <c r="CG10" s="529"/>
      <c r="CH10" s="529"/>
      <c r="CI10" s="529"/>
      <c r="CJ10" s="529"/>
      <c r="CK10" s="561" t="e">
        <f>AVERAGE(CA10:CJ10)</f>
        <v>#DIV/0!</v>
      </c>
      <c r="CL10" s="564" t="e">
        <f t="shared" si="1"/>
        <v>#DIV/0!</v>
      </c>
      <c r="CN10" s="684" t="str">
        <f>'Daily Observation'!D9</f>
        <v>NI</v>
      </c>
    </row>
    <row r="11" spans="2:183">
      <c r="B11" s="31" t="str">
        <f>'Student Data'!D10&amp;" "&amp;'Student Data'!C10</f>
        <v xml:space="preserve"> </v>
      </c>
      <c r="C11" s="526">
        <f>'PCB Nesting QA'!D10</f>
        <v>0</v>
      </c>
      <c r="D11" s="526">
        <f>'PCB Nesting QA'!E10</f>
        <v>0</v>
      </c>
      <c r="E11" s="526">
        <f>'PCB Nesting QA'!F10</f>
        <v>0</v>
      </c>
      <c r="F11" s="526">
        <f>'PCB Nesting QA'!G10</f>
        <v>0</v>
      </c>
      <c r="G11" s="526">
        <f>'PCB Nesting QA'!H10</f>
        <v>0</v>
      </c>
      <c r="H11" s="526">
        <f>'PCB Nesting QA'!I10</f>
        <v>0</v>
      </c>
      <c r="I11" s="526">
        <f>'PCB Nesting QA'!J10</f>
        <v>0</v>
      </c>
      <c r="J11" s="526">
        <f>'PCB Nesting QA'!K10</f>
        <v>0</v>
      </c>
      <c r="K11" s="526">
        <f>'PCB Nesting QA'!L10</f>
        <v>0</v>
      </c>
      <c r="L11" s="526">
        <f>'PCB Nesting QA'!M10</f>
        <v>0</v>
      </c>
      <c r="M11" s="526">
        <f>'PCB Nesting QA'!N10</f>
        <v>0</v>
      </c>
      <c r="N11" s="526">
        <f>'PCB Nesting QA'!O10</f>
        <v>0</v>
      </c>
      <c r="P11" s="529"/>
      <c r="Q11" s="529"/>
      <c r="R11" s="529"/>
      <c r="S11" s="529"/>
      <c r="T11" s="529"/>
      <c r="U11" s="561" t="e">
        <f>AVERAGE(P11:T11)</f>
        <v>#DIV/0!</v>
      </c>
      <c r="V11" s="529"/>
      <c r="W11" s="529"/>
      <c r="X11" s="529"/>
      <c r="Y11" s="529"/>
      <c r="Z11" s="529"/>
      <c r="AA11" s="529"/>
      <c r="AB11" s="561" t="e">
        <f>AVERAGE(V11:AA11)</f>
        <v>#DIV/0!</v>
      </c>
      <c r="AC11" s="529"/>
      <c r="AD11" s="529"/>
      <c r="AE11" s="529"/>
      <c r="AF11" s="529"/>
      <c r="AG11" s="529"/>
      <c r="AH11" s="529"/>
      <c r="AI11" s="529"/>
      <c r="AJ11" s="529"/>
      <c r="AK11" s="529"/>
      <c r="AL11" s="529"/>
      <c r="AM11" s="561" t="e">
        <f>AVERAGE(AD11:AL11)</f>
        <v>#DIV/0!</v>
      </c>
      <c r="AN11" s="564" t="e">
        <f t="shared" si="2"/>
        <v>#DIV/0!</v>
      </c>
      <c r="AO11" s="529"/>
      <c r="AP11" s="529"/>
      <c r="AQ11" s="529"/>
      <c r="AR11" s="529"/>
      <c r="AS11" s="529"/>
      <c r="AT11" s="561" t="e">
        <f>AVERAGE(AO11:AS11)</f>
        <v>#DIV/0!</v>
      </c>
      <c r="AU11" s="529"/>
      <c r="AV11" s="529"/>
      <c r="AW11" s="529"/>
      <c r="AX11" s="529"/>
      <c r="AY11" s="529"/>
      <c r="AZ11" s="529"/>
      <c r="BA11" s="561" t="e">
        <f>AVERAGE(AU11:AZ11)</f>
        <v>#DIV/0!</v>
      </c>
      <c r="BB11" s="529"/>
      <c r="BC11" s="529"/>
      <c r="BD11" s="529"/>
      <c r="BE11" s="529"/>
      <c r="BF11" s="529"/>
      <c r="BG11" s="529"/>
      <c r="BH11" s="529"/>
      <c r="BI11" s="529"/>
      <c r="BJ11" s="529"/>
      <c r="BK11" s="529"/>
      <c r="BL11" s="561" t="e">
        <f>AVERAGE(BB11:BK11)</f>
        <v>#DIV/0!</v>
      </c>
      <c r="BM11" s="564" t="e">
        <f t="shared" si="0"/>
        <v>#DIV/0!</v>
      </c>
      <c r="BN11" s="529"/>
      <c r="BO11" s="529"/>
      <c r="BP11" s="529"/>
      <c r="BQ11" s="529"/>
      <c r="BR11" s="529"/>
      <c r="BS11" s="561" t="e">
        <f>AVERAGE(BN11:BR11)</f>
        <v>#DIV/0!</v>
      </c>
      <c r="BT11" s="529"/>
      <c r="BU11" s="529"/>
      <c r="BV11" s="529"/>
      <c r="BW11" s="529"/>
      <c r="BX11" s="529"/>
      <c r="BY11" s="529"/>
      <c r="BZ11" s="561" t="e">
        <f>AVERAGE(BT11:BY11)</f>
        <v>#DIV/0!</v>
      </c>
      <c r="CA11" s="529"/>
      <c r="CB11" s="529"/>
      <c r="CC11" s="529"/>
      <c r="CD11" s="529"/>
      <c r="CE11" s="529"/>
      <c r="CF11" s="529"/>
      <c r="CG11" s="529"/>
      <c r="CH11" s="529"/>
      <c r="CI11" s="529"/>
      <c r="CJ11" s="529"/>
      <c r="CK11" s="561" t="e">
        <f>AVERAGE(CA11:CJ11)</f>
        <v>#DIV/0!</v>
      </c>
      <c r="CL11" s="564" t="e">
        <f t="shared" si="1"/>
        <v>#DIV/0!</v>
      </c>
      <c r="CN11" s="684" t="str">
        <f>'Daily Observation'!D10</f>
        <v>NI</v>
      </c>
    </row>
    <row r="12" spans="2:183">
      <c r="B12" s="31" t="str">
        <f>'Student Data'!D11&amp;" "&amp;'Student Data'!C11</f>
        <v xml:space="preserve"> </v>
      </c>
      <c r="C12" s="526">
        <f>'PCB Nesting QA'!D11</f>
        <v>0</v>
      </c>
      <c r="D12" s="526">
        <f>'PCB Nesting QA'!E11</f>
        <v>0</v>
      </c>
      <c r="E12" s="526">
        <f>'PCB Nesting QA'!F11</f>
        <v>0</v>
      </c>
      <c r="F12" s="526">
        <f>'PCB Nesting QA'!G11</f>
        <v>0</v>
      </c>
      <c r="G12" s="526">
        <f>'PCB Nesting QA'!H11</f>
        <v>0</v>
      </c>
      <c r="H12" s="526">
        <f>'PCB Nesting QA'!I11</f>
        <v>0</v>
      </c>
      <c r="I12" s="526">
        <f>'PCB Nesting QA'!J11</f>
        <v>0</v>
      </c>
      <c r="J12" s="526">
        <f>'PCB Nesting QA'!K11</f>
        <v>0</v>
      </c>
      <c r="K12" s="526">
        <f>'PCB Nesting QA'!L11</f>
        <v>0</v>
      </c>
      <c r="L12" s="526">
        <f>'PCB Nesting QA'!M11</f>
        <v>0</v>
      </c>
      <c r="M12" s="526">
        <f>'PCB Nesting QA'!N11</f>
        <v>0</v>
      </c>
      <c r="N12" s="526">
        <f>'PCB Nesting QA'!O11</f>
        <v>0</v>
      </c>
      <c r="P12" s="529"/>
      <c r="Q12" s="529"/>
      <c r="R12" s="529"/>
      <c r="S12" s="529"/>
      <c r="T12" s="530"/>
      <c r="U12" s="561" t="e">
        <f>AVERAGE(P12:T12)</f>
        <v>#DIV/0!</v>
      </c>
      <c r="V12" s="529"/>
      <c r="W12" s="529"/>
      <c r="X12" s="529"/>
      <c r="Y12" s="529"/>
      <c r="Z12" s="529"/>
      <c r="AA12" s="529"/>
      <c r="AB12" s="561" t="e">
        <f>AVERAGE(V12:AA12)</f>
        <v>#DIV/0!</v>
      </c>
      <c r="AC12" s="529"/>
      <c r="AD12" s="529"/>
      <c r="AE12" s="529"/>
      <c r="AF12" s="529"/>
      <c r="AG12" s="529"/>
      <c r="AH12" s="529"/>
      <c r="AI12" s="529"/>
      <c r="AJ12" s="529"/>
      <c r="AK12" s="529"/>
      <c r="AL12" s="529"/>
      <c r="AM12" s="561" t="e">
        <f>AVERAGE(AD12:AL12)</f>
        <v>#DIV/0!</v>
      </c>
      <c r="AN12" s="564" t="e">
        <f t="shared" si="2"/>
        <v>#DIV/0!</v>
      </c>
      <c r="AO12" s="529"/>
      <c r="AP12" s="529"/>
      <c r="AQ12" s="529"/>
      <c r="AR12" s="529"/>
      <c r="AS12" s="530"/>
      <c r="AT12" s="561" t="e">
        <f>AVERAGE(AO12:AS12)</f>
        <v>#DIV/0!</v>
      </c>
      <c r="AU12" s="529"/>
      <c r="AV12" s="529"/>
      <c r="AW12" s="529"/>
      <c r="AX12" s="529"/>
      <c r="AY12" s="529"/>
      <c r="AZ12" s="529"/>
      <c r="BA12" s="561" t="e">
        <f>AVERAGE(AU12:AZ12)</f>
        <v>#DIV/0!</v>
      </c>
      <c r="BB12" s="529"/>
      <c r="BC12" s="529"/>
      <c r="BD12" s="529"/>
      <c r="BE12" s="529"/>
      <c r="BF12" s="529"/>
      <c r="BG12" s="529"/>
      <c r="BH12" s="529"/>
      <c r="BI12" s="529"/>
      <c r="BJ12" s="529"/>
      <c r="BK12" s="529"/>
      <c r="BL12" s="561" t="e">
        <f>AVERAGE(BB12:BK12)</f>
        <v>#DIV/0!</v>
      </c>
      <c r="BM12" s="564" t="e">
        <f t="shared" si="0"/>
        <v>#DIV/0!</v>
      </c>
      <c r="BN12" s="529"/>
      <c r="BO12" s="529"/>
      <c r="BP12" s="529"/>
      <c r="BQ12" s="529"/>
      <c r="BR12" s="530"/>
      <c r="BS12" s="561" t="e">
        <f>AVERAGE(BN12:BR12)</f>
        <v>#DIV/0!</v>
      </c>
      <c r="BT12" s="529"/>
      <c r="BU12" s="529"/>
      <c r="BV12" s="529"/>
      <c r="BW12" s="529"/>
      <c r="BX12" s="529"/>
      <c r="BY12" s="529"/>
      <c r="BZ12" s="561" t="e">
        <f>AVERAGE(BT12:BY12)</f>
        <v>#DIV/0!</v>
      </c>
      <c r="CA12" s="529"/>
      <c r="CB12" s="529"/>
      <c r="CC12" s="529"/>
      <c r="CD12" s="529"/>
      <c r="CE12" s="529"/>
      <c r="CF12" s="529"/>
      <c r="CG12" s="529"/>
      <c r="CH12" s="529"/>
      <c r="CI12" s="529"/>
      <c r="CJ12" s="529"/>
      <c r="CK12" s="561" t="e">
        <f>AVERAGE(CA12:CJ12)</f>
        <v>#DIV/0!</v>
      </c>
      <c r="CL12" s="564" t="e">
        <f t="shared" si="1"/>
        <v>#DIV/0!</v>
      </c>
      <c r="CN12" s="684" t="str">
        <f>'Daily Observation'!D11</f>
        <v>NI</v>
      </c>
    </row>
    <row r="13" spans="2:183">
      <c r="B13" s="31" t="str">
        <f>'Student Data'!D12&amp;" "&amp;'Student Data'!C12</f>
        <v xml:space="preserve"> </v>
      </c>
      <c r="C13" s="526">
        <f>'PCB Nesting QA'!D12</f>
        <v>0</v>
      </c>
      <c r="D13" s="526">
        <f>'PCB Nesting QA'!E12</f>
        <v>0</v>
      </c>
      <c r="E13" s="526">
        <f>'PCB Nesting QA'!F12</f>
        <v>0</v>
      </c>
      <c r="F13" s="526">
        <f>'PCB Nesting QA'!G12</f>
        <v>0</v>
      </c>
      <c r="G13" s="526">
        <f>'PCB Nesting QA'!H12</f>
        <v>0</v>
      </c>
      <c r="H13" s="526">
        <f>'PCB Nesting QA'!I12</f>
        <v>0</v>
      </c>
      <c r="I13" s="526">
        <f>'PCB Nesting QA'!J12</f>
        <v>0</v>
      </c>
      <c r="J13" s="526">
        <f>'PCB Nesting QA'!K12</f>
        <v>0</v>
      </c>
      <c r="K13" s="526">
        <f>'PCB Nesting QA'!L12</f>
        <v>0</v>
      </c>
      <c r="L13" s="526">
        <f>'PCB Nesting QA'!M12</f>
        <v>0</v>
      </c>
      <c r="M13" s="526">
        <f>'PCB Nesting QA'!N12</f>
        <v>0</v>
      </c>
      <c r="N13" s="526">
        <f>'PCB Nesting QA'!O12</f>
        <v>0</v>
      </c>
      <c r="P13" s="529"/>
      <c r="Q13" s="529"/>
      <c r="R13" s="529"/>
      <c r="S13" s="529"/>
      <c r="T13" s="529"/>
      <c r="U13" s="561" t="e">
        <f>AVERAGE(P13:T13)</f>
        <v>#DIV/0!</v>
      </c>
      <c r="V13" s="529"/>
      <c r="W13" s="529"/>
      <c r="X13" s="529"/>
      <c r="Y13" s="529"/>
      <c r="Z13" s="529"/>
      <c r="AA13" s="529"/>
      <c r="AB13" s="561" t="e">
        <f>AVERAGE(V13:AA13)</f>
        <v>#DIV/0!</v>
      </c>
      <c r="AC13" s="529"/>
      <c r="AD13" s="529"/>
      <c r="AE13" s="529"/>
      <c r="AF13" s="529"/>
      <c r="AG13" s="529"/>
      <c r="AH13" s="529"/>
      <c r="AI13" s="529"/>
      <c r="AJ13" s="529"/>
      <c r="AK13" s="529"/>
      <c r="AL13" s="529"/>
      <c r="AM13" s="561" t="e">
        <f>AVERAGE(AD13:AL13)</f>
        <v>#DIV/0!</v>
      </c>
      <c r="AN13" s="564" t="e">
        <f t="shared" si="2"/>
        <v>#DIV/0!</v>
      </c>
      <c r="AO13" s="529"/>
      <c r="AP13" s="529"/>
      <c r="AQ13" s="529"/>
      <c r="AR13" s="529"/>
      <c r="AS13" s="529"/>
      <c r="AT13" s="561" t="e">
        <f>AVERAGE(AO13:AS13)</f>
        <v>#DIV/0!</v>
      </c>
      <c r="AU13" s="529"/>
      <c r="AV13" s="529"/>
      <c r="AW13" s="529"/>
      <c r="AX13" s="529"/>
      <c r="AY13" s="529"/>
      <c r="AZ13" s="529"/>
      <c r="BA13" s="561" t="e">
        <f>AVERAGE(AU13:AZ13)</f>
        <v>#DIV/0!</v>
      </c>
      <c r="BB13" s="529"/>
      <c r="BC13" s="529"/>
      <c r="BD13" s="529"/>
      <c r="BE13" s="529"/>
      <c r="BF13" s="529"/>
      <c r="BG13" s="529"/>
      <c r="BH13" s="529"/>
      <c r="BI13" s="529"/>
      <c r="BJ13" s="529"/>
      <c r="BK13" s="529"/>
      <c r="BL13" s="561" t="e">
        <f>AVERAGE(BB13:BK13)</f>
        <v>#DIV/0!</v>
      </c>
      <c r="BM13" s="564" t="e">
        <f t="shared" si="0"/>
        <v>#DIV/0!</v>
      </c>
      <c r="BN13" s="529"/>
      <c r="BO13" s="529"/>
      <c r="BP13" s="529"/>
      <c r="BQ13" s="529"/>
      <c r="BR13" s="529"/>
      <c r="BS13" s="561" t="e">
        <f>AVERAGE(BN13:BR13)</f>
        <v>#DIV/0!</v>
      </c>
      <c r="BT13" s="529"/>
      <c r="BU13" s="529"/>
      <c r="BV13" s="529"/>
      <c r="BW13" s="529"/>
      <c r="BX13" s="529"/>
      <c r="BY13" s="529"/>
      <c r="BZ13" s="561" t="e">
        <f>AVERAGE(BT13:BY13)</f>
        <v>#DIV/0!</v>
      </c>
      <c r="CA13" s="529"/>
      <c r="CB13" s="529"/>
      <c r="CC13" s="529"/>
      <c r="CD13" s="529"/>
      <c r="CE13" s="529"/>
      <c r="CF13" s="529"/>
      <c r="CG13" s="529"/>
      <c r="CH13" s="529"/>
      <c r="CI13" s="529"/>
      <c r="CJ13" s="529"/>
      <c r="CK13" s="561" t="e">
        <f>AVERAGE(CA13:CJ13)</f>
        <v>#DIV/0!</v>
      </c>
      <c r="CL13" s="564" t="e">
        <f t="shared" si="1"/>
        <v>#DIV/0!</v>
      </c>
      <c r="CN13" s="684" t="str">
        <f>'Daily Observation'!D12</f>
        <v>NI</v>
      </c>
    </row>
    <row r="14" spans="2:183">
      <c r="B14" s="31" t="str">
        <f>'Student Data'!D13&amp;" "&amp;'Student Data'!C13</f>
        <v xml:space="preserve"> </v>
      </c>
      <c r="C14" s="526">
        <f>'PCB Nesting QA'!D13</f>
        <v>0</v>
      </c>
      <c r="D14" s="526">
        <f>'PCB Nesting QA'!E13</f>
        <v>0</v>
      </c>
      <c r="E14" s="526">
        <f>'PCB Nesting QA'!F13</f>
        <v>0</v>
      </c>
      <c r="F14" s="526">
        <f>'PCB Nesting QA'!G13</f>
        <v>0</v>
      </c>
      <c r="G14" s="526">
        <f>'PCB Nesting QA'!H13</f>
        <v>0</v>
      </c>
      <c r="H14" s="526">
        <f>'PCB Nesting QA'!I13</f>
        <v>0</v>
      </c>
      <c r="I14" s="526">
        <f>'PCB Nesting QA'!J13</f>
        <v>0</v>
      </c>
      <c r="J14" s="526">
        <f>'PCB Nesting QA'!K13</f>
        <v>0</v>
      </c>
      <c r="K14" s="526">
        <f>'PCB Nesting QA'!L13</f>
        <v>0</v>
      </c>
      <c r="L14" s="526">
        <f>'PCB Nesting QA'!M13</f>
        <v>0</v>
      </c>
      <c r="M14" s="526">
        <f>'PCB Nesting QA'!N13</f>
        <v>0</v>
      </c>
      <c r="N14" s="526">
        <f>'PCB Nesting QA'!O13</f>
        <v>0</v>
      </c>
      <c r="P14" s="529"/>
      <c r="Q14" s="529"/>
      <c r="R14" s="529"/>
      <c r="S14" s="529"/>
      <c r="T14" s="529"/>
      <c r="U14" s="561" t="e">
        <f>AVERAGE(P14:T14)</f>
        <v>#DIV/0!</v>
      </c>
      <c r="V14" s="529"/>
      <c r="W14" s="529"/>
      <c r="X14" s="529"/>
      <c r="Y14" s="529"/>
      <c r="Z14" s="529"/>
      <c r="AA14" s="529"/>
      <c r="AB14" s="561" t="e">
        <f>AVERAGE(V14:AA14)</f>
        <v>#DIV/0!</v>
      </c>
      <c r="AC14" s="529"/>
      <c r="AD14" s="529"/>
      <c r="AE14" s="529"/>
      <c r="AF14" s="529"/>
      <c r="AG14" s="529"/>
      <c r="AH14" s="529"/>
      <c r="AI14" s="529"/>
      <c r="AJ14" s="529"/>
      <c r="AK14" s="529"/>
      <c r="AL14" s="529"/>
      <c r="AM14" s="561" t="e">
        <f>AVERAGE(AD14:AL14)</f>
        <v>#DIV/0!</v>
      </c>
      <c r="AN14" s="564" t="e">
        <f t="shared" si="2"/>
        <v>#DIV/0!</v>
      </c>
      <c r="AO14" s="529"/>
      <c r="AP14" s="529"/>
      <c r="AQ14" s="529"/>
      <c r="AR14" s="529"/>
      <c r="AS14" s="529"/>
      <c r="AT14" s="561" t="e">
        <f>AVERAGE(AO14:AS14)</f>
        <v>#DIV/0!</v>
      </c>
      <c r="AU14" s="529"/>
      <c r="AV14" s="529"/>
      <c r="AW14" s="529"/>
      <c r="AX14" s="529"/>
      <c r="AY14" s="529"/>
      <c r="AZ14" s="529"/>
      <c r="BA14" s="561" t="e">
        <f>AVERAGE(AU14:AZ14)</f>
        <v>#DIV/0!</v>
      </c>
      <c r="BB14" s="529"/>
      <c r="BC14" s="529"/>
      <c r="BD14" s="529"/>
      <c r="BE14" s="529"/>
      <c r="BF14" s="529"/>
      <c r="BG14" s="529"/>
      <c r="BH14" s="529"/>
      <c r="BI14" s="529"/>
      <c r="BJ14" s="529"/>
      <c r="BK14" s="529"/>
      <c r="BL14" s="561" t="e">
        <f>AVERAGE(BB14:BK14)</f>
        <v>#DIV/0!</v>
      </c>
      <c r="BM14" s="564" t="e">
        <f t="shared" si="0"/>
        <v>#DIV/0!</v>
      </c>
      <c r="BN14" s="529"/>
      <c r="BO14" s="529"/>
      <c r="BP14" s="529"/>
      <c r="BQ14" s="529"/>
      <c r="BR14" s="529"/>
      <c r="BS14" s="561" t="e">
        <f>AVERAGE(BN14:BR14)</f>
        <v>#DIV/0!</v>
      </c>
      <c r="BT14" s="529"/>
      <c r="BU14" s="529"/>
      <c r="BV14" s="529"/>
      <c r="BW14" s="529"/>
      <c r="BX14" s="529"/>
      <c r="BY14" s="529"/>
      <c r="BZ14" s="561" t="e">
        <f>AVERAGE(BT14:BY14)</f>
        <v>#DIV/0!</v>
      </c>
      <c r="CA14" s="529"/>
      <c r="CB14" s="529"/>
      <c r="CC14" s="529"/>
      <c r="CD14" s="529"/>
      <c r="CE14" s="529"/>
      <c r="CF14" s="529"/>
      <c r="CG14" s="529"/>
      <c r="CH14" s="529"/>
      <c r="CI14" s="529"/>
      <c r="CJ14" s="529"/>
      <c r="CK14" s="561" t="e">
        <f>AVERAGE(CA14:CJ14)</f>
        <v>#DIV/0!</v>
      </c>
      <c r="CL14" s="564" t="e">
        <f t="shared" si="1"/>
        <v>#DIV/0!</v>
      </c>
      <c r="CN14" s="684" t="str">
        <f>'Daily Observation'!D13</f>
        <v>NI</v>
      </c>
    </row>
    <row r="15" spans="2:183">
      <c r="B15" s="31" t="str">
        <f>'Student Data'!D14&amp;" "&amp;'Student Data'!C14</f>
        <v xml:space="preserve"> </v>
      </c>
      <c r="C15" s="526">
        <f>'PCB Nesting QA'!D14</f>
        <v>0</v>
      </c>
      <c r="D15" s="526">
        <f>'PCB Nesting QA'!E14</f>
        <v>0</v>
      </c>
      <c r="E15" s="526">
        <f>'PCB Nesting QA'!F14</f>
        <v>0</v>
      </c>
      <c r="F15" s="526">
        <f>'PCB Nesting QA'!G14</f>
        <v>0</v>
      </c>
      <c r="G15" s="526">
        <f>'PCB Nesting QA'!H14</f>
        <v>0</v>
      </c>
      <c r="H15" s="526">
        <f>'PCB Nesting QA'!I14</f>
        <v>0</v>
      </c>
      <c r="I15" s="526">
        <f>'PCB Nesting QA'!J14</f>
        <v>0</v>
      </c>
      <c r="J15" s="526">
        <f>'PCB Nesting QA'!K14</f>
        <v>0</v>
      </c>
      <c r="K15" s="526">
        <f>'PCB Nesting QA'!L14</f>
        <v>0</v>
      </c>
      <c r="L15" s="526">
        <f>'PCB Nesting QA'!M14</f>
        <v>0</v>
      </c>
      <c r="M15" s="526">
        <f>'PCB Nesting QA'!N14</f>
        <v>0</v>
      </c>
      <c r="N15" s="526">
        <f>'PCB Nesting QA'!O14</f>
        <v>0</v>
      </c>
      <c r="P15" s="426"/>
      <c r="Q15" s="426"/>
      <c r="R15" s="426"/>
      <c r="S15" s="426"/>
      <c r="T15" s="426"/>
      <c r="U15" s="561" t="e">
        <f>AVERAGE(P15:T15)</f>
        <v>#DIV/0!</v>
      </c>
      <c r="V15" s="426"/>
      <c r="W15" s="426"/>
      <c r="X15" s="426"/>
      <c r="Y15" s="426"/>
      <c r="Z15" s="426"/>
      <c r="AA15" s="426"/>
      <c r="AB15" s="561" t="e">
        <f>AVERAGE(V15:AA15)</f>
        <v>#DIV/0!</v>
      </c>
      <c r="AC15" s="426"/>
      <c r="AD15" s="426"/>
      <c r="AE15" s="426"/>
      <c r="AF15" s="426"/>
      <c r="AG15" s="426"/>
      <c r="AH15" s="426"/>
      <c r="AI15" s="426"/>
      <c r="AJ15" s="426"/>
      <c r="AK15" s="426"/>
      <c r="AL15" s="426"/>
      <c r="AM15" s="561" t="e">
        <f>AVERAGE(AD15:AL15)</f>
        <v>#DIV/0!</v>
      </c>
      <c r="AN15" s="564" t="e">
        <f t="shared" si="2"/>
        <v>#DIV/0!</v>
      </c>
      <c r="AO15" s="426"/>
      <c r="AP15" s="426"/>
      <c r="AQ15" s="426"/>
      <c r="AR15" s="426"/>
      <c r="AS15" s="426"/>
      <c r="AT15" s="561" t="e">
        <f>AVERAGE(AO15:AS15)</f>
        <v>#DIV/0!</v>
      </c>
      <c r="AU15" s="426"/>
      <c r="AV15" s="426"/>
      <c r="AW15" s="426"/>
      <c r="AX15" s="426"/>
      <c r="AY15" s="426"/>
      <c r="AZ15" s="426"/>
      <c r="BA15" s="561" t="e">
        <f>AVERAGE(AU15:AZ15)</f>
        <v>#DIV/0!</v>
      </c>
      <c r="BB15" s="426"/>
      <c r="BC15" s="426"/>
      <c r="BD15" s="426"/>
      <c r="BE15" s="426"/>
      <c r="BF15" s="426"/>
      <c r="BG15" s="426"/>
      <c r="BH15" s="426"/>
      <c r="BI15" s="426"/>
      <c r="BJ15" s="426"/>
      <c r="BK15" s="426"/>
      <c r="BL15" s="561" t="e">
        <f>AVERAGE(BB15:BK15)</f>
        <v>#DIV/0!</v>
      </c>
      <c r="BM15" s="564" t="e">
        <f t="shared" si="0"/>
        <v>#DIV/0!</v>
      </c>
      <c r="BN15" s="426"/>
      <c r="BO15" s="426"/>
      <c r="BP15" s="426"/>
      <c r="BQ15" s="426"/>
      <c r="BR15" s="426"/>
      <c r="BS15" s="561" t="e">
        <f>AVERAGE(BN15:BR15)</f>
        <v>#DIV/0!</v>
      </c>
      <c r="BT15" s="426"/>
      <c r="BU15" s="426"/>
      <c r="BV15" s="426"/>
      <c r="BW15" s="426"/>
      <c r="BX15" s="426"/>
      <c r="BY15" s="426"/>
      <c r="BZ15" s="561" t="e">
        <f>AVERAGE(BT15:BY15)</f>
        <v>#DIV/0!</v>
      </c>
      <c r="CA15" s="426"/>
      <c r="CB15" s="426"/>
      <c r="CC15" s="426"/>
      <c r="CD15" s="426"/>
      <c r="CE15" s="426"/>
      <c r="CF15" s="426"/>
      <c r="CG15" s="426"/>
      <c r="CH15" s="426"/>
      <c r="CI15" s="426"/>
      <c r="CJ15" s="426"/>
      <c r="CK15" s="561" t="e">
        <f>AVERAGE(CA15:CJ15)</f>
        <v>#DIV/0!</v>
      </c>
      <c r="CL15" s="564" t="e">
        <f t="shared" si="1"/>
        <v>#DIV/0!</v>
      </c>
      <c r="CN15" s="684" t="str">
        <f>'Daily Observation'!D14</f>
        <v>NI</v>
      </c>
    </row>
    <row r="16" spans="2:183">
      <c r="B16" s="31" t="str">
        <f>'Student Data'!D15&amp;" "&amp;'Student Data'!C15</f>
        <v xml:space="preserve"> </v>
      </c>
      <c r="C16" s="526">
        <f>'PCB Nesting QA'!D15</f>
        <v>0</v>
      </c>
      <c r="D16" s="526">
        <f>'PCB Nesting QA'!E15</f>
        <v>0</v>
      </c>
      <c r="E16" s="526">
        <f>'PCB Nesting QA'!F15</f>
        <v>0</v>
      </c>
      <c r="F16" s="526">
        <f>'PCB Nesting QA'!G15</f>
        <v>0</v>
      </c>
      <c r="G16" s="526">
        <f>'PCB Nesting QA'!H15</f>
        <v>0</v>
      </c>
      <c r="H16" s="526">
        <f>'PCB Nesting QA'!I15</f>
        <v>0</v>
      </c>
      <c r="I16" s="526">
        <f>'PCB Nesting QA'!J15</f>
        <v>0</v>
      </c>
      <c r="J16" s="526">
        <f>'PCB Nesting QA'!K15</f>
        <v>0</v>
      </c>
      <c r="K16" s="526">
        <f>'PCB Nesting QA'!L15</f>
        <v>0</v>
      </c>
      <c r="L16" s="526">
        <f>'PCB Nesting QA'!M15</f>
        <v>0</v>
      </c>
      <c r="M16" s="526">
        <f>'PCB Nesting QA'!N15</f>
        <v>0</v>
      </c>
      <c r="N16" s="526">
        <f>'PCB Nesting QA'!O15</f>
        <v>0</v>
      </c>
      <c r="P16" s="426"/>
      <c r="Q16" s="426"/>
      <c r="R16" s="426"/>
      <c r="S16" s="426"/>
      <c r="T16" s="426"/>
      <c r="U16" s="561" t="e">
        <f>AVERAGE(P16:T16)</f>
        <v>#DIV/0!</v>
      </c>
      <c r="V16" s="426"/>
      <c r="W16" s="426"/>
      <c r="X16" s="426"/>
      <c r="Y16" s="426"/>
      <c r="Z16" s="426"/>
      <c r="AA16" s="426"/>
      <c r="AB16" s="561" t="e">
        <f>AVERAGE(V16:AA16)</f>
        <v>#DIV/0!</v>
      </c>
      <c r="AC16" s="426"/>
      <c r="AD16" s="426"/>
      <c r="AE16" s="426"/>
      <c r="AF16" s="426"/>
      <c r="AG16" s="426"/>
      <c r="AH16" s="426"/>
      <c r="AI16" s="426"/>
      <c r="AJ16" s="426"/>
      <c r="AK16" s="426"/>
      <c r="AL16" s="426"/>
      <c r="AM16" s="561" t="e">
        <f>AVERAGE(AD16:AL16)</f>
        <v>#DIV/0!</v>
      </c>
      <c r="AN16" s="564" t="e">
        <f t="shared" si="2"/>
        <v>#DIV/0!</v>
      </c>
      <c r="AO16" s="426"/>
      <c r="AP16" s="426"/>
      <c r="AQ16" s="426"/>
      <c r="AR16" s="426"/>
      <c r="AS16" s="426"/>
      <c r="AT16" s="561" t="e">
        <f>AVERAGE(AO16:AS16)</f>
        <v>#DIV/0!</v>
      </c>
      <c r="AU16" s="426"/>
      <c r="AV16" s="426"/>
      <c r="AW16" s="426"/>
      <c r="AX16" s="426"/>
      <c r="AY16" s="426"/>
      <c r="AZ16" s="426"/>
      <c r="BA16" s="561" t="e">
        <f>AVERAGE(AU16:AZ16)</f>
        <v>#DIV/0!</v>
      </c>
      <c r="BB16" s="426"/>
      <c r="BC16" s="426"/>
      <c r="BD16" s="426"/>
      <c r="BE16" s="426"/>
      <c r="BF16" s="426"/>
      <c r="BG16" s="426"/>
      <c r="BH16" s="426"/>
      <c r="BI16" s="426"/>
      <c r="BJ16" s="426"/>
      <c r="BK16" s="426"/>
      <c r="BL16" s="561" t="e">
        <f>AVERAGE(BB16:BK16)</f>
        <v>#DIV/0!</v>
      </c>
      <c r="BM16" s="564" t="e">
        <f t="shared" si="0"/>
        <v>#DIV/0!</v>
      </c>
      <c r="BN16" s="426"/>
      <c r="BO16" s="426"/>
      <c r="BP16" s="426"/>
      <c r="BQ16" s="426"/>
      <c r="BR16" s="426"/>
      <c r="BS16" s="561" t="e">
        <f>AVERAGE(BN16:BR16)</f>
        <v>#DIV/0!</v>
      </c>
      <c r="BT16" s="426"/>
      <c r="BU16" s="426"/>
      <c r="BV16" s="426"/>
      <c r="BW16" s="426"/>
      <c r="BX16" s="426"/>
      <c r="BY16" s="426"/>
      <c r="BZ16" s="561" t="e">
        <f>AVERAGE(BT16:BY16)</f>
        <v>#DIV/0!</v>
      </c>
      <c r="CA16" s="426"/>
      <c r="CB16" s="426"/>
      <c r="CC16" s="426"/>
      <c r="CD16" s="426"/>
      <c r="CE16" s="426"/>
      <c r="CF16" s="426"/>
      <c r="CG16" s="426"/>
      <c r="CH16" s="426"/>
      <c r="CI16" s="426"/>
      <c r="CJ16" s="426"/>
      <c r="CK16" s="561" t="e">
        <f>AVERAGE(CA16:CJ16)</f>
        <v>#DIV/0!</v>
      </c>
      <c r="CL16" s="564" t="e">
        <f t="shared" si="1"/>
        <v>#DIV/0!</v>
      </c>
      <c r="CN16" s="684" t="str">
        <f>'Daily Observation'!D15</f>
        <v>NI</v>
      </c>
    </row>
    <row r="17" spans="2:92">
      <c r="B17" s="31" t="str">
        <f>'Student Data'!D16&amp;" "&amp;'Student Data'!C16</f>
        <v xml:space="preserve"> </v>
      </c>
      <c r="C17" s="526">
        <f>'PCB Nesting QA'!D16</f>
        <v>0</v>
      </c>
      <c r="D17" s="526">
        <f>'PCB Nesting QA'!E16</f>
        <v>0</v>
      </c>
      <c r="E17" s="526">
        <f>'PCB Nesting QA'!F16</f>
        <v>0</v>
      </c>
      <c r="F17" s="526">
        <f>'PCB Nesting QA'!G16</f>
        <v>0</v>
      </c>
      <c r="G17" s="526">
        <f>'PCB Nesting QA'!H16</f>
        <v>0</v>
      </c>
      <c r="H17" s="526">
        <f>'PCB Nesting QA'!I16</f>
        <v>0</v>
      </c>
      <c r="I17" s="526">
        <f>'PCB Nesting QA'!J16</f>
        <v>0</v>
      </c>
      <c r="J17" s="526">
        <f>'PCB Nesting QA'!K16</f>
        <v>0</v>
      </c>
      <c r="K17" s="526">
        <f>'PCB Nesting QA'!L16</f>
        <v>0</v>
      </c>
      <c r="L17" s="526">
        <f>'PCB Nesting QA'!M16</f>
        <v>0</v>
      </c>
      <c r="M17" s="526">
        <f>'PCB Nesting QA'!N16</f>
        <v>0</v>
      </c>
      <c r="N17" s="526">
        <f>'PCB Nesting QA'!O16</f>
        <v>0</v>
      </c>
      <c r="P17" s="426"/>
      <c r="Q17" s="426"/>
      <c r="R17" s="426"/>
      <c r="S17" s="426"/>
      <c r="T17" s="426"/>
      <c r="U17" s="561" t="e">
        <f>AVERAGE(P17:T17)</f>
        <v>#DIV/0!</v>
      </c>
      <c r="V17" s="426"/>
      <c r="W17" s="426"/>
      <c r="X17" s="426"/>
      <c r="Y17" s="426"/>
      <c r="Z17" s="426"/>
      <c r="AA17" s="426"/>
      <c r="AB17" s="561" t="e">
        <f>AVERAGE(V17:AA17)</f>
        <v>#DIV/0!</v>
      </c>
      <c r="AC17" s="426"/>
      <c r="AD17" s="426"/>
      <c r="AE17" s="426"/>
      <c r="AF17" s="426"/>
      <c r="AG17" s="426"/>
      <c r="AH17" s="426"/>
      <c r="AI17" s="426"/>
      <c r="AJ17" s="426"/>
      <c r="AK17" s="426"/>
      <c r="AL17" s="426"/>
      <c r="AM17" s="561" t="e">
        <f>AVERAGE(AD17:AL17)</f>
        <v>#DIV/0!</v>
      </c>
      <c r="AN17" s="564" t="e">
        <f t="shared" si="2"/>
        <v>#DIV/0!</v>
      </c>
      <c r="AO17" s="426"/>
      <c r="AP17" s="426"/>
      <c r="AQ17" s="426"/>
      <c r="AR17" s="426"/>
      <c r="AS17" s="426"/>
      <c r="AT17" s="561" t="e">
        <f>AVERAGE(AO17:AS17)</f>
        <v>#DIV/0!</v>
      </c>
      <c r="AU17" s="426"/>
      <c r="AV17" s="426"/>
      <c r="AW17" s="426"/>
      <c r="AX17" s="426"/>
      <c r="AY17" s="426"/>
      <c r="AZ17" s="426"/>
      <c r="BA17" s="561" t="e">
        <f>AVERAGE(AU17:AZ17)</f>
        <v>#DIV/0!</v>
      </c>
      <c r="BB17" s="426"/>
      <c r="BC17" s="426"/>
      <c r="BD17" s="426"/>
      <c r="BE17" s="426"/>
      <c r="BF17" s="426"/>
      <c r="BG17" s="426"/>
      <c r="BH17" s="426"/>
      <c r="BI17" s="426"/>
      <c r="BJ17" s="426"/>
      <c r="BK17" s="426"/>
      <c r="BL17" s="561" t="e">
        <f>AVERAGE(BB17:BK17)</f>
        <v>#DIV/0!</v>
      </c>
      <c r="BM17" s="564" t="e">
        <f t="shared" si="0"/>
        <v>#DIV/0!</v>
      </c>
      <c r="BN17" s="426"/>
      <c r="BO17" s="426"/>
      <c r="BP17" s="426"/>
      <c r="BQ17" s="426"/>
      <c r="BR17" s="426"/>
      <c r="BS17" s="561" t="e">
        <f>AVERAGE(BN17:BR17)</f>
        <v>#DIV/0!</v>
      </c>
      <c r="BT17" s="426"/>
      <c r="BU17" s="426"/>
      <c r="BV17" s="426"/>
      <c r="BW17" s="426"/>
      <c r="BX17" s="426"/>
      <c r="BY17" s="426"/>
      <c r="BZ17" s="561" t="e">
        <f>AVERAGE(BT17:BY17)</f>
        <v>#DIV/0!</v>
      </c>
      <c r="CA17" s="426"/>
      <c r="CB17" s="426"/>
      <c r="CC17" s="426"/>
      <c r="CD17" s="426"/>
      <c r="CE17" s="426"/>
      <c r="CF17" s="426"/>
      <c r="CG17" s="426"/>
      <c r="CH17" s="426"/>
      <c r="CI17" s="426"/>
      <c r="CJ17" s="426"/>
      <c r="CK17" s="561" t="e">
        <f>AVERAGE(CA17:CJ17)</f>
        <v>#DIV/0!</v>
      </c>
      <c r="CL17" s="564" t="e">
        <f t="shared" si="1"/>
        <v>#DIV/0!</v>
      </c>
      <c r="CN17" s="684" t="str">
        <f>'Daily Observation'!D16</f>
        <v>EE</v>
      </c>
    </row>
    <row r="18" spans="2:92">
      <c r="B18" s="31" t="str">
        <f>'Student Data'!D17&amp;" "&amp;'Student Data'!C17</f>
        <v xml:space="preserve"> </v>
      </c>
      <c r="C18" s="526">
        <f>'PCB Nesting QA'!D17</f>
        <v>0</v>
      </c>
      <c r="D18" s="526">
        <f>'PCB Nesting QA'!E17</f>
        <v>0</v>
      </c>
      <c r="E18" s="526">
        <f>'PCB Nesting QA'!F17</f>
        <v>0</v>
      </c>
      <c r="F18" s="526">
        <f>'PCB Nesting QA'!G17</f>
        <v>0</v>
      </c>
      <c r="G18" s="526">
        <f>'PCB Nesting QA'!H17</f>
        <v>0</v>
      </c>
      <c r="H18" s="526">
        <f>'PCB Nesting QA'!I17</f>
        <v>0</v>
      </c>
      <c r="I18" s="526">
        <f>'PCB Nesting QA'!J17</f>
        <v>0</v>
      </c>
      <c r="J18" s="526">
        <f>'PCB Nesting QA'!K17</f>
        <v>0</v>
      </c>
      <c r="K18" s="526">
        <f>'PCB Nesting QA'!L17</f>
        <v>0</v>
      </c>
      <c r="L18" s="526">
        <f>'PCB Nesting QA'!M17</f>
        <v>0</v>
      </c>
      <c r="M18" s="526">
        <f>'PCB Nesting QA'!N17</f>
        <v>0</v>
      </c>
      <c r="N18" s="526">
        <f>'PCB Nesting QA'!O17</f>
        <v>0</v>
      </c>
      <c r="P18" s="426"/>
      <c r="Q18" s="426"/>
      <c r="R18" s="426"/>
      <c r="S18" s="426"/>
      <c r="T18" s="426"/>
      <c r="U18" s="561" t="e">
        <f>AVERAGE(P18:T18)</f>
        <v>#DIV/0!</v>
      </c>
      <c r="V18" s="426"/>
      <c r="W18" s="426"/>
      <c r="X18" s="426"/>
      <c r="Y18" s="426"/>
      <c r="Z18" s="426"/>
      <c r="AA18" s="426"/>
      <c r="AB18" s="561" t="e">
        <f>AVERAGE(V18:AA18)</f>
        <v>#DIV/0!</v>
      </c>
      <c r="AC18" s="426"/>
      <c r="AD18" s="426"/>
      <c r="AE18" s="426"/>
      <c r="AF18" s="426"/>
      <c r="AG18" s="426"/>
      <c r="AH18" s="426"/>
      <c r="AI18" s="426"/>
      <c r="AJ18" s="426"/>
      <c r="AK18" s="426"/>
      <c r="AL18" s="426"/>
      <c r="AM18" s="561" t="e">
        <f>AVERAGE(AD18:AL18)</f>
        <v>#DIV/0!</v>
      </c>
      <c r="AN18" s="564" t="e">
        <f t="shared" si="2"/>
        <v>#DIV/0!</v>
      </c>
      <c r="AO18" s="426"/>
      <c r="AP18" s="426"/>
      <c r="AQ18" s="426"/>
      <c r="AR18" s="426"/>
      <c r="AS18" s="426"/>
      <c r="AT18" s="561" t="e">
        <f>AVERAGE(AO18:AS18)</f>
        <v>#DIV/0!</v>
      </c>
      <c r="AU18" s="426"/>
      <c r="AV18" s="426"/>
      <c r="AW18" s="426"/>
      <c r="AX18" s="426"/>
      <c r="AY18" s="426"/>
      <c r="AZ18" s="426"/>
      <c r="BA18" s="561" t="e">
        <f>AVERAGE(AU18:AZ18)</f>
        <v>#DIV/0!</v>
      </c>
      <c r="BB18" s="426"/>
      <c r="BC18" s="426"/>
      <c r="BD18" s="426"/>
      <c r="BE18" s="426"/>
      <c r="BF18" s="426"/>
      <c r="BG18" s="426"/>
      <c r="BH18" s="426"/>
      <c r="BI18" s="426"/>
      <c r="BJ18" s="426"/>
      <c r="BK18" s="426"/>
      <c r="BL18" s="561" t="e">
        <f>AVERAGE(BB18:BK18)</f>
        <v>#DIV/0!</v>
      </c>
      <c r="BM18" s="564" t="e">
        <f t="shared" si="0"/>
        <v>#DIV/0!</v>
      </c>
      <c r="BN18" s="426"/>
      <c r="BO18" s="426"/>
      <c r="BP18" s="426"/>
      <c r="BQ18" s="426"/>
      <c r="BR18" s="426"/>
      <c r="BS18" s="561" t="e">
        <f>AVERAGE(BN18:BR18)</f>
        <v>#DIV/0!</v>
      </c>
      <c r="BT18" s="426"/>
      <c r="BU18" s="426"/>
      <c r="BV18" s="426"/>
      <c r="BW18" s="426"/>
      <c r="BX18" s="426"/>
      <c r="BY18" s="426"/>
      <c r="BZ18" s="561" t="e">
        <f>AVERAGE(BT18:BY18)</f>
        <v>#DIV/0!</v>
      </c>
      <c r="CA18" s="426"/>
      <c r="CB18" s="426"/>
      <c r="CC18" s="426"/>
      <c r="CD18" s="426"/>
      <c r="CE18" s="426"/>
      <c r="CF18" s="426"/>
      <c r="CG18" s="426"/>
      <c r="CH18" s="426"/>
      <c r="CI18" s="426"/>
      <c r="CJ18" s="426"/>
      <c r="CK18" s="561" t="e">
        <f>AVERAGE(CA18:CJ18)</f>
        <v>#DIV/0!</v>
      </c>
      <c r="CL18" s="564" t="e">
        <f t="shared" si="1"/>
        <v>#DIV/0!</v>
      </c>
      <c r="CN18" s="684" t="str">
        <f>'Daily Observation'!D17</f>
        <v>EE</v>
      </c>
    </row>
    <row r="19" spans="2:92">
      <c r="B19" s="31" t="str">
        <f>'Student Data'!D18&amp;" "&amp;'Student Data'!C18</f>
        <v xml:space="preserve"> </v>
      </c>
      <c r="C19" s="526">
        <f>'PCB Nesting QA'!D18</f>
        <v>0</v>
      </c>
      <c r="D19" s="526">
        <f>'PCB Nesting QA'!E18</f>
        <v>0</v>
      </c>
      <c r="E19" s="526">
        <f>'PCB Nesting QA'!F18</f>
        <v>0</v>
      </c>
      <c r="F19" s="526">
        <f>'PCB Nesting QA'!G18</f>
        <v>0</v>
      </c>
      <c r="G19" s="526">
        <f>'PCB Nesting QA'!H18</f>
        <v>0</v>
      </c>
      <c r="H19" s="526">
        <f>'PCB Nesting QA'!I18</f>
        <v>0</v>
      </c>
      <c r="I19" s="526">
        <f>'PCB Nesting QA'!J18</f>
        <v>0</v>
      </c>
      <c r="J19" s="526">
        <f>'PCB Nesting QA'!K18</f>
        <v>0</v>
      </c>
      <c r="K19" s="526">
        <f>'PCB Nesting QA'!L18</f>
        <v>0</v>
      </c>
      <c r="L19" s="526">
        <f>'PCB Nesting QA'!M18</f>
        <v>0</v>
      </c>
      <c r="M19" s="526">
        <f>'PCB Nesting QA'!N18</f>
        <v>0</v>
      </c>
      <c r="N19" s="526">
        <f>'PCB Nesting QA'!O18</f>
        <v>0</v>
      </c>
      <c r="P19" s="426"/>
      <c r="Q19" s="426"/>
      <c r="R19" s="426"/>
      <c r="S19" s="426"/>
      <c r="T19" s="426"/>
      <c r="U19" s="561" t="e">
        <f>AVERAGE(P19:T19)</f>
        <v>#DIV/0!</v>
      </c>
      <c r="V19" s="426"/>
      <c r="W19" s="426"/>
      <c r="X19" s="426"/>
      <c r="Y19" s="426"/>
      <c r="Z19" s="426"/>
      <c r="AA19" s="426"/>
      <c r="AB19" s="561" t="e">
        <f>AVERAGE(V19:AA19)</f>
        <v>#DIV/0!</v>
      </c>
      <c r="AC19" s="426"/>
      <c r="AD19" s="426"/>
      <c r="AE19" s="426"/>
      <c r="AF19" s="426"/>
      <c r="AG19" s="426"/>
      <c r="AH19" s="426"/>
      <c r="AI19" s="426"/>
      <c r="AJ19" s="426"/>
      <c r="AK19" s="426"/>
      <c r="AL19" s="426"/>
      <c r="AM19" s="561" t="e">
        <f>AVERAGE(AD19:AL19)</f>
        <v>#DIV/0!</v>
      </c>
      <c r="AN19" s="564" t="e">
        <f t="shared" si="2"/>
        <v>#DIV/0!</v>
      </c>
      <c r="AO19" s="426"/>
      <c r="AP19" s="426"/>
      <c r="AQ19" s="426"/>
      <c r="AR19" s="426"/>
      <c r="AS19" s="426"/>
      <c r="AT19" s="561" t="e">
        <f>AVERAGE(AO19:AS19)</f>
        <v>#DIV/0!</v>
      </c>
      <c r="AU19" s="426"/>
      <c r="AV19" s="426"/>
      <c r="AW19" s="426"/>
      <c r="AX19" s="426"/>
      <c r="AY19" s="426"/>
      <c r="AZ19" s="426"/>
      <c r="BA19" s="561" t="e">
        <f>AVERAGE(AU19:AZ19)</f>
        <v>#DIV/0!</v>
      </c>
      <c r="BB19" s="426"/>
      <c r="BC19" s="426"/>
      <c r="BD19" s="426"/>
      <c r="BE19" s="426"/>
      <c r="BF19" s="426"/>
      <c r="BG19" s="426"/>
      <c r="BH19" s="426"/>
      <c r="BI19" s="426"/>
      <c r="BJ19" s="426"/>
      <c r="BK19" s="426"/>
      <c r="BL19" s="561" t="e">
        <f>AVERAGE(BB19:BK19)</f>
        <v>#DIV/0!</v>
      </c>
      <c r="BM19" s="564" t="e">
        <f t="shared" si="0"/>
        <v>#DIV/0!</v>
      </c>
      <c r="BN19" s="426"/>
      <c r="BO19" s="426"/>
      <c r="BP19" s="426"/>
      <c r="BQ19" s="426"/>
      <c r="BR19" s="426"/>
      <c r="BS19" s="561" t="e">
        <f>AVERAGE(BN19:BR19)</f>
        <v>#DIV/0!</v>
      </c>
      <c r="BT19" s="426"/>
      <c r="BU19" s="426"/>
      <c r="BV19" s="426"/>
      <c r="BW19" s="426"/>
      <c r="BX19" s="426"/>
      <c r="BY19" s="426"/>
      <c r="BZ19" s="561" t="e">
        <f>AVERAGE(BT19:BY19)</f>
        <v>#DIV/0!</v>
      </c>
      <c r="CA19" s="426"/>
      <c r="CB19" s="426"/>
      <c r="CC19" s="426"/>
      <c r="CD19" s="426"/>
      <c r="CE19" s="426"/>
      <c r="CF19" s="426"/>
      <c r="CG19" s="426"/>
      <c r="CH19" s="426"/>
      <c r="CI19" s="426"/>
      <c r="CJ19" s="426"/>
      <c r="CK19" s="561" t="e">
        <f>AVERAGE(CA19:CJ19)</f>
        <v>#DIV/0!</v>
      </c>
      <c r="CL19" s="564" t="e">
        <f t="shared" si="1"/>
        <v>#DIV/0!</v>
      </c>
      <c r="CN19" s="684" t="str">
        <f>'Daily Observation'!D18</f>
        <v>EE</v>
      </c>
    </row>
    <row r="20" spans="2:92">
      <c r="B20" s="31" t="str">
        <f>'Student Data'!D19&amp;" "&amp;'Student Data'!C19</f>
        <v xml:space="preserve"> </v>
      </c>
      <c r="C20" s="526">
        <f>'PCB Nesting QA'!D19</f>
        <v>0</v>
      </c>
      <c r="D20" s="526">
        <f>'PCB Nesting QA'!E19</f>
        <v>0</v>
      </c>
      <c r="E20" s="526">
        <f>'PCB Nesting QA'!F19</f>
        <v>0</v>
      </c>
      <c r="F20" s="526">
        <f>'PCB Nesting QA'!G19</f>
        <v>0</v>
      </c>
      <c r="G20" s="526">
        <f>'PCB Nesting QA'!H19</f>
        <v>0</v>
      </c>
      <c r="H20" s="526">
        <f>'PCB Nesting QA'!I19</f>
        <v>0</v>
      </c>
      <c r="I20" s="526">
        <f>'PCB Nesting QA'!J19</f>
        <v>0</v>
      </c>
      <c r="J20" s="526">
        <f>'PCB Nesting QA'!K19</f>
        <v>0</v>
      </c>
      <c r="K20" s="526">
        <f>'PCB Nesting QA'!L19</f>
        <v>0</v>
      </c>
      <c r="L20" s="526">
        <f>'PCB Nesting QA'!M19</f>
        <v>0</v>
      </c>
      <c r="M20" s="526">
        <f>'PCB Nesting QA'!N19</f>
        <v>0</v>
      </c>
      <c r="N20" s="526">
        <f>'PCB Nesting QA'!O19</f>
        <v>0</v>
      </c>
      <c r="P20" s="426"/>
      <c r="Q20" s="426"/>
      <c r="R20" s="426"/>
      <c r="S20" s="426"/>
      <c r="T20" s="426"/>
      <c r="U20" s="561" t="e">
        <f>AVERAGE(P20:T20)</f>
        <v>#DIV/0!</v>
      </c>
      <c r="V20" s="426"/>
      <c r="W20" s="426"/>
      <c r="X20" s="426"/>
      <c r="Y20" s="426"/>
      <c r="Z20" s="426"/>
      <c r="AA20" s="426"/>
      <c r="AB20" s="561" t="e">
        <f>AVERAGE(V20:AA20)</f>
        <v>#DIV/0!</v>
      </c>
      <c r="AC20" s="426"/>
      <c r="AD20" s="426"/>
      <c r="AE20" s="426"/>
      <c r="AF20" s="426"/>
      <c r="AG20" s="426"/>
      <c r="AH20" s="426"/>
      <c r="AI20" s="426"/>
      <c r="AJ20" s="426"/>
      <c r="AK20" s="426"/>
      <c r="AL20" s="426"/>
      <c r="AM20" s="561" t="e">
        <f>AVERAGE(AD20:AL20)</f>
        <v>#DIV/0!</v>
      </c>
      <c r="AN20" s="564" t="e">
        <f t="shared" si="2"/>
        <v>#DIV/0!</v>
      </c>
      <c r="AO20" s="426"/>
      <c r="AP20" s="426"/>
      <c r="AQ20" s="426"/>
      <c r="AR20" s="426"/>
      <c r="AS20" s="426"/>
      <c r="AT20" s="561" t="e">
        <f>AVERAGE(AO20:AS20)</f>
        <v>#DIV/0!</v>
      </c>
      <c r="AU20" s="426"/>
      <c r="AV20" s="426"/>
      <c r="AW20" s="426"/>
      <c r="AX20" s="426"/>
      <c r="AY20" s="426"/>
      <c r="AZ20" s="426"/>
      <c r="BA20" s="561" t="e">
        <f>AVERAGE(AU20:AZ20)</f>
        <v>#DIV/0!</v>
      </c>
      <c r="BB20" s="426"/>
      <c r="BC20" s="426"/>
      <c r="BD20" s="426"/>
      <c r="BE20" s="426"/>
      <c r="BF20" s="426"/>
      <c r="BG20" s="426"/>
      <c r="BH20" s="426"/>
      <c r="BI20" s="426"/>
      <c r="BJ20" s="426"/>
      <c r="BK20" s="426"/>
      <c r="BL20" s="561" t="e">
        <f>AVERAGE(BB20:BK20)</f>
        <v>#DIV/0!</v>
      </c>
      <c r="BM20" s="564" t="e">
        <f t="shared" si="0"/>
        <v>#DIV/0!</v>
      </c>
      <c r="BN20" s="426"/>
      <c r="BO20" s="426"/>
      <c r="BP20" s="426"/>
      <c r="BQ20" s="426"/>
      <c r="BR20" s="426"/>
      <c r="BS20" s="561" t="e">
        <f>AVERAGE(BN20:BR20)</f>
        <v>#DIV/0!</v>
      </c>
      <c r="BT20" s="426"/>
      <c r="BU20" s="426"/>
      <c r="BV20" s="426"/>
      <c r="BW20" s="426"/>
      <c r="BX20" s="426"/>
      <c r="BY20" s="426"/>
      <c r="BZ20" s="561" t="e">
        <f>AVERAGE(BT20:BY20)</f>
        <v>#DIV/0!</v>
      </c>
      <c r="CA20" s="426"/>
      <c r="CB20" s="426"/>
      <c r="CC20" s="426"/>
      <c r="CD20" s="426"/>
      <c r="CE20" s="426"/>
      <c r="CF20" s="426"/>
      <c r="CG20" s="426"/>
      <c r="CH20" s="426"/>
      <c r="CI20" s="426"/>
      <c r="CJ20" s="426"/>
      <c r="CK20" s="561" t="e">
        <f>AVERAGE(CA20:CJ20)</f>
        <v>#DIV/0!</v>
      </c>
      <c r="CL20" s="564" t="e">
        <f t="shared" si="1"/>
        <v>#DIV/0!</v>
      </c>
      <c r="CN20" s="684" t="str">
        <f>'Daily Observation'!D19</f>
        <v>EE</v>
      </c>
    </row>
    <row r="21" spans="2:92">
      <c r="B21" s="31" t="str">
        <f>'Student Data'!D20&amp;" "&amp;'Student Data'!C20</f>
        <v xml:space="preserve"> </v>
      </c>
      <c r="C21" s="526">
        <f>'PCB Nesting QA'!D20</f>
        <v>0</v>
      </c>
      <c r="D21" s="526">
        <f>'PCB Nesting QA'!E20</f>
        <v>0</v>
      </c>
      <c r="E21" s="526">
        <f>'PCB Nesting QA'!F20</f>
        <v>0</v>
      </c>
      <c r="F21" s="526">
        <f>'PCB Nesting QA'!G20</f>
        <v>0</v>
      </c>
      <c r="G21" s="526">
        <f>'PCB Nesting QA'!H20</f>
        <v>0</v>
      </c>
      <c r="H21" s="526">
        <f>'PCB Nesting QA'!I20</f>
        <v>0</v>
      </c>
      <c r="I21" s="526">
        <f>'PCB Nesting QA'!J20</f>
        <v>0</v>
      </c>
      <c r="J21" s="526">
        <f>'PCB Nesting QA'!K20</f>
        <v>0</v>
      </c>
      <c r="K21" s="526">
        <f>'PCB Nesting QA'!L20</f>
        <v>0</v>
      </c>
      <c r="L21" s="526">
        <f>'PCB Nesting QA'!M20</f>
        <v>0</v>
      </c>
      <c r="M21" s="526">
        <f>'PCB Nesting QA'!N20</f>
        <v>0</v>
      </c>
      <c r="N21" s="526">
        <f>'PCB Nesting QA'!O20</f>
        <v>0</v>
      </c>
      <c r="P21" s="426"/>
      <c r="Q21" s="426"/>
      <c r="R21" s="426"/>
      <c r="S21" s="426"/>
      <c r="T21" s="426"/>
      <c r="U21" s="561" t="e">
        <f>AVERAGE(P21:T21)</f>
        <v>#DIV/0!</v>
      </c>
      <c r="V21" s="426"/>
      <c r="W21" s="426"/>
      <c r="X21" s="426"/>
      <c r="Y21" s="426"/>
      <c r="Z21" s="426"/>
      <c r="AA21" s="426"/>
      <c r="AB21" s="561" t="e">
        <f>AVERAGE(V21:AA21)</f>
        <v>#DIV/0!</v>
      </c>
      <c r="AC21" s="426"/>
      <c r="AD21" s="426"/>
      <c r="AE21" s="426"/>
      <c r="AF21" s="426"/>
      <c r="AG21" s="426"/>
      <c r="AH21" s="426"/>
      <c r="AI21" s="426"/>
      <c r="AJ21" s="426"/>
      <c r="AK21" s="426"/>
      <c r="AL21" s="426"/>
      <c r="AM21" s="561" t="e">
        <f>AVERAGE(AD21:AL21)</f>
        <v>#DIV/0!</v>
      </c>
      <c r="AN21" s="564" t="e">
        <f t="shared" si="2"/>
        <v>#DIV/0!</v>
      </c>
      <c r="AO21" s="426"/>
      <c r="AP21" s="426"/>
      <c r="AQ21" s="426"/>
      <c r="AR21" s="426"/>
      <c r="AS21" s="426"/>
      <c r="AT21" s="561" t="e">
        <f>AVERAGE(AO21:AS21)</f>
        <v>#DIV/0!</v>
      </c>
      <c r="AU21" s="426"/>
      <c r="AV21" s="426"/>
      <c r="AW21" s="426"/>
      <c r="AX21" s="426"/>
      <c r="AY21" s="426"/>
      <c r="AZ21" s="426"/>
      <c r="BA21" s="561" t="e">
        <f>AVERAGE(AU21:AZ21)</f>
        <v>#DIV/0!</v>
      </c>
      <c r="BB21" s="426"/>
      <c r="BC21" s="426"/>
      <c r="BD21" s="426"/>
      <c r="BE21" s="426"/>
      <c r="BF21" s="426"/>
      <c r="BG21" s="426"/>
      <c r="BH21" s="426"/>
      <c r="BI21" s="426"/>
      <c r="BJ21" s="426"/>
      <c r="BK21" s="426"/>
      <c r="BL21" s="561" t="e">
        <f>AVERAGE(BB21:BK21)</f>
        <v>#DIV/0!</v>
      </c>
      <c r="BM21" s="564" t="e">
        <f t="shared" si="0"/>
        <v>#DIV/0!</v>
      </c>
      <c r="BN21" s="426"/>
      <c r="BO21" s="426"/>
      <c r="BP21" s="426"/>
      <c r="BQ21" s="426"/>
      <c r="BR21" s="426"/>
      <c r="BS21" s="561" t="e">
        <f>AVERAGE(BN21:BR21)</f>
        <v>#DIV/0!</v>
      </c>
      <c r="BT21" s="426"/>
      <c r="BU21" s="426"/>
      <c r="BV21" s="426"/>
      <c r="BW21" s="426"/>
      <c r="BX21" s="426"/>
      <c r="BY21" s="426"/>
      <c r="BZ21" s="561" t="e">
        <f>AVERAGE(BT21:BY21)</f>
        <v>#DIV/0!</v>
      </c>
      <c r="CA21" s="426"/>
      <c r="CB21" s="426"/>
      <c r="CC21" s="426"/>
      <c r="CD21" s="426"/>
      <c r="CE21" s="426"/>
      <c r="CF21" s="426"/>
      <c r="CG21" s="426"/>
      <c r="CH21" s="426"/>
      <c r="CI21" s="426"/>
      <c r="CJ21" s="426"/>
      <c r="CK21" s="561" t="e">
        <f>AVERAGE(CA21:CJ21)</f>
        <v>#DIV/0!</v>
      </c>
      <c r="CL21" s="564" t="e">
        <f t="shared" si="1"/>
        <v>#DIV/0!</v>
      </c>
      <c r="CN21" s="684" t="str">
        <f>'Daily Observation'!D20</f>
        <v>EE</v>
      </c>
    </row>
    <row r="22" spans="2:92">
      <c r="B22" s="31" t="str">
        <f>'Student Data'!D21&amp;" "&amp;'Student Data'!C21</f>
        <v xml:space="preserve"> </v>
      </c>
      <c r="C22" s="526">
        <f>'PCB Nesting QA'!D21</f>
        <v>0</v>
      </c>
      <c r="D22" s="526">
        <f>'PCB Nesting QA'!E21</f>
        <v>0</v>
      </c>
      <c r="E22" s="526">
        <f>'PCB Nesting QA'!F21</f>
        <v>0</v>
      </c>
      <c r="F22" s="526">
        <f>'PCB Nesting QA'!G21</f>
        <v>0</v>
      </c>
      <c r="G22" s="526">
        <f>'PCB Nesting QA'!H21</f>
        <v>0</v>
      </c>
      <c r="H22" s="526">
        <f>'PCB Nesting QA'!I21</f>
        <v>0</v>
      </c>
      <c r="I22" s="526">
        <f>'PCB Nesting QA'!J21</f>
        <v>0</v>
      </c>
      <c r="J22" s="526">
        <f>'PCB Nesting QA'!K21</f>
        <v>0</v>
      </c>
      <c r="K22" s="526">
        <f>'PCB Nesting QA'!L21</f>
        <v>0</v>
      </c>
      <c r="L22" s="526">
        <f>'PCB Nesting QA'!M21</f>
        <v>0</v>
      </c>
      <c r="M22" s="526">
        <f>'PCB Nesting QA'!N21</f>
        <v>0</v>
      </c>
      <c r="N22" s="526">
        <f>'PCB Nesting QA'!O21</f>
        <v>0</v>
      </c>
      <c r="P22" s="426"/>
      <c r="Q22" s="426"/>
      <c r="R22" s="426"/>
      <c r="S22" s="426"/>
      <c r="T22" s="426"/>
      <c r="U22" s="561" t="e">
        <f>AVERAGE(P22:T22)</f>
        <v>#DIV/0!</v>
      </c>
      <c r="V22" s="426"/>
      <c r="W22" s="426"/>
      <c r="X22" s="426"/>
      <c r="Y22" s="426"/>
      <c r="Z22" s="426"/>
      <c r="AA22" s="426"/>
      <c r="AB22" s="561" t="e">
        <f>AVERAGE(V22:AA22)</f>
        <v>#DIV/0!</v>
      </c>
      <c r="AC22" s="426"/>
      <c r="AD22" s="426"/>
      <c r="AE22" s="426"/>
      <c r="AF22" s="426"/>
      <c r="AG22" s="426"/>
      <c r="AH22" s="426"/>
      <c r="AI22" s="426"/>
      <c r="AJ22" s="426"/>
      <c r="AK22" s="426"/>
      <c r="AL22" s="426"/>
      <c r="AM22" s="561" t="e">
        <f>AVERAGE(AD22:AL22)</f>
        <v>#DIV/0!</v>
      </c>
      <c r="AN22" s="564" t="e">
        <f t="shared" si="2"/>
        <v>#DIV/0!</v>
      </c>
      <c r="AO22" s="426"/>
      <c r="AP22" s="426"/>
      <c r="AQ22" s="426"/>
      <c r="AR22" s="426"/>
      <c r="AS22" s="426"/>
      <c r="AT22" s="561" t="e">
        <f>AVERAGE(AO22:AS22)</f>
        <v>#DIV/0!</v>
      </c>
      <c r="AU22" s="426"/>
      <c r="AV22" s="426"/>
      <c r="AW22" s="426"/>
      <c r="AX22" s="426"/>
      <c r="AY22" s="426"/>
      <c r="AZ22" s="426"/>
      <c r="BA22" s="561" t="e">
        <f>AVERAGE(AU22:AZ22)</f>
        <v>#DIV/0!</v>
      </c>
      <c r="BB22" s="426"/>
      <c r="BC22" s="426"/>
      <c r="BD22" s="426"/>
      <c r="BE22" s="426"/>
      <c r="BF22" s="426"/>
      <c r="BG22" s="426"/>
      <c r="BH22" s="426"/>
      <c r="BI22" s="426"/>
      <c r="BJ22" s="426"/>
      <c r="BK22" s="426"/>
      <c r="BL22" s="561" t="e">
        <f>AVERAGE(BB22:BK22)</f>
        <v>#DIV/0!</v>
      </c>
      <c r="BM22" s="564" t="e">
        <f t="shared" si="0"/>
        <v>#DIV/0!</v>
      </c>
      <c r="BN22" s="426"/>
      <c r="BO22" s="426"/>
      <c r="BP22" s="426"/>
      <c r="BQ22" s="426"/>
      <c r="BR22" s="426"/>
      <c r="BS22" s="561" t="e">
        <f>AVERAGE(BN22:BR22)</f>
        <v>#DIV/0!</v>
      </c>
      <c r="BT22" s="426"/>
      <c r="BU22" s="426"/>
      <c r="BV22" s="426"/>
      <c r="BW22" s="426"/>
      <c r="BX22" s="426"/>
      <c r="BY22" s="426"/>
      <c r="BZ22" s="561" t="e">
        <f>AVERAGE(BT22:BY22)</f>
        <v>#DIV/0!</v>
      </c>
      <c r="CA22" s="426"/>
      <c r="CB22" s="426"/>
      <c r="CC22" s="426"/>
      <c r="CD22" s="426"/>
      <c r="CE22" s="426"/>
      <c r="CF22" s="426"/>
      <c r="CG22" s="426"/>
      <c r="CH22" s="426"/>
      <c r="CI22" s="426"/>
      <c r="CJ22" s="426"/>
      <c r="CK22" s="561" t="e">
        <f>AVERAGE(CA22:CJ22)</f>
        <v>#DIV/0!</v>
      </c>
      <c r="CL22" s="564" t="e">
        <f t="shared" si="1"/>
        <v>#DIV/0!</v>
      </c>
      <c r="CN22" s="684" t="str">
        <f>'Daily Observation'!D21</f>
        <v>EE</v>
      </c>
    </row>
    <row r="23" spans="2:92">
      <c r="B23" s="31" t="str">
        <f>'Student Data'!D22&amp;" "&amp;'Student Data'!C22</f>
        <v xml:space="preserve"> </v>
      </c>
      <c r="C23" s="526">
        <f>'PCB Nesting QA'!D22</f>
        <v>0</v>
      </c>
      <c r="D23" s="526">
        <f>'PCB Nesting QA'!E22</f>
        <v>0</v>
      </c>
      <c r="E23" s="526">
        <f>'PCB Nesting QA'!F22</f>
        <v>0</v>
      </c>
      <c r="F23" s="526">
        <f>'PCB Nesting QA'!G22</f>
        <v>0</v>
      </c>
      <c r="G23" s="526">
        <f>'PCB Nesting QA'!H22</f>
        <v>0</v>
      </c>
      <c r="H23" s="526">
        <f>'PCB Nesting QA'!I22</f>
        <v>0</v>
      </c>
      <c r="I23" s="526">
        <f>'PCB Nesting QA'!J22</f>
        <v>0</v>
      </c>
      <c r="J23" s="526">
        <f>'PCB Nesting QA'!K22</f>
        <v>0</v>
      </c>
      <c r="K23" s="526">
        <f>'PCB Nesting QA'!L22</f>
        <v>0</v>
      </c>
      <c r="L23" s="526">
        <f>'PCB Nesting QA'!M22</f>
        <v>0</v>
      </c>
      <c r="M23" s="526">
        <f>'PCB Nesting QA'!N22</f>
        <v>0</v>
      </c>
      <c r="N23" s="526">
        <f>'PCB Nesting QA'!O22</f>
        <v>0</v>
      </c>
      <c r="P23" s="426"/>
      <c r="Q23" s="426"/>
      <c r="R23" s="426"/>
      <c r="S23" s="426"/>
      <c r="T23" s="426"/>
      <c r="U23" s="561" t="e">
        <f>AVERAGE(P23:T23)</f>
        <v>#DIV/0!</v>
      </c>
      <c r="V23" s="426"/>
      <c r="W23" s="426"/>
      <c r="X23" s="426"/>
      <c r="Y23" s="426"/>
      <c r="Z23" s="426"/>
      <c r="AA23" s="426"/>
      <c r="AB23" s="561" t="e">
        <f>AVERAGE(V23:AA23)</f>
        <v>#DIV/0!</v>
      </c>
      <c r="AC23" s="426"/>
      <c r="AD23" s="426"/>
      <c r="AE23" s="426"/>
      <c r="AF23" s="426"/>
      <c r="AG23" s="426"/>
      <c r="AH23" s="426"/>
      <c r="AI23" s="426"/>
      <c r="AJ23" s="426"/>
      <c r="AK23" s="426"/>
      <c r="AL23" s="426"/>
      <c r="AM23" s="561" t="e">
        <f>AVERAGE(AD23:AL23)</f>
        <v>#DIV/0!</v>
      </c>
      <c r="AN23" s="564" t="e">
        <f t="shared" si="2"/>
        <v>#DIV/0!</v>
      </c>
      <c r="AO23" s="426"/>
      <c r="AP23" s="426"/>
      <c r="AQ23" s="426"/>
      <c r="AR23" s="426"/>
      <c r="AS23" s="426"/>
      <c r="AT23" s="561" t="e">
        <f>AVERAGE(AO23:AS23)</f>
        <v>#DIV/0!</v>
      </c>
      <c r="AU23" s="426"/>
      <c r="AV23" s="426"/>
      <c r="AW23" s="426"/>
      <c r="AX23" s="426"/>
      <c r="AY23" s="426"/>
      <c r="AZ23" s="426"/>
      <c r="BA23" s="561" t="e">
        <f>AVERAGE(AU23:AZ23)</f>
        <v>#DIV/0!</v>
      </c>
      <c r="BB23" s="426"/>
      <c r="BC23" s="426"/>
      <c r="BD23" s="426"/>
      <c r="BE23" s="426"/>
      <c r="BF23" s="426"/>
      <c r="BG23" s="426"/>
      <c r="BH23" s="426"/>
      <c r="BI23" s="426"/>
      <c r="BJ23" s="426"/>
      <c r="BK23" s="426"/>
      <c r="BL23" s="561" t="e">
        <f>AVERAGE(BB23:BK23)</f>
        <v>#DIV/0!</v>
      </c>
      <c r="BM23" s="564" t="e">
        <f t="shared" si="0"/>
        <v>#DIV/0!</v>
      </c>
      <c r="BN23" s="426"/>
      <c r="BO23" s="426"/>
      <c r="BP23" s="426"/>
      <c r="BQ23" s="426"/>
      <c r="BR23" s="426"/>
      <c r="BS23" s="561" t="e">
        <f>AVERAGE(BN23:BR23)</f>
        <v>#DIV/0!</v>
      </c>
      <c r="BT23" s="426"/>
      <c r="BU23" s="426"/>
      <c r="BV23" s="426"/>
      <c r="BW23" s="426"/>
      <c r="BX23" s="426"/>
      <c r="BY23" s="426"/>
      <c r="BZ23" s="561" t="e">
        <f>AVERAGE(BT23:BY23)</f>
        <v>#DIV/0!</v>
      </c>
      <c r="CA23" s="426"/>
      <c r="CB23" s="426"/>
      <c r="CC23" s="426"/>
      <c r="CD23" s="426"/>
      <c r="CE23" s="426"/>
      <c r="CF23" s="426"/>
      <c r="CG23" s="426"/>
      <c r="CH23" s="426"/>
      <c r="CI23" s="426"/>
      <c r="CJ23" s="426"/>
      <c r="CK23" s="561" t="e">
        <f>AVERAGE(CA23:CJ23)</f>
        <v>#DIV/0!</v>
      </c>
      <c r="CL23" s="564" t="e">
        <f t="shared" si="1"/>
        <v>#DIV/0!</v>
      </c>
      <c r="CN23" s="684" t="str">
        <f>'Daily Observation'!D22</f>
        <v>EE</v>
      </c>
    </row>
    <row r="24" spans="2:92">
      <c r="B24" s="395"/>
      <c r="C24" s="395"/>
      <c r="D24" s="395"/>
      <c r="E24" s="395"/>
      <c r="F24" s="395"/>
      <c r="G24" s="395"/>
      <c r="H24" s="395"/>
      <c r="I24" s="395"/>
      <c r="J24" s="395"/>
      <c r="K24" s="395"/>
      <c r="L24" s="395"/>
      <c r="M24" s="395"/>
      <c r="N24" s="395"/>
    </row>
    <row r="25" spans="2:92">
      <c r="B25" s="1019" t="s">
        <v>678</v>
      </c>
      <c r="C25" s="1021" t="s">
        <v>679</v>
      </c>
      <c r="D25" s="1021"/>
      <c r="E25" s="1021"/>
      <c r="F25" s="1022" t="s">
        <v>680</v>
      </c>
      <c r="G25" s="1022"/>
      <c r="H25" s="1022"/>
      <c r="I25" s="1016" t="s">
        <v>681</v>
      </c>
      <c r="J25" s="1017"/>
      <c r="K25" s="1018"/>
      <c r="L25" s="395"/>
      <c r="M25" s="395"/>
      <c r="N25" s="395"/>
    </row>
    <row r="26" spans="2:92">
      <c r="B26" s="1020"/>
      <c r="C26" s="405" t="s">
        <v>682</v>
      </c>
      <c r="D26" s="406" t="s">
        <v>683</v>
      </c>
      <c r="E26" s="406" t="s">
        <v>684</v>
      </c>
      <c r="F26" s="405" t="s">
        <v>682</v>
      </c>
      <c r="G26" s="406" t="s">
        <v>683</v>
      </c>
      <c r="H26" s="406" t="s">
        <v>684</v>
      </c>
      <c r="I26" s="405" t="s">
        <v>682</v>
      </c>
      <c r="J26" s="406" t="s">
        <v>683</v>
      </c>
      <c r="K26" s="406" t="s">
        <v>684</v>
      </c>
    </row>
    <row r="27" spans="2:92">
      <c r="B27" s="404" t="s">
        <v>685</v>
      </c>
      <c r="C27" s="402" t="s">
        <v>686</v>
      </c>
      <c r="D27" s="408">
        <v>0.75</v>
      </c>
      <c r="E27" s="407" t="s">
        <v>687</v>
      </c>
      <c r="F27" s="402" t="s">
        <v>686</v>
      </c>
      <c r="G27" s="408">
        <v>0.75</v>
      </c>
      <c r="H27" s="407" t="s">
        <v>687</v>
      </c>
      <c r="I27" s="402" t="s">
        <v>686</v>
      </c>
      <c r="J27" s="408">
        <v>0.75</v>
      </c>
      <c r="K27" s="407" t="s">
        <v>687</v>
      </c>
      <c r="L27" s="662">
        <v>0.4</v>
      </c>
    </row>
    <row r="28" spans="2:92">
      <c r="B28" s="404" t="s">
        <v>661</v>
      </c>
      <c r="C28" s="403" t="s">
        <v>688</v>
      </c>
      <c r="D28" s="402" t="s">
        <v>689</v>
      </c>
      <c r="E28" s="402" t="s">
        <v>690</v>
      </c>
      <c r="F28" s="402" t="s">
        <v>691</v>
      </c>
      <c r="G28" s="402" t="s">
        <v>692</v>
      </c>
      <c r="H28" s="402" t="s">
        <v>693</v>
      </c>
      <c r="I28" s="402" t="s">
        <v>694</v>
      </c>
      <c r="J28" s="403" t="s">
        <v>695</v>
      </c>
      <c r="K28" s="402" t="s">
        <v>696</v>
      </c>
      <c r="L28" s="662">
        <v>0.15</v>
      </c>
    </row>
    <row r="29" spans="2:92">
      <c r="B29" s="404" t="s">
        <v>697</v>
      </c>
      <c r="C29" s="403" t="s">
        <v>698</v>
      </c>
      <c r="D29" s="402" t="s">
        <v>699</v>
      </c>
      <c r="E29" s="402" t="s">
        <v>700</v>
      </c>
      <c r="F29" s="402" t="s">
        <v>701</v>
      </c>
      <c r="G29" s="402" t="s">
        <v>702</v>
      </c>
      <c r="H29" s="402" t="s">
        <v>703</v>
      </c>
      <c r="I29" s="402" t="s">
        <v>704</v>
      </c>
      <c r="J29" s="403" t="s">
        <v>705</v>
      </c>
      <c r="K29" s="402" t="s">
        <v>706</v>
      </c>
      <c r="L29" s="662">
        <v>0.3</v>
      </c>
    </row>
    <row r="30" spans="2:92">
      <c r="B30" s="404" t="s">
        <v>662</v>
      </c>
      <c r="C30" s="417" t="s">
        <v>707</v>
      </c>
      <c r="D30" s="418" t="s">
        <v>708</v>
      </c>
      <c r="E30" s="417" t="s">
        <v>709</v>
      </c>
      <c r="F30" s="417" t="s">
        <v>707</v>
      </c>
      <c r="G30" s="418" t="s">
        <v>708</v>
      </c>
      <c r="H30" s="417" t="s">
        <v>709</v>
      </c>
      <c r="I30" s="417" t="s">
        <v>707</v>
      </c>
      <c r="J30" s="418" t="s">
        <v>708</v>
      </c>
      <c r="K30" s="417" t="s">
        <v>709</v>
      </c>
      <c r="L30" s="662">
        <v>0.1</v>
      </c>
    </row>
    <row r="31" spans="2:92">
      <c r="B31" s="404" t="s">
        <v>710</v>
      </c>
      <c r="C31" s="403" t="s">
        <v>711</v>
      </c>
      <c r="D31" s="402">
        <v>0</v>
      </c>
      <c r="E31" s="402">
        <v>0</v>
      </c>
      <c r="F31" s="403" t="s">
        <v>711</v>
      </c>
      <c r="G31" s="402">
        <v>0</v>
      </c>
      <c r="H31" s="402">
        <v>0</v>
      </c>
      <c r="I31" s="403" t="s">
        <v>711</v>
      </c>
      <c r="J31" s="402">
        <v>0</v>
      </c>
      <c r="K31" s="402">
        <v>0</v>
      </c>
      <c r="L31" s="662">
        <v>0.05</v>
      </c>
    </row>
    <row r="32" spans="2:92"/>
    <row r="33" spans="2:14">
      <c r="B33" s="395"/>
      <c r="C33" s="395"/>
      <c r="D33" s="395"/>
      <c r="E33" s="395"/>
      <c r="F33" s="395"/>
      <c r="G33" s="395"/>
      <c r="H33" s="395"/>
      <c r="I33" s="395"/>
      <c r="J33" s="395"/>
      <c r="K33" s="395"/>
      <c r="L33" s="395"/>
      <c r="M33" s="395"/>
      <c r="N33" s="395"/>
    </row>
    <row r="34" spans="2:14">
      <c r="B34" s="395"/>
      <c r="C34" s="395"/>
      <c r="D34" s="395"/>
      <c r="E34" s="395"/>
      <c r="F34" s="395"/>
      <c r="G34" s="395"/>
      <c r="H34" s="395"/>
      <c r="I34" s="395"/>
      <c r="J34" s="395"/>
      <c r="K34" s="395"/>
      <c r="L34" s="395"/>
      <c r="M34" s="395"/>
      <c r="N34" s="395"/>
    </row>
    <row r="35" spans="2:14">
      <c r="B35" s="395"/>
      <c r="C35" s="395"/>
      <c r="D35" s="395"/>
      <c r="E35" s="395"/>
      <c r="F35" s="395"/>
      <c r="G35" s="395"/>
      <c r="H35" s="395"/>
      <c r="I35" s="395"/>
      <c r="J35" s="395"/>
      <c r="K35" s="395"/>
      <c r="L35" s="395"/>
      <c r="M35" s="395"/>
      <c r="N35" s="395"/>
    </row>
    <row r="36" spans="2:14">
      <c r="B36" s="395"/>
      <c r="C36" s="395"/>
      <c r="D36" s="395"/>
      <c r="E36" s="395"/>
      <c r="F36" s="395"/>
      <c r="G36" s="395"/>
      <c r="H36" s="395"/>
      <c r="I36" s="395"/>
      <c r="J36" s="395"/>
      <c r="K36" s="395"/>
      <c r="L36" s="395"/>
      <c r="M36" s="395"/>
      <c r="N36" s="395"/>
    </row>
    <row r="37" spans="2:14">
      <c r="B37" s="395"/>
      <c r="C37" s="395"/>
      <c r="D37" s="395"/>
      <c r="E37" s="395"/>
      <c r="F37" s="395"/>
      <c r="G37" s="395"/>
      <c r="H37" s="395"/>
      <c r="I37" s="395"/>
      <c r="J37" s="395"/>
      <c r="K37" s="395"/>
      <c r="L37" s="395"/>
      <c r="M37" s="395"/>
      <c r="N37" s="395"/>
    </row>
    <row r="38" spans="2:14">
      <c r="B38" s="395"/>
      <c r="C38" s="395"/>
      <c r="D38" s="395"/>
      <c r="E38" s="395"/>
      <c r="F38" s="395"/>
      <c r="G38" s="395"/>
      <c r="H38" s="395"/>
      <c r="I38" s="395"/>
      <c r="J38" s="395"/>
      <c r="K38" s="395"/>
      <c r="L38" s="395"/>
      <c r="M38" s="395"/>
      <c r="N38" s="395"/>
    </row>
    <row r="39" spans="2:14">
      <c r="B39" s="395"/>
      <c r="C39" s="395"/>
      <c r="D39" s="395"/>
      <c r="E39" s="395"/>
      <c r="F39" s="395"/>
      <c r="G39" s="395"/>
      <c r="H39" s="395"/>
      <c r="I39" s="395"/>
      <c r="J39" s="395"/>
      <c r="K39" s="395"/>
      <c r="L39" s="395"/>
      <c r="M39" s="395"/>
      <c r="N39" s="395"/>
    </row>
    <row r="40" spans="2:14">
      <c r="B40" s="395"/>
      <c r="C40" s="395"/>
      <c r="D40" s="395"/>
      <c r="E40" s="395"/>
      <c r="F40" s="395"/>
      <c r="G40" s="395"/>
      <c r="H40" s="395"/>
      <c r="I40" s="395"/>
      <c r="J40" s="395"/>
      <c r="K40" s="395"/>
      <c r="L40" s="395"/>
      <c r="M40" s="395"/>
      <c r="N40" s="395"/>
    </row>
    <row r="41" spans="2:14">
      <c r="B41" s="395"/>
      <c r="C41" s="395"/>
      <c r="D41" s="395"/>
      <c r="E41" s="395"/>
      <c r="F41" s="395"/>
      <c r="G41" s="395"/>
      <c r="H41" s="395"/>
      <c r="I41" s="395"/>
      <c r="J41" s="395"/>
      <c r="K41" s="395"/>
      <c r="L41" s="395"/>
      <c r="M41" s="395"/>
      <c r="N41" s="395"/>
    </row>
    <row r="42" spans="2:14">
      <c r="B42" s="395"/>
      <c r="C42" s="395"/>
      <c r="D42" s="395"/>
      <c r="E42" s="395"/>
      <c r="F42" s="395"/>
      <c r="G42" s="395"/>
      <c r="H42" s="395"/>
      <c r="I42" s="395"/>
      <c r="J42" s="395"/>
      <c r="K42" s="395"/>
      <c r="L42" s="395"/>
      <c r="M42" s="395"/>
      <c r="N42" s="395"/>
    </row>
    <row r="43" spans="2:14">
      <c r="B43" s="395"/>
      <c r="C43" s="395"/>
      <c r="D43" s="395"/>
      <c r="E43" s="395"/>
      <c r="F43" s="395"/>
      <c r="G43" s="395"/>
      <c r="H43" s="395"/>
      <c r="I43" s="395"/>
      <c r="J43" s="395"/>
      <c r="K43" s="395"/>
      <c r="L43" s="395"/>
      <c r="M43" s="395"/>
      <c r="N43" s="395"/>
    </row>
    <row r="44" spans="2:14">
      <c r="B44" s="395"/>
      <c r="C44" s="395"/>
      <c r="D44" s="395"/>
      <c r="E44" s="395"/>
      <c r="F44" s="395"/>
      <c r="G44" s="395"/>
      <c r="H44" s="395"/>
      <c r="I44" s="395"/>
      <c r="J44" s="395"/>
      <c r="K44" s="395"/>
      <c r="L44" s="395"/>
      <c r="M44" s="395"/>
      <c r="N44" s="395"/>
    </row>
    <row r="45" spans="2:14">
      <c r="B45" s="395"/>
      <c r="C45" s="395"/>
      <c r="D45" s="395"/>
      <c r="E45" s="395"/>
      <c r="F45" s="395"/>
      <c r="G45" s="395"/>
      <c r="H45" s="395"/>
      <c r="I45" s="395"/>
      <c r="J45" s="395"/>
      <c r="K45" s="395"/>
      <c r="L45" s="395"/>
      <c r="M45" s="395"/>
      <c r="N45" s="395"/>
    </row>
    <row r="46" spans="2:14">
      <c r="B46" s="395"/>
      <c r="C46" s="395"/>
      <c r="D46" s="395"/>
      <c r="E46" s="395"/>
      <c r="F46" s="395"/>
      <c r="G46" s="395"/>
      <c r="H46" s="395"/>
      <c r="I46" s="395"/>
      <c r="J46" s="395"/>
      <c r="K46" s="395"/>
      <c r="L46" s="395"/>
      <c r="M46" s="395"/>
      <c r="N46" s="395"/>
    </row>
    <row r="47" spans="2:14">
      <c r="B47" s="395"/>
      <c r="C47" s="395"/>
      <c r="D47" s="395"/>
      <c r="E47" s="395"/>
      <c r="F47" s="395"/>
      <c r="G47" s="395"/>
      <c r="H47" s="395"/>
      <c r="I47" s="395"/>
      <c r="J47" s="395"/>
      <c r="K47" s="395"/>
      <c r="L47" s="395"/>
      <c r="M47" s="395"/>
      <c r="N47" s="395"/>
    </row>
    <row r="48" spans="2:14">
      <c r="B48" s="395"/>
      <c r="C48" s="395"/>
      <c r="D48" s="395"/>
      <c r="E48" s="395"/>
      <c r="F48" s="395"/>
      <c r="G48" s="395"/>
      <c r="H48" s="395"/>
      <c r="I48" s="395"/>
      <c r="J48" s="395"/>
      <c r="K48" s="395"/>
      <c r="L48" s="395"/>
      <c r="M48" s="395"/>
      <c r="N48" s="395"/>
    </row>
    <row r="49" spans="2:14">
      <c r="B49" s="395"/>
      <c r="C49" s="395"/>
      <c r="D49" s="395"/>
      <c r="E49" s="395"/>
      <c r="F49" s="395"/>
      <c r="G49" s="395"/>
      <c r="H49" s="395"/>
      <c r="I49" s="395"/>
      <c r="J49" s="395"/>
      <c r="K49" s="395"/>
      <c r="L49" s="395"/>
      <c r="M49" s="395"/>
      <c r="N49" s="395"/>
    </row>
    <row r="50" spans="2:14">
      <c r="B50" s="395"/>
      <c r="C50" s="395"/>
      <c r="D50" s="395"/>
      <c r="E50" s="395"/>
      <c r="F50" s="395"/>
      <c r="G50" s="395"/>
      <c r="H50" s="395"/>
      <c r="I50" s="395"/>
      <c r="J50" s="395"/>
      <c r="K50" s="395"/>
      <c r="L50" s="395"/>
      <c r="M50" s="395"/>
      <c r="N50" s="395"/>
    </row>
    <row r="51" spans="2:14">
      <c r="B51" s="395"/>
      <c r="C51" s="395"/>
      <c r="D51" s="395"/>
      <c r="E51" s="395"/>
      <c r="F51" s="395"/>
      <c r="G51" s="395"/>
      <c r="H51" s="395"/>
      <c r="I51" s="395"/>
      <c r="J51" s="395"/>
      <c r="K51" s="395"/>
      <c r="L51" s="395"/>
      <c r="M51" s="395"/>
      <c r="N51" s="395"/>
    </row>
    <row r="52" spans="2:14">
      <c r="B52" s="395"/>
      <c r="C52" s="395"/>
      <c r="D52" s="395"/>
      <c r="E52" s="395"/>
      <c r="F52" s="395"/>
      <c r="G52" s="395"/>
      <c r="H52" s="395"/>
      <c r="I52" s="395"/>
      <c r="J52" s="395"/>
      <c r="K52" s="395"/>
      <c r="L52" s="395"/>
      <c r="M52" s="395"/>
      <c r="N52" s="395"/>
    </row>
    <row r="53" spans="2:14">
      <c r="B53" s="395" t="str">
        <f>'Student Data'!D24&amp;" "&amp;'Student Data'!C24</f>
        <v xml:space="preserve"> </v>
      </c>
      <c r="C53" s="395"/>
      <c r="D53" s="395"/>
      <c r="E53" s="395"/>
      <c r="F53" s="395"/>
      <c r="G53" s="395"/>
      <c r="H53" s="395"/>
      <c r="I53" s="395"/>
      <c r="J53" s="395"/>
      <c r="K53" s="395"/>
      <c r="L53" s="395"/>
      <c r="M53" s="395"/>
      <c r="N53" s="395"/>
    </row>
    <row r="54" spans="2:14">
      <c r="B54" s="395"/>
      <c r="C54" s="395"/>
      <c r="D54" s="395"/>
      <c r="E54" s="395"/>
      <c r="F54" s="395"/>
      <c r="G54" s="395"/>
      <c r="H54" s="395"/>
      <c r="I54" s="395"/>
      <c r="J54" s="395"/>
      <c r="K54" s="395"/>
      <c r="L54" s="395"/>
      <c r="M54" s="395"/>
      <c r="N54" s="395"/>
    </row>
    <row r="55" spans="2:14">
      <c r="B55" s="395"/>
      <c r="C55" s="395"/>
      <c r="D55" s="395"/>
      <c r="E55" s="395"/>
      <c r="F55" s="395"/>
      <c r="G55" s="395"/>
      <c r="H55" s="395"/>
      <c r="I55" s="395"/>
      <c r="J55" s="395"/>
      <c r="K55" s="395"/>
      <c r="L55" s="395"/>
      <c r="M55" s="395"/>
      <c r="N55" s="395"/>
    </row>
    <row r="56" spans="2:14">
      <c r="B56" s="395"/>
      <c r="C56" s="395"/>
      <c r="D56" s="395"/>
      <c r="E56" s="395"/>
      <c r="F56" s="395"/>
      <c r="G56" s="395"/>
      <c r="H56" s="395"/>
      <c r="I56" s="395"/>
      <c r="J56" s="395"/>
      <c r="K56" s="395"/>
      <c r="L56" s="395"/>
      <c r="M56" s="395"/>
      <c r="N56" s="395"/>
    </row>
    <row r="57" spans="2:14">
      <c r="B57" s="395" t="str">
        <f>'Student Data'!D25&amp;" "&amp;'Student Data'!C25</f>
        <v xml:space="preserve"> </v>
      </c>
      <c r="C57" s="395"/>
      <c r="D57" s="395"/>
      <c r="E57" s="395"/>
      <c r="F57" s="395"/>
      <c r="G57" s="395"/>
      <c r="H57" s="395"/>
      <c r="I57" s="395"/>
      <c r="J57" s="395"/>
      <c r="K57" s="395"/>
      <c r="L57" s="395"/>
      <c r="M57" s="395"/>
      <c r="N57" s="395"/>
    </row>
    <row r="58" spans="2:14">
      <c r="B58" s="395"/>
      <c r="C58" s="395"/>
      <c r="D58" s="395"/>
      <c r="E58" s="395"/>
      <c r="F58" s="395"/>
      <c r="G58" s="395"/>
      <c r="H58" s="395"/>
      <c r="I58" s="395"/>
      <c r="J58" s="395"/>
      <c r="K58" s="395"/>
      <c r="L58" s="395"/>
      <c r="M58" s="395"/>
      <c r="N58" s="395"/>
    </row>
    <row r="59" spans="2:14">
      <c r="B59" s="395"/>
      <c r="C59" s="395"/>
      <c r="D59" s="395"/>
      <c r="E59" s="395"/>
      <c r="F59" s="395"/>
      <c r="G59" s="395"/>
      <c r="H59" s="395"/>
      <c r="I59" s="395"/>
      <c r="J59" s="395"/>
      <c r="K59" s="395"/>
      <c r="L59" s="395"/>
      <c r="M59" s="395"/>
      <c r="N59" s="395"/>
    </row>
    <row r="60" spans="2:14">
      <c r="B60" s="395"/>
      <c r="C60" s="395"/>
      <c r="D60" s="395"/>
      <c r="E60" s="395"/>
      <c r="F60" s="395"/>
      <c r="G60" s="395"/>
      <c r="H60" s="395"/>
      <c r="I60" s="395"/>
      <c r="J60" s="395"/>
      <c r="K60" s="395"/>
      <c r="L60" s="395"/>
      <c r="M60" s="395"/>
      <c r="N60" s="395"/>
    </row>
    <row r="61" spans="2:14">
      <c r="B61" s="395" t="str">
        <f>'Student Data'!D26&amp;" "&amp;'Student Data'!C26</f>
        <v xml:space="preserve"> </v>
      </c>
      <c r="C61" s="395"/>
      <c r="D61" s="395"/>
      <c r="E61" s="395"/>
      <c r="F61" s="395"/>
      <c r="G61" s="395"/>
      <c r="H61" s="395"/>
      <c r="I61" s="395"/>
      <c r="J61" s="395"/>
      <c r="K61" s="395"/>
      <c r="L61" s="395"/>
      <c r="M61" s="395"/>
      <c r="N61" s="395"/>
    </row>
    <row r="62" spans="2:14">
      <c r="B62" s="395"/>
      <c r="C62" s="395"/>
      <c r="D62" s="395"/>
      <c r="E62" s="395"/>
      <c r="F62" s="395"/>
      <c r="G62" s="395"/>
      <c r="H62" s="395"/>
      <c r="I62" s="395"/>
      <c r="J62" s="395"/>
      <c r="K62" s="395"/>
      <c r="L62" s="395"/>
      <c r="M62" s="395"/>
      <c r="N62" s="395"/>
    </row>
    <row r="63" spans="2:14">
      <c r="B63" s="395"/>
      <c r="C63" s="395"/>
      <c r="D63" s="395"/>
      <c r="E63" s="395"/>
      <c r="F63" s="395"/>
      <c r="G63" s="395"/>
      <c r="H63" s="395"/>
      <c r="I63" s="395"/>
      <c r="J63" s="395"/>
      <c r="K63" s="395"/>
      <c r="L63" s="395"/>
      <c r="M63" s="395"/>
      <c r="N63" s="395"/>
    </row>
    <row r="64" spans="2:14">
      <c r="B64" s="395"/>
      <c r="C64" s="395"/>
      <c r="D64" s="395"/>
      <c r="E64" s="395"/>
      <c r="F64" s="395"/>
      <c r="G64" s="395"/>
      <c r="H64" s="395"/>
      <c r="I64" s="395"/>
      <c r="J64" s="395"/>
      <c r="K64" s="395"/>
      <c r="L64" s="395"/>
      <c r="M64" s="395"/>
      <c r="N64" s="395"/>
    </row>
    <row r="65" spans="2:14">
      <c r="B65" s="395" t="str">
        <f>'Student Data'!D27&amp;" "&amp;'Student Data'!C27</f>
        <v xml:space="preserve"> </v>
      </c>
      <c r="C65" s="395"/>
      <c r="D65" s="395"/>
      <c r="E65" s="395"/>
      <c r="F65" s="395"/>
      <c r="G65" s="395"/>
      <c r="H65" s="395"/>
      <c r="I65" s="395"/>
      <c r="J65" s="395"/>
      <c r="K65" s="395"/>
      <c r="L65" s="395"/>
      <c r="M65" s="395"/>
      <c r="N65" s="395"/>
    </row>
    <row r="66" spans="2:14">
      <c r="B66" s="395"/>
      <c r="C66" s="395"/>
      <c r="D66" s="395"/>
      <c r="E66" s="395"/>
      <c r="F66" s="395"/>
      <c r="G66" s="395"/>
      <c r="H66" s="395"/>
      <c r="I66" s="395"/>
      <c r="J66" s="395"/>
      <c r="K66" s="395"/>
      <c r="L66" s="395"/>
      <c r="M66" s="395"/>
      <c r="N66" s="395"/>
    </row>
    <row r="67" spans="2:14">
      <c r="B67" s="395"/>
      <c r="C67" s="395"/>
      <c r="D67" s="395"/>
      <c r="E67" s="395"/>
      <c r="F67" s="395"/>
      <c r="G67" s="395"/>
      <c r="H67" s="395"/>
      <c r="I67" s="395"/>
      <c r="J67" s="395"/>
      <c r="K67" s="395"/>
      <c r="L67" s="395"/>
      <c r="M67" s="395"/>
      <c r="N67" s="395"/>
    </row>
    <row r="68" spans="2:14">
      <c r="B68" s="395"/>
      <c r="C68" s="395"/>
      <c r="D68" s="395"/>
      <c r="E68" s="395"/>
      <c r="F68" s="395"/>
      <c r="G68" s="395"/>
      <c r="H68" s="395"/>
      <c r="I68" s="395"/>
      <c r="J68" s="395"/>
      <c r="K68" s="395"/>
      <c r="L68" s="395"/>
      <c r="M68" s="395"/>
      <c r="N68" s="395"/>
    </row>
    <row r="69" spans="2:14">
      <c r="B69" s="395" t="str">
        <f>'Student Data'!D28&amp;" "&amp;'Student Data'!C28</f>
        <v xml:space="preserve"> </v>
      </c>
      <c r="C69" s="395"/>
      <c r="D69" s="395"/>
      <c r="E69" s="395"/>
      <c r="F69" s="395"/>
      <c r="G69" s="395"/>
      <c r="H69" s="395"/>
      <c r="I69" s="395"/>
      <c r="J69" s="395"/>
      <c r="K69" s="395"/>
      <c r="L69" s="395"/>
      <c r="M69" s="395"/>
      <c r="N69" s="395"/>
    </row>
    <row r="70" spans="2:14">
      <c r="B70" s="395"/>
      <c r="C70" s="395"/>
      <c r="D70" s="395"/>
      <c r="E70" s="395"/>
      <c r="F70" s="395"/>
      <c r="G70" s="395"/>
      <c r="H70" s="395"/>
      <c r="I70" s="395"/>
      <c r="J70" s="395"/>
      <c r="K70" s="395"/>
      <c r="L70" s="395"/>
      <c r="M70" s="395"/>
      <c r="N70" s="395"/>
    </row>
    <row r="71" spans="2:14">
      <c r="B71" s="395"/>
      <c r="C71" s="395"/>
      <c r="D71" s="395"/>
      <c r="E71" s="395"/>
      <c r="F71" s="395"/>
      <c r="G71" s="395"/>
      <c r="H71" s="395"/>
      <c r="I71" s="395"/>
      <c r="J71" s="395"/>
      <c r="K71" s="395"/>
      <c r="L71" s="395"/>
      <c r="M71" s="395"/>
      <c r="N71" s="395"/>
    </row>
    <row r="72" spans="2:14">
      <c r="B72" s="395"/>
      <c r="C72" s="395"/>
      <c r="D72" s="395"/>
      <c r="E72" s="395"/>
      <c r="F72" s="395"/>
      <c r="G72" s="395"/>
      <c r="H72" s="395"/>
      <c r="I72" s="395"/>
      <c r="J72" s="395"/>
      <c r="K72" s="395"/>
      <c r="L72" s="395"/>
      <c r="M72" s="395"/>
      <c r="N72" s="395"/>
    </row>
    <row r="73" spans="2:14">
      <c r="B73" s="395" t="str">
        <f>'Student Data'!D29&amp;" "&amp;'Student Data'!C29</f>
        <v xml:space="preserve"> </v>
      </c>
      <c r="C73" s="395"/>
      <c r="D73" s="395"/>
      <c r="E73" s="395"/>
      <c r="F73" s="395"/>
      <c r="G73" s="395"/>
      <c r="H73" s="395"/>
      <c r="I73" s="395"/>
      <c r="J73" s="395"/>
      <c r="K73" s="395"/>
      <c r="L73" s="395"/>
      <c r="M73" s="395"/>
      <c r="N73" s="395"/>
    </row>
    <row r="74" spans="2:14">
      <c r="B74" s="395"/>
      <c r="C74" s="395"/>
      <c r="D74" s="395"/>
      <c r="E74" s="395"/>
      <c r="F74" s="395"/>
      <c r="G74" s="395"/>
      <c r="H74" s="395"/>
      <c r="I74" s="395"/>
      <c r="J74" s="395"/>
      <c r="K74" s="395"/>
      <c r="L74" s="395"/>
      <c r="M74" s="395"/>
      <c r="N74" s="395"/>
    </row>
    <row r="75" spans="2:14">
      <c r="B75" s="395"/>
      <c r="C75" s="395"/>
      <c r="D75" s="395"/>
      <c r="E75" s="395"/>
      <c r="F75" s="395"/>
      <c r="G75" s="395"/>
      <c r="H75" s="395"/>
      <c r="I75" s="395"/>
      <c r="J75" s="395"/>
      <c r="K75" s="395"/>
      <c r="L75" s="395"/>
      <c r="M75" s="395"/>
      <c r="N75" s="395"/>
    </row>
    <row r="76" spans="2:14">
      <c r="B76" s="395"/>
      <c r="C76" s="395"/>
      <c r="D76" s="395"/>
      <c r="E76" s="395"/>
      <c r="F76" s="395"/>
      <c r="G76" s="395"/>
      <c r="H76" s="395"/>
      <c r="I76" s="395"/>
      <c r="J76" s="395"/>
      <c r="K76" s="395"/>
      <c r="L76" s="395"/>
      <c r="M76" s="395"/>
      <c r="N76" s="395"/>
    </row>
    <row r="77" spans="2:14">
      <c r="B77" s="395" t="str">
        <f>'Student Data'!D30&amp;" "&amp;'Student Data'!C30</f>
        <v xml:space="preserve"> </v>
      </c>
      <c r="C77" s="395"/>
      <c r="D77" s="395"/>
      <c r="E77" s="395"/>
      <c r="F77" s="395"/>
      <c r="G77" s="395"/>
      <c r="H77" s="395"/>
      <c r="I77" s="395"/>
      <c r="J77" s="395"/>
      <c r="K77" s="395"/>
      <c r="L77" s="395"/>
      <c r="M77" s="395"/>
      <c r="N77" s="395"/>
    </row>
    <row r="78" spans="2:14">
      <c r="B78" s="395"/>
      <c r="C78" s="395"/>
      <c r="D78" s="395"/>
      <c r="E78" s="395"/>
      <c r="F78" s="395"/>
      <c r="G78" s="395"/>
      <c r="H78" s="395"/>
      <c r="I78" s="395"/>
      <c r="J78" s="395"/>
      <c r="K78" s="395"/>
      <c r="L78" s="395"/>
      <c r="M78" s="395"/>
      <c r="N78" s="395"/>
    </row>
    <row r="79" spans="2:14">
      <c r="B79" s="395"/>
      <c r="C79" s="395"/>
      <c r="D79" s="395"/>
      <c r="E79" s="395"/>
      <c r="F79" s="395"/>
      <c r="G79" s="395"/>
      <c r="H79" s="395"/>
      <c r="I79" s="395"/>
      <c r="J79" s="395"/>
      <c r="K79" s="395"/>
      <c r="L79" s="395"/>
      <c r="M79" s="395"/>
      <c r="N79" s="395"/>
    </row>
    <row r="80" spans="2:14">
      <c r="B80" s="395"/>
      <c r="C80" s="395"/>
      <c r="D80" s="395"/>
      <c r="E80" s="395"/>
      <c r="F80" s="395"/>
      <c r="G80" s="395"/>
      <c r="H80" s="395"/>
      <c r="I80" s="395"/>
      <c r="J80" s="395"/>
      <c r="K80" s="395"/>
      <c r="L80" s="395"/>
      <c r="M80" s="395"/>
      <c r="N80" s="395"/>
    </row>
    <row r="81" spans="2:14">
      <c r="B81" s="395" t="str">
        <f>'Student Data'!D31&amp;" "&amp;'Student Data'!C31</f>
        <v xml:space="preserve"> </v>
      </c>
      <c r="C81" s="395"/>
      <c r="D81" s="395"/>
      <c r="E81" s="395"/>
      <c r="F81" s="395"/>
      <c r="G81" s="395"/>
      <c r="H81" s="395"/>
      <c r="I81" s="395"/>
      <c r="J81" s="395"/>
      <c r="K81" s="395"/>
      <c r="L81" s="395"/>
      <c r="M81" s="395"/>
      <c r="N81" s="395"/>
    </row>
    <row r="82" spans="2:14">
      <c r="B82" s="395"/>
      <c r="C82" s="395"/>
      <c r="D82" s="395"/>
      <c r="E82" s="395"/>
      <c r="F82" s="395"/>
      <c r="G82" s="395"/>
      <c r="H82" s="395"/>
      <c r="I82" s="395"/>
      <c r="J82" s="395"/>
      <c r="K82" s="395"/>
      <c r="L82" s="395"/>
      <c r="M82" s="395"/>
      <c r="N82" s="395"/>
    </row>
    <row r="83" spans="2:14">
      <c r="B83" s="395"/>
      <c r="C83" s="395"/>
      <c r="D83" s="395"/>
      <c r="E83" s="395"/>
      <c r="F83" s="395"/>
      <c r="G83" s="395"/>
      <c r="H83" s="395"/>
      <c r="I83" s="395"/>
      <c r="J83" s="395"/>
      <c r="K83" s="395"/>
      <c r="L83" s="395"/>
      <c r="M83" s="395"/>
      <c r="N83" s="395"/>
    </row>
    <row r="84" spans="2:14">
      <c r="B84" s="395"/>
      <c r="C84" s="395"/>
      <c r="D84" s="395"/>
      <c r="E84" s="395"/>
      <c r="F84" s="395"/>
      <c r="G84" s="395"/>
      <c r="H84" s="395"/>
      <c r="I84" s="395"/>
      <c r="J84" s="395"/>
      <c r="K84" s="395"/>
      <c r="L84" s="395"/>
      <c r="M84" s="395"/>
      <c r="N84" s="395"/>
    </row>
    <row r="85" spans="2:14">
      <c r="B85" s="395" t="str">
        <f>'Student Data'!D32&amp;" "&amp;'Student Data'!C32</f>
        <v xml:space="preserve"> </v>
      </c>
      <c r="C85" s="395"/>
      <c r="D85" s="395"/>
      <c r="E85" s="395"/>
      <c r="F85" s="395"/>
      <c r="G85" s="395"/>
      <c r="H85" s="395"/>
      <c r="I85" s="395"/>
      <c r="J85" s="395"/>
      <c r="K85" s="395"/>
      <c r="L85" s="395"/>
      <c r="M85" s="395"/>
      <c r="N85" s="395"/>
    </row>
    <row r="86" spans="2:14">
      <c r="B86" s="395"/>
      <c r="C86" s="395"/>
      <c r="D86" s="395"/>
      <c r="E86" s="395"/>
      <c r="F86" s="395"/>
      <c r="G86" s="395"/>
      <c r="H86" s="395"/>
      <c r="I86" s="395"/>
      <c r="J86" s="395"/>
      <c r="K86" s="395"/>
      <c r="L86" s="395"/>
      <c r="M86" s="395"/>
      <c r="N86" s="395"/>
    </row>
    <row r="87" spans="2:14">
      <c r="B87" s="395"/>
      <c r="C87" s="395"/>
      <c r="D87" s="395"/>
      <c r="E87" s="395"/>
      <c r="F87" s="395"/>
      <c r="G87" s="395"/>
      <c r="H87" s="395"/>
      <c r="I87" s="395"/>
      <c r="J87" s="395"/>
      <c r="K87" s="395"/>
      <c r="L87" s="395"/>
      <c r="M87" s="395"/>
      <c r="N87" s="395"/>
    </row>
    <row r="88" spans="2:14">
      <c r="B88" s="395"/>
      <c r="C88" s="395"/>
      <c r="D88" s="395"/>
      <c r="E88" s="395"/>
      <c r="F88" s="395"/>
      <c r="G88" s="395"/>
      <c r="H88" s="395"/>
      <c r="I88" s="395"/>
      <c r="J88" s="395"/>
      <c r="K88" s="395"/>
      <c r="L88" s="395"/>
      <c r="M88" s="395"/>
      <c r="N88" s="395"/>
    </row>
    <row r="89" spans="2:14">
      <c r="B89" s="395" t="str">
        <f>'Student Data'!D33&amp;" "&amp;'Student Data'!C33</f>
        <v xml:space="preserve"> </v>
      </c>
      <c r="C89" s="395"/>
      <c r="D89" s="395"/>
      <c r="E89" s="395"/>
      <c r="F89" s="395"/>
      <c r="G89" s="395"/>
      <c r="H89" s="395"/>
      <c r="I89" s="395"/>
      <c r="J89" s="395"/>
      <c r="K89" s="395"/>
      <c r="L89" s="395"/>
      <c r="M89" s="395"/>
      <c r="N89" s="395"/>
    </row>
    <row r="90" spans="2:14">
      <c r="B90" s="395"/>
      <c r="C90" s="395"/>
      <c r="D90" s="395"/>
      <c r="E90" s="395"/>
      <c r="F90" s="395"/>
      <c r="G90" s="395"/>
      <c r="H90" s="395"/>
      <c r="I90" s="395"/>
      <c r="J90" s="395"/>
      <c r="K90" s="395"/>
      <c r="L90" s="395"/>
      <c r="M90" s="395"/>
      <c r="N90" s="395"/>
    </row>
    <row r="91" spans="2:14">
      <c r="B91" s="395"/>
      <c r="C91" s="395"/>
      <c r="D91" s="395"/>
      <c r="E91" s="395"/>
      <c r="F91" s="395"/>
      <c r="G91" s="395"/>
      <c r="H91" s="395"/>
      <c r="I91" s="395"/>
      <c r="J91" s="395"/>
      <c r="K91" s="395"/>
      <c r="L91" s="395"/>
      <c r="M91" s="395"/>
      <c r="N91" s="395"/>
    </row>
    <row r="92" spans="2:14">
      <c r="B92" s="395"/>
      <c r="C92" s="395"/>
      <c r="D92" s="395"/>
      <c r="E92" s="395"/>
      <c r="F92" s="395"/>
      <c r="G92" s="395"/>
      <c r="H92" s="395"/>
      <c r="I92" s="395"/>
      <c r="J92" s="395"/>
      <c r="K92" s="395"/>
      <c r="L92" s="395"/>
      <c r="M92" s="395"/>
      <c r="N92" s="395"/>
    </row>
    <row r="93" spans="2:14">
      <c r="B93" s="395" t="str">
        <f>'Student Data'!D34&amp;" "&amp;'Student Data'!C34</f>
        <v xml:space="preserve"> </v>
      </c>
      <c r="C93" s="395"/>
      <c r="D93" s="395"/>
      <c r="E93" s="395"/>
      <c r="F93" s="395"/>
      <c r="G93" s="395"/>
      <c r="H93" s="395"/>
      <c r="I93" s="395"/>
      <c r="J93" s="395"/>
      <c r="K93" s="395"/>
      <c r="L93" s="395"/>
      <c r="M93" s="395"/>
      <c r="N93" s="395"/>
    </row>
    <row r="94" spans="2:14">
      <c r="B94" s="395"/>
      <c r="C94" s="395"/>
      <c r="D94" s="395"/>
      <c r="E94" s="395"/>
      <c r="F94" s="395"/>
      <c r="G94" s="395"/>
      <c r="H94" s="395"/>
      <c r="I94" s="395"/>
      <c r="J94" s="395"/>
      <c r="K94" s="395"/>
      <c r="L94" s="395"/>
      <c r="M94" s="395"/>
      <c r="N94" s="395"/>
    </row>
    <row r="95" spans="2:14">
      <c r="B95" s="395"/>
      <c r="C95" s="395"/>
      <c r="D95" s="395"/>
      <c r="E95" s="395"/>
      <c r="F95" s="395"/>
      <c r="G95" s="395"/>
      <c r="H95" s="395"/>
      <c r="I95" s="395"/>
      <c r="J95" s="395"/>
      <c r="K95" s="395"/>
      <c r="L95" s="395"/>
      <c r="M95" s="395"/>
      <c r="N95" s="395"/>
    </row>
    <row r="96" spans="2:14">
      <c r="B96" s="395"/>
      <c r="C96" s="395"/>
      <c r="D96" s="395"/>
      <c r="E96" s="395"/>
      <c r="F96" s="395"/>
      <c r="G96" s="395"/>
      <c r="H96" s="395"/>
      <c r="I96" s="395"/>
      <c r="J96" s="395"/>
      <c r="K96" s="395"/>
      <c r="L96" s="395"/>
      <c r="M96" s="395"/>
      <c r="N96" s="395"/>
    </row>
    <row r="97" spans="2:14">
      <c r="B97" s="395" t="str">
        <f>'Student Data'!D35&amp;" "&amp;'Student Data'!C35</f>
        <v xml:space="preserve"> </v>
      </c>
      <c r="C97" s="395"/>
      <c r="D97" s="395"/>
      <c r="E97" s="395"/>
      <c r="F97" s="395"/>
      <c r="G97" s="395"/>
      <c r="H97" s="395"/>
      <c r="I97" s="395"/>
      <c r="J97" s="395"/>
      <c r="K97" s="395"/>
      <c r="L97" s="395"/>
      <c r="M97" s="395"/>
      <c r="N97" s="395"/>
    </row>
    <row r="98" spans="2:14">
      <c r="B98" s="395"/>
      <c r="C98" s="395"/>
      <c r="D98" s="395"/>
      <c r="E98" s="395"/>
      <c r="F98" s="395"/>
      <c r="G98" s="395"/>
      <c r="H98" s="395"/>
      <c r="I98" s="395"/>
      <c r="J98" s="395"/>
      <c r="K98" s="395"/>
      <c r="L98" s="395"/>
      <c r="M98" s="395"/>
      <c r="N98" s="395"/>
    </row>
    <row r="99" spans="2:14">
      <c r="B99" s="395"/>
      <c r="C99" s="395"/>
      <c r="D99" s="395"/>
      <c r="E99" s="395"/>
      <c r="F99" s="395"/>
      <c r="G99" s="395"/>
      <c r="H99" s="395"/>
      <c r="I99" s="395"/>
      <c r="J99" s="395"/>
      <c r="K99" s="395"/>
      <c r="L99" s="395"/>
      <c r="M99" s="395"/>
      <c r="N99" s="395"/>
    </row>
    <row r="100" spans="2:14">
      <c r="B100" s="395"/>
      <c r="C100" s="395"/>
      <c r="D100" s="395"/>
      <c r="E100" s="395"/>
      <c r="F100" s="395"/>
      <c r="G100" s="395"/>
      <c r="H100" s="395"/>
      <c r="I100" s="395"/>
      <c r="J100" s="395"/>
      <c r="K100" s="395"/>
      <c r="L100" s="395"/>
      <c r="M100" s="395"/>
      <c r="N100" s="395"/>
    </row>
    <row r="101" spans="2:14">
      <c r="B101" s="395" t="str">
        <f>'Student Data'!D36&amp;" "&amp;'Student Data'!C36</f>
        <v xml:space="preserve"> </v>
      </c>
      <c r="C101" s="395"/>
      <c r="D101" s="395"/>
      <c r="E101" s="395"/>
      <c r="F101" s="395"/>
      <c r="G101" s="395"/>
      <c r="H101" s="395"/>
      <c r="I101" s="395"/>
      <c r="J101" s="395"/>
      <c r="K101" s="395"/>
      <c r="L101" s="395"/>
      <c r="M101" s="395"/>
      <c r="N101" s="395"/>
    </row>
    <row r="102" spans="2:14">
      <c r="B102" s="395"/>
      <c r="C102" s="395"/>
      <c r="D102" s="395"/>
      <c r="E102" s="395"/>
      <c r="F102" s="395"/>
      <c r="G102" s="395"/>
      <c r="H102" s="395"/>
      <c r="I102" s="395"/>
      <c r="J102" s="395"/>
      <c r="K102" s="395"/>
      <c r="L102" s="395"/>
      <c r="M102" s="395"/>
      <c r="N102" s="395"/>
    </row>
    <row r="103" spans="2:14">
      <c r="B103" s="395"/>
      <c r="C103" s="395"/>
      <c r="D103" s="395"/>
      <c r="E103" s="395"/>
      <c r="F103" s="395"/>
      <c r="G103" s="395"/>
      <c r="H103" s="395"/>
      <c r="I103" s="395"/>
      <c r="J103" s="395"/>
      <c r="K103" s="395"/>
      <c r="L103" s="395"/>
      <c r="M103" s="395"/>
      <c r="N103" s="395"/>
    </row>
    <row r="104" spans="2:14">
      <c r="B104" s="395"/>
      <c r="C104" s="395"/>
      <c r="D104" s="395"/>
      <c r="E104" s="395"/>
      <c r="F104" s="395"/>
      <c r="G104" s="395"/>
      <c r="H104" s="395"/>
      <c r="I104" s="395"/>
      <c r="J104" s="395"/>
      <c r="K104" s="395"/>
      <c r="L104" s="395"/>
      <c r="M104" s="395"/>
      <c r="N104" s="395"/>
    </row>
    <row r="105" spans="2:14">
      <c r="B105" s="395" t="str">
        <f>'Student Data'!D37&amp;" "&amp;'Student Data'!C37</f>
        <v xml:space="preserve"> </v>
      </c>
      <c r="C105" s="395"/>
      <c r="D105" s="395"/>
      <c r="E105" s="395"/>
      <c r="F105" s="395"/>
      <c r="G105" s="395"/>
      <c r="H105" s="395"/>
      <c r="I105" s="395"/>
      <c r="J105" s="395"/>
      <c r="K105" s="395"/>
      <c r="L105" s="395"/>
      <c r="M105" s="395"/>
      <c r="N105" s="395"/>
    </row>
    <row r="106" spans="2:14">
      <c r="B106" s="395"/>
      <c r="C106" s="395"/>
      <c r="D106" s="395"/>
      <c r="E106" s="395"/>
      <c r="F106" s="395"/>
      <c r="G106" s="395"/>
      <c r="H106" s="395"/>
      <c r="I106" s="395"/>
      <c r="J106" s="395"/>
      <c r="K106" s="395"/>
      <c r="L106" s="395"/>
      <c r="M106" s="395"/>
      <c r="N106" s="395"/>
    </row>
    <row r="107" spans="2:14">
      <c r="B107" s="395"/>
      <c r="C107" s="395"/>
      <c r="D107" s="395"/>
      <c r="E107" s="395"/>
      <c r="F107" s="395"/>
      <c r="G107" s="395"/>
      <c r="H107" s="395"/>
      <c r="I107" s="395"/>
      <c r="J107" s="395"/>
      <c r="K107" s="395"/>
      <c r="L107" s="395"/>
      <c r="M107" s="395"/>
      <c r="N107" s="395"/>
    </row>
    <row r="108" spans="2:14">
      <c r="B108" s="395"/>
      <c r="C108" s="395"/>
      <c r="D108" s="395"/>
      <c r="E108" s="395"/>
      <c r="F108" s="395"/>
      <c r="G108" s="395"/>
      <c r="H108" s="395"/>
      <c r="I108" s="395"/>
      <c r="J108" s="395"/>
      <c r="K108" s="395"/>
      <c r="L108" s="395"/>
      <c r="M108" s="395"/>
      <c r="N108" s="395"/>
    </row>
    <row r="109" spans="2:14">
      <c r="B109" s="395" t="str">
        <f>'Student Data'!D38&amp;" "&amp;'Student Data'!C38</f>
        <v xml:space="preserve"> </v>
      </c>
      <c r="C109" s="395"/>
      <c r="D109" s="395"/>
      <c r="E109" s="395"/>
      <c r="F109" s="395"/>
      <c r="G109" s="395"/>
      <c r="H109" s="395"/>
      <c r="I109" s="395"/>
      <c r="J109" s="395"/>
      <c r="K109" s="395"/>
      <c r="L109" s="395"/>
      <c r="M109" s="395"/>
      <c r="N109" s="395"/>
    </row>
    <row r="110" spans="2:14">
      <c r="B110" s="395"/>
      <c r="C110" s="395"/>
      <c r="D110" s="395"/>
      <c r="E110" s="395"/>
      <c r="F110" s="395"/>
      <c r="G110" s="395"/>
      <c r="H110" s="395"/>
      <c r="I110" s="395"/>
      <c r="J110" s="395"/>
      <c r="K110" s="395"/>
      <c r="L110" s="395"/>
      <c r="M110" s="395"/>
      <c r="N110" s="395"/>
    </row>
    <row r="111" spans="2:14">
      <c r="B111" s="395"/>
      <c r="C111" s="395"/>
      <c r="D111" s="395"/>
      <c r="E111" s="395"/>
      <c r="F111" s="395"/>
      <c r="G111" s="395"/>
      <c r="H111" s="395"/>
      <c r="I111" s="395"/>
      <c r="J111" s="395"/>
      <c r="K111" s="395"/>
      <c r="L111" s="395"/>
      <c r="M111" s="395"/>
      <c r="N111" s="395"/>
    </row>
    <row r="112" spans="2:14">
      <c r="B112" s="395"/>
      <c r="C112" s="395"/>
      <c r="D112" s="395"/>
      <c r="E112" s="395"/>
      <c r="F112" s="395"/>
      <c r="G112" s="395"/>
      <c r="H112" s="395"/>
      <c r="I112" s="395"/>
      <c r="J112" s="395"/>
      <c r="K112" s="395"/>
      <c r="L112" s="395"/>
      <c r="M112" s="395"/>
      <c r="N112" s="395"/>
    </row>
    <row r="113" spans="2:14">
      <c r="B113" s="395" t="str">
        <f>'Student Data'!D39&amp;" "&amp;'Student Data'!C39</f>
        <v xml:space="preserve"> </v>
      </c>
      <c r="C113" s="395"/>
      <c r="D113" s="395"/>
      <c r="E113" s="395"/>
      <c r="F113" s="395"/>
      <c r="G113" s="395"/>
      <c r="H113" s="395"/>
      <c r="I113" s="395"/>
      <c r="J113" s="395"/>
      <c r="K113" s="395"/>
      <c r="L113" s="395"/>
      <c r="M113" s="395"/>
      <c r="N113" s="395"/>
    </row>
    <row r="114" spans="2:14">
      <c r="B114" s="395"/>
      <c r="C114" s="395"/>
      <c r="D114" s="395"/>
      <c r="E114" s="395"/>
      <c r="F114" s="395"/>
      <c r="G114" s="395"/>
      <c r="H114" s="395"/>
      <c r="I114" s="395"/>
      <c r="J114" s="395"/>
      <c r="K114" s="395"/>
      <c r="L114" s="395"/>
      <c r="M114" s="395"/>
      <c r="N114" s="395"/>
    </row>
    <row r="115" spans="2:14">
      <c r="B115" s="395"/>
      <c r="C115" s="395"/>
      <c r="D115" s="395"/>
      <c r="E115" s="395"/>
      <c r="F115" s="395"/>
      <c r="G115" s="395"/>
      <c r="H115" s="395"/>
      <c r="I115" s="395"/>
      <c r="J115" s="395"/>
      <c r="K115" s="395"/>
      <c r="L115" s="395"/>
      <c r="M115" s="395"/>
      <c r="N115" s="395"/>
    </row>
    <row r="116" spans="2:14">
      <c r="B116" s="395"/>
      <c r="C116" s="395"/>
      <c r="D116" s="395"/>
      <c r="E116" s="395"/>
      <c r="F116" s="395"/>
      <c r="G116" s="395"/>
      <c r="H116" s="395"/>
      <c r="I116" s="395"/>
      <c r="J116" s="395"/>
      <c r="K116" s="395"/>
      <c r="L116" s="395"/>
      <c r="M116" s="395"/>
      <c r="N116" s="395"/>
    </row>
    <row r="117" spans="2:14">
      <c r="B117" s="395" t="str">
        <f>'Student Data'!D40&amp;" "&amp;'Student Data'!C40</f>
        <v xml:space="preserve"> </v>
      </c>
      <c r="C117" s="395"/>
      <c r="D117" s="395"/>
      <c r="E117" s="395"/>
      <c r="F117" s="395"/>
      <c r="G117" s="395"/>
      <c r="H117" s="395"/>
      <c r="I117" s="395"/>
      <c r="J117" s="395"/>
      <c r="K117" s="395"/>
      <c r="L117" s="395"/>
      <c r="M117" s="395"/>
      <c r="N117" s="395"/>
    </row>
    <row r="118" spans="2:14">
      <c r="B118" s="395"/>
      <c r="C118" s="395"/>
      <c r="D118" s="395"/>
      <c r="E118" s="395"/>
      <c r="F118" s="395"/>
      <c r="G118" s="395"/>
      <c r="H118" s="395"/>
      <c r="I118" s="395"/>
      <c r="J118" s="395"/>
      <c r="K118" s="395"/>
      <c r="L118" s="395"/>
      <c r="M118" s="395"/>
      <c r="N118" s="395"/>
    </row>
    <row r="119" spans="2:14">
      <c r="B119" s="395"/>
      <c r="C119" s="395"/>
      <c r="D119" s="395"/>
      <c r="E119" s="395"/>
      <c r="F119" s="395"/>
      <c r="G119" s="395"/>
      <c r="H119" s="395"/>
      <c r="I119" s="395"/>
      <c r="J119" s="395"/>
      <c r="K119" s="395"/>
      <c r="L119" s="395"/>
      <c r="M119" s="395"/>
      <c r="N119" s="395"/>
    </row>
    <row r="120" spans="2:14">
      <c r="B120" s="395"/>
      <c r="C120" s="395"/>
      <c r="D120" s="395"/>
      <c r="E120" s="395"/>
      <c r="F120" s="395"/>
      <c r="G120" s="395"/>
      <c r="H120" s="395"/>
      <c r="I120" s="395"/>
      <c r="J120" s="395"/>
      <c r="K120" s="395"/>
      <c r="L120" s="395"/>
      <c r="M120" s="395"/>
      <c r="N120" s="395"/>
    </row>
    <row r="121" spans="2:14">
      <c r="B121" s="395" t="str">
        <f>'Student Data'!D41&amp;" "&amp;'Student Data'!C41</f>
        <v xml:space="preserve"> </v>
      </c>
      <c r="C121" s="395"/>
      <c r="D121" s="395"/>
      <c r="E121" s="395"/>
      <c r="F121" s="395"/>
      <c r="G121" s="395"/>
      <c r="H121" s="395"/>
      <c r="I121" s="395"/>
      <c r="J121" s="395"/>
      <c r="K121" s="395"/>
      <c r="L121" s="395"/>
      <c r="M121" s="395"/>
      <c r="N121" s="395"/>
    </row>
    <row r="122" spans="2:14">
      <c r="B122" s="395"/>
      <c r="C122" s="395"/>
      <c r="D122" s="395"/>
      <c r="E122" s="395"/>
      <c r="F122" s="395"/>
      <c r="G122" s="395"/>
      <c r="H122" s="395"/>
      <c r="I122" s="395"/>
      <c r="J122" s="395"/>
      <c r="K122" s="395"/>
      <c r="L122" s="395"/>
      <c r="M122" s="395"/>
      <c r="N122" s="395"/>
    </row>
    <row r="123" spans="2:14">
      <c r="B123" s="395"/>
      <c r="C123" s="395"/>
      <c r="D123" s="395"/>
      <c r="E123" s="395"/>
      <c r="F123" s="395"/>
      <c r="G123" s="395"/>
      <c r="H123" s="395"/>
      <c r="I123" s="395"/>
      <c r="J123" s="395"/>
      <c r="K123" s="395"/>
      <c r="L123" s="395"/>
      <c r="M123" s="395"/>
      <c r="N123" s="395"/>
    </row>
    <row r="124" spans="2:14">
      <c r="B124" s="395"/>
      <c r="C124" s="395"/>
      <c r="D124" s="395"/>
      <c r="E124" s="395"/>
      <c r="F124" s="395"/>
      <c r="G124" s="395"/>
      <c r="H124" s="395"/>
      <c r="I124" s="395"/>
      <c r="J124" s="395"/>
      <c r="K124" s="395"/>
      <c r="L124" s="395"/>
      <c r="M124" s="395"/>
      <c r="N124" s="395"/>
    </row>
    <row r="125" spans="2:14">
      <c r="B125" s="395" t="str">
        <f>'Student Data'!D42&amp;" "&amp;'Student Data'!C42</f>
        <v xml:space="preserve"> </v>
      </c>
      <c r="C125" s="395"/>
      <c r="D125" s="395"/>
      <c r="E125" s="395"/>
      <c r="F125" s="395"/>
      <c r="G125" s="395"/>
      <c r="H125" s="395"/>
      <c r="I125" s="395"/>
      <c r="J125" s="395"/>
      <c r="K125" s="395"/>
      <c r="L125" s="395"/>
      <c r="M125" s="395"/>
      <c r="N125" s="395"/>
    </row>
    <row r="126" spans="2:14">
      <c r="B126" s="395"/>
      <c r="C126" s="395"/>
      <c r="D126" s="395"/>
      <c r="E126" s="395"/>
      <c r="F126" s="395"/>
      <c r="G126" s="395"/>
      <c r="H126" s="395"/>
      <c r="I126" s="395"/>
      <c r="J126" s="395"/>
      <c r="K126" s="395"/>
      <c r="L126" s="395"/>
      <c r="M126" s="395"/>
      <c r="N126" s="395"/>
    </row>
    <row r="127" spans="2:14">
      <c r="B127" s="395"/>
      <c r="C127" s="395"/>
      <c r="D127" s="395"/>
      <c r="E127" s="395"/>
      <c r="F127" s="395"/>
      <c r="G127" s="395"/>
      <c r="H127" s="395"/>
      <c r="I127" s="395"/>
      <c r="J127" s="395"/>
      <c r="K127" s="395"/>
      <c r="L127" s="395"/>
      <c r="M127" s="395"/>
      <c r="N127" s="395"/>
    </row>
    <row r="128" spans="2:14">
      <c r="B128" s="395"/>
      <c r="C128" s="395"/>
      <c r="D128" s="395"/>
      <c r="E128" s="395"/>
      <c r="F128" s="395"/>
      <c r="G128" s="395"/>
      <c r="H128" s="395"/>
      <c r="I128" s="395"/>
      <c r="J128" s="395"/>
      <c r="K128" s="395"/>
      <c r="L128" s="395"/>
      <c r="M128" s="395"/>
      <c r="N128" s="395"/>
    </row>
    <row r="129" spans="2:14">
      <c r="B129" s="395" t="str">
        <f>'Student Data'!D43&amp;" "&amp;'Student Data'!C43</f>
        <v xml:space="preserve"> </v>
      </c>
      <c r="C129" s="395"/>
      <c r="D129" s="395"/>
      <c r="E129" s="395"/>
      <c r="F129" s="395"/>
      <c r="G129" s="395"/>
      <c r="H129" s="395"/>
      <c r="I129" s="395"/>
      <c r="J129" s="395"/>
      <c r="K129" s="395"/>
      <c r="L129" s="395"/>
      <c r="M129" s="395"/>
      <c r="N129" s="395"/>
    </row>
    <row r="130" spans="2:14">
      <c r="B130" s="395"/>
      <c r="C130" s="395"/>
      <c r="D130" s="395"/>
      <c r="E130" s="395"/>
      <c r="F130" s="395"/>
      <c r="G130" s="395"/>
      <c r="H130" s="395"/>
      <c r="I130" s="395"/>
      <c r="J130" s="395"/>
      <c r="K130" s="395"/>
      <c r="L130" s="395"/>
      <c r="M130" s="395"/>
      <c r="N130" s="395"/>
    </row>
    <row r="131" spans="2:14">
      <c r="B131" s="395"/>
      <c r="C131" s="395"/>
      <c r="D131" s="395"/>
      <c r="E131" s="395"/>
      <c r="F131" s="395"/>
      <c r="G131" s="395"/>
      <c r="H131" s="395"/>
      <c r="I131" s="395"/>
      <c r="J131" s="395"/>
      <c r="K131" s="395"/>
      <c r="L131" s="395"/>
      <c r="M131" s="395"/>
      <c r="N131" s="395"/>
    </row>
    <row r="132" spans="2:14">
      <c r="B132" s="395"/>
      <c r="C132" s="395"/>
      <c r="D132" s="395"/>
      <c r="E132" s="395"/>
      <c r="F132" s="395"/>
      <c r="G132" s="395"/>
      <c r="H132" s="395"/>
      <c r="I132" s="395"/>
      <c r="J132" s="395"/>
      <c r="K132" s="395"/>
      <c r="L132" s="395"/>
      <c r="M132" s="395"/>
      <c r="N132" s="395"/>
    </row>
    <row r="133" spans="2:14">
      <c r="B133" s="395" t="str">
        <f>'Student Data'!D44&amp;" "&amp;'Student Data'!C44</f>
        <v xml:space="preserve"> </v>
      </c>
      <c r="C133" s="395"/>
      <c r="D133" s="395"/>
      <c r="E133" s="395"/>
      <c r="F133" s="395"/>
      <c r="G133" s="395"/>
      <c r="H133" s="395"/>
      <c r="I133" s="395"/>
      <c r="J133" s="395"/>
      <c r="K133" s="395"/>
      <c r="L133" s="395"/>
      <c r="M133" s="395"/>
      <c r="N133" s="395"/>
    </row>
    <row r="134" spans="2:14">
      <c r="B134" s="395"/>
      <c r="C134" s="395"/>
      <c r="D134" s="395"/>
      <c r="E134" s="395"/>
      <c r="F134" s="395"/>
      <c r="G134" s="395"/>
      <c r="H134" s="395"/>
      <c r="I134" s="395"/>
      <c r="J134" s="395"/>
      <c r="K134" s="395"/>
      <c r="L134" s="395"/>
      <c r="M134" s="395"/>
      <c r="N134" s="395"/>
    </row>
    <row r="135" spans="2:14">
      <c r="B135" s="395"/>
      <c r="C135" s="395"/>
      <c r="D135" s="395"/>
      <c r="E135" s="395"/>
      <c r="F135" s="395"/>
      <c r="G135" s="395"/>
      <c r="H135" s="395"/>
      <c r="I135" s="395"/>
      <c r="J135" s="395"/>
      <c r="K135" s="395"/>
      <c r="L135" s="395"/>
      <c r="M135" s="395"/>
      <c r="N135" s="395"/>
    </row>
    <row r="136" spans="2:14">
      <c r="B136" s="395"/>
      <c r="C136" s="395"/>
      <c r="D136" s="395"/>
      <c r="E136" s="395"/>
      <c r="F136" s="395"/>
      <c r="G136" s="395"/>
      <c r="H136" s="395"/>
      <c r="I136" s="395"/>
      <c r="J136" s="395"/>
      <c r="K136" s="395"/>
      <c r="L136" s="395"/>
      <c r="M136" s="395"/>
      <c r="N136" s="395"/>
    </row>
    <row r="137" spans="2:14">
      <c r="B137" s="323"/>
      <c r="C137" s="323"/>
      <c r="D137" s="323"/>
      <c r="E137" s="323"/>
      <c r="F137" s="323"/>
      <c r="G137" s="323"/>
      <c r="H137" s="323"/>
      <c r="I137" s="323"/>
      <c r="J137" s="323"/>
      <c r="K137" s="323"/>
      <c r="L137" s="323"/>
      <c r="M137" s="323"/>
      <c r="N137" s="323"/>
    </row>
  </sheetData>
  <sheetProtection formatCells="0" selectLockedCells="1"/>
  <mergeCells count="30">
    <mergeCell ref="P4:T4"/>
    <mergeCell ref="V4:AA4"/>
    <mergeCell ref="P3:AL3"/>
    <mergeCell ref="I25:K25"/>
    <mergeCell ref="B25:B26"/>
    <mergeCell ref="C3:E4"/>
    <mergeCell ref="F3:I4"/>
    <mergeCell ref="J3:N4"/>
    <mergeCell ref="C25:E25"/>
    <mergeCell ref="F25:H25"/>
    <mergeCell ref="AO3:BK3"/>
    <mergeCell ref="U4:U5"/>
    <mergeCell ref="AN4:AN5"/>
    <mergeCell ref="AM4:AM5"/>
    <mergeCell ref="AB4:AB5"/>
    <mergeCell ref="AO4:AS4"/>
    <mergeCell ref="AU4:AZ4"/>
    <mergeCell ref="BB4:BK4"/>
    <mergeCell ref="AC4:AL4"/>
    <mergeCell ref="BA4:BA5"/>
    <mergeCell ref="BL4:BL5"/>
    <mergeCell ref="BM4:BM5"/>
    <mergeCell ref="BS4:BS5"/>
    <mergeCell ref="BZ4:BZ5"/>
    <mergeCell ref="CK4:CK5"/>
    <mergeCell ref="CL4:CL5"/>
    <mergeCell ref="BN3:CJ3"/>
    <mergeCell ref="BN4:BR4"/>
    <mergeCell ref="BT4:BY4"/>
    <mergeCell ref="CA4:CJ4"/>
  </mergeCells>
  <phoneticPr fontId="59" type="noConversion"/>
  <conditionalFormatting sqref="V8:AA23 V6">
    <cfRule type="containsBlanks" priority="85" stopIfTrue="1">
      <formula>LEN(TRIM(V6))=0</formula>
    </cfRule>
    <cfRule type="cellIs" dxfId="599" priority="91" operator="greaterThanOrEqual">
      <formula>151</formula>
    </cfRule>
    <cfRule type="cellIs" dxfId="598" priority="92" operator="between">
      <formula>129</formula>
      <formula>150</formula>
    </cfRule>
    <cfRule type="cellIs" dxfId="597" priority="93" operator="between">
      <formula>97</formula>
      <formula>128</formula>
    </cfRule>
    <cfRule type="cellIs" dxfId="596" priority="94" operator="lessThanOrEqual">
      <formula>96</formula>
    </cfRule>
  </conditionalFormatting>
  <conditionalFormatting sqref="AD8:AL23 AN6:AN23">
    <cfRule type="containsBlanks" priority="86" stopIfTrue="1">
      <formula>LEN(TRIM(AD6))=0</formula>
    </cfRule>
    <cfRule type="cellIs" priority="87" operator="greaterThanOrEqual">
      <formula>121</formula>
    </cfRule>
    <cfRule type="cellIs" dxfId="595" priority="88" operator="between">
      <formula>104</formula>
      <formula>120</formula>
    </cfRule>
    <cfRule type="cellIs" dxfId="594" priority="89" operator="between">
      <formula>78</formula>
      <formula>103</formula>
    </cfRule>
    <cfRule type="cellIs" dxfId="593" priority="90" operator="lessThanOrEqual">
      <formula>77</formula>
    </cfRule>
  </conditionalFormatting>
  <conditionalFormatting sqref="C6:N23">
    <cfRule type="cellIs" dxfId="592" priority="68" operator="between">
      <formula>0.00014</formula>
      <formula>0.69998</formula>
    </cfRule>
  </conditionalFormatting>
  <conditionalFormatting sqref="C6:N23">
    <cfRule type="cellIs" dxfId="591" priority="67" operator="between">
      <formula>0.69999</formula>
      <formula>0.79998</formula>
    </cfRule>
  </conditionalFormatting>
  <conditionalFormatting sqref="C6:N23">
    <cfRule type="cellIs" dxfId="590" priority="66" operator="greaterThan">
      <formula>0.79999</formula>
    </cfRule>
  </conditionalFormatting>
  <conditionalFormatting sqref="AO7:AS23">
    <cfRule type="containsBlanks" priority="62" stopIfTrue="1">
      <formula>LEN(TRIM(AO7))=0</formula>
    </cfRule>
    <cfRule type="cellIs" dxfId="589" priority="63" operator="lessThanOrEqual">
      <formula>115</formula>
    </cfRule>
    <cfRule type="cellIs" dxfId="588" priority="64" operator="between">
      <formula>116</formula>
      <formula>154</formula>
    </cfRule>
    <cfRule type="cellIs" dxfId="587" priority="65" operator="between">
      <formula>155</formula>
      <formula>160</formula>
    </cfRule>
  </conditionalFormatting>
  <conditionalFormatting sqref="AU7:AZ23">
    <cfRule type="containsBlanks" priority="52" stopIfTrue="1">
      <formula>LEN(TRIM(AU7))=0</formula>
    </cfRule>
    <cfRule type="cellIs" dxfId="586" priority="58" operator="greaterThanOrEqual">
      <formula>151</formula>
    </cfRule>
    <cfRule type="cellIs" dxfId="585" priority="59" operator="between">
      <formula>129</formula>
      <formula>150</formula>
    </cfRule>
    <cfRule type="cellIs" dxfId="584" priority="60" operator="between">
      <formula>97</formula>
      <formula>128</formula>
    </cfRule>
    <cfRule type="cellIs" dxfId="583" priority="61" operator="lessThanOrEqual">
      <formula>96</formula>
    </cfRule>
  </conditionalFormatting>
  <conditionalFormatting sqref="BB7:BK23">
    <cfRule type="containsBlanks" priority="53" stopIfTrue="1">
      <formula>LEN(TRIM(BB7))=0</formula>
    </cfRule>
    <cfRule type="cellIs" priority="54" operator="greaterThanOrEqual">
      <formula>121</formula>
    </cfRule>
    <cfRule type="cellIs" dxfId="582" priority="55" operator="between">
      <formula>104</formula>
      <formula>120</formula>
    </cfRule>
    <cfRule type="cellIs" dxfId="581" priority="56" operator="between">
      <formula>78</formula>
      <formula>103</formula>
    </cfRule>
    <cfRule type="cellIs" dxfId="580" priority="57" operator="lessThanOrEqual">
      <formula>77</formula>
    </cfRule>
  </conditionalFormatting>
  <conditionalFormatting sqref="BN7:BR23">
    <cfRule type="containsBlanks" priority="48" stopIfTrue="1">
      <formula>LEN(TRIM(BN7))=0</formula>
    </cfRule>
    <cfRule type="cellIs" dxfId="579" priority="49" operator="lessThanOrEqual">
      <formula>115</formula>
    </cfRule>
    <cfRule type="cellIs" dxfId="578" priority="50" operator="between">
      <formula>116</formula>
      <formula>154</formula>
    </cfRule>
    <cfRule type="cellIs" dxfId="577" priority="51" operator="between">
      <formula>155</formula>
      <formula>160</formula>
    </cfRule>
  </conditionalFormatting>
  <conditionalFormatting sqref="BT7:BY23">
    <cfRule type="containsBlanks" priority="38" stopIfTrue="1">
      <formula>LEN(TRIM(BT7))=0</formula>
    </cfRule>
    <cfRule type="cellIs" dxfId="576" priority="44" operator="greaterThanOrEqual">
      <formula>151</formula>
    </cfRule>
    <cfRule type="cellIs" dxfId="575" priority="45" operator="between">
      <formula>129</formula>
      <formula>150</formula>
    </cfRule>
    <cfRule type="cellIs" dxfId="574" priority="46" operator="between">
      <formula>97</formula>
      <formula>128</formula>
    </cfRule>
    <cfRule type="cellIs" dxfId="573" priority="47" operator="lessThanOrEqual">
      <formula>96</formula>
    </cfRule>
  </conditionalFormatting>
  <conditionalFormatting sqref="CA7:CJ23">
    <cfRule type="containsBlanks" priority="39" stopIfTrue="1">
      <formula>LEN(TRIM(CA7))=0</formula>
    </cfRule>
    <cfRule type="cellIs" priority="40" operator="greaterThanOrEqual">
      <formula>121</formula>
    </cfRule>
    <cfRule type="cellIs" dxfId="572" priority="41" operator="between">
      <formula>104</formula>
      <formula>120</formula>
    </cfRule>
    <cfRule type="cellIs" dxfId="571" priority="42" operator="between">
      <formula>78</formula>
      <formula>103</formula>
    </cfRule>
    <cfRule type="cellIs" dxfId="570" priority="43" operator="lessThanOrEqual">
      <formula>77</formula>
    </cfRule>
  </conditionalFormatting>
  <conditionalFormatting sqref="BM6:BM23">
    <cfRule type="containsBlanks" priority="16" stopIfTrue="1">
      <formula>LEN(TRIM(BM6))=0</formula>
    </cfRule>
    <cfRule type="cellIs" priority="17" operator="greaterThanOrEqual">
      <formula>121</formula>
    </cfRule>
    <cfRule type="cellIs" dxfId="569" priority="18" operator="between">
      <formula>104</formula>
      <formula>120</formula>
    </cfRule>
    <cfRule type="cellIs" dxfId="568" priority="19" operator="between">
      <formula>78</formula>
      <formula>103</formula>
    </cfRule>
    <cfRule type="cellIs" dxfId="567" priority="20" operator="lessThanOrEqual">
      <formula>77</formula>
    </cfRule>
  </conditionalFormatting>
  <conditionalFormatting sqref="CL6:CL23">
    <cfRule type="containsBlanks" priority="11" stopIfTrue="1">
      <formula>LEN(TRIM(CL6))=0</formula>
    </cfRule>
    <cfRule type="cellIs" priority="12" operator="greaterThanOrEqual">
      <formula>121</formula>
    </cfRule>
    <cfRule type="cellIs" dxfId="566" priority="13" operator="between">
      <formula>104</formula>
      <formula>120</formula>
    </cfRule>
    <cfRule type="cellIs" dxfId="565" priority="14" operator="between">
      <formula>78</formula>
      <formula>103</formula>
    </cfRule>
    <cfRule type="cellIs" dxfId="564" priority="15" operator="lessThanOrEqual">
      <formula>77</formula>
    </cfRule>
  </conditionalFormatting>
  <conditionalFormatting sqref="AC8:AC23">
    <cfRule type="containsBlanks" priority="1" stopIfTrue="1">
      <formula>LEN(TRIM(AC8))=0</formula>
    </cfRule>
    <cfRule type="cellIs" priority="2" operator="greaterThanOrEqual">
      <formula>121</formula>
    </cfRule>
    <cfRule type="cellIs" dxfId="563" priority="3" operator="between">
      <formula>104</formula>
      <formula>120</formula>
    </cfRule>
    <cfRule type="cellIs" dxfId="562" priority="4" operator="between">
      <formula>78</formula>
      <formula>103</formula>
    </cfRule>
    <cfRule type="cellIs" dxfId="561" priority="5" operator="lessThanOrEqual">
      <formula>77</formula>
    </cfRule>
  </conditionalFormatting>
  <pageMargins left="0.7" right="0.7" top="0.75" bottom="0.75" header="0.3" footer="0.3"/>
  <pageSetup orientation="portrait"/>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rgb="FF00B0F0"/>
  </sheetPr>
  <dimension ref="A1:AP71"/>
  <sheetViews>
    <sheetView zoomScale="80" zoomScaleNormal="80" workbookViewId="0">
      <selection activeCell="D4" sqref="D4"/>
    </sheetView>
  </sheetViews>
  <sheetFormatPr defaultColWidth="9.140625" defaultRowHeight="14.45"/>
  <cols>
    <col min="1" max="1" width="9.140625" style="1"/>
    <col min="2" max="2" width="17.5703125" style="1" bestFit="1" customWidth="1"/>
    <col min="3" max="3" width="15.28515625" style="1" bestFit="1" customWidth="1"/>
    <col min="4" max="38" width="6" style="1" customWidth="1"/>
    <col min="39" max="39" width="9.140625" style="1"/>
    <col min="40" max="40" width="15.28515625" style="1" customWidth="1"/>
    <col min="41" max="41" width="7" style="1" customWidth="1"/>
    <col min="42" max="16384" width="9.140625" style="1"/>
  </cols>
  <sheetData>
    <row r="1" spans="1:42" s="64" customFormat="1" ht="35.25" customHeight="1">
      <c r="B1" s="65"/>
      <c r="C1" s="65"/>
      <c r="D1" s="65"/>
      <c r="E1" s="65"/>
      <c r="F1" s="65"/>
      <c r="G1" s="65"/>
      <c r="H1" s="65"/>
      <c r="I1" s="65"/>
      <c r="J1" s="65"/>
      <c r="K1" s="65"/>
      <c r="M1" s="65"/>
      <c r="N1" s="65"/>
      <c r="O1" s="65"/>
      <c r="P1" s="65"/>
      <c r="Q1" s="65"/>
      <c r="R1" s="65"/>
      <c r="S1" s="65"/>
    </row>
    <row r="2" spans="1:42" s="64" customFormat="1" ht="61.5" customHeight="1">
      <c r="A2" s="288" t="s">
        <v>90</v>
      </c>
      <c r="B2" s="65"/>
      <c r="C2" s="65"/>
      <c r="D2" s="71">
        <v>43696</v>
      </c>
      <c r="E2" s="100">
        <f>D2+1</f>
        <v>43697</v>
      </c>
      <c r="F2" s="100">
        <f>E2+1</f>
        <v>43698</v>
      </c>
      <c r="G2" s="100">
        <f>F2+1</f>
        <v>43699</v>
      </c>
      <c r="H2" s="100">
        <f>G2+1</f>
        <v>43700</v>
      </c>
      <c r="I2" s="101"/>
      <c r="J2" s="101"/>
      <c r="K2" s="100">
        <f>H2+3</f>
        <v>43703</v>
      </c>
      <c r="L2" s="100">
        <f>K2+1</f>
        <v>43704</v>
      </c>
      <c r="M2" s="100">
        <f>L2+1</f>
        <v>43705</v>
      </c>
      <c r="N2" s="100">
        <f>M2+1</f>
        <v>43706</v>
      </c>
      <c r="O2" s="100">
        <f>N2+1</f>
        <v>43707</v>
      </c>
      <c r="P2" s="101"/>
      <c r="Q2" s="101"/>
      <c r="R2" s="100">
        <f>O2+3</f>
        <v>43710</v>
      </c>
      <c r="S2" s="100">
        <f>R2+1</f>
        <v>43711</v>
      </c>
      <c r="T2" s="100">
        <f>S2+1</f>
        <v>43712</v>
      </c>
      <c r="U2" s="100">
        <f>T2+1</f>
        <v>43713</v>
      </c>
      <c r="V2" s="100">
        <f>U2+1</f>
        <v>43714</v>
      </c>
      <c r="W2" s="102"/>
      <c r="X2" s="102"/>
      <c r="Y2" s="100">
        <f>V2+3</f>
        <v>43717</v>
      </c>
      <c r="Z2" s="100">
        <f>Y2+1</f>
        <v>43718</v>
      </c>
      <c r="AA2" s="100">
        <f>Z2+1</f>
        <v>43719</v>
      </c>
      <c r="AB2" s="100">
        <f>AA2+1</f>
        <v>43720</v>
      </c>
      <c r="AC2" s="100">
        <f>AB2+1</f>
        <v>43721</v>
      </c>
      <c r="AD2" s="102"/>
      <c r="AE2" s="102"/>
      <c r="AF2" s="100">
        <f>AC2+3</f>
        <v>43724</v>
      </c>
      <c r="AG2" s="100">
        <f t="shared" ref="AG2:AL2" si="0">AF2+1</f>
        <v>43725</v>
      </c>
      <c r="AH2" s="100">
        <f t="shared" si="0"/>
        <v>43726</v>
      </c>
      <c r="AI2" s="100">
        <f t="shared" si="0"/>
        <v>43727</v>
      </c>
      <c r="AJ2" s="100">
        <f t="shared" si="0"/>
        <v>43728</v>
      </c>
      <c r="AK2" s="100">
        <f t="shared" si="0"/>
        <v>43729</v>
      </c>
      <c r="AL2" s="100">
        <f t="shared" si="0"/>
        <v>43730</v>
      </c>
      <c r="AM2" s="72"/>
      <c r="AN2" s="1023" t="s">
        <v>712</v>
      </c>
      <c r="AO2" s="1023"/>
      <c r="AP2" s="1023"/>
    </row>
    <row r="3" spans="1:42" s="64" customFormat="1" ht="18">
      <c r="A3" s="67"/>
      <c r="B3" s="68" t="s">
        <v>159</v>
      </c>
      <c r="C3" s="68" t="s">
        <v>160</v>
      </c>
      <c r="D3" s="69" t="s">
        <v>713</v>
      </c>
      <c r="E3" s="69" t="s">
        <v>714</v>
      </c>
      <c r="F3" s="69" t="s">
        <v>715</v>
      </c>
      <c r="G3" s="69" t="s">
        <v>716</v>
      </c>
      <c r="H3" s="69" t="s">
        <v>717</v>
      </c>
      <c r="I3" s="69" t="s">
        <v>718</v>
      </c>
      <c r="J3" s="69" t="s">
        <v>719</v>
      </c>
      <c r="K3" s="69" t="s">
        <v>713</v>
      </c>
      <c r="L3" s="69" t="s">
        <v>714</v>
      </c>
      <c r="M3" s="69" t="s">
        <v>715</v>
      </c>
      <c r="N3" s="69" t="s">
        <v>716</v>
      </c>
      <c r="O3" s="69" t="s">
        <v>717</v>
      </c>
      <c r="P3" s="69" t="s">
        <v>718</v>
      </c>
      <c r="Q3" s="69" t="s">
        <v>719</v>
      </c>
      <c r="R3" s="69" t="s">
        <v>713</v>
      </c>
      <c r="S3" s="69" t="s">
        <v>714</v>
      </c>
      <c r="T3" s="69" t="s">
        <v>715</v>
      </c>
      <c r="U3" s="69" t="s">
        <v>716</v>
      </c>
      <c r="V3" s="69" t="s">
        <v>717</v>
      </c>
      <c r="W3" s="69" t="s">
        <v>718</v>
      </c>
      <c r="X3" s="69" t="s">
        <v>719</v>
      </c>
      <c r="Y3" s="69" t="s">
        <v>713</v>
      </c>
      <c r="Z3" s="69" t="s">
        <v>714</v>
      </c>
      <c r="AA3" s="69" t="s">
        <v>715</v>
      </c>
      <c r="AB3" s="69" t="s">
        <v>716</v>
      </c>
      <c r="AC3" s="69" t="s">
        <v>717</v>
      </c>
      <c r="AD3" s="69" t="s">
        <v>718</v>
      </c>
      <c r="AE3" s="69" t="s">
        <v>719</v>
      </c>
      <c r="AF3" s="69" t="s">
        <v>713</v>
      </c>
      <c r="AG3" s="69" t="s">
        <v>714</v>
      </c>
      <c r="AH3" s="69" t="s">
        <v>715</v>
      </c>
      <c r="AI3" s="69" t="s">
        <v>716</v>
      </c>
      <c r="AJ3" s="69" t="s">
        <v>717</v>
      </c>
      <c r="AK3" s="69" t="s">
        <v>718</v>
      </c>
      <c r="AL3" s="69" t="s">
        <v>719</v>
      </c>
      <c r="AM3" s="70" t="s">
        <v>720</v>
      </c>
      <c r="AN3" s="62" t="s">
        <v>721</v>
      </c>
      <c r="AO3" s="62" t="s">
        <v>722</v>
      </c>
      <c r="AP3" s="62" t="s">
        <v>723</v>
      </c>
    </row>
    <row r="4" spans="1:42" s="64" customFormat="1">
      <c r="A4" s="2">
        <v>1</v>
      </c>
      <c r="B4" s="2" t="str">
        <f>'Student Data'!C5</f>
        <v>Rnne</v>
      </c>
      <c r="C4" s="2" t="str">
        <f>'Student Data'!D5</f>
        <v>Donna</v>
      </c>
      <c r="D4" s="103"/>
      <c r="E4" s="103"/>
      <c r="F4" s="103"/>
      <c r="G4" s="103"/>
      <c r="H4" s="103"/>
      <c r="I4" s="1024"/>
      <c r="J4" s="1025"/>
      <c r="K4" s="103"/>
      <c r="L4" s="103"/>
      <c r="M4" s="103"/>
      <c r="N4" s="103"/>
      <c r="O4" s="103"/>
      <c r="P4" s="1024"/>
      <c r="Q4" s="1025"/>
      <c r="R4" s="103"/>
      <c r="S4" s="103"/>
      <c r="T4" s="103"/>
      <c r="U4" s="103"/>
      <c r="V4" s="103"/>
      <c r="W4" s="1024"/>
      <c r="X4" s="1025"/>
      <c r="Y4" s="103"/>
      <c r="Z4" s="103"/>
      <c r="AA4" s="103"/>
      <c r="AB4" s="103"/>
      <c r="AC4" s="103"/>
      <c r="AD4" s="1024"/>
      <c r="AE4" s="1025"/>
      <c r="AF4" s="103"/>
      <c r="AG4" s="103"/>
      <c r="AH4" s="103"/>
      <c r="AI4" s="103"/>
      <c r="AJ4" s="103"/>
      <c r="AK4" s="1024"/>
      <c r="AL4" s="1025"/>
      <c r="AM4" s="66">
        <f>SUM(D4:AJ4)</f>
        <v>0</v>
      </c>
      <c r="AN4" s="62"/>
      <c r="AO4" s="62"/>
      <c r="AP4" s="62"/>
    </row>
    <row r="5" spans="1:42" s="64" customFormat="1">
      <c r="A5" s="2">
        <v>2</v>
      </c>
      <c r="B5" s="2" t="str">
        <f>'Student Data'!C6</f>
        <v xml:space="preserve">Aquino </v>
      </c>
      <c r="C5" s="2" t="str">
        <f>'Student Data'!D6</f>
        <v>Summer</v>
      </c>
      <c r="D5" s="103"/>
      <c r="E5" s="103"/>
      <c r="F5" s="103"/>
      <c r="G5" s="103"/>
      <c r="H5" s="103"/>
      <c r="I5" s="1026"/>
      <c r="J5" s="1027"/>
      <c r="K5" s="103"/>
      <c r="L5" s="103"/>
      <c r="M5" s="103"/>
      <c r="N5" s="103"/>
      <c r="O5" s="103"/>
      <c r="P5" s="1026"/>
      <c r="Q5" s="1027"/>
      <c r="R5" s="103"/>
      <c r="S5" s="103"/>
      <c r="T5" s="103"/>
      <c r="U5" s="103"/>
      <c r="V5" s="103"/>
      <c r="W5" s="1026"/>
      <c r="X5" s="1027"/>
      <c r="Y5" s="103"/>
      <c r="Z5" s="103"/>
      <c r="AA5" s="103"/>
      <c r="AB5" s="103"/>
      <c r="AC5" s="103"/>
      <c r="AD5" s="1026"/>
      <c r="AE5" s="1027"/>
      <c r="AF5" s="103"/>
      <c r="AG5" s="103"/>
      <c r="AH5" s="103"/>
      <c r="AI5" s="103"/>
      <c r="AJ5" s="103"/>
      <c r="AK5" s="1026"/>
      <c r="AL5" s="1027"/>
      <c r="AM5" s="66">
        <f t="shared" ref="AM5:AM28" si="1">SUM(D5:AJ5)</f>
        <v>0</v>
      </c>
      <c r="AN5" s="62"/>
      <c r="AO5" s="62"/>
      <c r="AP5" s="62"/>
    </row>
    <row r="6" spans="1:42" s="64" customFormat="1">
      <c r="A6" s="2">
        <v>3</v>
      </c>
      <c r="B6" s="2" t="str">
        <f>'Student Data'!C7</f>
        <v xml:space="preserve">Reyes </v>
      </c>
      <c r="C6" s="2" t="str">
        <f>'Student Data'!D7</f>
        <v>Joana</v>
      </c>
      <c r="D6" s="103"/>
      <c r="E6" s="103"/>
      <c r="F6" s="103"/>
      <c r="G6" s="103"/>
      <c r="H6" s="103"/>
      <c r="I6" s="1026"/>
      <c r="J6" s="1027"/>
      <c r="K6" s="103"/>
      <c r="L6" s="103"/>
      <c r="M6" s="103"/>
      <c r="N6" s="103"/>
      <c r="O6" s="103"/>
      <c r="P6" s="1026"/>
      <c r="Q6" s="1027"/>
      <c r="R6" s="103"/>
      <c r="S6" s="103"/>
      <c r="T6" s="103"/>
      <c r="U6" s="103"/>
      <c r="V6" s="103"/>
      <c r="W6" s="1026"/>
      <c r="X6" s="1027"/>
      <c r="Y6" s="103"/>
      <c r="Z6" s="103"/>
      <c r="AA6" s="103"/>
      <c r="AB6" s="103"/>
      <c r="AC6" s="103"/>
      <c r="AD6" s="1026"/>
      <c r="AE6" s="1027"/>
      <c r="AF6" s="103"/>
      <c r="AG6" s="103"/>
      <c r="AH6" s="103"/>
      <c r="AI6" s="103"/>
      <c r="AJ6" s="103"/>
      <c r="AK6" s="1026"/>
      <c r="AL6" s="1027"/>
      <c r="AM6" s="66">
        <f t="shared" si="1"/>
        <v>0</v>
      </c>
      <c r="AN6" s="62"/>
      <c r="AO6" s="62"/>
      <c r="AP6" s="62"/>
    </row>
    <row r="7" spans="1:42" s="64" customFormat="1">
      <c r="A7" s="2">
        <v>4</v>
      </c>
      <c r="B7" s="2" t="str">
        <f>'Student Data'!C8</f>
        <v>Manuel</v>
      </c>
      <c r="C7" s="2" t="str">
        <f>'Student Data'!D8</f>
        <v>Quezon</v>
      </c>
      <c r="D7" s="103"/>
      <c r="E7" s="103"/>
      <c r="F7" s="103"/>
      <c r="G7" s="103"/>
      <c r="H7" s="103"/>
      <c r="I7" s="1026"/>
      <c r="J7" s="1027"/>
      <c r="K7" s="103"/>
      <c r="L7" s="103"/>
      <c r="M7" s="103"/>
      <c r="N7" s="103"/>
      <c r="O7" s="103"/>
      <c r="P7" s="1026"/>
      <c r="Q7" s="1027"/>
      <c r="R7" s="103"/>
      <c r="S7" s="103"/>
      <c r="T7" s="103"/>
      <c r="U7" s="103"/>
      <c r="V7" s="103"/>
      <c r="W7" s="1026"/>
      <c r="X7" s="1027"/>
      <c r="Y7" s="103"/>
      <c r="Z7" s="103"/>
      <c r="AA7" s="103"/>
      <c r="AB7" s="103"/>
      <c r="AC7" s="103"/>
      <c r="AD7" s="1026"/>
      <c r="AE7" s="1027"/>
      <c r="AF7" s="103"/>
      <c r="AG7" s="103"/>
      <c r="AH7" s="103"/>
      <c r="AI7" s="103"/>
      <c r="AJ7" s="103"/>
      <c r="AK7" s="1026"/>
      <c r="AL7" s="1027"/>
      <c r="AM7" s="66">
        <f t="shared" si="1"/>
        <v>0</v>
      </c>
      <c r="AN7" s="62"/>
      <c r="AO7" s="62"/>
      <c r="AP7" s="62"/>
    </row>
    <row r="8" spans="1:42" s="64" customFormat="1">
      <c r="A8" s="2">
        <v>5</v>
      </c>
      <c r="B8" s="2">
        <f>'Student Data'!C9</f>
        <v>0</v>
      </c>
      <c r="C8" s="2">
        <f>'Student Data'!D9</f>
        <v>0</v>
      </c>
      <c r="D8" s="103"/>
      <c r="E8" s="103"/>
      <c r="F8" s="103"/>
      <c r="G8" s="103"/>
      <c r="H8" s="103"/>
      <c r="I8" s="1026"/>
      <c r="J8" s="1027"/>
      <c r="K8" s="103"/>
      <c r="L8" s="103"/>
      <c r="M8" s="103"/>
      <c r="N8" s="103"/>
      <c r="O8" s="103"/>
      <c r="P8" s="1026"/>
      <c r="Q8" s="1027"/>
      <c r="R8" s="103"/>
      <c r="S8" s="103"/>
      <c r="T8" s="103"/>
      <c r="U8" s="103"/>
      <c r="V8" s="103"/>
      <c r="W8" s="1026"/>
      <c r="X8" s="1027"/>
      <c r="Y8" s="103"/>
      <c r="Z8" s="103"/>
      <c r="AA8" s="103"/>
      <c r="AB8" s="103"/>
      <c r="AC8" s="103"/>
      <c r="AD8" s="1026"/>
      <c r="AE8" s="1027"/>
      <c r="AF8" s="103"/>
      <c r="AG8" s="103"/>
      <c r="AH8" s="103"/>
      <c r="AI8" s="103"/>
      <c r="AJ8" s="103"/>
      <c r="AK8" s="1026"/>
      <c r="AL8" s="1027"/>
      <c r="AM8" s="66">
        <f t="shared" si="1"/>
        <v>0</v>
      </c>
      <c r="AN8" s="62"/>
      <c r="AO8" s="62"/>
      <c r="AP8" s="62"/>
    </row>
    <row r="9" spans="1:42" s="64" customFormat="1">
      <c r="A9" s="2">
        <v>6</v>
      </c>
      <c r="B9" s="2">
        <f>'Student Data'!C10</f>
        <v>0</v>
      </c>
      <c r="C9" s="2">
        <f>'Student Data'!D10</f>
        <v>0</v>
      </c>
      <c r="D9" s="103"/>
      <c r="E9" s="103"/>
      <c r="F9" s="103"/>
      <c r="G9" s="103"/>
      <c r="H9" s="103"/>
      <c r="I9" s="1026"/>
      <c r="J9" s="1027"/>
      <c r="K9" s="103"/>
      <c r="L9" s="103"/>
      <c r="M9" s="103"/>
      <c r="N9" s="103"/>
      <c r="O9" s="103"/>
      <c r="P9" s="1026"/>
      <c r="Q9" s="1027"/>
      <c r="R9" s="103"/>
      <c r="S9" s="103"/>
      <c r="T9" s="103"/>
      <c r="U9" s="103"/>
      <c r="V9" s="103"/>
      <c r="W9" s="1026"/>
      <c r="X9" s="1027"/>
      <c r="Y9" s="103"/>
      <c r="Z9" s="103"/>
      <c r="AA9" s="103"/>
      <c r="AB9" s="103"/>
      <c r="AC9" s="103"/>
      <c r="AD9" s="1026"/>
      <c r="AE9" s="1027"/>
      <c r="AF9" s="103"/>
      <c r="AG9" s="103"/>
      <c r="AH9" s="103"/>
      <c r="AI9" s="103"/>
      <c r="AJ9" s="103"/>
      <c r="AK9" s="1026"/>
      <c r="AL9" s="1027"/>
      <c r="AM9" s="66">
        <f t="shared" si="1"/>
        <v>0</v>
      </c>
      <c r="AN9" s="62"/>
      <c r="AO9" s="62"/>
      <c r="AP9" s="62"/>
    </row>
    <row r="10" spans="1:42" s="64" customFormat="1">
      <c r="A10" s="2">
        <v>7</v>
      </c>
      <c r="B10" s="2">
        <f>'Student Data'!C11</f>
        <v>0</v>
      </c>
      <c r="C10" s="2">
        <f>'Student Data'!D11</f>
        <v>0</v>
      </c>
      <c r="D10" s="103"/>
      <c r="E10" s="103"/>
      <c r="F10" s="103"/>
      <c r="G10" s="103"/>
      <c r="H10" s="103"/>
      <c r="I10" s="1026"/>
      <c r="J10" s="1027"/>
      <c r="K10" s="103"/>
      <c r="L10" s="103"/>
      <c r="M10" s="103"/>
      <c r="N10" s="103"/>
      <c r="O10" s="103"/>
      <c r="P10" s="1026"/>
      <c r="Q10" s="1027"/>
      <c r="R10" s="103"/>
      <c r="S10" s="103"/>
      <c r="T10" s="103"/>
      <c r="U10" s="103"/>
      <c r="V10" s="103"/>
      <c r="W10" s="1026"/>
      <c r="X10" s="1027"/>
      <c r="Y10" s="103"/>
      <c r="Z10" s="103"/>
      <c r="AA10" s="103"/>
      <c r="AB10" s="103"/>
      <c r="AC10" s="103"/>
      <c r="AD10" s="1026"/>
      <c r="AE10" s="1027"/>
      <c r="AF10" s="103"/>
      <c r="AG10" s="103"/>
      <c r="AH10" s="103"/>
      <c r="AI10" s="103"/>
      <c r="AJ10" s="103"/>
      <c r="AK10" s="1026"/>
      <c r="AL10" s="1027"/>
      <c r="AM10" s="66">
        <f t="shared" si="1"/>
        <v>0</v>
      </c>
      <c r="AN10" s="62"/>
      <c r="AO10" s="62"/>
      <c r="AP10" s="62"/>
    </row>
    <row r="11" spans="1:42" s="64" customFormat="1">
      <c r="A11" s="2">
        <v>8</v>
      </c>
      <c r="B11" s="2">
        <f>'Student Data'!C12</f>
        <v>0</v>
      </c>
      <c r="C11" s="2">
        <f>'Student Data'!D12</f>
        <v>0</v>
      </c>
      <c r="D11" s="103"/>
      <c r="E11" s="103"/>
      <c r="F11" s="103"/>
      <c r="G11" s="103"/>
      <c r="H11" s="103"/>
      <c r="I11" s="1026"/>
      <c r="J11" s="1027"/>
      <c r="K11" s="103"/>
      <c r="L11" s="103"/>
      <c r="M11" s="103"/>
      <c r="N11" s="103"/>
      <c r="O11" s="103"/>
      <c r="P11" s="1026"/>
      <c r="Q11" s="1027"/>
      <c r="R11" s="103"/>
      <c r="S11" s="103"/>
      <c r="T11" s="103"/>
      <c r="U11" s="103"/>
      <c r="V11" s="103"/>
      <c r="W11" s="1026"/>
      <c r="X11" s="1027"/>
      <c r="Y11" s="103"/>
      <c r="Z11" s="103"/>
      <c r="AA11" s="103"/>
      <c r="AB11" s="103"/>
      <c r="AC11" s="103"/>
      <c r="AD11" s="1026"/>
      <c r="AE11" s="1027"/>
      <c r="AF11" s="103"/>
      <c r="AG11" s="103"/>
      <c r="AH11" s="103"/>
      <c r="AI11" s="103"/>
      <c r="AJ11" s="103"/>
      <c r="AK11" s="1026"/>
      <c r="AL11" s="1027"/>
      <c r="AM11" s="66">
        <f t="shared" si="1"/>
        <v>0</v>
      </c>
      <c r="AN11" s="62"/>
      <c r="AO11" s="62"/>
      <c r="AP11" s="62"/>
    </row>
    <row r="12" spans="1:42" s="64" customFormat="1">
      <c r="A12" s="2">
        <v>9</v>
      </c>
      <c r="B12" s="2">
        <f>'Student Data'!C13</f>
        <v>0</v>
      </c>
      <c r="C12" s="2">
        <f>'Student Data'!D13</f>
        <v>0</v>
      </c>
      <c r="D12" s="103"/>
      <c r="E12" s="103"/>
      <c r="F12" s="103"/>
      <c r="G12" s="103"/>
      <c r="H12" s="103"/>
      <c r="I12" s="1026"/>
      <c r="J12" s="1027"/>
      <c r="K12" s="103"/>
      <c r="L12" s="103"/>
      <c r="M12" s="103"/>
      <c r="N12" s="103"/>
      <c r="O12" s="103"/>
      <c r="P12" s="1026"/>
      <c r="Q12" s="1027"/>
      <c r="R12" s="103"/>
      <c r="S12" s="103"/>
      <c r="T12" s="103"/>
      <c r="U12" s="103"/>
      <c r="V12" s="103"/>
      <c r="W12" s="1026"/>
      <c r="X12" s="1027"/>
      <c r="Y12" s="103"/>
      <c r="Z12" s="103"/>
      <c r="AA12" s="103"/>
      <c r="AB12" s="103"/>
      <c r="AC12" s="103"/>
      <c r="AD12" s="1026"/>
      <c r="AE12" s="1027"/>
      <c r="AF12" s="103"/>
      <c r="AG12" s="103"/>
      <c r="AH12" s="103"/>
      <c r="AI12" s="103"/>
      <c r="AJ12" s="103"/>
      <c r="AK12" s="1026"/>
      <c r="AL12" s="1027"/>
      <c r="AM12" s="66">
        <f t="shared" si="1"/>
        <v>0</v>
      </c>
      <c r="AN12" s="62"/>
      <c r="AO12" s="62"/>
      <c r="AP12" s="62"/>
    </row>
    <row r="13" spans="1:42" s="64" customFormat="1">
      <c r="A13" s="2">
        <v>10</v>
      </c>
      <c r="B13" s="2">
        <f>'Student Data'!C14</f>
        <v>0</v>
      </c>
      <c r="C13" s="2">
        <f>'Student Data'!D14</f>
        <v>0</v>
      </c>
      <c r="D13" s="103"/>
      <c r="E13" s="103"/>
      <c r="F13" s="103"/>
      <c r="G13" s="103"/>
      <c r="H13" s="103"/>
      <c r="I13" s="1026"/>
      <c r="J13" s="1027"/>
      <c r="K13" s="103"/>
      <c r="L13" s="103"/>
      <c r="M13" s="103"/>
      <c r="N13" s="103"/>
      <c r="O13" s="103"/>
      <c r="P13" s="1026"/>
      <c r="Q13" s="1027"/>
      <c r="R13" s="103"/>
      <c r="S13" s="103"/>
      <c r="T13" s="103"/>
      <c r="U13" s="103"/>
      <c r="V13" s="103"/>
      <c r="W13" s="1026"/>
      <c r="X13" s="1027"/>
      <c r="Y13" s="103"/>
      <c r="Z13" s="103"/>
      <c r="AA13" s="103"/>
      <c r="AB13" s="103"/>
      <c r="AC13" s="103"/>
      <c r="AD13" s="1026"/>
      <c r="AE13" s="1027"/>
      <c r="AF13" s="103"/>
      <c r="AG13" s="103"/>
      <c r="AH13" s="103"/>
      <c r="AI13" s="103"/>
      <c r="AJ13" s="103"/>
      <c r="AK13" s="1026"/>
      <c r="AL13" s="1027"/>
      <c r="AM13" s="66">
        <f t="shared" si="1"/>
        <v>0</v>
      </c>
      <c r="AN13" s="62"/>
      <c r="AO13" s="62"/>
      <c r="AP13" s="62"/>
    </row>
    <row r="14" spans="1:42" s="64" customFormat="1">
      <c r="A14" s="2">
        <v>11</v>
      </c>
      <c r="B14" s="2">
        <f>'Student Data'!C15</f>
        <v>0</v>
      </c>
      <c r="C14" s="2">
        <f>'Student Data'!D15</f>
        <v>0</v>
      </c>
      <c r="D14" s="103"/>
      <c r="E14" s="103"/>
      <c r="F14" s="103"/>
      <c r="G14" s="103"/>
      <c r="H14" s="103"/>
      <c r="I14" s="1026"/>
      <c r="J14" s="1027"/>
      <c r="K14" s="103"/>
      <c r="L14" s="103"/>
      <c r="M14" s="103"/>
      <c r="N14" s="103"/>
      <c r="O14" s="103"/>
      <c r="P14" s="1026"/>
      <c r="Q14" s="1027"/>
      <c r="R14" s="103"/>
      <c r="S14" s="103"/>
      <c r="T14" s="103"/>
      <c r="U14" s="103"/>
      <c r="V14" s="103"/>
      <c r="W14" s="1026"/>
      <c r="X14" s="1027"/>
      <c r="Y14" s="103"/>
      <c r="Z14" s="103"/>
      <c r="AA14" s="103"/>
      <c r="AB14" s="103"/>
      <c r="AC14" s="103"/>
      <c r="AD14" s="1026"/>
      <c r="AE14" s="1027"/>
      <c r="AF14" s="103"/>
      <c r="AG14" s="103"/>
      <c r="AH14" s="103"/>
      <c r="AI14" s="103"/>
      <c r="AJ14" s="103"/>
      <c r="AK14" s="1026"/>
      <c r="AL14" s="1027"/>
      <c r="AM14" s="66">
        <f t="shared" si="1"/>
        <v>0</v>
      </c>
      <c r="AN14" s="62"/>
      <c r="AO14" s="62"/>
      <c r="AP14" s="62"/>
    </row>
    <row r="15" spans="1:42" s="64" customFormat="1">
      <c r="A15" s="2">
        <v>12</v>
      </c>
      <c r="B15" s="2">
        <f>'Student Data'!C16</f>
        <v>0</v>
      </c>
      <c r="C15" s="2">
        <f>'Student Data'!D16</f>
        <v>0</v>
      </c>
      <c r="D15" s="103"/>
      <c r="E15" s="103"/>
      <c r="F15" s="103"/>
      <c r="G15" s="103"/>
      <c r="H15" s="103"/>
      <c r="I15" s="1026"/>
      <c r="J15" s="1027"/>
      <c r="K15" s="103"/>
      <c r="L15" s="103"/>
      <c r="M15" s="103"/>
      <c r="N15" s="103"/>
      <c r="O15" s="103"/>
      <c r="P15" s="1026"/>
      <c r="Q15" s="1027"/>
      <c r="R15" s="103"/>
      <c r="S15" s="103"/>
      <c r="T15" s="103"/>
      <c r="U15" s="103"/>
      <c r="V15" s="103"/>
      <c r="W15" s="1026"/>
      <c r="X15" s="1027"/>
      <c r="Y15" s="103"/>
      <c r="Z15" s="103"/>
      <c r="AA15" s="103"/>
      <c r="AB15" s="103"/>
      <c r="AC15" s="103"/>
      <c r="AD15" s="1026"/>
      <c r="AE15" s="1027"/>
      <c r="AF15" s="103"/>
      <c r="AG15" s="103"/>
      <c r="AH15" s="103"/>
      <c r="AI15" s="103"/>
      <c r="AJ15" s="103"/>
      <c r="AK15" s="1026"/>
      <c r="AL15" s="1027"/>
      <c r="AM15" s="66">
        <f t="shared" si="1"/>
        <v>0</v>
      </c>
      <c r="AN15" s="62"/>
      <c r="AO15" s="62"/>
      <c r="AP15" s="62"/>
    </row>
    <row r="16" spans="1:42" s="64" customFormat="1">
      <c r="A16" s="2">
        <v>13</v>
      </c>
      <c r="B16" s="2">
        <f>'Student Data'!C17</f>
        <v>0</v>
      </c>
      <c r="C16" s="2">
        <f>'Student Data'!D17</f>
        <v>0</v>
      </c>
      <c r="D16" s="103"/>
      <c r="E16" s="103"/>
      <c r="F16" s="103"/>
      <c r="G16" s="103"/>
      <c r="H16" s="103"/>
      <c r="I16" s="1026"/>
      <c r="J16" s="1027"/>
      <c r="K16" s="103"/>
      <c r="L16" s="103"/>
      <c r="M16" s="103"/>
      <c r="N16" s="103"/>
      <c r="O16" s="103"/>
      <c r="P16" s="1026"/>
      <c r="Q16" s="1027"/>
      <c r="R16" s="103"/>
      <c r="S16" s="103"/>
      <c r="T16" s="103"/>
      <c r="U16" s="103"/>
      <c r="V16" s="103"/>
      <c r="W16" s="1026"/>
      <c r="X16" s="1027"/>
      <c r="Y16" s="103"/>
      <c r="Z16" s="103"/>
      <c r="AA16" s="103"/>
      <c r="AB16" s="103"/>
      <c r="AC16" s="103"/>
      <c r="AD16" s="1026"/>
      <c r="AE16" s="1027"/>
      <c r="AF16" s="103"/>
      <c r="AG16" s="103"/>
      <c r="AH16" s="103"/>
      <c r="AI16" s="103"/>
      <c r="AJ16" s="103"/>
      <c r="AK16" s="1026"/>
      <c r="AL16" s="1027"/>
      <c r="AM16" s="66">
        <f t="shared" si="1"/>
        <v>0</v>
      </c>
      <c r="AN16" s="62"/>
      <c r="AO16" s="62"/>
      <c r="AP16" s="62"/>
    </row>
    <row r="17" spans="1:42" s="64" customFormat="1">
      <c r="A17" s="2">
        <v>14</v>
      </c>
      <c r="B17" s="2">
        <f>'Student Data'!C18</f>
        <v>0</v>
      </c>
      <c r="C17" s="2">
        <f>'Student Data'!D18</f>
        <v>0</v>
      </c>
      <c r="D17" s="103"/>
      <c r="E17" s="103"/>
      <c r="F17" s="103"/>
      <c r="G17" s="103"/>
      <c r="H17" s="103"/>
      <c r="I17" s="1026"/>
      <c r="J17" s="1027"/>
      <c r="K17" s="103"/>
      <c r="L17" s="103"/>
      <c r="M17" s="103"/>
      <c r="N17" s="103"/>
      <c r="O17" s="103"/>
      <c r="P17" s="1026"/>
      <c r="Q17" s="1027"/>
      <c r="R17" s="103"/>
      <c r="S17" s="103"/>
      <c r="T17" s="103"/>
      <c r="U17" s="103"/>
      <c r="V17" s="103"/>
      <c r="W17" s="1026"/>
      <c r="X17" s="1027"/>
      <c r="Y17" s="103"/>
      <c r="Z17" s="103"/>
      <c r="AA17" s="103"/>
      <c r="AB17" s="103"/>
      <c r="AC17" s="103"/>
      <c r="AD17" s="1026"/>
      <c r="AE17" s="1027"/>
      <c r="AF17" s="103"/>
      <c r="AG17" s="103"/>
      <c r="AH17" s="103"/>
      <c r="AI17" s="103"/>
      <c r="AJ17" s="103"/>
      <c r="AK17" s="1026"/>
      <c r="AL17" s="1027"/>
      <c r="AM17" s="66">
        <f t="shared" si="1"/>
        <v>0</v>
      </c>
      <c r="AN17" s="62"/>
      <c r="AO17" s="62"/>
      <c r="AP17" s="62"/>
    </row>
    <row r="18" spans="1:42" s="64" customFormat="1">
      <c r="A18" s="2">
        <v>15</v>
      </c>
      <c r="B18" s="2">
        <f>'Student Data'!C19</f>
        <v>0</v>
      </c>
      <c r="C18" s="2">
        <f>'Student Data'!D19</f>
        <v>0</v>
      </c>
      <c r="D18" s="103"/>
      <c r="E18" s="103"/>
      <c r="F18" s="103"/>
      <c r="G18" s="103"/>
      <c r="H18" s="103"/>
      <c r="I18" s="1026"/>
      <c r="J18" s="1027"/>
      <c r="K18" s="103"/>
      <c r="L18" s="103"/>
      <c r="M18" s="103"/>
      <c r="N18" s="103"/>
      <c r="O18" s="103"/>
      <c r="P18" s="1026"/>
      <c r="Q18" s="1027"/>
      <c r="R18" s="103"/>
      <c r="S18" s="103"/>
      <c r="T18" s="103"/>
      <c r="U18" s="103"/>
      <c r="V18" s="103"/>
      <c r="W18" s="1026"/>
      <c r="X18" s="1027"/>
      <c r="Y18" s="103"/>
      <c r="Z18" s="103"/>
      <c r="AA18" s="103"/>
      <c r="AB18" s="103"/>
      <c r="AC18" s="103"/>
      <c r="AD18" s="1026"/>
      <c r="AE18" s="1027"/>
      <c r="AF18" s="103"/>
      <c r="AG18" s="103"/>
      <c r="AH18" s="103"/>
      <c r="AI18" s="103"/>
      <c r="AJ18" s="103"/>
      <c r="AK18" s="1026"/>
      <c r="AL18" s="1027"/>
      <c r="AM18" s="66">
        <f t="shared" si="1"/>
        <v>0</v>
      </c>
      <c r="AN18" s="62"/>
      <c r="AO18" s="62"/>
      <c r="AP18" s="62"/>
    </row>
    <row r="19" spans="1:42" s="64" customFormat="1">
      <c r="A19" s="2">
        <v>16</v>
      </c>
      <c r="B19" s="2">
        <f>'Student Data'!C20</f>
        <v>0</v>
      </c>
      <c r="C19" s="2">
        <f>'Student Data'!D20</f>
        <v>0</v>
      </c>
      <c r="D19" s="103"/>
      <c r="E19" s="103"/>
      <c r="F19" s="103"/>
      <c r="G19" s="103"/>
      <c r="H19" s="103"/>
      <c r="I19" s="1026"/>
      <c r="J19" s="1027"/>
      <c r="K19" s="103"/>
      <c r="L19" s="103"/>
      <c r="M19" s="103"/>
      <c r="N19" s="103"/>
      <c r="O19" s="103"/>
      <c r="P19" s="1026"/>
      <c r="Q19" s="1027"/>
      <c r="R19" s="103"/>
      <c r="S19" s="103"/>
      <c r="T19" s="103"/>
      <c r="U19" s="103"/>
      <c r="V19" s="103"/>
      <c r="W19" s="1026"/>
      <c r="X19" s="1027"/>
      <c r="Y19" s="103"/>
      <c r="Z19" s="103"/>
      <c r="AA19" s="103"/>
      <c r="AB19" s="103"/>
      <c r="AC19" s="103"/>
      <c r="AD19" s="1026"/>
      <c r="AE19" s="1027"/>
      <c r="AF19" s="103"/>
      <c r="AG19" s="103"/>
      <c r="AH19" s="103"/>
      <c r="AI19" s="103"/>
      <c r="AJ19" s="103"/>
      <c r="AK19" s="1026"/>
      <c r="AL19" s="1027"/>
      <c r="AM19" s="66">
        <f t="shared" si="1"/>
        <v>0</v>
      </c>
      <c r="AN19" s="62"/>
      <c r="AO19" s="62"/>
      <c r="AP19" s="62"/>
    </row>
    <row r="20" spans="1:42" s="64" customFormat="1">
      <c r="A20" s="2">
        <v>17</v>
      </c>
      <c r="B20" s="2">
        <f>'Student Data'!C21</f>
        <v>0</v>
      </c>
      <c r="C20" s="2">
        <f>'Student Data'!D21</f>
        <v>0</v>
      </c>
      <c r="D20" s="103"/>
      <c r="E20" s="103"/>
      <c r="F20" s="103"/>
      <c r="G20" s="103"/>
      <c r="H20" s="103"/>
      <c r="I20" s="1026"/>
      <c r="J20" s="1027"/>
      <c r="K20" s="103"/>
      <c r="L20" s="103"/>
      <c r="M20" s="103"/>
      <c r="N20" s="103"/>
      <c r="O20" s="103"/>
      <c r="P20" s="1026"/>
      <c r="Q20" s="1027"/>
      <c r="R20" s="103"/>
      <c r="S20" s="103"/>
      <c r="T20" s="103"/>
      <c r="U20" s="103"/>
      <c r="V20" s="103"/>
      <c r="W20" s="1026"/>
      <c r="X20" s="1027"/>
      <c r="Y20" s="103"/>
      <c r="Z20" s="103"/>
      <c r="AA20" s="103"/>
      <c r="AB20" s="103"/>
      <c r="AC20" s="103"/>
      <c r="AD20" s="1026"/>
      <c r="AE20" s="1027"/>
      <c r="AF20" s="103"/>
      <c r="AG20" s="103"/>
      <c r="AH20" s="103"/>
      <c r="AI20" s="103"/>
      <c r="AJ20" s="103"/>
      <c r="AK20" s="1026"/>
      <c r="AL20" s="1027"/>
      <c r="AM20" s="66">
        <f t="shared" si="1"/>
        <v>0</v>
      </c>
      <c r="AN20" s="62"/>
      <c r="AO20" s="62"/>
      <c r="AP20" s="62"/>
    </row>
    <row r="21" spans="1:42" s="64" customFormat="1">
      <c r="A21" s="2">
        <v>18</v>
      </c>
      <c r="B21" s="2">
        <f>'Student Data'!C22</f>
        <v>0</v>
      </c>
      <c r="C21" s="2">
        <f>'Student Data'!D22</f>
        <v>0</v>
      </c>
      <c r="D21" s="103"/>
      <c r="E21" s="103"/>
      <c r="F21" s="103"/>
      <c r="G21" s="103"/>
      <c r="H21" s="103"/>
      <c r="I21" s="1026"/>
      <c r="J21" s="1027"/>
      <c r="K21" s="103"/>
      <c r="L21" s="103"/>
      <c r="M21" s="103"/>
      <c r="N21" s="103"/>
      <c r="O21" s="103"/>
      <c r="P21" s="1026"/>
      <c r="Q21" s="1027"/>
      <c r="R21" s="103"/>
      <c r="S21" s="103"/>
      <c r="T21" s="103"/>
      <c r="U21" s="103"/>
      <c r="V21" s="103"/>
      <c r="W21" s="1026"/>
      <c r="X21" s="1027"/>
      <c r="Y21" s="103"/>
      <c r="Z21" s="103"/>
      <c r="AA21" s="103"/>
      <c r="AB21" s="103"/>
      <c r="AC21" s="103"/>
      <c r="AD21" s="1026"/>
      <c r="AE21" s="1027"/>
      <c r="AF21" s="103"/>
      <c r="AG21" s="103"/>
      <c r="AH21" s="103"/>
      <c r="AI21" s="103"/>
      <c r="AJ21" s="103"/>
      <c r="AK21" s="1026"/>
      <c r="AL21" s="1027"/>
      <c r="AM21" s="66">
        <f t="shared" si="1"/>
        <v>0</v>
      </c>
      <c r="AN21" s="62"/>
      <c r="AO21" s="62"/>
      <c r="AP21" s="62"/>
    </row>
    <row r="22" spans="1:42" s="64" customFormat="1">
      <c r="A22" s="2">
        <v>19</v>
      </c>
      <c r="B22" s="2">
        <f>'Student Data'!C23</f>
        <v>0</v>
      </c>
      <c r="C22" s="2">
        <f>'Student Data'!D23</f>
        <v>0</v>
      </c>
      <c r="D22" s="103"/>
      <c r="E22" s="103"/>
      <c r="F22" s="103"/>
      <c r="G22" s="103"/>
      <c r="H22" s="103"/>
      <c r="I22" s="1026"/>
      <c r="J22" s="1027"/>
      <c r="K22" s="103"/>
      <c r="L22" s="103"/>
      <c r="M22" s="103"/>
      <c r="N22" s="103"/>
      <c r="O22" s="103"/>
      <c r="P22" s="1026"/>
      <c r="Q22" s="1027"/>
      <c r="R22" s="103"/>
      <c r="S22" s="103"/>
      <c r="T22" s="103"/>
      <c r="U22" s="103"/>
      <c r="V22" s="103"/>
      <c r="W22" s="1026"/>
      <c r="X22" s="1027"/>
      <c r="Y22" s="103"/>
      <c r="Z22" s="103"/>
      <c r="AA22" s="103"/>
      <c r="AB22" s="103"/>
      <c r="AC22" s="103"/>
      <c r="AD22" s="1026"/>
      <c r="AE22" s="1027"/>
      <c r="AF22" s="103"/>
      <c r="AG22" s="103"/>
      <c r="AH22" s="103"/>
      <c r="AI22" s="103"/>
      <c r="AJ22" s="103"/>
      <c r="AK22" s="1026"/>
      <c r="AL22" s="1027"/>
      <c r="AM22" s="66">
        <f t="shared" si="1"/>
        <v>0</v>
      </c>
      <c r="AN22" s="62"/>
      <c r="AO22" s="62"/>
      <c r="AP22" s="62"/>
    </row>
    <row r="23" spans="1:42" s="64" customFormat="1">
      <c r="A23" s="2">
        <v>20</v>
      </c>
      <c r="B23" s="2">
        <f>'Student Data'!C24</f>
        <v>0</v>
      </c>
      <c r="C23" s="2">
        <f>'Student Data'!D24</f>
        <v>0</v>
      </c>
      <c r="D23" s="103"/>
      <c r="E23" s="103"/>
      <c r="F23" s="103"/>
      <c r="G23" s="103"/>
      <c r="H23" s="103"/>
      <c r="I23" s="1026"/>
      <c r="J23" s="1027"/>
      <c r="K23" s="103"/>
      <c r="L23" s="103"/>
      <c r="M23" s="103"/>
      <c r="N23" s="103"/>
      <c r="O23" s="103"/>
      <c r="P23" s="1026"/>
      <c r="Q23" s="1027"/>
      <c r="R23" s="103"/>
      <c r="S23" s="103"/>
      <c r="T23" s="103"/>
      <c r="U23" s="103"/>
      <c r="V23" s="103"/>
      <c r="W23" s="1026"/>
      <c r="X23" s="1027"/>
      <c r="Y23" s="103"/>
      <c r="Z23" s="103"/>
      <c r="AA23" s="103"/>
      <c r="AB23" s="103"/>
      <c r="AC23" s="103"/>
      <c r="AD23" s="1026"/>
      <c r="AE23" s="1027"/>
      <c r="AF23" s="103"/>
      <c r="AG23" s="103"/>
      <c r="AH23" s="103"/>
      <c r="AI23" s="103"/>
      <c r="AJ23" s="103"/>
      <c r="AK23" s="1026"/>
      <c r="AL23" s="1027"/>
      <c r="AM23" s="66">
        <f t="shared" si="1"/>
        <v>0</v>
      </c>
      <c r="AN23" s="62"/>
      <c r="AO23" s="62"/>
      <c r="AP23" s="62"/>
    </row>
    <row r="24" spans="1:42" s="64" customFormat="1">
      <c r="A24" s="2">
        <v>21</v>
      </c>
      <c r="B24" s="2">
        <f>'Student Data'!C25</f>
        <v>0</v>
      </c>
      <c r="C24" s="2">
        <f>'Student Data'!D25</f>
        <v>0</v>
      </c>
      <c r="D24" s="103"/>
      <c r="E24" s="103"/>
      <c r="F24" s="103"/>
      <c r="G24" s="103"/>
      <c r="H24" s="103"/>
      <c r="I24" s="1026"/>
      <c r="J24" s="1027"/>
      <c r="K24" s="103"/>
      <c r="L24" s="103"/>
      <c r="M24" s="103"/>
      <c r="N24" s="103"/>
      <c r="O24" s="103"/>
      <c r="P24" s="1026"/>
      <c r="Q24" s="1027"/>
      <c r="R24" s="103"/>
      <c r="S24" s="103"/>
      <c r="T24" s="103"/>
      <c r="U24" s="103"/>
      <c r="V24" s="103"/>
      <c r="W24" s="1026"/>
      <c r="X24" s="1027"/>
      <c r="Y24" s="103"/>
      <c r="Z24" s="103"/>
      <c r="AA24" s="103"/>
      <c r="AB24" s="103"/>
      <c r="AC24" s="103"/>
      <c r="AD24" s="1026"/>
      <c r="AE24" s="1027"/>
      <c r="AF24" s="103"/>
      <c r="AG24" s="103"/>
      <c r="AH24" s="103"/>
      <c r="AI24" s="103"/>
      <c r="AJ24" s="103"/>
      <c r="AK24" s="1026"/>
      <c r="AL24" s="1027"/>
      <c r="AM24" s="66">
        <f t="shared" si="1"/>
        <v>0</v>
      </c>
      <c r="AN24" s="62"/>
      <c r="AO24" s="62"/>
      <c r="AP24" s="62"/>
    </row>
    <row r="25" spans="1:42" s="64" customFormat="1">
      <c r="A25" s="2">
        <v>22</v>
      </c>
      <c r="B25" s="2">
        <f>'Student Data'!C26</f>
        <v>0</v>
      </c>
      <c r="C25" s="2">
        <f>'Student Data'!D26</f>
        <v>0</v>
      </c>
      <c r="D25" s="103"/>
      <c r="E25" s="103"/>
      <c r="F25" s="103"/>
      <c r="G25" s="103"/>
      <c r="H25" s="103"/>
      <c r="I25" s="1026"/>
      <c r="J25" s="1027"/>
      <c r="K25" s="103"/>
      <c r="L25" s="103"/>
      <c r="M25" s="103"/>
      <c r="N25" s="103"/>
      <c r="O25" s="103"/>
      <c r="P25" s="1026"/>
      <c r="Q25" s="1027"/>
      <c r="R25" s="103"/>
      <c r="S25" s="103"/>
      <c r="T25" s="103"/>
      <c r="U25" s="103"/>
      <c r="V25" s="103"/>
      <c r="W25" s="1026"/>
      <c r="X25" s="1027"/>
      <c r="Y25" s="103"/>
      <c r="Z25" s="103"/>
      <c r="AA25" s="103"/>
      <c r="AB25" s="103"/>
      <c r="AC25" s="103"/>
      <c r="AD25" s="1026"/>
      <c r="AE25" s="1027"/>
      <c r="AF25" s="103"/>
      <c r="AG25" s="103"/>
      <c r="AH25" s="103"/>
      <c r="AI25" s="103"/>
      <c r="AJ25" s="103"/>
      <c r="AK25" s="1026"/>
      <c r="AL25" s="1027"/>
      <c r="AM25" s="66">
        <f t="shared" si="1"/>
        <v>0</v>
      </c>
      <c r="AN25" s="62"/>
      <c r="AO25" s="62"/>
      <c r="AP25" s="62"/>
    </row>
    <row r="26" spans="1:42" s="64" customFormat="1">
      <c r="A26" s="2">
        <v>23</v>
      </c>
      <c r="B26" s="2">
        <f>'Student Data'!C27</f>
        <v>0</v>
      </c>
      <c r="C26" s="2">
        <f>'Student Data'!D27</f>
        <v>0</v>
      </c>
      <c r="D26" s="103"/>
      <c r="E26" s="103"/>
      <c r="F26" s="103"/>
      <c r="G26" s="103"/>
      <c r="H26" s="103"/>
      <c r="I26" s="1026"/>
      <c r="J26" s="1027"/>
      <c r="K26" s="103"/>
      <c r="L26" s="103"/>
      <c r="M26" s="103"/>
      <c r="N26" s="103"/>
      <c r="O26" s="103"/>
      <c r="P26" s="1026"/>
      <c r="Q26" s="1027"/>
      <c r="R26" s="103"/>
      <c r="S26" s="103"/>
      <c r="T26" s="103"/>
      <c r="U26" s="103"/>
      <c r="V26" s="103"/>
      <c r="W26" s="1026"/>
      <c r="X26" s="1027"/>
      <c r="Y26" s="103"/>
      <c r="Z26" s="103"/>
      <c r="AA26" s="103"/>
      <c r="AB26" s="103"/>
      <c r="AC26" s="103"/>
      <c r="AD26" s="1026"/>
      <c r="AE26" s="1027"/>
      <c r="AF26" s="103"/>
      <c r="AG26" s="103"/>
      <c r="AH26" s="103"/>
      <c r="AI26" s="103"/>
      <c r="AJ26" s="103"/>
      <c r="AK26" s="1026"/>
      <c r="AL26" s="1027"/>
      <c r="AM26" s="66">
        <f t="shared" si="1"/>
        <v>0</v>
      </c>
      <c r="AN26" s="62"/>
      <c r="AO26" s="62"/>
      <c r="AP26" s="62"/>
    </row>
    <row r="27" spans="1:42" s="64" customFormat="1">
      <c r="A27" s="2">
        <v>24</v>
      </c>
      <c r="B27" s="2">
        <f>'Student Data'!C28</f>
        <v>0</v>
      </c>
      <c r="C27" s="2">
        <f>'Student Data'!D28</f>
        <v>0</v>
      </c>
      <c r="D27" s="103"/>
      <c r="E27" s="103"/>
      <c r="F27" s="103"/>
      <c r="G27" s="103"/>
      <c r="H27" s="103"/>
      <c r="I27" s="1026"/>
      <c r="J27" s="1027"/>
      <c r="K27" s="103"/>
      <c r="L27" s="103"/>
      <c r="M27" s="103"/>
      <c r="N27" s="103"/>
      <c r="O27" s="103"/>
      <c r="P27" s="1026"/>
      <c r="Q27" s="1027"/>
      <c r="R27" s="103"/>
      <c r="S27" s="103"/>
      <c r="T27" s="103"/>
      <c r="U27" s="103"/>
      <c r="V27" s="103"/>
      <c r="W27" s="1026"/>
      <c r="X27" s="1027"/>
      <c r="Y27" s="103"/>
      <c r="Z27" s="103"/>
      <c r="AA27" s="103"/>
      <c r="AB27" s="103"/>
      <c r="AC27" s="103"/>
      <c r="AD27" s="1026"/>
      <c r="AE27" s="1027"/>
      <c r="AF27" s="103"/>
      <c r="AG27" s="103"/>
      <c r="AH27" s="103"/>
      <c r="AI27" s="103"/>
      <c r="AJ27" s="103"/>
      <c r="AK27" s="1026"/>
      <c r="AL27" s="1027"/>
      <c r="AM27" s="66">
        <f t="shared" si="1"/>
        <v>0</v>
      </c>
      <c r="AN27" s="62"/>
      <c r="AO27" s="62"/>
      <c r="AP27" s="62"/>
    </row>
    <row r="28" spans="1:42" s="64" customFormat="1">
      <c r="A28" s="2">
        <v>25</v>
      </c>
      <c r="B28" s="2">
        <f>'Student Data'!C29</f>
        <v>0</v>
      </c>
      <c r="C28" s="2">
        <f>'Student Data'!D29</f>
        <v>0</v>
      </c>
      <c r="D28" s="103"/>
      <c r="E28" s="103"/>
      <c r="F28" s="103"/>
      <c r="G28" s="103"/>
      <c r="H28" s="103"/>
      <c r="I28" s="1028"/>
      <c r="J28" s="1029"/>
      <c r="K28" s="103"/>
      <c r="L28" s="103"/>
      <c r="M28" s="103"/>
      <c r="N28" s="103"/>
      <c r="O28" s="103"/>
      <c r="P28" s="1028"/>
      <c r="Q28" s="1029"/>
      <c r="R28" s="103"/>
      <c r="S28" s="103"/>
      <c r="T28" s="103"/>
      <c r="U28" s="103"/>
      <c r="V28" s="103"/>
      <c r="W28" s="1028"/>
      <c r="X28" s="1029"/>
      <c r="Y28" s="103"/>
      <c r="Z28" s="103"/>
      <c r="AA28" s="103"/>
      <c r="AB28" s="103"/>
      <c r="AC28" s="103"/>
      <c r="AD28" s="1028"/>
      <c r="AE28" s="1029"/>
      <c r="AF28" s="103"/>
      <c r="AG28" s="103"/>
      <c r="AH28" s="103"/>
      <c r="AI28" s="103"/>
      <c r="AJ28" s="103"/>
      <c r="AK28" s="1028"/>
      <c r="AL28" s="1029"/>
      <c r="AM28" s="66">
        <f t="shared" si="1"/>
        <v>0</v>
      </c>
      <c r="AN28" s="62"/>
      <c r="AO28" s="62"/>
      <c r="AP28" s="62"/>
    </row>
    <row r="29" spans="1:42" s="64" customFormat="1">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row>
    <row r="30" spans="1:42" s="64" customFormat="1">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row>
    <row r="31" spans="1:42" s="64" customFormat="1">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row>
    <row r="32" spans="1:42" s="64" customFormat="1">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row>
    <row r="33" spans="1:42" s="64" customFormat="1">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row>
    <row r="34" spans="1:42" s="64" customFormat="1">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row>
    <row r="64" ht="15.75" customHeight="1"/>
    <row r="65" ht="15.75" customHeight="1"/>
    <row r="66" ht="15.75" customHeight="1"/>
    <row r="67" ht="15.75" customHeight="1"/>
    <row r="68" ht="15.75" customHeight="1"/>
    <row r="69" ht="15.75" customHeight="1"/>
    <row r="70" ht="15.75" customHeight="1"/>
    <row r="71" ht="15.75" customHeight="1"/>
  </sheetData>
  <sheetProtection selectLockedCells="1"/>
  <protectedRanges>
    <protectedRange algorithmName="SHA-512" hashValue="WMNK7/d7mukURDkTJTK4IDqLpel863yVTo8FgQkbbWWt7KBV/bCvkg7UXATdgJqlex10X8qavNKVx6e6HN4VoQ==" saltValue="PPnxJkCGcGNAeWY0XgZJ2w==" spinCount="100000" sqref="B4:E28" name="Names_1"/>
  </protectedRanges>
  <mergeCells count="6">
    <mergeCell ref="AN2:AP2"/>
    <mergeCell ref="AD4:AE28"/>
    <mergeCell ref="W4:X28"/>
    <mergeCell ref="I4:J28"/>
    <mergeCell ref="P4:Q28"/>
    <mergeCell ref="AK4:AL28"/>
  </mergeCells>
  <conditionalFormatting sqref="M1:R1 P2:Q2">
    <cfRule type="cellIs" dxfId="560" priority="1001" operator="equal">
      <formula>""</formula>
    </cfRule>
    <cfRule type="cellIs" dxfId="559" priority="1005" operator="greaterThanOrEqual">
      <formula>0.82</formula>
    </cfRule>
    <cfRule type="cellIs" dxfId="558" priority="1006" operator="between">
      <formula>0.8199</formula>
      <formula>0.7</formula>
    </cfRule>
    <cfRule type="cellIs" dxfId="557" priority="1007" operator="between">
      <formula>0.6999</formula>
      <formula>0.1</formula>
    </cfRule>
  </conditionalFormatting>
  <conditionalFormatting sqref="S1">
    <cfRule type="cellIs" dxfId="556" priority="1002" operator="equal">
      <formula>""</formula>
    </cfRule>
    <cfRule type="cellIs" dxfId="555" priority="1003" operator="greaterThanOrEqual">
      <formula>0.82</formula>
    </cfRule>
    <cfRule type="cellIs" dxfId="554" priority="1004" operator="between">
      <formula>0.8199</formula>
      <formula>0.7</formula>
    </cfRule>
  </conditionalFormatting>
  <conditionalFormatting sqref="U19:V19 U25:V25 B1:K1 B2:C2 I2:J2 D4:H28">
    <cfRule type="cellIs" dxfId="553" priority="998" operator="between">
      <formula>0.00014</formula>
      <formula>0.69998</formula>
    </cfRule>
    <cfRule type="cellIs" dxfId="552" priority="999" operator="between">
      <formula>0.69999</formula>
      <formula>0.79998</formula>
    </cfRule>
    <cfRule type="cellIs" dxfId="551" priority="1000" operator="greaterThan">
      <formula>0.79999</formula>
    </cfRule>
  </conditionalFormatting>
  <conditionalFormatting sqref="F8:H8 U17:U18 F5:H5 F10:H12 F15">
    <cfRule type="cellIs" dxfId="550" priority="995" operator="between">
      <formula>3</formula>
      <formula>10</formula>
    </cfRule>
    <cfRule type="cellIs" dxfId="549" priority="996" operator="between">
      <formula>2</formula>
      <formula>2</formula>
    </cfRule>
    <cfRule type="cellIs" dxfId="548" priority="997" operator="between">
      <formula>1</formula>
      <formula>1</formula>
    </cfRule>
  </conditionalFormatting>
  <conditionalFormatting sqref="F7">
    <cfRule type="cellIs" dxfId="547" priority="992" operator="between">
      <formula>3</formula>
      <formula>10</formula>
    </cfRule>
    <cfRule type="cellIs" dxfId="546" priority="993" operator="between">
      <formula>2</formula>
      <formula>2</formula>
    </cfRule>
    <cfRule type="cellIs" dxfId="545" priority="994" operator="between">
      <formula>1</formula>
      <formula>1</formula>
    </cfRule>
  </conditionalFormatting>
  <conditionalFormatting sqref="F9">
    <cfRule type="cellIs" dxfId="544" priority="989" operator="between">
      <formula>3</formula>
      <formula>10</formula>
    </cfRule>
    <cfRule type="cellIs" dxfId="543" priority="990" operator="between">
      <formula>2</formula>
      <formula>2</formula>
    </cfRule>
    <cfRule type="cellIs" dxfId="542" priority="991" operator="between">
      <formula>1</formula>
      <formula>1</formula>
    </cfRule>
  </conditionalFormatting>
  <conditionalFormatting sqref="F14">
    <cfRule type="cellIs" dxfId="541" priority="986" operator="between">
      <formula>3</formula>
      <formula>10</formula>
    </cfRule>
    <cfRule type="cellIs" dxfId="540" priority="987" operator="between">
      <formula>2</formula>
      <formula>2</formula>
    </cfRule>
    <cfRule type="cellIs" dxfId="539" priority="988" operator="between">
      <formula>1</formula>
      <formula>1</formula>
    </cfRule>
  </conditionalFormatting>
  <conditionalFormatting sqref="F13">
    <cfRule type="cellIs" dxfId="538" priority="983" operator="between">
      <formula>3</formula>
      <formula>10</formula>
    </cfRule>
    <cfRule type="cellIs" dxfId="537" priority="984" operator="between">
      <formula>2</formula>
      <formula>2</formula>
    </cfRule>
    <cfRule type="cellIs" dxfId="536" priority="985" operator="between">
      <formula>1</formula>
      <formula>1</formula>
    </cfRule>
  </conditionalFormatting>
  <conditionalFormatting sqref="F16">
    <cfRule type="cellIs" dxfId="535" priority="980" operator="between">
      <formula>0.00014</formula>
      <formula>0.69998</formula>
    </cfRule>
    <cfRule type="cellIs" dxfId="534" priority="981" operator="between">
      <formula>0.69999</formula>
      <formula>0.79998</formula>
    </cfRule>
    <cfRule type="cellIs" dxfId="533" priority="982" operator="greaterThan">
      <formula>0.79999</formula>
    </cfRule>
  </conditionalFormatting>
  <conditionalFormatting sqref="F17">
    <cfRule type="cellIs" dxfId="532" priority="977" operator="between">
      <formula>3</formula>
      <formula>10</formula>
    </cfRule>
    <cfRule type="cellIs" dxfId="531" priority="978" operator="between">
      <formula>2</formula>
      <formula>2</formula>
    </cfRule>
    <cfRule type="cellIs" dxfId="530" priority="979" operator="between">
      <formula>1</formula>
      <formula>1</formula>
    </cfRule>
  </conditionalFormatting>
  <conditionalFormatting sqref="F18">
    <cfRule type="cellIs" dxfId="529" priority="974" operator="between">
      <formula>3</formula>
      <formula>10</formula>
    </cfRule>
    <cfRule type="cellIs" dxfId="528" priority="975" operator="between">
      <formula>2</formula>
      <formula>2</formula>
    </cfRule>
    <cfRule type="cellIs" dxfId="527" priority="976" operator="between">
      <formula>1</formula>
      <formula>1</formula>
    </cfRule>
  </conditionalFormatting>
  <conditionalFormatting sqref="H9">
    <cfRule type="cellIs" dxfId="526" priority="971" operator="between">
      <formula>3</formula>
      <formula>10</formula>
    </cfRule>
    <cfRule type="cellIs" dxfId="525" priority="972" operator="between">
      <formula>2</formula>
      <formula>2</formula>
    </cfRule>
    <cfRule type="cellIs" dxfId="524" priority="973" operator="between">
      <formula>1</formula>
      <formula>1</formula>
    </cfRule>
  </conditionalFormatting>
  <conditionalFormatting sqref="G7">
    <cfRule type="cellIs" dxfId="523" priority="968" operator="between">
      <formula>3</formula>
      <formula>10</formula>
    </cfRule>
    <cfRule type="cellIs" dxfId="522" priority="969" operator="between">
      <formula>2</formula>
      <formula>2</formula>
    </cfRule>
    <cfRule type="cellIs" dxfId="521" priority="970" operator="between">
      <formula>1</formula>
      <formula>1</formula>
    </cfRule>
  </conditionalFormatting>
  <conditionalFormatting sqref="G9">
    <cfRule type="cellIs" dxfId="520" priority="965" operator="between">
      <formula>3</formula>
      <formula>10</formula>
    </cfRule>
    <cfRule type="cellIs" dxfId="519" priority="966" operator="between">
      <formula>2</formula>
      <formula>2</formula>
    </cfRule>
    <cfRule type="cellIs" dxfId="518" priority="967" operator="between">
      <formula>1</formula>
      <formula>1</formula>
    </cfRule>
  </conditionalFormatting>
  <conditionalFormatting sqref="G13">
    <cfRule type="cellIs" dxfId="517" priority="962" operator="between">
      <formula>3</formula>
      <formula>10</formula>
    </cfRule>
    <cfRule type="cellIs" dxfId="516" priority="963" operator="between">
      <formula>2</formula>
      <formula>2</formula>
    </cfRule>
    <cfRule type="cellIs" dxfId="515" priority="964" operator="between">
      <formula>1</formula>
      <formula>1</formula>
    </cfRule>
  </conditionalFormatting>
  <conditionalFormatting sqref="H13">
    <cfRule type="cellIs" dxfId="514" priority="959" operator="between">
      <formula>3</formula>
      <formula>10</formula>
    </cfRule>
    <cfRule type="cellIs" dxfId="513" priority="960" operator="between">
      <formula>2</formula>
      <formula>2</formula>
    </cfRule>
    <cfRule type="cellIs" dxfId="512" priority="961" operator="between">
      <formula>1</formula>
      <formula>1</formula>
    </cfRule>
  </conditionalFormatting>
  <conditionalFormatting sqref="G17:H17 H18">
    <cfRule type="cellIs" dxfId="511" priority="956" operator="between">
      <formula>3</formula>
      <formula>10</formula>
    </cfRule>
    <cfRule type="cellIs" dxfId="510" priority="957" operator="between">
      <formula>2</formula>
      <formula>2</formula>
    </cfRule>
    <cfRule type="cellIs" dxfId="509" priority="958" operator="between">
      <formula>1</formula>
      <formula>1</formula>
    </cfRule>
  </conditionalFormatting>
  <conditionalFormatting sqref="G18">
    <cfRule type="cellIs" dxfId="508" priority="953" operator="between">
      <formula>3</formula>
      <formula>10</formula>
    </cfRule>
    <cfRule type="cellIs" dxfId="507" priority="954" operator="between">
      <formula>2</formula>
      <formula>2</formula>
    </cfRule>
    <cfRule type="cellIs" dxfId="506" priority="955" operator="between">
      <formula>1</formula>
      <formula>1</formula>
    </cfRule>
  </conditionalFormatting>
  <conditionalFormatting sqref="F23 F20:F21">
    <cfRule type="cellIs" dxfId="505" priority="716" operator="between">
      <formula>3</formula>
      <formula>10</formula>
    </cfRule>
    <cfRule type="cellIs" dxfId="504" priority="717" operator="between">
      <formula>2</formula>
      <formula>2</formula>
    </cfRule>
    <cfRule type="cellIs" dxfId="503" priority="718" operator="between">
      <formula>1</formula>
      <formula>1</formula>
    </cfRule>
  </conditionalFormatting>
  <conditionalFormatting sqref="F24">
    <cfRule type="cellIs" dxfId="502" priority="710" operator="between">
      <formula>3</formula>
      <formula>10</formula>
    </cfRule>
    <cfRule type="cellIs" dxfId="501" priority="711" operator="between">
      <formula>2</formula>
      <formula>2</formula>
    </cfRule>
    <cfRule type="cellIs" dxfId="500" priority="712" operator="between">
      <formula>1</formula>
      <formula>1</formula>
    </cfRule>
  </conditionalFormatting>
  <conditionalFormatting sqref="F26:F27">
    <cfRule type="cellIs" dxfId="499" priority="707" operator="between">
      <formula>3</formula>
      <formula>10</formula>
    </cfRule>
    <cfRule type="cellIs" dxfId="498" priority="708" operator="between">
      <formula>2</formula>
      <formula>2</formula>
    </cfRule>
    <cfRule type="cellIs" dxfId="497" priority="709" operator="between">
      <formula>1</formula>
      <formula>1</formula>
    </cfRule>
  </conditionalFormatting>
  <conditionalFormatting sqref="R4:V28">
    <cfRule type="cellIs" dxfId="496" priority="908" operator="between">
      <formula>0.00014</formula>
      <formula>0.69998</formula>
    </cfRule>
    <cfRule type="cellIs" dxfId="495" priority="909" operator="between">
      <formula>0.69999</formula>
      <formula>0.79998</formula>
    </cfRule>
    <cfRule type="cellIs" dxfId="494" priority="910" operator="greaterThan">
      <formula>0.79999</formula>
    </cfRule>
  </conditionalFormatting>
  <conditionalFormatting sqref="S17:T17 T18">
    <cfRule type="cellIs" dxfId="493" priority="890" operator="between">
      <formula>3</formula>
      <formula>10</formula>
    </cfRule>
    <cfRule type="cellIs" dxfId="492" priority="891" operator="between">
      <formula>2</formula>
      <formula>2</formula>
    </cfRule>
    <cfRule type="cellIs" dxfId="491" priority="892" operator="between">
      <formula>1</formula>
      <formula>1</formula>
    </cfRule>
  </conditionalFormatting>
  <conditionalFormatting sqref="R17:R18">
    <cfRule type="cellIs" dxfId="490" priority="887" operator="between">
      <formula>3</formula>
      <formula>10</formula>
    </cfRule>
    <cfRule type="cellIs" dxfId="489" priority="888" operator="between">
      <formula>2</formula>
      <formula>2</formula>
    </cfRule>
    <cfRule type="cellIs" dxfId="488" priority="889" operator="between">
      <formula>1</formula>
      <formula>1</formula>
    </cfRule>
  </conditionalFormatting>
  <conditionalFormatting sqref="S18">
    <cfRule type="cellIs" dxfId="487" priority="884" operator="between">
      <formula>3</formula>
      <formula>10</formula>
    </cfRule>
    <cfRule type="cellIs" dxfId="486" priority="885" operator="between">
      <formula>2</formula>
      <formula>2</formula>
    </cfRule>
    <cfRule type="cellIs" dxfId="485" priority="886" operator="between">
      <formula>1</formula>
      <formula>1</formula>
    </cfRule>
  </conditionalFormatting>
  <conditionalFormatting sqref="V17">
    <cfRule type="cellIs" dxfId="484" priority="857" operator="between">
      <formula>3</formula>
      <formula>10</formula>
    </cfRule>
    <cfRule type="cellIs" dxfId="483" priority="858" operator="between">
      <formula>2</formula>
      <formula>2</formula>
    </cfRule>
    <cfRule type="cellIs" dxfId="482" priority="859" operator="between">
      <formula>1</formula>
      <formula>1</formula>
    </cfRule>
  </conditionalFormatting>
  <conditionalFormatting sqref="V18">
    <cfRule type="cellIs" dxfId="481" priority="854" operator="between">
      <formula>3</formula>
      <formula>10</formula>
    </cfRule>
    <cfRule type="cellIs" dxfId="480" priority="855" operator="between">
      <formula>2</formula>
      <formula>2</formula>
    </cfRule>
    <cfRule type="cellIs" dxfId="479" priority="856" operator="between">
      <formula>1</formula>
      <formula>1</formula>
    </cfRule>
  </conditionalFormatting>
  <conditionalFormatting sqref="A1">
    <cfRule type="expression" dxfId="478" priority="1008">
      <formula>IF($B1="Terminated-Nesting",TRUE,FALSE)</formula>
    </cfRule>
    <cfRule type="expression" dxfId="477" priority="1009">
      <formula>IF($B1="Resigned",TRUE,FALSE)</formula>
    </cfRule>
    <cfRule type="expression" dxfId="476" priority="1010">
      <formula>IF($B1="Terminated",TRUE,FALSE)</formula>
    </cfRule>
    <cfRule type="expression" dxfId="475" priority="1011">
      <formula>IF($B1="Resigned-Nesting",TRUE,FALSE)</formula>
    </cfRule>
  </conditionalFormatting>
  <conditionalFormatting sqref="F22">
    <cfRule type="cellIs" dxfId="474" priority="713" operator="between">
      <formula>3</formula>
      <formula>10</formula>
    </cfRule>
    <cfRule type="cellIs" dxfId="473" priority="714" operator="between">
      <formula>2</formula>
      <formula>2</formula>
    </cfRule>
    <cfRule type="cellIs" dxfId="472" priority="715" operator="between">
      <formula>1</formula>
      <formula>1</formula>
    </cfRule>
  </conditionalFormatting>
  <conditionalFormatting sqref="F28">
    <cfRule type="cellIs" dxfId="471" priority="704" operator="between">
      <formula>3</formula>
      <formula>10</formula>
    </cfRule>
    <cfRule type="cellIs" dxfId="470" priority="705" operator="between">
      <formula>2</formula>
      <formula>2</formula>
    </cfRule>
    <cfRule type="cellIs" dxfId="469" priority="706" operator="between">
      <formula>1</formula>
      <formula>1</formula>
    </cfRule>
  </conditionalFormatting>
  <conditionalFormatting sqref="G23:H23 H24 G20:H21">
    <cfRule type="cellIs" dxfId="468" priority="695" operator="between">
      <formula>3</formula>
      <formula>10</formula>
    </cfRule>
    <cfRule type="cellIs" dxfId="467" priority="696" operator="between">
      <formula>2</formula>
      <formula>2</formula>
    </cfRule>
    <cfRule type="cellIs" dxfId="466" priority="697" operator="between">
      <formula>1</formula>
      <formula>1</formula>
    </cfRule>
  </conditionalFormatting>
  <conditionalFormatting sqref="G22">
    <cfRule type="cellIs" dxfId="465" priority="692" operator="between">
      <formula>3</formula>
      <formula>10</formula>
    </cfRule>
    <cfRule type="cellIs" dxfId="464" priority="693" operator="between">
      <formula>2</formula>
      <formula>2</formula>
    </cfRule>
    <cfRule type="cellIs" dxfId="463" priority="694" operator="between">
      <formula>1</formula>
      <formula>1</formula>
    </cfRule>
  </conditionalFormatting>
  <conditionalFormatting sqref="G24">
    <cfRule type="cellIs" dxfId="462" priority="689" operator="between">
      <formula>3</formula>
      <formula>10</formula>
    </cfRule>
    <cfRule type="cellIs" dxfId="461" priority="690" operator="between">
      <formula>2</formula>
      <formula>2</formula>
    </cfRule>
    <cfRule type="cellIs" dxfId="460" priority="691" operator="between">
      <formula>1</formula>
      <formula>1</formula>
    </cfRule>
  </conditionalFormatting>
  <conditionalFormatting sqref="H22">
    <cfRule type="cellIs" dxfId="459" priority="686" operator="between">
      <formula>3</formula>
      <formula>10</formula>
    </cfRule>
    <cfRule type="cellIs" dxfId="458" priority="687" operator="between">
      <formula>2</formula>
      <formula>2</formula>
    </cfRule>
    <cfRule type="cellIs" dxfId="457" priority="688" operator="between">
      <formula>1</formula>
      <formula>1</formula>
    </cfRule>
  </conditionalFormatting>
  <conditionalFormatting sqref="G26:H27">
    <cfRule type="cellIs" dxfId="456" priority="683" operator="between">
      <formula>3</formula>
      <formula>10</formula>
    </cfRule>
    <cfRule type="cellIs" dxfId="455" priority="684" operator="between">
      <formula>2</formula>
      <formula>2</formula>
    </cfRule>
    <cfRule type="cellIs" dxfId="454" priority="685" operator="between">
      <formula>1</formula>
      <formula>1</formula>
    </cfRule>
  </conditionalFormatting>
  <conditionalFormatting sqref="G28">
    <cfRule type="cellIs" dxfId="453" priority="680" operator="between">
      <formula>3</formula>
      <formula>10</formula>
    </cfRule>
    <cfRule type="cellIs" dxfId="452" priority="681" operator="between">
      <formula>2</formula>
      <formula>2</formula>
    </cfRule>
    <cfRule type="cellIs" dxfId="451" priority="682" operator="between">
      <formula>1</formula>
      <formula>1</formula>
    </cfRule>
  </conditionalFormatting>
  <conditionalFormatting sqref="H28">
    <cfRule type="cellIs" dxfId="450" priority="674" operator="between">
      <formula>3</formula>
      <formula>10</formula>
    </cfRule>
    <cfRule type="cellIs" dxfId="449" priority="675" operator="between">
      <formula>2</formula>
      <formula>2</formula>
    </cfRule>
    <cfRule type="cellIs" dxfId="448" priority="676" operator="between">
      <formula>1</formula>
      <formula>1</formula>
    </cfRule>
  </conditionalFormatting>
  <conditionalFormatting sqref="R19:T19">
    <cfRule type="cellIs" dxfId="447" priority="533" operator="between">
      <formula>0.00014</formula>
      <formula>0.69998</formula>
    </cfRule>
    <cfRule type="cellIs" dxfId="446" priority="534" operator="between">
      <formula>0.69999</formula>
      <formula>0.79998</formula>
    </cfRule>
    <cfRule type="cellIs" dxfId="445" priority="535" operator="greaterThan">
      <formula>0.79999</formula>
    </cfRule>
  </conditionalFormatting>
  <conditionalFormatting sqref="S23:T23 T24 S20:T21">
    <cfRule type="cellIs" dxfId="444" priority="530" operator="between">
      <formula>3</formula>
      <formula>10</formula>
    </cfRule>
    <cfRule type="cellIs" dxfId="443" priority="531" operator="between">
      <formula>2</formula>
      <formula>2</formula>
    </cfRule>
    <cfRule type="cellIs" dxfId="442" priority="532" operator="between">
      <formula>1</formula>
      <formula>1</formula>
    </cfRule>
  </conditionalFormatting>
  <conditionalFormatting sqref="R20:R24">
    <cfRule type="cellIs" dxfId="441" priority="527" operator="between">
      <formula>3</formula>
      <formula>10</formula>
    </cfRule>
    <cfRule type="cellIs" dxfId="440" priority="528" operator="between">
      <formula>2</formula>
      <formula>2</formula>
    </cfRule>
    <cfRule type="cellIs" dxfId="439" priority="529" operator="between">
      <formula>1</formula>
      <formula>1</formula>
    </cfRule>
  </conditionalFormatting>
  <conditionalFormatting sqref="S22">
    <cfRule type="cellIs" dxfId="438" priority="524" operator="between">
      <formula>3</formula>
      <formula>10</formula>
    </cfRule>
    <cfRule type="cellIs" dxfId="437" priority="525" operator="between">
      <formula>2</formula>
      <formula>2</formula>
    </cfRule>
    <cfRule type="cellIs" dxfId="436" priority="526" operator="between">
      <formula>1</formula>
      <formula>1</formula>
    </cfRule>
  </conditionalFormatting>
  <conditionalFormatting sqref="S24">
    <cfRule type="cellIs" dxfId="435" priority="521" operator="between">
      <formula>3</formula>
      <formula>10</formula>
    </cfRule>
    <cfRule type="cellIs" dxfId="434" priority="522" operator="between">
      <formula>2</formula>
      <formula>2</formula>
    </cfRule>
    <cfRule type="cellIs" dxfId="433" priority="523" operator="between">
      <formula>1</formula>
      <formula>1</formula>
    </cfRule>
  </conditionalFormatting>
  <conditionalFormatting sqref="T22">
    <cfRule type="cellIs" dxfId="432" priority="518" operator="between">
      <formula>3</formula>
      <formula>10</formula>
    </cfRule>
    <cfRule type="cellIs" dxfId="431" priority="519" operator="between">
      <formula>2</formula>
      <formula>2</formula>
    </cfRule>
    <cfRule type="cellIs" dxfId="430" priority="520" operator="between">
      <formula>1</formula>
      <formula>1</formula>
    </cfRule>
  </conditionalFormatting>
  <conditionalFormatting sqref="R25:T25">
    <cfRule type="cellIs" dxfId="429" priority="515" operator="between">
      <formula>0.00014</formula>
      <formula>0.69998</formula>
    </cfRule>
    <cfRule type="cellIs" dxfId="428" priority="516" operator="between">
      <formula>0.69999</formula>
      <formula>0.79998</formula>
    </cfRule>
    <cfRule type="cellIs" dxfId="427" priority="517" operator="greaterThan">
      <formula>0.79999</formula>
    </cfRule>
  </conditionalFormatting>
  <conditionalFormatting sqref="S26:T27">
    <cfRule type="cellIs" dxfId="426" priority="512" operator="between">
      <formula>3</formula>
      <formula>10</formula>
    </cfRule>
    <cfRule type="cellIs" dxfId="425" priority="513" operator="between">
      <formula>2</formula>
      <formula>2</formula>
    </cfRule>
    <cfRule type="cellIs" dxfId="424" priority="514" operator="between">
      <formula>1</formula>
      <formula>1</formula>
    </cfRule>
  </conditionalFormatting>
  <conditionalFormatting sqref="R26:R28">
    <cfRule type="cellIs" dxfId="423" priority="509" operator="between">
      <formula>3</formula>
      <formula>10</formula>
    </cfRule>
    <cfRule type="cellIs" dxfId="422" priority="510" operator="between">
      <formula>2</formula>
      <formula>2</formula>
    </cfRule>
    <cfRule type="cellIs" dxfId="421" priority="511" operator="between">
      <formula>1</formula>
      <formula>1</formula>
    </cfRule>
  </conditionalFormatting>
  <conditionalFormatting sqref="S28">
    <cfRule type="cellIs" dxfId="420" priority="506" operator="between">
      <formula>3</formula>
      <formula>10</formula>
    </cfRule>
    <cfRule type="cellIs" dxfId="419" priority="507" operator="between">
      <formula>2</formula>
      <formula>2</formula>
    </cfRule>
    <cfRule type="cellIs" dxfId="418" priority="508" operator="between">
      <formula>1</formula>
      <formula>1</formula>
    </cfRule>
  </conditionalFormatting>
  <conditionalFormatting sqref="T28">
    <cfRule type="cellIs" dxfId="417" priority="500" operator="between">
      <formula>3</formula>
      <formula>10</formula>
    </cfRule>
    <cfRule type="cellIs" dxfId="416" priority="501" operator="between">
      <formula>2</formula>
      <formula>2</formula>
    </cfRule>
    <cfRule type="cellIs" dxfId="415" priority="502" operator="between">
      <formula>1</formula>
      <formula>1</formula>
    </cfRule>
  </conditionalFormatting>
  <conditionalFormatting sqref="V23 V20:V21">
    <cfRule type="cellIs" dxfId="414" priority="488" operator="between">
      <formula>3</formula>
      <formula>10</formula>
    </cfRule>
    <cfRule type="cellIs" dxfId="413" priority="489" operator="between">
      <formula>2</formula>
      <formula>2</formula>
    </cfRule>
    <cfRule type="cellIs" dxfId="412" priority="490" operator="between">
      <formula>1</formula>
      <formula>1</formula>
    </cfRule>
  </conditionalFormatting>
  <conditionalFormatting sqref="U20:U24">
    <cfRule type="cellIs" dxfId="411" priority="485" operator="between">
      <formula>3</formula>
      <formula>10</formula>
    </cfRule>
    <cfRule type="cellIs" dxfId="410" priority="486" operator="between">
      <formula>2</formula>
      <formula>2</formula>
    </cfRule>
    <cfRule type="cellIs" dxfId="409" priority="487" operator="between">
      <formula>1</formula>
      <formula>1</formula>
    </cfRule>
  </conditionalFormatting>
  <conditionalFormatting sqref="V22">
    <cfRule type="cellIs" dxfId="408" priority="482" operator="between">
      <formula>3</formula>
      <formula>10</formula>
    </cfRule>
    <cfRule type="cellIs" dxfId="407" priority="483" operator="between">
      <formula>2</formula>
      <formula>2</formula>
    </cfRule>
    <cfRule type="cellIs" dxfId="406" priority="484" operator="between">
      <formula>1</formula>
      <formula>1</formula>
    </cfRule>
  </conditionalFormatting>
  <conditionalFormatting sqref="V24">
    <cfRule type="cellIs" dxfId="405" priority="479" operator="between">
      <formula>3</formula>
      <formula>10</formula>
    </cfRule>
    <cfRule type="cellIs" dxfId="404" priority="480" operator="between">
      <formula>2</formula>
      <formula>2</formula>
    </cfRule>
    <cfRule type="cellIs" dxfId="403" priority="481" operator="between">
      <formula>1</formula>
      <formula>1</formula>
    </cfRule>
  </conditionalFormatting>
  <conditionalFormatting sqref="V26:V27">
    <cfRule type="cellIs" dxfId="402" priority="473" operator="between">
      <formula>3</formula>
      <formula>10</formula>
    </cfRule>
    <cfRule type="cellIs" dxfId="401" priority="474" operator="between">
      <formula>2</formula>
      <formula>2</formula>
    </cfRule>
    <cfRule type="cellIs" dxfId="400" priority="475" operator="between">
      <formula>1</formula>
      <formula>1</formula>
    </cfRule>
  </conditionalFormatting>
  <conditionalFormatting sqref="U26:U28">
    <cfRule type="cellIs" dxfId="399" priority="470" operator="between">
      <formula>3</formula>
      <formula>10</formula>
    </cfRule>
    <cfRule type="cellIs" dxfId="398" priority="471" operator="between">
      <formula>2</formula>
      <formula>2</formula>
    </cfRule>
    <cfRule type="cellIs" dxfId="397" priority="472" operator="between">
      <formula>1</formula>
      <formula>1</formula>
    </cfRule>
  </conditionalFormatting>
  <conditionalFormatting sqref="V28">
    <cfRule type="cellIs" dxfId="396" priority="467" operator="between">
      <formula>3</formula>
      <formula>10</formula>
    </cfRule>
    <cfRule type="cellIs" dxfId="395" priority="468" operator="between">
      <formula>2</formula>
      <formula>2</formula>
    </cfRule>
    <cfRule type="cellIs" dxfId="394" priority="469" operator="between">
      <formula>1</formula>
      <formula>1</formula>
    </cfRule>
  </conditionalFormatting>
  <conditionalFormatting sqref="T4:T16">
    <cfRule type="cellIs" dxfId="393" priority="236" operator="between">
      <formula>0.00014</formula>
      <formula>0.69998</formula>
    </cfRule>
    <cfRule type="cellIs" dxfId="392" priority="237" operator="between">
      <formula>0.69999</formula>
      <formula>0.79998</formula>
    </cfRule>
    <cfRule type="cellIs" dxfId="391" priority="238" operator="greaterThan">
      <formula>0.79999</formula>
    </cfRule>
  </conditionalFormatting>
  <conditionalFormatting sqref="AB17:AB18">
    <cfRule type="cellIs" dxfId="390" priority="197" operator="between">
      <formula>3</formula>
      <formula>10</formula>
    </cfRule>
    <cfRule type="cellIs" dxfId="389" priority="198" operator="between">
      <formula>2</formula>
      <formula>2</formula>
    </cfRule>
    <cfRule type="cellIs" dxfId="388" priority="199" operator="between">
      <formula>1</formula>
      <formula>1</formula>
    </cfRule>
  </conditionalFormatting>
  <conditionalFormatting sqref="Y17:Y18">
    <cfRule type="cellIs" dxfId="387" priority="188" operator="between">
      <formula>3</formula>
      <formula>10</formula>
    </cfRule>
    <cfRule type="cellIs" dxfId="386" priority="189" operator="between">
      <formula>2</formula>
      <formula>2</formula>
    </cfRule>
    <cfRule type="cellIs" dxfId="385" priority="190" operator="between">
      <formula>1</formula>
      <formula>1</formula>
    </cfRule>
  </conditionalFormatting>
  <conditionalFormatting sqref="Z18">
    <cfRule type="cellIs" dxfId="384" priority="185" operator="between">
      <formula>3</formula>
      <formula>10</formula>
    </cfRule>
    <cfRule type="cellIs" dxfId="383" priority="186" operator="between">
      <formula>2</formula>
      <formula>2</formula>
    </cfRule>
    <cfRule type="cellIs" dxfId="382" priority="187" operator="between">
      <formula>1</formula>
      <formula>1</formula>
    </cfRule>
  </conditionalFormatting>
  <conditionalFormatting sqref="AC17">
    <cfRule type="cellIs" dxfId="381" priority="182" operator="between">
      <formula>3</formula>
      <formula>10</formula>
    </cfRule>
    <cfRule type="cellIs" dxfId="380" priority="183" operator="between">
      <formula>2</formula>
      <formula>2</formula>
    </cfRule>
    <cfRule type="cellIs" dxfId="379" priority="184" operator="between">
      <formula>1</formula>
      <formula>1</formula>
    </cfRule>
  </conditionalFormatting>
  <conditionalFormatting sqref="AG18">
    <cfRule type="cellIs" dxfId="378" priority="86" operator="between">
      <formula>3</formula>
      <formula>10</formula>
    </cfRule>
    <cfRule type="cellIs" dxfId="377" priority="87" operator="between">
      <formula>2</formula>
      <formula>2</formula>
    </cfRule>
    <cfRule type="cellIs" dxfId="376" priority="88" operator="between">
      <formula>1</formula>
      <formula>1</formula>
    </cfRule>
  </conditionalFormatting>
  <conditionalFormatting sqref="AF17:AF18">
    <cfRule type="cellIs" dxfId="375" priority="89" operator="between">
      <formula>3</formula>
      <formula>10</formula>
    </cfRule>
    <cfRule type="cellIs" dxfId="374" priority="90" operator="between">
      <formula>2</formula>
      <formula>2</formula>
    </cfRule>
    <cfRule type="cellIs" dxfId="373" priority="91" operator="between">
      <formula>1</formula>
      <formula>1</formula>
    </cfRule>
  </conditionalFormatting>
  <conditionalFormatting sqref="F6">
    <cfRule type="cellIs" dxfId="372" priority="287" operator="between">
      <formula>3</formula>
      <formula>10</formula>
    </cfRule>
    <cfRule type="cellIs" dxfId="371" priority="288" operator="between">
      <formula>2</formula>
      <formula>2</formula>
    </cfRule>
    <cfRule type="cellIs" dxfId="370" priority="289" operator="between">
      <formula>1</formula>
      <formula>1</formula>
    </cfRule>
  </conditionalFormatting>
  <conditionalFormatting sqref="H6">
    <cfRule type="cellIs" dxfId="369" priority="284" operator="between">
      <formula>3</formula>
      <formula>10</formula>
    </cfRule>
    <cfRule type="cellIs" dxfId="368" priority="285" operator="between">
      <formula>2</formula>
      <formula>2</formula>
    </cfRule>
    <cfRule type="cellIs" dxfId="367" priority="286" operator="between">
      <formula>1</formula>
      <formula>1</formula>
    </cfRule>
  </conditionalFormatting>
  <conditionalFormatting sqref="G6">
    <cfRule type="cellIs" dxfId="366" priority="281" operator="between">
      <formula>3</formula>
      <formula>10</formula>
    </cfRule>
    <cfRule type="cellIs" dxfId="365" priority="282" operator="between">
      <formula>2</formula>
      <formula>2</formula>
    </cfRule>
    <cfRule type="cellIs" dxfId="364" priority="283" operator="between">
      <formula>1</formula>
      <formula>1</formula>
    </cfRule>
  </conditionalFormatting>
  <conditionalFormatting sqref="AG23:AH23 AH24 AG20:AH21">
    <cfRule type="cellIs" dxfId="363" priority="74" operator="between">
      <formula>3</formula>
      <formula>10</formula>
    </cfRule>
    <cfRule type="cellIs" dxfId="362" priority="75" operator="between">
      <formula>2</formula>
      <formula>2</formula>
    </cfRule>
    <cfRule type="cellIs" dxfId="361" priority="76" operator="between">
      <formula>1</formula>
      <formula>1</formula>
    </cfRule>
  </conditionalFormatting>
  <conditionalFormatting sqref="AF20:AF24">
    <cfRule type="cellIs" dxfId="360" priority="71" operator="between">
      <formula>3</formula>
      <formula>10</formula>
    </cfRule>
    <cfRule type="cellIs" dxfId="359" priority="72" operator="between">
      <formula>2</formula>
      <formula>2</formula>
    </cfRule>
    <cfRule type="cellIs" dxfId="358" priority="73" operator="between">
      <formula>1</formula>
      <formula>1</formula>
    </cfRule>
  </conditionalFormatting>
  <conditionalFormatting sqref="G14:H14">
    <cfRule type="cellIs" dxfId="357" priority="272" operator="between">
      <formula>3</formula>
      <formula>10</formula>
    </cfRule>
    <cfRule type="cellIs" dxfId="356" priority="273" operator="between">
      <formula>2</formula>
      <formula>2</formula>
    </cfRule>
    <cfRule type="cellIs" dxfId="355" priority="274" operator="between">
      <formula>1</formula>
      <formula>1</formula>
    </cfRule>
  </conditionalFormatting>
  <conditionalFormatting sqref="AG24">
    <cfRule type="cellIs" dxfId="354" priority="65" operator="between">
      <formula>3</formula>
      <formula>10</formula>
    </cfRule>
    <cfRule type="cellIs" dxfId="353" priority="66" operator="between">
      <formula>2</formula>
      <formula>2</formula>
    </cfRule>
    <cfRule type="cellIs" dxfId="352" priority="67" operator="between">
      <formula>1</formula>
      <formula>1</formula>
    </cfRule>
  </conditionalFormatting>
  <conditionalFormatting sqref="G15:H15">
    <cfRule type="cellIs" dxfId="351" priority="266" operator="between">
      <formula>3</formula>
      <formula>10</formula>
    </cfRule>
    <cfRule type="cellIs" dxfId="350" priority="267" operator="between">
      <formula>2</formula>
      <formula>2</formula>
    </cfRule>
    <cfRule type="cellIs" dxfId="349" priority="268" operator="between">
      <formula>1</formula>
      <formula>1</formula>
    </cfRule>
  </conditionalFormatting>
  <conditionalFormatting sqref="AG26:AH27">
    <cfRule type="cellIs" dxfId="348" priority="56" operator="between">
      <formula>3</formula>
      <formula>10</formula>
    </cfRule>
    <cfRule type="cellIs" dxfId="347" priority="57" operator="between">
      <formula>2</formula>
      <formula>2</formula>
    </cfRule>
    <cfRule type="cellIs" dxfId="346" priority="58" operator="between">
      <formula>1</formula>
      <formula>1</formula>
    </cfRule>
  </conditionalFormatting>
  <conditionalFormatting sqref="H7">
    <cfRule type="cellIs" dxfId="345" priority="257" operator="between">
      <formula>0.00014</formula>
      <formula>0.69998</formula>
    </cfRule>
    <cfRule type="cellIs" dxfId="344" priority="258" operator="between">
      <formula>0.69999</formula>
      <formula>0.79998</formula>
    </cfRule>
    <cfRule type="cellIs" dxfId="343" priority="259" operator="greaterThan">
      <formula>0.79999</formula>
    </cfRule>
  </conditionalFormatting>
  <conditionalFormatting sqref="S4:S16">
    <cfRule type="cellIs" dxfId="342" priority="242" operator="between">
      <formula>0.00014</formula>
      <formula>0.69998</formula>
    </cfRule>
    <cfRule type="cellIs" dxfId="341" priority="243" operator="between">
      <formula>0.69999</formula>
      <formula>0.79998</formula>
    </cfRule>
    <cfRule type="cellIs" dxfId="340" priority="244" operator="greaterThan">
      <formula>0.79999</formula>
    </cfRule>
  </conditionalFormatting>
  <conditionalFormatting sqref="D4:H28 R4:V28">
    <cfRule type="cellIs" dxfId="339" priority="245" operator="between">
      <formula>2</formula>
      <formula>10</formula>
    </cfRule>
    <cfRule type="cellIs" dxfId="338" priority="246" operator="between">
      <formula>1</formula>
      <formula>1</formula>
    </cfRule>
    <cfRule type="cellIs" dxfId="337" priority="247" operator="between">
      <formula>0</formula>
      <formula>0</formula>
    </cfRule>
  </conditionalFormatting>
  <conditionalFormatting sqref="S4:S16">
    <cfRule type="cellIs" dxfId="336" priority="239" operator="between">
      <formula>2</formula>
      <formula>10</formula>
    </cfRule>
    <cfRule type="cellIs" dxfId="335" priority="240" operator="between">
      <formula>1</formula>
      <formula>1</formula>
    </cfRule>
    <cfRule type="cellIs" dxfId="334" priority="241" operator="between">
      <formula>0</formula>
      <formula>0</formula>
    </cfRule>
  </conditionalFormatting>
  <conditionalFormatting sqref="T4:T16">
    <cfRule type="cellIs" dxfId="333" priority="233" operator="between">
      <formula>2</formula>
      <formula>10</formula>
    </cfRule>
    <cfRule type="cellIs" dxfId="332" priority="234" operator="between">
      <formula>1</formula>
      <formula>1</formula>
    </cfRule>
    <cfRule type="cellIs" dxfId="331" priority="235" operator="between">
      <formula>0</formula>
      <formula>0</formula>
    </cfRule>
  </conditionalFormatting>
  <conditionalFormatting sqref="A4:A28">
    <cfRule type="expression" dxfId="330" priority="221">
      <formula>IF($F4="Terminated-Nesting",TRUE,FALSE)</formula>
    </cfRule>
    <cfRule type="expression" dxfId="329" priority="222">
      <formula>IF($F4="Resigned",TRUE,FALSE)</formula>
    </cfRule>
    <cfRule type="expression" dxfId="328" priority="223">
      <formula>IF($F4="Terminated",TRUE,FALSE)</formula>
    </cfRule>
    <cfRule type="expression" dxfId="327" priority="224">
      <formula>IF($F4="Resigned-Nesting",TRUE,FALSE)</formula>
    </cfRule>
  </conditionalFormatting>
  <conditionalFormatting sqref="D4:E27">
    <cfRule type="expression" dxfId="326" priority="225">
      <formula>IF($F5="Terminated-Nesting",TRUE,FALSE)</formula>
    </cfRule>
    <cfRule type="expression" dxfId="325" priority="226">
      <formula>IF($F5="Resigned",TRUE,FALSE)</formula>
    </cfRule>
    <cfRule type="expression" dxfId="324" priority="227">
      <formula>IF($F5="Terminated",TRUE,FALSE)</formula>
    </cfRule>
    <cfRule type="expression" dxfId="323" priority="228">
      <formula>IF($F5="Resigned-Nesting",TRUE,FALSE)</formula>
    </cfRule>
  </conditionalFormatting>
  <conditionalFormatting sqref="D28:E28">
    <cfRule type="expression" dxfId="322" priority="229">
      <formula>IF(#REF!="Terminated-Nesting",TRUE,FALSE)</formula>
    </cfRule>
    <cfRule type="expression" dxfId="321" priority="230">
      <formula>IF(#REF!="Resigned",TRUE,FALSE)</formula>
    </cfRule>
    <cfRule type="expression" dxfId="320" priority="231">
      <formula>IF(#REF!="Terminated",TRUE,FALSE)</formula>
    </cfRule>
    <cfRule type="expression" dxfId="319" priority="232">
      <formula>IF(#REF!="Resigned-Nesting",TRUE,FALSE)</formula>
    </cfRule>
  </conditionalFormatting>
  <conditionalFormatting sqref="B4:C4">
    <cfRule type="expression" dxfId="318" priority="1288">
      <formula>IF($F5="Terminated-Nesting",TRUE,FALSE)</formula>
    </cfRule>
    <cfRule type="expression" dxfId="317" priority="1289">
      <formula>IF($F5="Resigned",TRUE,FALSE)</formula>
    </cfRule>
    <cfRule type="expression" dxfId="316" priority="1290">
      <formula>IF($F5="Terminated",TRUE,FALSE)</formula>
    </cfRule>
    <cfRule type="expression" dxfId="315" priority="1291">
      <formula>IF($F5="Resigned-Nesting",TRUE,FALSE)</formula>
    </cfRule>
  </conditionalFormatting>
  <conditionalFormatting sqref="AH4:AH16">
    <cfRule type="cellIs" dxfId="314" priority="14" operator="between">
      <formula>0.00014</formula>
      <formula>0.69998</formula>
    </cfRule>
    <cfRule type="cellIs" dxfId="313" priority="15" operator="between">
      <formula>0.69999</formula>
      <formula>0.79998</formula>
    </cfRule>
    <cfRule type="cellIs" dxfId="312" priority="16" operator="greaterThan">
      <formula>0.79999</formula>
    </cfRule>
  </conditionalFormatting>
  <conditionalFormatting sqref="AH4:AH16">
    <cfRule type="cellIs" dxfId="311" priority="11" operator="between">
      <formula>2</formula>
      <formula>10</formula>
    </cfRule>
    <cfRule type="cellIs" dxfId="310" priority="12" operator="between">
      <formula>1</formula>
      <formula>1</formula>
    </cfRule>
    <cfRule type="cellIs" dxfId="309" priority="13" operator="between">
      <formula>0</formula>
      <formula>0</formula>
    </cfRule>
  </conditionalFormatting>
  <conditionalFormatting sqref="U4:V16">
    <cfRule type="cellIs" dxfId="308" priority="212" operator="between">
      <formula>0.00014</formula>
      <formula>0.69998</formula>
    </cfRule>
    <cfRule type="cellIs" dxfId="307" priority="213" operator="between">
      <formula>0.69999</formula>
      <formula>0.79998</formula>
    </cfRule>
    <cfRule type="cellIs" dxfId="306" priority="214" operator="greaterThan">
      <formula>0.79999</formula>
    </cfRule>
  </conditionalFormatting>
  <conditionalFormatting sqref="U4:V16">
    <cfRule type="cellIs" dxfId="305" priority="209" operator="between">
      <formula>2</formula>
      <formula>10</formula>
    </cfRule>
    <cfRule type="cellIs" dxfId="304" priority="210" operator="between">
      <formula>1</formula>
      <formula>1</formula>
    </cfRule>
    <cfRule type="cellIs" dxfId="303" priority="211" operator="between">
      <formula>0</formula>
      <formula>0</formula>
    </cfRule>
  </conditionalFormatting>
  <conditionalFormatting sqref="K4:O28">
    <cfRule type="cellIs" dxfId="302" priority="206" operator="between">
      <formula>0.00014</formula>
      <formula>0.69998</formula>
    </cfRule>
    <cfRule type="cellIs" dxfId="301" priority="207" operator="between">
      <formula>0.69999</formula>
      <formula>0.79998</formula>
    </cfRule>
    <cfRule type="cellIs" dxfId="300" priority="208" operator="greaterThan">
      <formula>0.79999</formula>
    </cfRule>
  </conditionalFormatting>
  <conditionalFormatting sqref="K4:O28">
    <cfRule type="cellIs" dxfId="299" priority="203" operator="between">
      <formula>2</formula>
      <formula>10</formula>
    </cfRule>
    <cfRule type="cellIs" dxfId="298" priority="204" operator="between">
      <formula>1</formula>
      <formula>1</formula>
    </cfRule>
    <cfRule type="cellIs" dxfId="297" priority="205" operator="between">
      <formula>0</formula>
      <formula>0</formula>
    </cfRule>
  </conditionalFormatting>
  <conditionalFormatting sqref="AB19:AC19 AB25:AC25">
    <cfRule type="cellIs" dxfId="296" priority="200" operator="between">
      <formula>0.00014</formula>
      <formula>0.69998</formula>
    </cfRule>
    <cfRule type="cellIs" dxfId="295" priority="201" operator="between">
      <formula>0.69999</formula>
      <formula>0.79998</formula>
    </cfRule>
    <cfRule type="cellIs" dxfId="294" priority="202" operator="greaterThan">
      <formula>0.79999</formula>
    </cfRule>
  </conditionalFormatting>
  <conditionalFormatting sqref="Y4:AC28">
    <cfRule type="cellIs" dxfId="293" priority="194" operator="between">
      <formula>0.00014</formula>
      <formula>0.69998</formula>
    </cfRule>
    <cfRule type="cellIs" dxfId="292" priority="195" operator="between">
      <formula>0.69999</formula>
      <formula>0.79998</formula>
    </cfRule>
    <cfRule type="cellIs" dxfId="291" priority="196" operator="greaterThan">
      <formula>0.79999</formula>
    </cfRule>
  </conditionalFormatting>
  <conditionalFormatting sqref="Z17:AA17 AA18">
    <cfRule type="cellIs" dxfId="290" priority="191" operator="between">
      <formula>3</formula>
      <formula>10</formula>
    </cfRule>
    <cfRule type="cellIs" dxfId="289" priority="192" operator="between">
      <formula>2</formula>
      <formula>2</formula>
    </cfRule>
    <cfRule type="cellIs" dxfId="288" priority="193" operator="between">
      <formula>1</formula>
      <formula>1</formula>
    </cfRule>
  </conditionalFormatting>
  <conditionalFormatting sqref="AC18">
    <cfRule type="cellIs" dxfId="287" priority="179" operator="between">
      <formula>3</formula>
      <formula>10</formula>
    </cfRule>
    <cfRule type="cellIs" dxfId="286" priority="180" operator="between">
      <formula>2</formula>
      <formula>2</formula>
    </cfRule>
    <cfRule type="cellIs" dxfId="285" priority="181" operator="between">
      <formula>1</formula>
      <formula>1</formula>
    </cfRule>
  </conditionalFormatting>
  <conditionalFormatting sqref="Y19:AA19">
    <cfRule type="cellIs" dxfId="284" priority="176" operator="between">
      <formula>0.00014</formula>
      <formula>0.69998</formula>
    </cfRule>
    <cfRule type="cellIs" dxfId="283" priority="177" operator="between">
      <formula>0.69999</formula>
      <formula>0.79998</formula>
    </cfRule>
    <cfRule type="cellIs" dxfId="282" priority="178" operator="greaterThan">
      <formula>0.79999</formula>
    </cfRule>
  </conditionalFormatting>
  <conditionalFormatting sqref="Z23:AA23 AA24 Z20:AA21">
    <cfRule type="cellIs" dxfId="281" priority="173" operator="between">
      <formula>3</formula>
      <formula>10</formula>
    </cfRule>
    <cfRule type="cellIs" dxfId="280" priority="174" operator="between">
      <formula>2</formula>
      <formula>2</formula>
    </cfRule>
    <cfRule type="cellIs" dxfId="279" priority="175" operator="between">
      <formula>1</formula>
      <formula>1</formula>
    </cfRule>
  </conditionalFormatting>
  <conditionalFormatting sqref="Y20:Y24">
    <cfRule type="cellIs" dxfId="278" priority="170" operator="between">
      <formula>3</formula>
      <formula>10</formula>
    </cfRule>
    <cfRule type="cellIs" dxfId="277" priority="171" operator="between">
      <formula>2</formula>
      <formula>2</formula>
    </cfRule>
    <cfRule type="cellIs" dxfId="276" priority="172" operator="between">
      <formula>1</formula>
      <formula>1</formula>
    </cfRule>
  </conditionalFormatting>
  <conditionalFormatting sqref="Z22">
    <cfRule type="cellIs" dxfId="275" priority="167" operator="between">
      <formula>3</formula>
      <formula>10</formula>
    </cfRule>
    <cfRule type="cellIs" dxfId="274" priority="168" operator="between">
      <formula>2</formula>
      <formula>2</formula>
    </cfRule>
    <cfRule type="cellIs" dxfId="273" priority="169" operator="between">
      <formula>1</formula>
      <formula>1</formula>
    </cfRule>
  </conditionalFormatting>
  <conditionalFormatting sqref="Z24">
    <cfRule type="cellIs" dxfId="272" priority="164" operator="between">
      <formula>3</formula>
      <formula>10</formula>
    </cfRule>
    <cfRule type="cellIs" dxfId="271" priority="165" operator="between">
      <formula>2</formula>
      <formula>2</formula>
    </cfRule>
    <cfRule type="cellIs" dxfId="270" priority="166" operator="between">
      <formula>1</formula>
      <formula>1</formula>
    </cfRule>
  </conditionalFormatting>
  <conditionalFormatting sqref="AA22">
    <cfRule type="cellIs" dxfId="269" priority="161" operator="between">
      <formula>3</formula>
      <formula>10</formula>
    </cfRule>
    <cfRule type="cellIs" dxfId="268" priority="162" operator="between">
      <formula>2</formula>
      <formula>2</formula>
    </cfRule>
    <cfRule type="cellIs" dxfId="267" priority="163" operator="between">
      <formula>1</formula>
      <formula>1</formula>
    </cfRule>
  </conditionalFormatting>
  <conditionalFormatting sqref="Y25:AA25">
    <cfRule type="cellIs" dxfId="266" priority="158" operator="between">
      <formula>0.00014</formula>
      <formula>0.69998</formula>
    </cfRule>
    <cfRule type="cellIs" dxfId="265" priority="159" operator="between">
      <formula>0.69999</formula>
      <formula>0.79998</formula>
    </cfRule>
    <cfRule type="cellIs" dxfId="264" priority="160" operator="greaterThan">
      <formula>0.79999</formula>
    </cfRule>
  </conditionalFormatting>
  <conditionalFormatting sqref="Z26:AA27">
    <cfRule type="cellIs" dxfId="263" priority="155" operator="between">
      <formula>3</formula>
      <formula>10</formula>
    </cfRule>
    <cfRule type="cellIs" dxfId="262" priority="156" operator="between">
      <formula>2</formula>
      <formula>2</formula>
    </cfRule>
    <cfRule type="cellIs" dxfId="261" priority="157" operator="between">
      <formula>1</formula>
      <formula>1</formula>
    </cfRule>
  </conditionalFormatting>
  <conditionalFormatting sqref="Y26:Y28">
    <cfRule type="cellIs" dxfId="260" priority="152" operator="between">
      <formula>3</formula>
      <formula>10</formula>
    </cfRule>
    <cfRule type="cellIs" dxfId="259" priority="153" operator="between">
      <formula>2</formula>
      <formula>2</formula>
    </cfRule>
    <cfRule type="cellIs" dxfId="258" priority="154" operator="between">
      <formula>1</formula>
      <formula>1</formula>
    </cfRule>
  </conditionalFormatting>
  <conditionalFormatting sqref="Z28">
    <cfRule type="cellIs" dxfId="257" priority="149" operator="between">
      <formula>3</formula>
      <formula>10</formula>
    </cfRule>
    <cfRule type="cellIs" dxfId="256" priority="150" operator="between">
      <formula>2</formula>
      <formula>2</formula>
    </cfRule>
    <cfRule type="cellIs" dxfId="255" priority="151" operator="between">
      <formula>1</formula>
      <formula>1</formula>
    </cfRule>
  </conditionalFormatting>
  <conditionalFormatting sqref="AA28">
    <cfRule type="cellIs" dxfId="254" priority="146" operator="between">
      <formula>3</formula>
      <formula>10</formula>
    </cfRule>
    <cfRule type="cellIs" dxfId="253" priority="147" operator="between">
      <formula>2</formula>
      <formula>2</formula>
    </cfRule>
    <cfRule type="cellIs" dxfId="252" priority="148" operator="between">
      <formula>1</formula>
      <formula>1</formula>
    </cfRule>
  </conditionalFormatting>
  <conditionalFormatting sqref="AC23 AC20:AC21">
    <cfRule type="cellIs" dxfId="251" priority="143" operator="between">
      <formula>3</formula>
      <formula>10</formula>
    </cfRule>
    <cfRule type="cellIs" dxfId="250" priority="144" operator="between">
      <formula>2</formula>
      <formula>2</formula>
    </cfRule>
    <cfRule type="cellIs" dxfId="249" priority="145" operator="between">
      <formula>1</formula>
      <formula>1</formula>
    </cfRule>
  </conditionalFormatting>
  <conditionalFormatting sqref="AB20:AB24">
    <cfRule type="cellIs" dxfId="248" priority="140" operator="between">
      <formula>3</formula>
      <formula>10</formula>
    </cfRule>
    <cfRule type="cellIs" dxfId="247" priority="141" operator="between">
      <formula>2</formula>
      <formula>2</formula>
    </cfRule>
    <cfRule type="cellIs" dxfId="246" priority="142" operator="between">
      <formula>1</formula>
      <formula>1</formula>
    </cfRule>
  </conditionalFormatting>
  <conditionalFormatting sqref="AC22">
    <cfRule type="cellIs" dxfId="245" priority="137" operator="between">
      <formula>3</formula>
      <formula>10</formula>
    </cfRule>
    <cfRule type="cellIs" dxfId="244" priority="138" operator="between">
      <formula>2</formula>
      <formula>2</formula>
    </cfRule>
    <cfRule type="cellIs" dxfId="243" priority="139" operator="between">
      <formula>1</formula>
      <formula>1</formula>
    </cfRule>
  </conditionalFormatting>
  <conditionalFormatting sqref="AC24">
    <cfRule type="cellIs" dxfId="242" priority="134" operator="between">
      <formula>3</formula>
      <formula>10</formula>
    </cfRule>
    <cfRule type="cellIs" dxfId="241" priority="135" operator="between">
      <formula>2</formula>
      <formula>2</formula>
    </cfRule>
    <cfRule type="cellIs" dxfId="240" priority="136" operator="between">
      <formula>1</formula>
      <formula>1</formula>
    </cfRule>
  </conditionalFormatting>
  <conditionalFormatting sqref="AC26:AC27">
    <cfRule type="cellIs" dxfId="239" priority="131" operator="between">
      <formula>3</formula>
      <formula>10</formula>
    </cfRule>
    <cfRule type="cellIs" dxfId="238" priority="132" operator="between">
      <formula>2</formula>
      <formula>2</formula>
    </cfRule>
    <cfRule type="cellIs" dxfId="237" priority="133" operator="between">
      <formula>1</formula>
      <formula>1</formula>
    </cfRule>
  </conditionalFormatting>
  <conditionalFormatting sqref="AB26:AB28">
    <cfRule type="cellIs" dxfId="236" priority="128" operator="between">
      <formula>3</formula>
      <formula>10</formula>
    </cfRule>
    <cfRule type="cellIs" dxfId="235" priority="129" operator="between">
      <formula>2</formula>
      <formula>2</formula>
    </cfRule>
    <cfRule type="cellIs" dxfId="234" priority="130" operator="between">
      <formula>1</formula>
      <formula>1</formula>
    </cfRule>
  </conditionalFormatting>
  <conditionalFormatting sqref="AC28">
    <cfRule type="cellIs" dxfId="233" priority="125" operator="between">
      <formula>3</formula>
      <formula>10</formula>
    </cfRule>
    <cfRule type="cellIs" dxfId="232" priority="126" operator="between">
      <formula>2</formula>
      <formula>2</formula>
    </cfRule>
    <cfRule type="cellIs" dxfId="231" priority="127" operator="between">
      <formula>1</formula>
      <formula>1</formula>
    </cfRule>
  </conditionalFormatting>
  <conditionalFormatting sqref="Z4:Z16">
    <cfRule type="cellIs" dxfId="230" priority="119" operator="between">
      <formula>0.00014</formula>
      <formula>0.69998</formula>
    </cfRule>
    <cfRule type="cellIs" dxfId="229" priority="120" operator="between">
      <formula>0.69999</formula>
      <formula>0.79998</formula>
    </cfRule>
    <cfRule type="cellIs" dxfId="228" priority="121" operator="greaterThan">
      <formula>0.79999</formula>
    </cfRule>
  </conditionalFormatting>
  <conditionalFormatting sqref="Y4:AC28">
    <cfRule type="cellIs" dxfId="227" priority="122" operator="between">
      <formula>2</formula>
      <formula>10</formula>
    </cfRule>
    <cfRule type="cellIs" dxfId="226" priority="123" operator="between">
      <formula>1</formula>
      <formula>1</formula>
    </cfRule>
    <cfRule type="cellIs" dxfId="225" priority="124" operator="between">
      <formula>0</formula>
      <formula>0</formula>
    </cfRule>
  </conditionalFormatting>
  <conditionalFormatting sqref="Z4:Z16">
    <cfRule type="cellIs" dxfId="224" priority="116" operator="between">
      <formula>2</formula>
      <formula>10</formula>
    </cfRule>
    <cfRule type="cellIs" dxfId="223" priority="117" operator="between">
      <formula>1</formula>
      <formula>1</formula>
    </cfRule>
    <cfRule type="cellIs" dxfId="222" priority="118" operator="between">
      <formula>0</formula>
      <formula>0</formula>
    </cfRule>
  </conditionalFormatting>
  <conditionalFormatting sqref="AA4:AA16">
    <cfRule type="cellIs" dxfId="221" priority="113" operator="between">
      <formula>0.00014</formula>
      <formula>0.69998</formula>
    </cfRule>
    <cfRule type="cellIs" dxfId="220" priority="114" operator="between">
      <formula>0.69999</formula>
      <formula>0.79998</formula>
    </cfRule>
    <cfRule type="cellIs" dxfId="219" priority="115" operator="greaterThan">
      <formula>0.79999</formula>
    </cfRule>
  </conditionalFormatting>
  <conditionalFormatting sqref="AA4:AA16">
    <cfRule type="cellIs" dxfId="218" priority="110" operator="between">
      <formula>2</formula>
      <formula>10</formula>
    </cfRule>
    <cfRule type="cellIs" dxfId="217" priority="111" operator="between">
      <formula>1</formula>
      <formula>1</formula>
    </cfRule>
    <cfRule type="cellIs" dxfId="216" priority="112" operator="between">
      <formula>0</formula>
      <formula>0</formula>
    </cfRule>
  </conditionalFormatting>
  <conditionalFormatting sqref="AB4:AC16">
    <cfRule type="cellIs" dxfId="215" priority="107" operator="between">
      <formula>0.00014</formula>
      <formula>0.69998</formula>
    </cfRule>
    <cfRule type="cellIs" dxfId="214" priority="108" operator="between">
      <formula>0.69999</formula>
      <formula>0.79998</formula>
    </cfRule>
    <cfRule type="cellIs" dxfId="213" priority="109" operator="greaterThan">
      <formula>0.79999</formula>
    </cfRule>
  </conditionalFormatting>
  <conditionalFormatting sqref="AB4:AC16">
    <cfRule type="cellIs" dxfId="212" priority="104" operator="between">
      <formula>2</formula>
      <formula>10</formula>
    </cfRule>
    <cfRule type="cellIs" dxfId="211" priority="105" operator="between">
      <formula>1</formula>
      <formula>1</formula>
    </cfRule>
    <cfRule type="cellIs" dxfId="210" priority="106" operator="between">
      <formula>0</formula>
      <formula>0</formula>
    </cfRule>
  </conditionalFormatting>
  <conditionalFormatting sqref="AI19:AJ19 AI25:AJ25">
    <cfRule type="cellIs" dxfId="209" priority="101" operator="between">
      <formula>0.00014</formula>
      <formula>0.69998</formula>
    </cfRule>
    <cfRule type="cellIs" dxfId="208" priority="102" operator="between">
      <formula>0.69999</formula>
      <formula>0.79998</formula>
    </cfRule>
    <cfRule type="cellIs" dxfId="207" priority="103" operator="greaterThan">
      <formula>0.79999</formula>
    </cfRule>
  </conditionalFormatting>
  <conditionalFormatting sqref="AI17:AI18">
    <cfRule type="cellIs" dxfId="206" priority="98" operator="between">
      <formula>3</formula>
      <formula>10</formula>
    </cfRule>
    <cfRule type="cellIs" dxfId="205" priority="99" operator="between">
      <formula>2</formula>
      <formula>2</formula>
    </cfRule>
    <cfRule type="cellIs" dxfId="204" priority="100" operator="between">
      <formula>1</formula>
      <formula>1</formula>
    </cfRule>
  </conditionalFormatting>
  <conditionalFormatting sqref="AF4:AJ28">
    <cfRule type="cellIs" dxfId="203" priority="95" operator="between">
      <formula>0.00014</formula>
      <formula>0.69998</formula>
    </cfRule>
    <cfRule type="cellIs" dxfId="202" priority="96" operator="between">
      <formula>0.69999</formula>
      <formula>0.79998</formula>
    </cfRule>
    <cfRule type="cellIs" dxfId="201" priority="97" operator="greaterThan">
      <formula>0.79999</formula>
    </cfRule>
  </conditionalFormatting>
  <conditionalFormatting sqref="AG17:AH17 AH18">
    <cfRule type="cellIs" dxfId="200" priority="92" operator="between">
      <formula>3</formula>
      <formula>10</formula>
    </cfRule>
    <cfRule type="cellIs" dxfId="199" priority="93" operator="between">
      <formula>2</formula>
      <formula>2</formula>
    </cfRule>
    <cfRule type="cellIs" dxfId="198" priority="94" operator="between">
      <formula>1</formula>
      <formula>1</formula>
    </cfRule>
  </conditionalFormatting>
  <conditionalFormatting sqref="AJ17">
    <cfRule type="cellIs" dxfId="197" priority="83" operator="between">
      <formula>3</formula>
      <formula>10</formula>
    </cfRule>
    <cfRule type="cellIs" dxfId="196" priority="84" operator="between">
      <formula>2</formula>
      <formula>2</formula>
    </cfRule>
    <cfRule type="cellIs" dxfId="195" priority="85" operator="between">
      <formula>1</formula>
      <formula>1</formula>
    </cfRule>
  </conditionalFormatting>
  <conditionalFormatting sqref="AJ18">
    <cfRule type="cellIs" dxfId="194" priority="80" operator="between">
      <formula>3</formula>
      <formula>10</formula>
    </cfRule>
    <cfRule type="cellIs" dxfId="193" priority="81" operator="between">
      <formula>2</formula>
      <formula>2</formula>
    </cfRule>
    <cfRule type="cellIs" dxfId="192" priority="82" operator="between">
      <formula>1</formula>
      <formula>1</formula>
    </cfRule>
  </conditionalFormatting>
  <conditionalFormatting sqref="AF19:AH19">
    <cfRule type="cellIs" dxfId="191" priority="77" operator="between">
      <formula>0.00014</formula>
      <formula>0.69998</formula>
    </cfRule>
    <cfRule type="cellIs" dxfId="190" priority="78" operator="between">
      <formula>0.69999</formula>
      <formula>0.79998</formula>
    </cfRule>
    <cfRule type="cellIs" dxfId="189" priority="79" operator="greaterThan">
      <formula>0.79999</formula>
    </cfRule>
  </conditionalFormatting>
  <conditionalFormatting sqref="AG22">
    <cfRule type="cellIs" dxfId="188" priority="68" operator="between">
      <formula>3</formula>
      <formula>10</formula>
    </cfRule>
    <cfRule type="cellIs" dxfId="187" priority="69" operator="between">
      <formula>2</formula>
      <formula>2</formula>
    </cfRule>
    <cfRule type="cellIs" dxfId="186" priority="70" operator="between">
      <formula>1</formula>
      <formula>1</formula>
    </cfRule>
  </conditionalFormatting>
  <conditionalFormatting sqref="AH22">
    <cfRule type="cellIs" dxfId="185" priority="62" operator="between">
      <formula>3</formula>
      <formula>10</formula>
    </cfRule>
    <cfRule type="cellIs" dxfId="184" priority="63" operator="between">
      <formula>2</formula>
      <formula>2</formula>
    </cfRule>
    <cfRule type="cellIs" dxfId="183" priority="64" operator="between">
      <formula>1</formula>
      <formula>1</formula>
    </cfRule>
  </conditionalFormatting>
  <conditionalFormatting sqref="AF25:AH25">
    <cfRule type="cellIs" dxfId="182" priority="59" operator="between">
      <formula>0.00014</formula>
      <formula>0.69998</formula>
    </cfRule>
    <cfRule type="cellIs" dxfId="181" priority="60" operator="between">
      <formula>0.69999</formula>
      <formula>0.79998</formula>
    </cfRule>
    <cfRule type="cellIs" dxfId="180" priority="61" operator="greaterThan">
      <formula>0.79999</formula>
    </cfRule>
  </conditionalFormatting>
  <conditionalFormatting sqref="AF26:AF28">
    <cfRule type="cellIs" dxfId="179" priority="53" operator="between">
      <formula>3</formula>
      <formula>10</formula>
    </cfRule>
    <cfRule type="cellIs" dxfId="178" priority="54" operator="between">
      <formula>2</formula>
      <formula>2</formula>
    </cfRule>
    <cfRule type="cellIs" dxfId="177" priority="55" operator="between">
      <formula>1</formula>
      <formula>1</formula>
    </cfRule>
  </conditionalFormatting>
  <conditionalFormatting sqref="AG28">
    <cfRule type="cellIs" dxfId="176" priority="50" operator="between">
      <formula>3</formula>
      <formula>10</formula>
    </cfRule>
    <cfRule type="cellIs" dxfId="175" priority="51" operator="between">
      <formula>2</formula>
      <formula>2</formula>
    </cfRule>
    <cfRule type="cellIs" dxfId="174" priority="52" operator="between">
      <formula>1</formula>
      <formula>1</formula>
    </cfRule>
  </conditionalFormatting>
  <conditionalFormatting sqref="AH28">
    <cfRule type="cellIs" dxfId="173" priority="47" operator="between">
      <formula>3</formula>
      <formula>10</formula>
    </cfRule>
    <cfRule type="cellIs" dxfId="172" priority="48" operator="between">
      <formula>2</formula>
      <formula>2</formula>
    </cfRule>
    <cfRule type="cellIs" dxfId="171" priority="49" operator="between">
      <formula>1</formula>
      <formula>1</formula>
    </cfRule>
  </conditionalFormatting>
  <conditionalFormatting sqref="AJ23 AJ20:AJ21">
    <cfRule type="cellIs" dxfId="170" priority="44" operator="between">
      <formula>3</formula>
      <formula>10</formula>
    </cfRule>
    <cfRule type="cellIs" dxfId="169" priority="45" operator="between">
      <formula>2</formula>
      <formula>2</formula>
    </cfRule>
    <cfRule type="cellIs" dxfId="168" priority="46" operator="between">
      <formula>1</formula>
      <formula>1</formula>
    </cfRule>
  </conditionalFormatting>
  <conditionalFormatting sqref="AI20:AI24">
    <cfRule type="cellIs" dxfId="167" priority="41" operator="between">
      <formula>3</formula>
      <formula>10</formula>
    </cfRule>
    <cfRule type="cellIs" dxfId="166" priority="42" operator="between">
      <formula>2</formula>
      <formula>2</formula>
    </cfRule>
    <cfRule type="cellIs" dxfId="165" priority="43" operator="between">
      <formula>1</formula>
      <formula>1</formula>
    </cfRule>
  </conditionalFormatting>
  <conditionalFormatting sqref="AJ22">
    <cfRule type="cellIs" dxfId="164" priority="38" operator="between">
      <formula>3</formula>
      <formula>10</formula>
    </cfRule>
    <cfRule type="cellIs" dxfId="163" priority="39" operator="between">
      <formula>2</formula>
      <formula>2</formula>
    </cfRule>
    <cfRule type="cellIs" dxfId="162" priority="40" operator="between">
      <formula>1</formula>
      <formula>1</formula>
    </cfRule>
  </conditionalFormatting>
  <conditionalFormatting sqref="AJ24">
    <cfRule type="cellIs" dxfId="161" priority="35" operator="between">
      <formula>3</formula>
      <formula>10</formula>
    </cfRule>
    <cfRule type="cellIs" dxfId="160" priority="36" operator="between">
      <formula>2</formula>
      <formula>2</formula>
    </cfRule>
    <cfRule type="cellIs" dxfId="159" priority="37" operator="between">
      <formula>1</formula>
      <formula>1</formula>
    </cfRule>
  </conditionalFormatting>
  <conditionalFormatting sqref="AJ26:AJ27">
    <cfRule type="cellIs" dxfId="158" priority="32" operator="between">
      <formula>3</formula>
      <formula>10</formula>
    </cfRule>
    <cfRule type="cellIs" dxfId="157" priority="33" operator="between">
      <formula>2</formula>
      <formula>2</formula>
    </cfRule>
    <cfRule type="cellIs" dxfId="156" priority="34" operator="between">
      <formula>1</formula>
      <formula>1</formula>
    </cfRule>
  </conditionalFormatting>
  <conditionalFormatting sqref="AI26:AI28">
    <cfRule type="cellIs" dxfId="155" priority="29" operator="between">
      <formula>3</formula>
      <formula>10</formula>
    </cfRule>
    <cfRule type="cellIs" dxfId="154" priority="30" operator="between">
      <formula>2</formula>
      <formula>2</formula>
    </cfRule>
    <cfRule type="cellIs" dxfId="153" priority="31" operator="between">
      <formula>1</formula>
      <formula>1</formula>
    </cfRule>
  </conditionalFormatting>
  <conditionalFormatting sqref="AJ28">
    <cfRule type="cellIs" dxfId="152" priority="26" operator="between">
      <formula>3</formula>
      <formula>10</formula>
    </cfRule>
    <cfRule type="cellIs" dxfId="151" priority="27" operator="between">
      <formula>2</formula>
      <formula>2</formula>
    </cfRule>
    <cfRule type="cellIs" dxfId="150" priority="28" operator="between">
      <formula>1</formula>
      <formula>1</formula>
    </cfRule>
  </conditionalFormatting>
  <conditionalFormatting sqref="AG4:AG16">
    <cfRule type="cellIs" dxfId="149" priority="20" operator="between">
      <formula>0.00014</formula>
      <formula>0.69998</formula>
    </cfRule>
    <cfRule type="cellIs" dxfId="148" priority="21" operator="between">
      <formula>0.69999</formula>
      <formula>0.79998</formula>
    </cfRule>
    <cfRule type="cellIs" dxfId="147" priority="22" operator="greaterThan">
      <formula>0.79999</formula>
    </cfRule>
  </conditionalFormatting>
  <conditionalFormatting sqref="AF4:AJ28">
    <cfRule type="cellIs" dxfId="146" priority="23" operator="between">
      <formula>2</formula>
      <formula>10</formula>
    </cfRule>
    <cfRule type="cellIs" dxfId="145" priority="24" operator="between">
      <formula>1</formula>
      <formula>1</formula>
    </cfRule>
    <cfRule type="cellIs" dxfId="144" priority="25" operator="between">
      <formula>0</formula>
      <formula>0</formula>
    </cfRule>
  </conditionalFormatting>
  <conditionalFormatting sqref="AG4:AG16">
    <cfRule type="cellIs" dxfId="143" priority="17" operator="between">
      <formula>2</formula>
      <formula>10</formula>
    </cfRule>
    <cfRule type="cellIs" dxfId="142" priority="18" operator="between">
      <formula>1</formula>
      <formula>1</formula>
    </cfRule>
    <cfRule type="cellIs" dxfId="141" priority="19" operator="between">
      <formula>0</formula>
      <formula>0</formula>
    </cfRule>
  </conditionalFormatting>
  <conditionalFormatting sqref="AI4:AJ16">
    <cfRule type="cellIs" dxfId="140" priority="8" operator="between">
      <formula>0.00014</formula>
      <formula>0.69998</formula>
    </cfRule>
    <cfRule type="cellIs" dxfId="139" priority="9" operator="between">
      <formula>0.69999</formula>
      <formula>0.79998</formula>
    </cfRule>
    <cfRule type="cellIs" dxfId="138" priority="10" operator="greaterThan">
      <formula>0.79999</formula>
    </cfRule>
  </conditionalFormatting>
  <conditionalFormatting sqref="AI4:AJ16">
    <cfRule type="cellIs" dxfId="137" priority="5" operator="between">
      <formula>2</formula>
      <formula>10</formula>
    </cfRule>
    <cfRule type="cellIs" dxfId="136" priority="6" operator="between">
      <formula>1</formula>
      <formula>1</formula>
    </cfRule>
    <cfRule type="cellIs" dxfId="135" priority="7" operator="between">
      <formula>0</formula>
      <formula>0</formula>
    </cfRule>
  </conditionalFormatting>
  <conditionalFormatting sqref="B5:C28">
    <cfRule type="expression" dxfId="134" priority="1">
      <formula>IF($F6="Terminated-Nesting",TRUE,FALSE)</formula>
    </cfRule>
    <cfRule type="expression" dxfId="133" priority="2">
      <formula>IF($F6="Resigned",TRUE,FALSE)</formula>
    </cfRule>
    <cfRule type="expression" dxfId="132" priority="3">
      <formula>IF($F6="Terminated",TRUE,FALSE)</formula>
    </cfRule>
    <cfRule type="expression" dxfId="131" priority="4">
      <formula>IF($F6="Resigned-Nesting",TRUE,FALSE)</formula>
    </cfRule>
  </conditionalFormatting>
  <hyperlinks>
    <hyperlink ref="A2" location="'Quick Links'!A1" display="Home" xr:uid="{7A6CC144-2D67-4D9E-93FB-61694D61AA4A}"/>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rgb="FF1A8436"/>
  </sheetPr>
  <dimension ref="A1:O212"/>
  <sheetViews>
    <sheetView workbookViewId="0"/>
  </sheetViews>
  <sheetFormatPr defaultColWidth="9.140625" defaultRowHeight="14.45"/>
  <cols>
    <col min="1" max="1" width="21.5703125" style="1" customWidth="1"/>
    <col min="2" max="16384" width="9.140625" style="1"/>
  </cols>
  <sheetData>
    <row r="1" spans="1:15">
      <c r="A1" s="288" t="s">
        <v>90</v>
      </c>
    </row>
    <row r="2" spans="1:15" ht="42" customHeight="1">
      <c r="A2" s="1030" t="s">
        <v>724</v>
      </c>
      <c r="B2" s="1030"/>
      <c r="C2" s="1030"/>
      <c r="D2" s="1030"/>
      <c r="E2" s="1030"/>
      <c r="F2" s="1030"/>
      <c r="G2" s="1030"/>
      <c r="H2" s="1030"/>
      <c r="I2" s="1030"/>
      <c r="J2" s="1030"/>
      <c r="K2" s="1030"/>
      <c r="L2" s="1030"/>
      <c r="M2" s="1030"/>
      <c r="N2" s="1030"/>
      <c r="O2" s="1030"/>
    </row>
    <row r="3" spans="1:15" ht="15" customHeight="1">
      <c r="A3" s="115" t="s">
        <v>725</v>
      </c>
      <c r="B3" s="1031" t="s">
        <v>726</v>
      </c>
      <c r="C3" s="1031"/>
      <c r="D3" s="1031"/>
      <c r="E3" s="1031"/>
      <c r="F3" s="1031"/>
      <c r="G3" s="1031"/>
      <c r="H3" s="1031"/>
      <c r="I3" s="1031"/>
      <c r="J3" s="1031"/>
      <c r="K3" s="1031"/>
      <c r="L3" s="1031"/>
      <c r="M3" s="1031"/>
      <c r="N3" s="1031"/>
      <c r="O3" s="1031"/>
    </row>
    <row r="4" spans="1:15" ht="15" customHeight="1">
      <c r="A4" s="60" t="s">
        <v>727</v>
      </c>
      <c r="B4" s="50"/>
      <c r="C4" s="50"/>
      <c r="D4" s="50"/>
      <c r="E4" s="50"/>
      <c r="F4" s="50"/>
      <c r="G4" s="50"/>
      <c r="H4" s="50"/>
      <c r="I4" s="50"/>
      <c r="J4" s="50"/>
      <c r="K4" s="50"/>
      <c r="L4" s="51"/>
      <c r="M4" s="116"/>
      <c r="N4" s="116"/>
      <c r="O4" s="117"/>
    </row>
    <row r="5" spans="1:15" ht="15" customHeight="1">
      <c r="A5" s="981" t="str">
        <f>'Student Data'!D5&amp;" "&amp;'Student Data'!C5</f>
        <v>Donna Rnne</v>
      </c>
      <c r="B5" s="981"/>
      <c r="C5" s="981" t="str">
        <f>'Student Data'!D10&amp;" "&amp;'Student Data'!C10</f>
        <v xml:space="preserve"> </v>
      </c>
      <c r="D5" s="981"/>
      <c r="E5" s="981" t="str">
        <f>'Student Data'!D15&amp;" "&amp;'Student Data'!C15</f>
        <v xml:space="preserve"> </v>
      </c>
      <c r="F5" s="981"/>
      <c r="G5" s="981" t="str">
        <f>'Student Data'!D20&amp;" "&amp;'Student Data'!C20</f>
        <v xml:space="preserve"> </v>
      </c>
      <c r="H5" s="981"/>
      <c r="I5" s="981" t="str">
        <f>'Student Data'!D25&amp;" "&amp;'Student Data'!C25</f>
        <v xml:space="preserve"> </v>
      </c>
      <c r="J5" s="981"/>
      <c r="K5" s="150"/>
      <c r="L5" s="117"/>
    </row>
    <row r="6" spans="1:15" ht="15" customHeight="1">
      <c r="A6" s="981" t="str">
        <f>'Student Data'!D6&amp;" "&amp;'Student Data'!C6</f>
        <v xml:space="preserve">Summer Aquino </v>
      </c>
      <c r="B6" s="981"/>
      <c r="C6" s="981" t="str">
        <f>'Student Data'!D11&amp;" "&amp;'Student Data'!C11</f>
        <v xml:space="preserve"> </v>
      </c>
      <c r="D6" s="981"/>
      <c r="E6" s="981" t="str">
        <f>'Student Data'!D16&amp;" "&amp;'Student Data'!C16</f>
        <v xml:space="preserve"> </v>
      </c>
      <c r="F6" s="981"/>
      <c r="G6" s="981" t="str">
        <f>'Student Data'!D21&amp;" "&amp;'Student Data'!C21</f>
        <v xml:space="preserve"> </v>
      </c>
      <c r="H6" s="981"/>
      <c r="I6" s="981" t="str">
        <f>'Student Data'!D26&amp;" "&amp;'Student Data'!C26</f>
        <v xml:space="preserve"> </v>
      </c>
      <c r="J6" s="981"/>
      <c r="K6" s="151"/>
      <c r="L6" s="27"/>
    </row>
    <row r="7" spans="1:15" ht="15" customHeight="1">
      <c r="A7" s="981" t="str">
        <f>'Student Data'!D7&amp;" "&amp;'Student Data'!C7</f>
        <v xml:space="preserve">Joana Reyes </v>
      </c>
      <c r="B7" s="981"/>
      <c r="C7" s="981" t="str">
        <f>'Student Data'!D12&amp;" "&amp;'Student Data'!C12</f>
        <v xml:space="preserve"> </v>
      </c>
      <c r="D7" s="981"/>
      <c r="E7" s="981" t="str">
        <f>'Student Data'!D17&amp;" "&amp;'Student Data'!C17</f>
        <v xml:space="preserve"> </v>
      </c>
      <c r="F7" s="981"/>
      <c r="G7" s="981" t="str">
        <f>'Student Data'!D22&amp;" "&amp;'Student Data'!C22</f>
        <v xml:space="preserve"> </v>
      </c>
      <c r="H7" s="981"/>
      <c r="I7" s="981" t="str">
        <f>'Student Data'!D27&amp;" "&amp;'Student Data'!C27</f>
        <v xml:space="preserve"> </v>
      </c>
      <c r="J7" s="981"/>
      <c r="K7" s="151"/>
      <c r="L7" s="27"/>
    </row>
    <row r="8" spans="1:15" ht="15" customHeight="1">
      <c r="A8" s="981" t="str">
        <f>'Student Data'!D8&amp;" "&amp;'Student Data'!C8</f>
        <v>Quezon Manuel</v>
      </c>
      <c r="B8" s="981"/>
      <c r="C8" s="981" t="str">
        <f>'Student Data'!D13&amp;" "&amp;'Student Data'!C13</f>
        <v xml:space="preserve"> </v>
      </c>
      <c r="D8" s="981"/>
      <c r="E8" s="981" t="str">
        <f>'Student Data'!D18&amp;" "&amp;'Student Data'!C18</f>
        <v xml:space="preserve"> </v>
      </c>
      <c r="F8" s="981"/>
      <c r="G8" s="981" t="str">
        <f>'Student Data'!D23&amp;" "&amp;'Student Data'!C23</f>
        <v xml:space="preserve"> </v>
      </c>
      <c r="H8" s="981"/>
      <c r="I8" s="981" t="str">
        <f>'Student Data'!D28&amp;" "&amp;'Student Data'!C28</f>
        <v xml:space="preserve"> </v>
      </c>
      <c r="J8" s="981"/>
      <c r="K8" s="151"/>
      <c r="L8" s="27"/>
    </row>
    <row r="9" spans="1:15" ht="15" customHeight="1">
      <c r="A9" s="981" t="str">
        <f>'Student Data'!D9&amp;" "&amp;'Student Data'!C9</f>
        <v xml:space="preserve"> </v>
      </c>
      <c r="B9" s="981"/>
      <c r="C9" s="981" t="str">
        <f>'Student Data'!D14&amp;" "&amp;'Student Data'!C14</f>
        <v xml:space="preserve"> </v>
      </c>
      <c r="D9" s="981"/>
      <c r="E9" s="981" t="str">
        <f>'Student Data'!D19&amp;" "&amp;'Student Data'!C19</f>
        <v xml:space="preserve"> </v>
      </c>
      <c r="F9" s="981"/>
      <c r="G9" s="981" t="str">
        <f>'Student Data'!D24&amp;" "&amp;'Student Data'!C24</f>
        <v xml:space="preserve"> </v>
      </c>
      <c r="H9" s="981"/>
      <c r="I9" s="981" t="str">
        <f>'Student Data'!D29&amp;" "&amp;'Student Data'!C29</f>
        <v xml:space="preserve"> </v>
      </c>
      <c r="J9" s="981"/>
      <c r="K9" s="152"/>
      <c r="L9" s="121"/>
    </row>
    <row r="10" spans="1:15" ht="15" customHeight="1">
      <c r="A10" s="61"/>
      <c r="B10" s="52"/>
      <c r="C10" s="52"/>
      <c r="D10" s="52"/>
      <c r="E10" s="52"/>
      <c r="F10" s="52"/>
      <c r="G10" s="52"/>
      <c r="H10" s="52"/>
      <c r="I10" s="52"/>
      <c r="J10" s="52"/>
      <c r="K10" s="52"/>
      <c r="L10" s="53"/>
      <c r="O10" s="27"/>
    </row>
    <row r="11" spans="1:15">
      <c r="A11" s="118"/>
      <c r="B11" s="119"/>
      <c r="C11" s="120"/>
      <c r="D11" s="120"/>
      <c r="E11" s="119"/>
      <c r="F11" s="119"/>
      <c r="G11" s="120"/>
      <c r="H11" s="119"/>
      <c r="I11" s="119"/>
      <c r="J11" s="119"/>
      <c r="K11" s="120"/>
      <c r="L11" s="119"/>
      <c r="M11" s="119"/>
      <c r="N11" s="119"/>
      <c r="O11" s="121"/>
    </row>
    <row r="12" spans="1:15">
      <c r="A12" s="1033" t="s">
        <v>728</v>
      </c>
      <c r="B12" s="1034"/>
      <c r="C12" s="1034"/>
      <c r="D12" s="1034"/>
      <c r="E12" s="1034"/>
      <c r="F12" s="1034"/>
      <c r="G12" s="1034"/>
      <c r="H12" s="1034"/>
      <c r="I12" s="1034"/>
      <c r="J12" s="1034"/>
      <c r="K12" s="1034"/>
      <c r="L12" s="1034"/>
      <c r="M12" s="1034"/>
      <c r="N12" s="1034"/>
      <c r="O12" s="1034"/>
    </row>
    <row r="13" spans="1:15">
      <c r="A13" s="111"/>
      <c r="B13" s="111"/>
      <c r="C13" s="111"/>
      <c r="D13" s="111"/>
      <c r="E13" s="111"/>
      <c r="F13" s="111"/>
      <c r="G13" s="111"/>
      <c r="H13" s="111"/>
      <c r="I13" s="111"/>
      <c r="J13" s="111"/>
    </row>
    <row r="14" spans="1:15" ht="18">
      <c r="A14" s="14" t="s">
        <v>648</v>
      </c>
      <c r="B14" s="1032" t="str">
        <f>'Student Data'!D5</f>
        <v>Donna</v>
      </c>
      <c r="C14" s="1032"/>
      <c r="D14" s="1032"/>
      <c r="E14" s="1032"/>
      <c r="F14" s="1032"/>
      <c r="G14" s="1032"/>
      <c r="H14" s="1032"/>
      <c r="I14" s="1032"/>
      <c r="J14" s="1032"/>
      <c r="K14" s="1032"/>
      <c r="L14" s="1032"/>
      <c r="M14" s="1032"/>
      <c r="N14" s="1032"/>
      <c r="O14" s="1032"/>
    </row>
    <row r="15" spans="1:15">
      <c r="A15" s="122"/>
      <c r="B15" s="123" t="s">
        <v>421</v>
      </c>
      <c r="C15" s="123" t="s">
        <v>422</v>
      </c>
      <c r="D15" s="123" t="s">
        <v>423</v>
      </c>
      <c r="E15" s="123" t="s">
        <v>424</v>
      </c>
      <c r="F15" s="123" t="s">
        <v>425</v>
      </c>
      <c r="G15" s="123" t="s">
        <v>426</v>
      </c>
      <c r="H15" s="123" t="s">
        <v>427</v>
      </c>
      <c r="I15" s="123" t="s">
        <v>428</v>
      </c>
      <c r="J15" s="123" t="s">
        <v>429</v>
      </c>
      <c r="K15" s="123" t="s">
        <v>430</v>
      </c>
      <c r="L15" s="123" t="s">
        <v>431</v>
      </c>
      <c r="M15" s="123" t="s">
        <v>432</v>
      </c>
      <c r="N15" s="123" t="s">
        <v>729</v>
      </c>
      <c r="O15" s="123" t="s">
        <v>434</v>
      </c>
    </row>
    <row r="16" spans="1:15">
      <c r="A16" s="124" t="s">
        <v>730</v>
      </c>
      <c r="B16" s="125"/>
      <c r="C16" s="125"/>
      <c r="D16" s="125"/>
      <c r="E16" s="125"/>
      <c r="F16" s="125"/>
      <c r="G16" s="125"/>
      <c r="H16" s="125"/>
      <c r="I16" s="125"/>
      <c r="J16" s="125"/>
      <c r="K16" s="125"/>
      <c r="L16" s="125"/>
      <c r="M16" s="125"/>
      <c r="N16" s="125"/>
      <c r="O16" s="125"/>
    </row>
    <row r="17" spans="1:15">
      <c r="A17" s="124" t="s">
        <v>731</v>
      </c>
      <c r="B17" s="125"/>
      <c r="C17" s="125"/>
      <c r="D17" s="125"/>
      <c r="E17" s="125"/>
      <c r="F17" s="125"/>
      <c r="G17" s="125"/>
      <c r="H17" s="125"/>
      <c r="I17" s="125"/>
      <c r="J17" s="125"/>
      <c r="K17" s="125"/>
      <c r="L17" s="125"/>
      <c r="M17" s="125"/>
      <c r="N17" s="125"/>
      <c r="O17" s="125"/>
    </row>
    <row r="18" spans="1:15">
      <c r="A18" s="126" t="s">
        <v>732</v>
      </c>
      <c r="B18" s="125"/>
      <c r="C18" s="125"/>
      <c r="D18" s="125"/>
      <c r="E18" s="125"/>
      <c r="F18" s="125"/>
      <c r="G18" s="125"/>
      <c r="H18" s="125"/>
      <c r="I18" s="125"/>
      <c r="J18" s="125"/>
      <c r="K18" s="125"/>
      <c r="L18" s="125"/>
      <c r="M18" s="125"/>
      <c r="N18" s="125"/>
      <c r="O18" s="125"/>
    </row>
    <row r="19" spans="1:15">
      <c r="A19" s="126" t="s">
        <v>733</v>
      </c>
      <c r="B19" s="125"/>
      <c r="C19" s="125"/>
      <c r="D19" s="125"/>
      <c r="E19" s="125"/>
      <c r="F19" s="125"/>
      <c r="G19" s="125"/>
      <c r="H19" s="125"/>
      <c r="I19" s="125"/>
      <c r="J19" s="125"/>
      <c r="K19" s="125"/>
      <c r="L19" s="125"/>
      <c r="M19" s="125"/>
      <c r="N19" s="125"/>
      <c r="O19" s="125"/>
    </row>
    <row r="20" spans="1:15">
      <c r="A20" s="126" t="s">
        <v>734</v>
      </c>
      <c r="B20" s="125"/>
      <c r="C20" s="125"/>
      <c r="D20" s="125"/>
      <c r="E20" s="125"/>
      <c r="F20" s="125"/>
      <c r="G20" s="125"/>
      <c r="H20" s="125"/>
      <c r="I20" s="125"/>
      <c r="J20" s="125"/>
      <c r="K20" s="125"/>
      <c r="L20" s="125"/>
      <c r="M20" s="125"/>
      <c r="N20" s="125"/>
      <c r="O20" s="125"/>
    </row>
    <row r="22" spans="1:15" ht="18">
      <c r="A22" s="14" t="s">
        <v>648</v>
      </c>
      <c r="B22" s="1032" t="str">
        <f>'Student Data'!D6</f>
        <v>Summer</v>
      </c>
      <c r="C22" s="1032"/>
      <c r="D22" s="1032"/>
      <c r="E22" s="1032"/>
      <c r="F22" s="1032"/>
      <c r="G22" s="1032"/>
      <c r="H22" s="1032"/>
      <c r="I22" s="1032"/>
      <c r="J22" s="1032"/>
      <c r="K22" s="1032"/>
      <c r="L22" s="1032"/>
      <c r="M22" s="1032"/>
      <c r="N22" s="1032"/>
      <c r="O22" s="1032"/>
    </row>
    <row r="23" spans="1:15">
      <c r="A23" s="122"/>
      <c r="B23" s="123" t="s">
        <v>421</v>
      </c>
      <c r="C23" s="123" t="s">
        <v>422</v>
      </c>
      <c r="D23" s="123" t="s">
        <v>423</v>
      </c>
      <c r="E23" s="123" t="s">
        <v>424</v>
      </c>
      <c r="F23" s="123" t="s">
        <v>425</v>
      </c>
      <c r="G23" s="123" t="s">
        <v>426</v>
      </c>
      <c r="H23" s="123" t="s">
        <v>427</v>
      </c>
      <c r="I23" s="123" t="s">
        <v>428</v>
      </c>
      <c r="J23" s="123" t="s">
        <v>429</v>
      </c>
      <c r="K23" s="123" t="s">
        <v>430</v>
      </c>
      <c r="L23" s="123" t="s">
        <v>431</v>
      </c>
      <c r="M23" s="123" t="s">
        <v>432</v>
      </c>
      <c r="N23" s="123" t="s">
        <v>729</v>
      </c>
      <c r="O23" s="123" t="s">
        <v>434</v>
      </c>
    </row>
    <row r="24" spans="1:15">
      <c r="A24" s="124" t="s">
        <v>730</v>
      </c>
      <c r="B24" s="125"/>
      <c r="C24" s="125"/>
      <c r="D24" s="125"/>
      <c r="E24" s="125"/>
      <c r="F24" s="125"/>
      <c r="G24" s="125"/>
      <c r="H24" s="125"/>
      <c r="I24" s="125"/>
      <c r="J24" s="125"/>
      <c r="K24" s="125"/>
      <c r="L24" s="125"/>
      <c r="M24" s="125"/>
      <c r="N24" s="125"/>
      <c r="O24" s="125"/>
    </row>
    <row r="25" spans="1:15">
      <c r="A25" s="124" t="s">
        <v>731</v>
      </c>
      <c r="B25" s="125"/>
      <c r="C25" s="125"/>
      <c r="D25" s="125"/>
      <c r="E25" s="125"/>
      <c r="F25" s="125"/>
      <c r="G25" s="125"/>
      <c r="H25" s="125"/>
      <c r="I25" s="125"/>
      <c r="J25" s="125"/>
      <c r="K25" s="125"/>
      <c r="L25" s="125"/>
      <c r="M25" s="125"/>
      <c r="N25" s="125"/>
      <c r="O25" s="125"/>
    </row>
    <row r="26" spans="1:15">
      <c r="A26" s="126" t="s">
        <v>732</v>
      </c>
      <c r="B26" s="125"/>
      <c r="C26" s="125"/>
      <c r="D26" s="125"/>
      <c r="E26" s="125"/>
      <c r="F26" s="125"/>
      <c r="G26" s="125"/>
      <c r="H26" s="125"/>
      <c r="I26" s="125"/>
      <c r="J26" s="125"/>
      <c r="K26" s="125"/>
      <c r="L26" s="125"/>
      <c r="M26" s="125"/>
      <c r="N26" s="125"/>
      <c r="O26" s="125"/>
    </row>
    <row r="27" spans="1:15">
      <c r="A27" s="126" t="s">
        <v>733</v>
      </c>
      <c r="B27" s="125"/>
      <c r="C27" s="125"/>
      <c r="D27" s="125"/>
      <c r="E27" s="125"/>
      <c r="F27" s="125"/>
      <c r="G27" s="125"/>
      <c r="H27" s="125"/>
      <c r="I27" s="125"/>
      <c r="J27" s="125"/>
      <c r="K27" s="125"/>
      <c r="L27" s="125"/>
      <c r="M27" s="125"/>
      <c r="N27" s="125"/>
      <c r="O27" s="125"/>
    </row>
    <row r="28" spans="1:15">
      <c r="A28" s="126" t="s">
        <v>734</v>
      </c>
      <c r="B28" s="125"/>
      <c r="C28" s="125"/>
      <c r="D28" s="125"/>
      <c r="E28" s="125"/>
      <c r="F28" s="125"/>
      <c r="G28" s="125"/>
      <c r="H28" s="125"/>
      <c r="I28" s="125"/>
      <c r="J28" s="125"/>
      <c r="K28" s="125"/>
      <c r="L28" s="125"/>
      <c r="M28" s="125"/>
      <c r="N28" s="125"/>
      <c r="O28" s="125"/>
    </row>
    <row r="30" spans="1:15" ht="18">
      <c r="A30" s="14" t="s">
        <v>648</v>
      </c>
      <c r="B30" s="1032" t="str">
        <f>'Student Data'!D7</f>
        <v>Joana</v>
      </c>
      <c r="C30" s="1032"/>
      <c r="D30" s="1032"/>
      <c r="E30" s="1032"/>
      <c r="F30" s="1032"/>
      <c r="G30" s="1032"/>
      <c r="H30" s="1032"/>
      <c r="I30" s="1032"/>
      <c r="J30" s="1032"/>
      <c r="K30" s="1032"/>
      <c r="L30" s="1032"/>
      <c r="M30" s="1032"/>
      <c r="N30" s="1032"/>
      <c r="O30" s="1032"/>
    </row>
    <row r="31" spans="1:15">
      <c r="A31" s="122"/>
      <c r="B31" s="123" t="s">
        <v>421</v>
      </c>
      <c r="C31" s="123" t="s">
        <v>422</v>
      </c>
      <c r="D31" s="123" t="s">
        <v>423</v>
      </c>
      <c r="E31" s="123" t="s">
        <v>424</v>
      </c>
      <c r="F31" s="123" t="s">
        <v>425</v>
      </c>
      <c r="G31" s="123" t="s">
        <v>426</v>
      </c>
      <c r="H31" s="123" t="s">
        <v>427</v>
      </c>
      <c r="I31" s="123" t="s">
        <v>428</v>
      </c>
      <c r="J31" s="123" t="s">
        <v>429</v>
      </c>
      <c r="K31" s="123" t="s">
        <v>430</v>
      </c>
      <c r="L31" s="123" t="s">
        <v>431</v>
      </c>
      <c r="M31" s="123" t="s">
        <v>432</v>
      </c>
      <c r="N31" s="123" t="s">
        <v>729</v>
      </c>
      <c r="O31" s="123" t="s">
        <v>434</v>
      </c>
    </row>
    <row r="32" spans="1:15">
      <c r="A32" s="124" t="s">
        <v>730</v>
      </c>
      <c r="B32" s="125"/>
      <c r="C32" s="125"/>
      <c r="D32" s="125"/>
      <c r="E32" s="125"/>
      <c r="F32" s="125"/>
      <c r="G32" s="125"/>
      <c r="H32" s="125"/>
      <c r="I32" s="125"/>
      <c r="J32" s="125"/>
      <c r="K32" s="125"/>
      <c r="L32" s="125"/>
      <c r="M32" s="125"/>
      <c r="N32" s="125"/>
      <c r="O32" s="125"/>
    </row>
    <row r="33" spans="1:15">
      <c r="A33" s="124" t="s">
        <v>731</v>
      </c>
      <c r="B33" s="125"/>
      <c r="C33" s="125"/>
      <c r="D33" s="125"/>
      <c r="E33" s="125"/>
      <c r="F33" s="125"/>
      <c r="G33" s="125"/>
      <c r="H33" s="125"/>
      <c r="I33" s="125"/>
      <c r="J33" s="125"/>
      <c r="K33" s="125"/>
      <c r="L33" s="125"/>
      <c r="M33" s="125"/>
      <c r="N33" s="125"/>
      <c r="O33" s="125"/>
    </row>
    <row r="34" spans="1:15">
      <c r="A34" s="126" t="s">
        <v>732</v>
      </c>
      <c r="B34" s="125"/>
      <c r="C34" s="125"/>
      <c r="D34" s="125"/>
      <c r="E34" s="125"/>
      <c r="F34" s="125"/>
      <c r="G34" s="125"/>
      <c r="H34" s="125"/>
      <c r="I34" s="125"/>
      <c r="J34" s="125"/>
      <c r="K34" s="125"/>
      <c r="L34" s="125"/>
      <c r="M34" s="125"/>
      <c r="N34" s="125"/>
      <c r="O34" s="125"/>
    </row>
    <row r="35" spans="1:15">
      <c r="A35" s="126" t="s">
        <v>733</v>
      </c>
      <c r="B35" s="125"/>
      <c r="C35" s="125"/>
      <c r="D35" s="125"/>
      <c r="E35" s="125"/>
      <c r="F35" s="125"/>
      <c r="G35" s="125"/>
      <c r="H35" s="125"/>
      <c r="I35" s="125"/>
      <c r="J35" s="125"/>
      <c r="K35" s="125"/>
      <c r="L35" s="125"/>
      <c r="M35" s="125"/>
      <c r="N35" s="125"/>
      <c r="O35" s="125"/>
    </row>
    <row r="36" spans="1:15">
      <c r="A36" s="126" t="s">
        <v>734</v>
      </c>
      <c r="B36" s="125"/>
      <c r="C36" s="125"/>
      <c r="D36" s="125"/>
      <c r="E36" s="125"/>
      <c r="F36" s="125"/>
      <c r="G36" s="125"/>
      <c r="H36" s="125"/>
      <c r="I36" s="125"/>
      <c r="J36" s="125"/>
      <c r="K36" s="125"/>
      <c r="L36" s="125"/>
      <c r="M36" s="125"/>
      <c r="N36" s="125"/>
      <c r="O36" s="125"/>
    </row>
    <row r="38" spans="1:15" ht="18">
      <c r="A38" s="14" t="s">
        <v>648</v>
      </c>
      <c r="B38" s="1032" t="str">
        <f>'Student Data'!D8</f>
        <v>Quezon</v>
      </c>
      <c r="C38" s="1032"/>
      <c r="D38" s="1032"/>
      <c r="E38" s="1032"/>
      <c r="F38" s="1032"/>
      <c r="G38" s="1032"/>
      <c r="H38" s="1032"/>
      <c r="I38" s="1032"/>
      <c r="J38" s="1032"/>
      <c r="K38" s="1032"/>
      <c r="L38" s="1032"/>
      <c r="M38" s="1032"/>
      <c r="N38" s="1032"/>
      <c r="O38" s="1032"/>
    </row>
    <row r="39" spans="1:15">
      <c r="A39" s="122"/>
      <c r="B39" s="123" t="s">
        <v>421</v>
      </c>
      <c r="C39" s="123" t="s">
        <v>422</v>
      </c>
      <c r="D39" s="123" t="s">
        <v>423</v>
      </c>
      <c r="E39" s="123" t="s">
        <v>424</v>
      </c>
      <c r="F39" s="123" t="s">
        <v>425</v>
      </c>
      <c r="G39" s="123" t="s">
        <v>426</v>
      </c>
      <c r="H39" s="123" t="s">
        <v>427</v>
      </c>
      <c r="I39" s="123" t="s">
        <v>428</v>
      </c>
      <c r="J39" s="123" t="s">
        <v>429</v>
      </c>
      <c r="K39" s="123" t="s">
        <v>430</v>
      </c>
      <c r="L39" s="123" t="s">
        <v>431</v>
      </c>
      <c r="M39" s="123" t="s">
        <v>432</v>
      </c>
      <c r="N39" s="123" t="s">
        <v>729</v>
      </c>
      <c r="O39" s="123" t="s">
        <v>434</v>
      </c>
    </row>
    <row r="40" spans="1:15">
      <c r="A40" s="124" t="s">
        <v>730</v>
      </c>
      <c r="B40" s="125"/>
      <c r="C40" s="125"/>
      <c r="D40" s="125"/>
      <c r="E40" s="125"/>
      <c r="F40" s="125"/>
      <c r="G40" s="125"/>
      <c r="H40" s="125"/>
      <c r="I40" s="125"/>
      <c r="J40" s="125"/>
      <c r="K40" s="125"/>
      <c r="L40" s="125"/>
      <c r="M40" s="125"/>
      <c r="N40" s="125"/>
      <c r="O40" s="125"/>
    </row>
    <row r="41" spans="1:15">
      <c r="A41" s="124" t="s">
        <v>731</v>
      </c>
      <c r="B41" s="125"/>
      <c r="C41" s="125"/>
      <c r="D41" s="125"/>
      <c r="E41" s="125"/>
      <c r="F41" s="125"/>
      <c r="G41" s="125"/>
      <c r="H41" s="125"/>
      <c r="I41" s="125"/>
      <c r="J41" s="125"/>
      <c r="K41" s="125"/>
      <c r="L41" s="125"/>
      <c r="M41" s="125"/>
      <c r="N41" s="125"/>
      <c r="O41" s="125"/>
    </row>
    <row r="42" spans="1:15">
      <c r="A42" s="126" t="s">
        <v>732</v>
      </c>
      <c r="B42" s="125"/>
      <c r="C42" s="125"/>
      <c r="D42" s="125"/>
      <c r="E42" s="125"/>
      <c r="F42" s="125"/>
      <c r="G42" s="125"/>
      <c r="H42" s="125"/>
      <c r="I42" s="125"/>
      <c r="J42" s="125"/>
      <c r="K42" s="125"/>
      <c r="L42" s="125"/>
      <c r="M42" s="125"/>
      <c r="N42" s="125"/>
      <c r="O42" s="125"/>
    </row>
    <row r="43" spans="1:15">
      <c r="A43" s="126" t="s">
        <v>733</v>
      </c>
      <c r="B43" s="125"/>
      <c r="C43" s="125"/>
      <c r="D43" s="125"/>
      <c r="E43" s="125"/>
      <c r="F43" s="125"/>
      <c r="G43" s="125"/>
      <c r="H43" s="125"/>
      <c r="I43" s="125"/>
      <c r="J43" s="125"/>
      <c r="K43" s="125"/>
      <c r="L43" s="125"/>
      <c r="M43" s="125"/>
      <c r="N43" s="125"/>
      <c r="O43" s="125"/>
    </row>
    <row r="44" spans="1:15">
      <c r="A44" s="126" t="s">
        <v>734</v>
      </c>
      <c r="B44" s="125"/>
      <c r="C44" s="125"/>
      <c r="D44" s="125"/>
      <c r="E44" s="125"/>
      <c r="F44" s="125"/>
      <c r="G44" s="125"/>
      <c r="H44" s="125"/>
      <c r="I44" s="125"/>
      <c r="J44" s="125"/>
      <c r="K44" s="125"/>
      <c r="L44" s="125"/>
      <c r="M44" s="125"/>
      <c r="N44" s="125"/>
      <c r="O44" s="125"/>
    </row>
    <row r="46" spans="1:15" ht="18">
      <c r="A46" s="14" t="s">
        <v>648</v>
      </c>
      <c r="B46" s="1032">
        <f>'Student Data'!D9</f>
        <v>0</v>
      </c>
      <c r="C46" s="1032"/>
      <c r="D46" s="1032"/>
      <c r="E46" s="1032"/>
      <c r="F46" s="1032"/>
      <c r="G46" s="1032"/>
      <c r="H46" s="1032"/>
      <c r="I46" s="1032"/>
      <c r="J46" s="1032"/>
      <c r="K46" s="1032"/>
      <c r="L46" s="1032"/>
      <c r="M46" s="1032"/>
      <c r="N46" s="1032"/>
      <c r="O46" s="1032"/>
    </row>
    <row r="47" spans="1:15">
      <c r="A47" s="122"/>
      <c r="B47" s="123" t="s">
        <v>421</v>
      </c>
      <c r="C47" s="123" t="s">
        <v>422</v>
      </c>
      <c r="D47" s="123" t="s">
        <v>423</v>
      </c>
      <c r="E47" s="123" t="s">
        <v>424</v>
      </c>
      <c r="F47" s="123" t="s">
        <v>425</v>
      </c>
      <c r="G47" s="123" t="s">
        <v>426</v>
      </c>
      <c r="H47" s="123" t="s">
        <v>427</v>
      </c>
      <c r="I47" s="123" t="s">
        <v>428</v>
      </c>
      <c r="J47" s="123" t="s">
        <v>429</v>
      </c>
      <c r="K47" s="123" t="s">
        <v>430</v>
      </c>
      <c r="L47" s="123" t="s">
        <v>431</v>
      </c>
      <c r="M47" s="123" t="s">
        <v>432</v>
      </c>
      <c r="N47" s="123" t="s">
        <v>729</v>
      </c>
      <c r="O47" s="123" t="s">
        <v>434</v>
      </c>
    </row>
    <row r="48" spans="1:15">
      <c r="A48" s="124" t="s">
        <v>730</v>
      </c>
      <c r="B48" s="125"/>
      <c r="C48" s="125"/>
      <c r="D48" s="125"/>
      <c r="E48" s="125"/>
      <c r="F48" s="125"/>
      <c r="G48" s="125"/>
      <c r="H48" s="125"/>
      <c r="I48" s="125"/>
      <c r="J48" s="125"/>
      <c r="K48" s="125"/>
      <c r="L48" s="125"/>
      <c r="M48" s="125"/>
      <c r="N48" s="125"/>
      <c r="O48" s="125"/>
    </row>
    <row r="49" spans="1:15">
      <c r="A49" s="124" t="s">
        <v>731</v>
      </c>
      <c r="B49" s="125"/>
      <c r="C49" s="125"/>
      <c r="D49" s="125"/>
      <c r="E49" s="125"/>
      <c r="F49" s="125"/>
      <c r="G49" s="125"/>
      <c r="H49" s="125"/>
      <c r="I49" s="125"/>
      <c r="J49" s="125"/>
      <c r="K49" s="125"/>
      <c r="L49" s="125"/>
      <c r="M49" s="125"/>
      <c r="N49" s="125"/>
      <c r="O49" s="125"/>
    </row>
    <row r="50" spans="1:15">
      <c r="A50" s="126" t="s">
        <v>732</v>
      </c>
      <c r="B50" s="125"/>
      <c r="C50" s="125"/>
      <c r="D50" s="125"/>
      <c r="E50" s="125"/>
      <c r="F50" s="125"/>
      <c r="G50" s="125"/>
      <c r="H50" s="125"/>
      <c r="I50" s="125"/>
      <c r="J50" s="125"/>
      <c r="K50" s="125"/>
      <c r="L50" s="125"/>
      <c r="M50" s="125"/>
      <c r="N50" s="125"/>
      <c r="O50" s="125"/>
    </row>
    <row r="51" spans="1:15">
      <c r="A51" s="126" t="s">
        <v>733</v>
      </c>
      <c r="B51" s="125"/>
      <c r="C51" s="125"/>
      <c r="D51" s="125"/>
      <c r="E51" s="125"/>
      <c r="F51" s="125"/>
      <c r="G51" s="125"/>
      <c r="H51" s="125"/>
      <c r="I51" s="125"/>
      <c r="J51" s="125"/>
      <c r="K51" s="125"/>
      <c r="L51" s="125"/>
      <c r="M51" s="125"/>
      <c r="N51" s="125"/>
      <c r="O51" s="125"/>
    </row>
    <row r="52" spans="1:15">
      <c r="A52" s="126" t="s">
        <v>734</v>
      </c>
      <c r="B52" s="125"/>
      <c r="C52" s="125"/>
      <c r="D52" s="125"/>
      <c r="E52" s="125"/>
      <c r="F52" s="125"/>
      <c r="G52" s="125"/>
      <c r="H52" s="125"/>
      <c r="I52" s="125"/>
      <c r="J52" s="125"/>
      <c r="K52" s="125"/>
      <c r="L52" s="125"/>
      <c r="M52" s="125"/>
      <c r="N52" s="125"/>
      <c r="O52" s="125"/>
    </row>
    <row r="54" spans="1:15" ht="18">
      <c r="A54" s="14" t="s">
        <v>648</v>
      </c>
      <c r="B54" s="1032">
        <f>'Student Data'!D10</f>
        <v>0</v>
      </c>
      <c r="C54" s="1032"/>
      <c r="D54" s="1032"/>
      <c r="E54" s="1032"/>
      <c r="F54" s="1032"/>
      <c r="G54" s="1032"/>
      <c r="H54" s="1032"/>
      <c r="I54" s="1032"/>
      <c r="J54" s="1032"/>
      <c r="K54" s="1032"/>
      <c r="L54" s="1032"/>
      <c r="M54" s="1032"/>
      <c r="N54" s="1032"/>
      <c r="O54" s="1032"/>
    </row>
    <row r="55" spans="1:15">
      <c r="A55" s="122"/>
      <c r="B55" s="4" t="s">
        <v>421</v>
      </c>
      <c r="C55" s="4" t="s">
        <v>422</v>
      </c>
      <c r="D55" s="4" t="s">
        <v>423</v>
      </c>
      <c r="E55" s="4" t="s">
        <v>424</v>
      </c>
      <c r="F55" s="4" t="s">
        <v>425</v>
      </c>
      <c r="G55" s="4" t="s">
        <v>426</v>
      </c>
      <c r="H55" s="4" t="s">
        <v>427</v>
      </c>
      <c r="I55" s="4" t="s">
        <v>428</v>
      </c>
      <c r="J55" s="4" t="s">
        <v>429</v>
      </c>
      <c r="K55" s="123" t="s">
        <v>430</v>
      </c>
      <c r="L55" s="123" t="s">
        <v>431</v>
      </c>
      <c r="M55" s="123" t="s">
        <v>432</v>
      </c>
      <c r="N55" s="123" t="s">
        <v>729</v>
      </c>
      <c r="O55" s="123" t="s">
        <v>434</v>
      </c>
    </row>
    <row r="56" spans="1:15">
      <c r="A56" s="124" t="s">
        <v>730</v>
      </c>
      <c r="B56" s="2"/>
      <c r="C56" s="2"/>
      <c r="D56" s="2"/>
      <c r="E56" s="2"/>
      <c r="F56" s="2"/>
      <c r="G56" s="2"/>
      <c r="H56" s="2"/>
      <c r="I56" s="2"/>
      <c r="J56" s="2"/>
      <c r="K56" s="125"/>
      <c r="L56" s="125"/>
      <c r="M56" s="125"/>
      <c r="N56" s="125"/>
      <c r="O56" s="125"/>
    </row>
    <row r="57" spans="1:15">
      <c r="A57" s="124" t="s">
        <v>731</v>
      </c>
      <c r="B57" s="2"/>
      <c r="C57" s="2"/>
      <c r="D57" s="2"/>
      <c r="E57" s="2"/>
      <c r="F57" s="2"/>
      <c r="G57" s="2"/>
      <c r="H57" s="2"/>
      <c r="I57" s="2"/>
      <c r="J57" s="2"/>
      <c r="K57" s="125"/>
      <c r="L57" s="125"/>
      <c r="M57" s="125"/>
      <c r="N57" s="125"/>
      <c r="O57" s="125"/>
    </row>
    <row r="58" spans="1:15">
      <c r="A58" s="126" t="s">
        <v>732</v>
      </c>
      <c r="B58" s="2"/>
      <c r="C58" s="2"/>
      <c r="D58" s="2"/>
      <c r="E58" s="2"/>
      <c r="F58" s="2"/>
      <c r="G58" s="2"/>
      <c r="H58" s="2"/>
      <c r="I58" s="2"/>
      <c r="J58" s="2"/>
      <c r="K58" s="125"/>
      <c r="L58" s="125"/>
      <c r="M58" s="125"/>
      <c r="N58" s="125"/>
      <c r="O58" s="125"/>
    </row>
    <row r="59" spans="1:15">
      <c r="A59" s="126" t="s">
        <v>733</v>
      </c>
      <c r="B59" s="2"/>
      <c r="C59" s="2"/>
      <c r="D59" s="2"/>
      <c r="E59" s="2"/>
      <c r="F59" s="2"/>
      <c r="G59" s="2"/>
      <c r="H59" s="2"/>
      <c r="I59" s="2"/>
      <c r="J59" s="2"/>
      <c r="K59" s="125"/>
      <c r="L59" s="125"/>
      <c r="M59" s="125"/>
      <c r="N59" s="125"/>
      <c r="O59" s="125"/>
    </row>
    <row r="60" spans="1:15">
      <c r="A60" s="126" t="s">
        <v>734</v>
      </c>
      <c r="B60" s="2"/>
      <c r="C60" s="2"/>
      <c r="D60" s="2"/>
      <c r="E60" s="2"/>
      <c r="F60" s="2"/>
      <c r="G60" s="2"/>
      <c r="H60" s="2"/>
      <c r="I60" s="2"/>
      <c r="J60" s="2"/>
      <c r="K60" s="125"/>
      <c r="L60" s="125"/>
      <c r="M60" s="125"/>
      <c r="N60" s="125"/>
      <c r="O60" s="125"/>
    </row>
    <row r="62" spans="1:15" ht="18">
      <c r="A62" s="14" t="s">
        <v>648</v>
      </c>
      <c r="B62" s="1032">
        <f>'Student Data'!D11</f>
        <v>0</v>
      </c>
      <c r="C62" s="1032"/>
      <c r="D62" s="1032"/>
      <c r="E62" s="1032"/>
      <c r="F62" s="1032"/>
      <c r="G62" s="1032"/>
      <c r="H62" s="1032"/>
      <c r="I62" s="1032"/>
      <c r="J62" s="1032"/>
      <c r="K62" s="1032"/>
      <c r="L62" s="1032"/>
      <c r="M62" s="1032"/>
      <c r="N62" s="1032"/>
      <c r="O62" s="1032"/>
    </row>
    <row r="63" spans="1:15">
      <c r="A63" s="122"/>
      <c r="B63" s="123" t="s">
        <v>421</v>
      </c>
      <c r="C63" s="123" t="s">
        <v>422</v>
      </c>
      <c r="D63" s="123" t="s">
        <v>423</v>
      </c>
      <c r="E63" s="123" t="s">
        <v>424</v>
      </c>
      <c r="F63" s="123" t="s">
        <v>425</v>
      </c>
      <c r="G63" s="123" t="s">
        <v>426</v>
      </c>
      <c r="H63" s="123" t="s">
        <v>427</v>
      </c>
      <c r="I63" s="123" t="s">
        <v>428</v>
      </c>
      <c r="J63" s="123" t="s">
        <v>429</v>
      </c>
      <c r="K63" s="123" t="s">
        <v>430</v>
      </c>
      <c r="L63" s="123" t="s">
        <v>431</v>
      </c>
      <c r="M63" s="123" t="s">
        <v>432</v>
      </c>
      <c r="N63" s="123" t="s">
        <v>729</v>
      </c>
      <c r="O63" s="123" t="s">
        <v>434</v>
      </c>
    </row>
    <row r="64" spans="1:15">
      <c r="A64" s="124" t="s">
        <v>730</v>
      </c>
      <c r="B64" s="125"/>
      <c r="C64" s="125"/>
      <c r="D64" s="125"/>
      <c r="E64" s="125"/>
      <c r="F64" s="125"/>
      <c r="G64" s="125"/>
      <c r="H64" s="125"/>
      <c r="I64" s="125"/>
      <c r="J64" s="125"/>
      <c r="K64" s="125"/>
      <c r="L64" s="125"/>
      <c r="M64" s="125"/>
      <c r="N64" s="125"/>
      <c r="O64" s="125"/>
    </row>
    <row r="65" spans="1:15">
      <c r="A65" s="124" t="s">
        <v>731</v>
      </c>
      <c r="B65" s="125"/>
      <c r="C65" s="125"/>
      <c r="D65" s="125"/>
      <c r="E65" s="125"/>
      <c r="F65" s="125"/>
      <c r="G65" s="125"/>
      <c r="H65" s="125"/>
      <c r="I65" s="125"/>
      <c r="J65" s="125"/>
      <c r="K65" s="125"/>
      <c r="L65" s="125"/>
      <c r="M65" s="125"/>
      <c r="N65" s="125"/>
      <c r="O65" s="125"/>
    </row>
    <row r="66" spans="1:15">
      <c r="A66" s="126" t="s">
        <v>732</v>
      </c>
      <c r="B66" s="125"/>
      <c r="C66" s="125"/>
      <c r="D66" s="125"/>
      <c r="E66" s="125"/>
      <c r="F66" s="125"/>
      <c r="G66" s="125"/>
      <c r="H66" s="125"/>
      <c r="I66" s="125"/>
      <c r="J66" s="125"/>
      <c r="K66" s="125"/>
      <c r="L66" s="125"/>
      <c r="M66" s="125"/>
      <c r="N66" s="125"/>
      <c r="O66" s="125"/>
    </row>
    <row r="67" spans="1:15">
      <c r="A67" s="126" t="s">
        <v>733</v>
      </c>
      <c r="B67" s="125"/>
      <c r="C67" s="125"/>
      <c r="D67" s="125"/>
      <c r="E67" s="125"/>
      <c r="F67" s="125"/>
      <c r="G67" s="125"/>
      <c r="H67" s="125"/>
      <c r="I67" s="125"/>
      <c r="J67" s="125"/>
      <c r="K67" s="125"/>
      <c r="L67" s="125"/>
      <c r="M67" s="125"/>
      <c r="N67" s="125"/>
      <c r="O67" s="125"/>
    </row>
    <row r="68" spans="1:15">
      <c r="A68" s="126" t="s">
        <v>734</v>
      </c>
      <c r="B68" s="125"/>
      <c r="C68" s="125"/>
      <c r="D68" s="125"/>
      <c r="E68" s="125"/>
      <c r="F68" s="125"/>
      <c r="G68" s="125"/>
      <c r="H68" s="125"/>
      <c r="I68" s="125"/>
      <c r="J68" s="125"/>
      <c r="K68" s="125"/>
      <c r="L68" s="125"/>
      <c r="M68" s="125"/>
      <c r="N68" s="125"/>
      <c r="O68" s="125"/>
    </row>
    <row r="70" spans="1:15" ht="18">
      <c r="A70" s="14" t="s">
        <v>648</v>
      </c>
      <c r="B70" s="1032">
        <f>'Student Data'!D12</f>
        <v>0</v>
      </c>
      <c r="C70" s="1032"/>
      <c r="D70" s="1032"/>
      <c r="E70" s="1032"/>
      <c r="F70" s="1032"/>
      <c r="G70" s="1032"/>
      <c r="H70" s="1032"/>
      <c r="I70" s="1032"/>
      <c r="J70" s="1032"/>
      <c r="K70" s="1032"/>
      <c r="L70" s="1032"/>
      <c r="M70" s="1032"/>
      <c r="N70" s="1032"/>
      <c r="O70" s="1032"/>
    </row>
    <row r="71" spans="1:15">
      <c r="A71" s="122"/>
      <c r="B71" s="123" t="s">
        <v>421</v>
      </c>
      <c r="C71" s="123" t="s">
        <v>422</v>
      </c>
      <c r="D71" s="123" t="s">
        <v>423</v>
      </c>
      <c r="E71" s="123" t="s">
        <v>424</v>
      </c>
      <c r="F71" s="123" t="s">
        <v>425</v>
      </c>
      <c r="G71" s="123" t="s">
        <v>426</v>
      </c>
      <c r="H71" s="123" t="s">
        <v>427</v>
      </c>
      <c r="I71" s="123" t="s">
        <v>428</v>
      </c>
      <c r="J71" s="123" t="s">
        <v>429</v>
      </c>
      <c r="K71" s="123" t="s">
        <v>430</v>
      </c>
      <c r="L71" s="123" t="s">
        <v>431</v>
      </c>
      <c r="M71" s="123" t="s">
        <v>432</v>
      </c>
      <c r="N71" s="123" t="s">
        <v>729</v>
      </c>
      <c r="O71" s="123" t="s">
        <v>434</v>
      </c>
    </row>
    <row r="72" spans="1:15">
      <c r="A72" s="124" t="s">
        <v>730</v>
      </c>
      <c r="B72" s="125"/>
      <c r="C72" s="125"/>
      <c r="D72" s="125"/>
      <c r="E72" s="125"/>
      <c r="F72" s="125"/>
      <c r="G72" s="125"/>
      <c r="H72" s="125"/>
      <c r="I72" s="125"/>
      <c r="J72" s="125"/>
      <c r="K72" s="125"/>
      <c r="L72" s="125"/>
      <c r="M72" s="125"/>
      <c r="N72" s="125"/>
      <c r="O72" s="125"/>
    </row>
    <row r="73" spans="1:15">
      <c r="A73" s="124" t="s">
        <v>731</v>
      </c>
      <c r="B73" s="125"/>
      <c r="C73" s="125"/>
      <c r="D73" s="125"/>
      <c r="E73" s="125"/>
      <c r="F73" s="125"/>
      <c r="G73" s="125"/>
      <c r="H73" s="125"/>
      <c r="I73" s="125"/>
      <c r="J73" s="125"/>
      <c r="K73" s="125"/>
      <c r="L73" s="125"/>
      <c r="M73" s="125"/>
      <c r="N73" s="125"/>
      <c r="O73" s="125"/>
    </row>
    <row r="74" spans="1:15">
      <c r="A74" s="126" t="s">
        <v>732</v>
      </c>
      <c r="B74" s="125"/>
      <c r="C74" s="125"/>
      <c r="D74" s="125"/>
      <c r="E74" s="125"/>
      <c r="F74" s="125"/>
      <c r="G74" s="125"/>
      <c r="H74" s="125"/>
      <c r="I74" s="125"/>
      <c r="J74" s="125"/>
      <c r="K74" s="125"/>
      <c r="L74" s="125"/>
      <c r="M74" s="125"/>
      <c r="N74" s="125"/>
      <c r="O74" s="125"/>
    </row>
    <row r="75" spans="1:15">
      <c r="A75" s="126" t="s">
        <v>733</v>
      </c>
      <c r="B75" s="125"/>
      <c r="C75" s="125"/>
      <c r="D75" s="125"/>
      <c r="E75" s="125"/>
      <c r="F75" s="125"/>
      <c r="G75" s="125"/>
      <c r="H75" s="125"/>
      <c r="I75" s="125"/>
      <c r="J75" s="125"/>
      <c r="K75" s="125"/>
      <c r="L75" s="125"/>
      <c r="M75" s="125"/>
      <c r="N75" s="125"/>
      <c r="O75" s="125"/>
    </row>
    <row r="76" spans="1:15">
      <c r="A76" s="126" t="s">
        <v>734</v>
      </c>
      <c r="B76" s="125"/>
      <c r="C76" s="125"/>
      <c r="D76" s="125"/>
      <c r="E76" s="125"/>
      <c r="F76" s="125"/>
      <c r="G76" s="125"/>
      <c r="H76" s="125"/>
      <c r="I76" s="125"/>
      <c r="J76" s="125"/>
      <c r="K76" s="125"/>
      <c r="L76" s="125"/>
      <c r="M76" s="125"/>
      <c r="N76" s="125"/>
      <c r="O76" s="125"/>
    </row>
    <row r="78" spans="1:15" ht="18">
      <c r="A78" s="14" t="s">
        <v>648</v>
      </c>
      <c r="B78" s="1032">
        <f>'Student Data'!D13</f>
        <v>0</v>
      </c>
      <c r="C78" s="1032"/>
      <c r="D78" s="1032"/>
      <c r="E78" s="1032"/>
      <c r="F78" s="1032"/>
      <c r="G78" s="1032"/>
      <c r="H78" s="1032"/>
      <c r="I78" s="1032"/>
      <c r="J78" s="1032"/>
      <c r="K78" s="1032"/>
      <c r="L78" s="1032"/>
      <c r="M78" s="1032"/>
      <c r="N78" s="1032"/>
      <c r="O78" s="1032"/>
    </row>
    <row r="79" spans="1:15">
      <c r="A79" s="122"/>
      <c r="B79" s="123" t="s">
        <v>421</v>
      </c>
      <c r="C79" s="123" t="s">
        <v>422</v>
      </c>
      <c r="D79" s="123" t="s">
        <v>423</v>
      </c>
      <c r="E79" s="123" t="s">
        <v>424</v>
      </c>
      <c r="F79" s="123" t="s">
        <v>425</v>
      </c>
      <c r="G79" s="123" t="s">
        <v>426</v>
      </c>
      <c r="H79" s="123" t="s">
        <v>427</v>
      </c>
      <c r="I79" s="123" t="s">
        <v>428</v>
      </c>
      <c r="J79" s="123" t="s">
        <v>429</v>
      </c>
      <c r="K79" s="123" t="s">
        <v>430</v>
      </c>
      <c r="L79" s="123" t="s">
        <v>431</v>
      </c>
      <c r="M79" s="123" t="s">
        <v>432</v>
      </c>
      <c r="N79" s="123" t="s">
        <v>729</v>
      </c>
      <c r="O79" s="123" t="s">
        <v>434</v>
      </c>
    </row>
    <row r="80" spans="1:15">
      <c r="A80" s="124" t="s">
        <v>730</v>
      </c>
      <c r="B80" s="125"/>
      <c r="C80" s="125"/>
      <c r="D80" s="125"/>
      <c r="E80" s="125"/>
      <c r="F80" s="125"/>
      <c r="G80" s="125"/>
      <c r="H80" s="125"/>
      <c r="I80" s="125"/>
      <c r="J80" s="125"/>
      <c r="K80" s="125"/>
      <c r="L80" s="125"/>
      <c r="M80" s="125"/>
      <c r="N80" s="125"/>
      <c r="O80" s="125"/>
    </row>
    <row r="81" spans="1:15">
      <c r="A81" s="124" t="s">
        <v>731</v>
      </c>
      <c r="B81" s="125"/>
      <c r="C81" s="125"/>
      <c r="D81" s="125"/>
      <c r="E81" s="125"/>
      <c r="F81" s="125"/>
      <c r="G81" s="125"/>
      <c r="H81" s="125"/>
      <c r="I81" s="125"/>
      <c r="J81" s="125"/>
      <c r="K81" s="125"/>
      <c r="L81" s="125"/>
      <c r="M81" s="125"/>
      <c r="N81" s="125"/>
      <c r="O81" s="125"/>
    </row>
    <row r="82" spans="1:15">
      <c r="A82" s="126" t="s">
        <v>732</v>
      </c>
      <c r="B82" s="125"/>
      <c r="C82" s="125"/>
      <c r="D82" s="125"/>
      <c r="E82" s="125"/>
      <c r="F82" s="125"/>
      <c r="G82" s="125"/>
      <c r="H82" s="125"/>
      <c r="I82" s="125"/>
      <c r="J82" s="125"/>
      <c r="K82" s="125"/>
      <c r="L82" s="125"/>
      <c r="M82" s="125"/>
      <c r="N82" s="125"/>
      <c r="O82" s="125"/>
    </row>
    <row r="83" spans="1:15">
      <c r="A83" s="126" t="s">
        <v>733</v>
      </c>
      <c r="B83" s="125"/>
      <c r="C83" s="125"/>
      <c r="D83" s="125"/>
      <c r="E83" s="125"/>
      <c r="F83" s="125"/>
      <c r="G83" s="125"/>
      <c r="H83" s="125"/>
      <c r="I83" s="125"/>
      <c r="J83" s="125"/>
      <c r="K83" s="125"/>
      <c r="L83" s="125"/>
      <c r="M83" s="125"/>
      <c r="N83" s="125"/>
      <c r="O83" s="125"/>
    </row>
    <row r="84" spans="1:15">
      <c r="A84" s="126" t="s">
        <v>734</v>
      </c>
      <c r="B84" s="125"/>
      <c r="C84" s="125"/>
      <c r="D84" s="125"/>
      <c r="E84" s="125"/>
      <c r="F84" s="125"/>
      <c r="G84" s="125"/>
      <c r="H84" s="125"/>
      <c r="I84" s="125"/>
      <c r="J84" s="125"/>
      <c r="K84" s="125"/>
      <c r="L84" s="125"/>
      <c r="M84" s="125"/>
      <c r="N84" s="125"/>
      <c r="O84" s="125"/>
    </row>
    <row r="86" spans="1:15" ht="18">
      <c r="A86" s="14" t="s">
        <v>648</v>
      </c>
      <c r="B86" s="1032">
        <f>'Student Data'!D14</f>
        <v>0</v>
      </c>
      <c r="C86" s="1032"/>
      <c r="D86" s="1032"/>
      <c r="E86" s="1032"/>
      <c r="F86" s="1032"/>
      <c r="G86" s="1032"/>
      <c r="H86" s="1032"/>
      <c r="I86" s="1032"/>
      <c r="J86" s="1032"/>
      <c r="K86" s="1032"/>
      <c r="L86" s="1032"/>
      <c r="M86" s="1032"/>
      <c r="N86" s="1032"/>
      <c r="O86" s="1032"/>
    </row>
    <row r="87" spans="1:15">
      <c r="A87" s="122"/>
      <c r="B87" s="123" t="s">
        <v>421</v>
      </c>
      <c r="C87" s="123" t="s">
        <v>422</v>
      </c>
      <c r="D87" s="123" t="s">
        <v>423</v>
      </c>
      <c r="E87" s="123" t="s">
        <v>424</v>
      </c>
      <c r="F87" s="123" t="s">
        <v>425</v>
      </c>
      <c r="G87" s="123" t="s">
        <v>426</v>
      </c>
      <c r="H87" s="123" t="s">
        <v>427</v>
      </c>
      <c r="I87" s="123" t="s">
        <v>428</v>
      </c>
      <c r="J87" s="123" t="s">
        <v>429</v>
      </c>
      <c r="K87" s="123" t="s">
        <v>430</v>
      </c>
      <c r="L87" s="123" t="s">
        <v>431</v>
      </c>
      <c r="M87" s="123" t="s">
        <v>432</v>
      </c>
      <c r="N87" s="123" t="s">
        <v>729</v>
      </c>
      <c r="O87" s="123" t="s">
        <v>434</v>
      </c>
    </row>
    <row r="88" spans="1:15">
      <c r="A88" s="124" t="s">
        <v>730</v>
      </c>
      <c r="B88" s="125"/>
      <c r="C88" s="125"/>
      <c r="D88" s="125"/>
      <c r="E88" s="125"/>
      <c r="F88" s="125"/>
      <c r="G88" s="125"/>
      <c r="H88" s="125"/>
      <c r="I88" s="125"/>
      <c r="J88" s="125"/>
      <c r="K88" s="125"/>
      <c r="L88" s="125"/>
      <c r="M88" s="125"/>
      <c r="N88" s="125"/>
      <c r="O88" s="125"/>
    </row>
    <row r="89" spans="1:15">
      <c r="A89" s="124" t="s">
        <v>731</v>
      </c>
      <c r="B89" s="125"/>
      <c r="C89" s="125"/>
      <c r="D89" s="125"/>
      <c r="E89" s="125"/>
      <c r="F89" s="125"/>
      <c r="G89" s="125"/>
      <c r="H89" s="125"/>
      <c r="I89" s="125"/>
      <c r="J89" s="125"/>
      <c r="K89" s="125"/>
      <c r="L89" s="125"/>
      <c r="M89" s="125"/>
      <c r="N89" s="125"/>
      <c r="O89" s="125"/>
    </row>
    <row r="90" spans="1:15">
      <c r="A90" s="126" t="s">
        <v>732</v>
      </c>
      <c r="B90" s="125"/>
      <c r="C90" s="125"/>
      <c r="D90" s="125"/>
      <c r="E90" s="125"/>
      <c r="F90" s="125"/>
      <c r="G90" s="125"/>
      <c r="H90" s="125"/>
      <c r="I90" s="125"/>
      <c r="J90" s="125"/>
      <c r="K90" s="125"/>
      <c r="L90" s="125"/>
      <c r="M90" s="125"/>
      <c r="N90" s="125"/>
      <c r="O90" s="125"/>
    </row>
    <row r="91" spans="1:15">
      <c r="A91" s="126" t="s">
        <v>733</v>
      </c>
      <c r="B91" s="125"/>
      <c r="C91" s="125"/>
      <c r="D91" s="125"/>
      <c r="E91" s="125"/>
      <c r="F91" s="125"/>
      <c r="G91" s="125"/>
      <c r="H91" s="125"/>
      <c r="I91" s="125"/>
      <c r="J91" s="125"/>
      <c r="K91" s="125"/>
      <c r="L91" s="125"/>
      <c r="M91" s="125"/>
      <c r="N91" s="125"/>
      <c r="O91" s="125"/>
    </row>
    <row r="92" spans="1:15">
      <c r="A92" s="126" t="s">
        <v>734</v>
      </c>
      <c r="B92" s="125"/>
      <c r="C92" s="125"/>
      <c r="D92" s="125"/>
      <c r="E92" s="125"/>
      <c r="F92" s="125"/>
      <c r="G92" s="125"/>
      <c r="H92" s="125"/>
      <c r="I92" s="125"/>
      <c r="J92" s="125"/>
      <c r="K92" s="125"/>
      <c r="L92" s="125"/>
      <c r="M92" s="125"/>
      <c r="N92" s="125"/>
      <c r="O92" s="125"/>
    </row>
    <row r="94" spans="1:15" ht="18">
      <c r="A94" s="14" t="s">
        <v>648</v>
      </c>
      <c r="B94" s="1032">
        <f>'Student Data'!D15</f>
        <v>0</v>
      </c>
      <c r="C94" s="1032"/>
      <c r="D94" s="1032"/>
      <c r="E94" s="1032"/>
      <c r="F94" s="1032"/>
      <c r="G94" s="1032"/>
      <c r="H94" s="1032"/>
      <c r="I94" s="1032"/>
      <c r="J94" s="1032"/>
      <c r="K94" s="1032"/>
      <c r="L94" s="1032"/>
      <c r="M94" s="1032"/>
      <c r="N94" s="1032"/>
      <c r="O94" s="1032"/>
    </row>
    <row r="95" spans="1:15">
      <c r="A95" s="122"/>
      <c r="B95" s="123" t="s">
        <v>421</v>
      </c>
      <c r="C95" s="123" t="s">
        <v>422</v>
      </c>
      <c r="D95" s="123" t="s">
        <v>423</v>
      </c>
      <c r="E95" s="123" t="s">
        <v>424</v>
      </c>
      <c r="F95" s="123" t="s">
        <v>425</v>
      </c>
      <c r="G95" s="123" t="s">
        <v>426</v>
      </c>
      <c r="H95" s="123" t="s">
        <v>427</v>
      </c>
      <c r="I95" s="123" t="s">
        <v>428</v>
      </c>
      <c r="J95" s="123" t="s">
        <v>429</v>
      </c>
      <c r="K95" s="123" t="s">
        <v>430</v>
      </c>
      <c r="L95" s="123" t="s">
        <v>431</v>
      </c>
      <c r="M95" s="123" t="s">
        <v>432</v>
      </c>
      <c r="N95" s="123" t="s">
        <v>729</v>
      </c>
      <c r="O95" s="123" t="s">
        <v>434</v>
      </c>
    </row>
    <row r="96" spans="1:15">
      <c r="A96" s="124" t="s">
        <v>730</v>
      </c>
      <c r="B96" s="125"/>
      <c r="C96" s="125"/>
      <c r="D96" s="125"/>
      <c r="E96" s="125"/>
      <c r="F96" s="125"/>
      <c r="G96" s="125"/>
      <c r="H96" s="125"/>
      <c r="I96" s="125"/>
      <c r="J96" s="125"/>
      <c r="K96" s="125"/>
      <c r="L96" s="125"/>
      <c r="M96" s="125"/>
      <c r="N96" s="125"/>
      <c r="O96" s="125"/>
    </row>
    <row r="97" spans="1:15">
      <c r="A97" s="124" t="s">
        <v>731</v>
      </c>
      <c r="B97" s="125"/>
      <c r="C97" s="125"/>
      <c r="D97" s="125"/>
      <c r="E97" s="125"/>
      <c r="F97" s="125"/>
      <c r="G97" s="125"/>
      <c r="H97" s="125"/>
      <c r="I97" s="125"/>
      <c r="J97" s="125"/>
      <c r="K97" s="125"/>
      <c r="L97" s="125"/>
      <c r="M97" s="125"/>
      <c r="N97" s="125"/>
      <c r="O97" s="125"/>
    </row>
    <row r="98" spans="1:15">
      <c r="A98" s="126" t="s">
        <v>732</v>
      </c>
      <c r="B98" s="125"/>
      <c r="C98" s="125"/>
      <c r="D98" s="125"/>
      <c r="E98" s="125"/>
      <c r="F98" s="125"/>
      <c r="G98" s="125"/>
      <c r="H98" s="125"/>
      <c r="I98" s="125"/>
      <c r="J98" s="125"/>
      <c r="K98" s="125"/>
      <c r="L98" s="125"/>
      <c r="M98" s="125"/>
      <c r="N98" s="125"/>
      <c r="O98" s="125"/>
    </row>
    <row r="99" spans="1:15">
      <c r="A99" s="126" t="s">
        <v>733</v>
      </c>
      <c r="B99" s="125"/>
      <c r="C99" s="125"/>
      <c r="D99" s="125"/>
      <c r="E99" s="125"/>
      <c r="F99" s="125"/>
      <c r="G99" s="125"/>
      <c r="H99" s="125"/>
      <c r="I99" s="125"/>
      <c r="J99" s="125"/>
      <c r="K99" s="125"/>
      <c r="L99" s="125"/>
      <c r="M99" s="125"/>
      <c r="N99" s="125"/>
      <c r="O99" s="125"/>
    </row>
    <row r="100" spans="1:15">
      <c r="A100" s="126" t="s">
        <v>734</v>
      </c>
      <c r="B100" s="125"/>
      <c r="C100" s="125"/>
      <c r="D100" s="125"/>
      <c r="E100" s="125"/>
      <c r="F100" s="125"/>
      <c r="G100" s="125"/>
      <c r="H100" s="125"/>
      <c r="I100" s="125"/>
      <c r="J100" s="125"/>
      <c r="K100" s="125"/>
      <c r="L100" s="125"/>
      <c r="M100" s="125"/>
      <c r="N100" s="125"/>
      <c r="O100" s="125"/>
    </row>
    <row r="102" spans="1:15" ht="18">
      <c r="A102" s="14" t="s">
        <v>648</v>
      </c>
      <c r="B102" s="1032">
        <f>'Student Data'!D16</f>
        <v>0</v>
      </c>
      <c r="C102" s="1032"/>
      <c r="D102" s="1032"/>
      <c r="E102" s="1032"/>
      <c r="F102" s="1032"/>
      <c r="G102" s="1032"/>
      <c r="H102" s="1032"/>
      <c r="I102" s="1032"/>
      <c r="J102" s="1032"/>
      <c r="K102" s="1032"/>
      <c r="L102" s="1032"/>
      <c r="M102" s="1032"/>
      <c r="N102" s="1032"/>
      <c r="O102" s="1032"/>
    </row>
    <row r="103" spans="1:15">
      <c r="A103" s="122"/>
      <c r="B103" s="123" t="s">
        <v>421</v>
      </c>
      <c r="C103" s="123" t="s">
        <v>422</v>
      </c>
      <c r="D103" s="123" t="s">
        <v>423</v>
      </c>
      <c r="E103" s="123" t="s">
        <v>424</v>
      </c>
      <c r="F103" s="123" t="s">
        <v>425</v>
      </c>
      <c r="G103" s="123" t="s">
        <v>426</v>
      </c>
      <c r="H103" s="123" t="s">
        <v>427</v>
      </c>
      <c r="I103" s="123" t="s">
        <v>428</v>
      </c>
      <c r="J103" s="123" t="s">
        <v>429</v>
      </c>
      <c r="K103" s="123" t="s">
        <v>430</v>
      </c>
      <c r="L103" s="123" t="s">
        <v>431</v>
      </c>
      <c r="M103" s="123" t="s">
        <v>432</v>
      </c>
      <c r="N103" s="123" t="s">
        <v>729</v>
      </c>
      <c r="O103" s="123" t="s">
        <v>434</v>
      </c>
    </row>
    <row r="104" spans="1:15">
      <c r="A104" s="124" t="s">
        <v>730</v>
      </c>
      <c r="B104" s="125"/>
      <c r="C104" s="125"/>
      <c r="D104" s="125"/>
      <c r="E104" s="125"/>
      <c r="F104" s="125"/>
      <c r="G104" s="125"/>
      <c r="H104" s="125"/>
      <c r="I104" s="125"/>
      <c r="J104" s="125"/>
      <c r="K104" s="125"/>
      <c r="L104" s="125"/>
      <c r="M104" s="125"/>
      <c r="N104" s="125"/>
      <c r="O104" s="125"/>
    </row>
    <row r="105" spans="1:15">
      <c r="A105" s="124" t="s">
        <v>731</v>
      </c>
      <c r="B105" s="125"/>
      <c r="C105" s="125"/>
      <c r="D105" s="125"/>
      <c r="E105" s="125"/>
      <c r="F105" s="125"/>
      <c r="G105" s="125"/>
      <c r="H105" s="125"/>
      <c r="I105" s="125"/>
      <c r="J105" s="125"/>
      <c r="K105" s="125"/>
      <c r="L105" s="125"/>
      <c r="M105" s="125"/>
      <c r="N105" s="125"/>
      <c r="O105" s="125"/>
    </row>
    <row r="106" spans="1:15">
      <c r="A106" s="126" t="s">
        <v>732</v>
      </c>
      <c r="B106" s="125"/>
      <c r="C106" s="125"/>
      <c r="D106" s="125"/>
      <c r="E106" s="125"/>
      <c r="F106" s="125"/>
      <c r="G106" s="125"/>
      <c r="H106" s="125"/>
      <c r="I106" s="125"/>
      <c r="J106" s="125"/>
      <c r="K106" s="125"/>
      <c r="L106" s="125"/>
      <c r="M106" s="125"/>
      <c r="N106" s="125"/>
      <c r="O106" s="125"/>
    </row>
    <row r="107" spans="1:15">
      <c r="A107" s="126" t="s">
        <v>733</v>
      </c>
      <c r="B107" s="125"/>
      <c r="C107" s="125"/>
      <c r="D107" s="125"/>
      <c r="E107" s="125"/>
      <c r="F107" s="125"/>
      <c r="G107" s="125"/>
      <c r="H107" s="125"/>
      <c r="I107" s="125"/>
      <c r="J107" s="125"/>
      <c r="K107" s="125"/>
      <c r="L107" s="125"/>
      <c r="M107" s="125"/>
      <c r="N107" s="125"/>
      <c r="O107" s="125"/>
    </row>
    <row r="108" spans="1:15">
      <c r="A108" s="126" t="s">
        <v>734</v>
      </c>
      <c r="B108" s="125"/>
      <c r="C108" s="125"/>
      <c r="D108" s="125"/>
      <c r="E108" s="125"/>
      <c r="F108" s="125"/>
      <c r="G108" s="125"/>
      <c r="H108" s="125"/>
      <c r="I108" s="125"/>
      <c r="J108" s="125"/>
      <c r="K108" s="125"/>
      <c r="L108" s="125"/>
      <c r="M108" s="125"/>
      <c r="N108" s="125"/>
      <c r="O108" s="125"/>
    </row>
    <row r="110" spans="1:15" ht="18">
      <c r="A110" s="14" t="s">
        <v>648</v>
      </c>
      <c r="B110" s="1032">
        <f>'Student Data'!D17</f>
        <v>0</v>
      </c>
      <c r="C110" s="1032"/>
      <c r="D110" s="1032"/>
      <c r="E110" s="1032"/>
      <c r="F110" s="1032"/>
      <c r="G110" s="1032"/>
      <c r="H110" s="1032"/>
      <c r="I110" s="1032"/>
      <c r="J110" s="1032"/>
      <c r="K110" s="1032"/>
      <c r="L110" s="1032"/>
      <c r="M110" s="1032"/>
      <c r="N110" s="1032"/>
      <c r="O110" s="1032"/>
    </row>
    <row r="111" spans="1:15">
      <c r="A111" s="122"/>
      <c r="B111" s="123" t="s">
        <v>421</v>
      </c>
      <c r="C111" s="123" t="s">
        <v>422</v>
      </c>
      <c r="D111" s="123" t="s">
        <v>423</v>
      </c>
      <c r="E111" s="123" t="s">
        <v>424</v>
      </c>
      <c r="F111" s="123" t="s">
        <v>425</v>
      </c>
      <c r="G111" s="123" t="s">
        <v>426</v>
      </c>
      <c r="H111" s="123" t="s">
        <v>427</v>
      </c>
      <c r="I111" s="123" t="s">
        <v>428</v>
      </c>
      <c r="J111" s="123" t="s">
        <v>429</v>
      </c>
      <c r="K111" s="123" t="s">
        <v>430</v>
      </c>
      <c r="L111" s="123" t="s">
        <v>431</v>
      </c>
      <c r="M111" s="123" t="s">
        <v>432</v>
      </c>
      <c r="N111" s="123" t="s">
        <v>729</v>
      </c>
      <c r="O111" s="123" t="s">
        <v>434</v>
      </c>
    </row>
    <row r="112" spans="1:15">
      <c r="A112" s="124" t="s">
        <v>730</v>
      </c>
      <c r="B112" s="125"/>
      <c r="C112" s="125"/>
      <c r="D112" s="125"/>
      <c r="E112" s="125"/>
      <c r="F112" s="125"/>
      <c r="G112" s="125"/>
      <c r="H112" s="125"/>
      <c r="I112" s="125"/>
      <c r="J112" s="125"/>
      <c r="K112" s="125"/>
      <c r="L112" s="125"/>
      <c r="M112" s="125"/>
      <c r="N112" s="125"/>
      <c r="O112" s="125"/>
    </row>
    <row r="113" spans="1:15">
      <c r="A113" s="124" t="s">
        <v>731</v>
      </c>
      <c r="B113" s="125"/>
      <c r="C113" s="125"/>
      <c r="D113" s="125"/>
      <c r="E113" s="125"/>
      <c r="F113" s="125"/>
      <c r="G113" s="125"/>
      <c r="H113" s="125"/>
      <c r="I113" s="125"/>
      <c r="J113" s="125"/>
      <c r="K113" s="125"/>
      <c r="L113" s="125"/>
      <c r="M113" s="125"/>
      <c r="N113" s="125"/>
      <c r="O113" s="125"/>
    </row>
    <row r="114" spans="1:15">
      <c r="A114" s="126" t="s">
        <v>732</v>
      </c>
      <c r="B114" s="125"/>
      <c r="C114" s="125"/>
      <c r="D114" s="125"/>
      <c r="E114" s="125"/>
      <c r="F114" s="125"/>
      <c r="G114" s="125"/>
      <c r="H114" s="125"/>
      <c r="I114" s="125"/>
      <c r="J114" s="125"/>
      <c r="K114" s="125"/>
      <c r="L114" s="125"/>
      <c r="M114" s="125"/>
      <c r="N114" s="125"/>
      <c r="O114" s="125"/>
    </row>
    <row r="115" spans="1:15">
      <c r="A115" s="126" t="s">
        <v>733</v>
      </c>
      <c r="B115" s="125"/>
      <c r="C115" s="125"/>
      <c r="D115" s="125"/>
      <c r="E115" s="125"/>
      <c r="F115" s="125"/>
      <c r="G115" s="125"/>
      <c r="H115" s="125"/>
      <c r="I115" s="125"/>
      <c r="J115" s="125"/>
      <c r="K115" s="125"/>
      <c r="L115" s="125"/>
      <c r="M115" s="125"/>
      <c r="N115" s="125"/>
      <c r="O115" s="125"/>
    </row>
    <row r="116" spans="1:15">
      <c r="A116" s="126" t="s">
        <v>734</v>
      </c>
      <c r="B116" s="125"/>
      <c r="C116" s="125"/>
      <c r="D116" s="125"/>
      <c r="E116" s="125"/>
      <c r="F116" s="125"/>
      <c r="G116" s="125"/>
      <c r="H116" s="125"/>
      <c r="I116" s="125"/>
      <c r="J116" s="125"/>
      <c r="K116" s="125"/>
      <c r="L116" s="125"/>
      <c r="M116" s="125"/>
      <c r="N116" s="125"/>
      <c r="O116" s="125"/>
    </row>
    <row r="118" spans="1:15" ht="18">
      <c r="A118" s="14" t="s">
        <v>648</v>
      </c>
      <c r="B118" s="1032">
        <f>'Student Data'!D18</f>
        <v>0</v>
      </c>
      <c r="C118" s="1032"/>
      <c r="D118" s="1032"/>
      <c r="E118" s="1032"/>
      <c r="F118" s="1032"/>
      <c r="G118" s="1032"/>
      <c r="H118" s="1032"/>
      <c r="I118" s="1032"/>
      <c r="J118" s="1032"/>
      <c r="K118" s="1032"/>
      <c r="L118" s="1032"/>
      <c r="M118" s="1032"/>
      <c r="N118" s="1032"/>
      <c r="O118" s="1032"/>
    </row>
    <row r="119" spans="1:15">
      <c r="A119" s="122"/>
      <c r="B119" s="123" t="s">
        <v>421</v>
      </c>
      <c r="C119" s="123" t="s">
        <v>422</v>
      </c>
      <c r="D119" s="123" t="s">
        <v>423</v>
      </c>
      <c r="E119" s="123" t="s">
        <v>424</v>
      </c>
      <c r="F119" s="123" t="s">
        <v>425</v>
      </c>
      <c r="G119" s="123" t="s">
        <v>426</v>
      </c>
      <c r="H119" s="123" t="s">
        <v>427</v>
      </c>
      <c r="I119" s="123" t="s">
        <v>428</v>
      </c>
      <c r="J119" s="123" t="s">
        <v>429</v>
      </c>
      <c r="K119" s="123" t="s">
        <v>430</v>
      </c>
      <c r="L119" s="123" t="s">
        <v>431</v>
      </c>
      <c r="M119" s="123" t="s">
        <v>432</v>
      </c>
      <c r="N119" s="123" t="s">
        <v>729</v>
      </c>
      <c r="O119" s="123" t="s">
        <v>434</v>
      </c>
    </row>
    <row r="120" spans="1:15">
      <c r="A120" s="124" t="s">
        <v>730</v>
      </c>
      <c r="B120" s="125"/>
      <c r="C120" s="125"/>
      <c r="D120" s="125"/>
      <c r="E120" s="125"/>
      <c r="F120" s="125"/>
      <c r="G120" s="125"/>
      <c r="H120" s="125"/>
      <c r="I120" s="125"/>
      <c r="J120" s="125"/>
      <c r="K120" s="125"/>
      <c r="L120" s="125"/>
      <c r="M120" s="125"/>
      <c r="N120" s="125"/>
      <c r="O120" s="125"/>
    </row>
    <row r="121" spans="1:15">
      <c r="A121" s="124" t="s">
        <v>731</v>
      </c>
      <c r="B121" s="125"/>
      <c r="C121" s="125"/>
      <c r="D121" s="125"/>
      <c r="E121" s="125"/>
      <c r="F121" s="125"/>
      <c r="G121" s="125"/>
      <c r="H121" s="125"/>
      <c r="I121" s="125"/>
      <c r="J121" s="125"/>
      <c r="K121" s="125"/>
      <c r="L121" s="125"/>
      <c r="M121" s="125"/>
      <c r="N121" s="125"/>
      <c r="O121" s="125"/>
    </row>
    <row r="122" spans="1:15">
      <c r="A122" s="126" t="s">
        <v>732</v>
      </c>
      <c r="B122" s="125"/>
      <c r="C122" s="125"/>
      <c r="D122" s="125"/>
      <c r="E122" s="125"/>
      <c r="F122" s="125"/>
      <c r="G122" s="125"/>
      <c r="H122" s="125"/>
      <c r="I122" s="125"/>
      <c r="J122" s="125"/>
      <c r="K122" s="125"/>
      <c r="L122" s="125"/>
      <c r="M122" s="125"/>
      <c r="N122" s="125"/>
      <c r="O122" s="125"/>
    </row>
    <row r="123" spans="1:15">
      <c r="A123" s="126" t="s">
        <v>733</v>
      </c>
      <c r="B123" s="125"/>
      <c r="C123" s="125"/>
      <c r="D123" s="125"/>
      <c r="E123" s="125"/>
      <c r="F123" s="125"/>
      <c r="G123" s="125"/>
      <c r="H123" s="125"/>
      <c r="I123" s="125"/>
      <c r="J123" s="125"/>
      <c r="K123" s="125"/>
      <c r="L123" s="125"/>
      <c r="M123" s="125"/>
      <c r="N123" s="125"/>
      <c r="O123" s="125"/>
    </row>
    <row r="124" spans="1:15">
      <c r="A124" s="126" t="s">
        <v>734</v>
      </c>
      <c r="B124" s="125"/>
      <c r="C124" s="125"/>
      <c r="D124" s="125"/>
      <c r="E124" s="125"/>
      <c r="F124" s="125"/>
      <c r="G124" s="125"/>
      <c r="H124" s="125"/>
      <c r="I124" s="125"/>
      <c r="J124" s="125"/>
      <c r="K124" s="125"/>
      <c r="L124" s="125"/>
      <c r="M124" s="125"/>
      <c r="N124" s="125"/>
      <c r="O124" s="125"/>
    </row>
    <row r="126" spans="1:15" ht="18">
      <c r="A126" s="14" t="s">
        <v>648</v>
      </c>
      <c r="B126" s="1032">
        <f>'Student Data'!D19</f>
        <v>0</v>
      </c>
      <c r="C126" s="1032"/>
      <c r="D126" s="1032"/>
      <c r="E126" s="1032"/>
      <c r="F126" s="1032"/>
      <c r="G126" s="1032"/>
      <c r="H126" s="1032"/>
      <c r="I126" s="1032"/>
      <c r="J126" s="1032"/>
      <c r="K126" s="1032"/>
      <c r="L126" s="1032"/>
      <c r="M126" s="1032"/>
      <c r="N126" s="1032"/>
      <c r="O126" s="1032"/>
    </row>
    <row r="127" spans="1:15">
      <c r="A127" s="122"/>
      <c r="B127" s="123" t="s">
        <v>421</v>
      </c>
      <c r="C127" s="123" t="s">
        <v>422</v>
      </c>
      <c r="D127" s="123" t="s">
        <v>423</v>
      </c>
      <c r="E127" s="123" t="s">
        <v>424</v>
      </c>
      <c r="F127" s="123" t="s">
        <v>425</v>
      </c>
      <c r="G127" s="123" t="s">
        <v>426</v>
      </c>
      <c r="H127" s="123" t="s">
        <v>427</v>
      </c>
      <c r="I127" s="123" t="s">
        <v>428</v>
      </c>
      <c r="J127" s="123" t="s">
        <v>429</v>
      </c>
      <c r="K127" s="123" t="s">
        <v>430</v>
      </c>
      <c r="L127" s="123" t="s">
        <v>431</v>
      </c>
      <c r="M127" s="123" t="s">
        <v>432</v>
      </c>
      <c r="N127" s="123" t="s">
        <v>729</v>
      </c>
      <c r="O127" s="123" t="s">
        <v>434</v>
      </c>
    </row>
    <row r="128" spans="1:15">
      <c r="A128" s="124" t="s">
        <v>730</v>
      </c>
      <c r="B128" s="125"/>
      <c r="C128" s="125"/>
      <c r="D128" s="125"/>
      <c r="E128" s="125"/>
      <c r="F128" s="125"/>
      <c r="G128" s="125"/>
      <c r="H128" s="125"/>
      <c r="I128" s="125"/>
      <c r="J128" s="125"/>
      <c r="K128" s="125"/>
      <c r="L128" s="125"/>
      <c r="M128" s="125"/>
      <c r="N128" s="125"/>
      <c r="O128" s="125"/>
    </row>
    <row r="129" spans="1:15">
      <c r="A129" s="124" t="s">
        <v>731</v>
      </c>
      <c r="B129" s="125"/>
      <c r="C129" s="125"/>
      <c r="D129" s="125"/>
      <c r="E129" s="125"/>
      <c r="F129" s="125"/>
      <c r="G129" s="125"/>
      <c r="H129" s="125"/>
      <c r="I129" s="125"/>
      <c r="J129" s="125"/>
      <c r="K129" s="125"/>
      <c r="L129" s="125"/>
      <c r="M129" s="125"/>
      <c r="N129" s="125"/>
      <c r="O129" s="125"/>
    </row>
    <row r="130" spans="1:15">
      <c r="A130" s="126" t="s">
        <v>732</v>
      </c>
      <c r="B130" s="125"/>
      <c r="C130" s="125"/>
      <c r="D130" s="125"/>
      <c r="E130" s="125"/>
      <c r="F130" s="125"/>
      <c r="G130" s="125"/>
      <c r="H130" s="125"/>
      <c r="I130" s="125"/>
      <c r="J130" s="125"/>
      <c r="K130" s="125"/>
      <c r="L130" s="125"/>
      <c r="M130" s="125"/>
      <c r="N130" s="125"/>
      <c r="O130" s="125"/>
    </row>
    <row r="131" spans="1:15">
      <c r="A131" s="126" t="s">
        <v>733</v>
      </c>
      <c r="B131" s="125"/>
      <c r="C131" s="125"/>
      <c r="D131" s="125"/>
      <c r="E131" s="125"/>
      <c r="F131" s="125"/>
      <c r="G131" s="125"/>
      <c r="H131" s="125"/>
      <c r="I131" s="125"/>
      <c r="J131" s="125"/>
      <c r="K131" s="125"/>
      <c r="L131" s="125"/>
      <c r="M131" s="125"/>
      <c r="N131" s="125"/>
      <c r="O131" s="125"/>
    </row>
    <row r="132" spans="1:15">
      <c r="A132" s="126" t="s">
        <v>734</v>
      </c>
      <c r="B132" s="125"/>
      <c r="C132" s="125"/>
      <c r="D132" s="125"/>
      <c r="E132" s="125"/>
      <c r="F132" s="125"/>
      <c r="G132" s="125"/>
      <c r="H132" s="125"/>
      <c r="I132" s="125"/>
      <c r="J132" s="125"/>
      <c r="K132" s="125"/>
      <c r="L132" s="125"/>
      <c r="M132" s="125"/>
      <c r="N132" s="125"/>
      <c r="O132" s="125"/>
    </row>
    <row r="134" spans="1:15" ht="18">
      <c r="A134" s="14" t="s">
        <v>648</v>
      </c>
      <c r="B134" s="1032">
        <f>'Student Data'!D20</f>
        <v>0</v>
      </c>
      <c r="C134" s="1032"/>
      <c r="D134" s="1032"/>
      <c r="E134" s="1032"/>
      <c r="F134" s="1032"/>
      <c r="G134" s="1032"/>
      <c r="H134" s="1032"/>
      <c r="I134" s="1032"/>
      <c r="J134" s="1032"/>
      <c r="K134" s="1032"/>
      <c r="L134" s="1032"/>
      <c r="M134" s="1032"/>
      <c r="N134" s="1032"/>
      <c r="O134" s="1032"/>
    </row>
    <row r="135" spans="1:15">
      <c r="A135" s="122"/>
      <c r="B135" s="123" t="s">
        <v>421</v>
      </c>
      <c r="C135" s="123" t="s">
        <v>422</v>
      </c>
      <c r="D135" s="123" t="s">
        <v>423</v>
      </c>
      <c r="E135" s="123" t="s">
        <v>424</v>
      </c>
      <c r="F135" s="123" t="s">
        <v>425</v>
      </c>
      <c r="G135" s="123" t="s">
        <v>426</v>
      </c>
      <c r="H135" s="123" t="s">
        <v>427</v>
      </c>
      <c r="I135" s="123" t="s">
        <v>428</v>
      </c>
      <c r="J135" s="123" t="s">
        <v>429</v>
      </c>
      <c r="K135" s="123" t="s">
        <v>430</v>
      </c>
      <c r="L135" s="123" t="s">
        <v>431</v>
      </c>
      <c r="M135" s="123" t="s">
        <v>432</v>
      </c>
      <c r="N135" s="123" t="s">
        <v>729</v>
      </c>
      <c r="O135" s="123" t="s">
        <v>434</v>
      </c>
    </row>
    <row r="136" spans="1:15">
      <c r="A136" s="124" t="s">
        <v>730</v>
      </c>
      <c r="B136" s="125"/>
      <c r="C136" s="125"/>
      <c r="D136" s="125"/>
      <c r="E136" s="125"/>
      <c r="F136" s="125"/>
      <c r="G136" s="125"/>
      <c r="H136" s="125"/>
      <c r="I136" s="125"/>
      <c r="J136" s="125"/>
      <c r="K136" s="125"/>
      <c r="L136" s="125"/>
      <c r="M136" s="125"/>
      <c r="N136" s="125"/>
      <c r="O136" s="125"/>
    </row>
    <row r="137" spans="1:15">
      <c r="A137" s="124" t="s">
        <v>731</v>
      </c>
      <c r="B137" s="125"/>
      <c r="C137" s="125"/>
      <c r="D137" s="125"/>
      <c r="E137" s="125"/>
      <c r="F137" s="125"/>
      <c r="G137" s="125"/>
      <c r="H137" s="125"/>
      <c r="I137" s="125"/>
      <c r="J137" s="125"/>
      <c r="K137" s="125"/>
      <c r="L137" s="125"/>
      <c r="M137" s="125"/>
      <c r="N137" s="125"/>
      <c r="O137" s="125"/>
    </row>
    <row r="138" spans="1:15">
      <c r="A138" s="126" t="s">
        <v>732</v>
      </c>
      <c r="B138" s="125"/>
      <c r="C138" s="125"/>
      <c r="D138" s="125"/>
      <c r="E138" s="125"/>
      <c r="F138" s="125"/>
      <c r="G138" s="125"/>
      <c r="H138" s="125"/>
      <c r="I138" s="125"/>
      <c r="J138" s="125"/>
      <c r="K138" s="125"/>
      <c r="L138" s="125"/>
      <c r="M138" s="125"/>
      <c r="N138" s="125"/>
      <c r="O138" s="125"/>
    </row>
    <row r="139" spans="1:15">
      <c r="A139" s="126" t="s">
        <v>733</v>
      </c>
      <c r="B139" s="125"/>
      <c r="C139" s="125"/>
      <c r="D139" s="125"/>
      <c r="E139" s="125"/>
      <c r="F139" s="125"/>
      <c r="G139" s="125"/>
      <c r="H139" s="125"/>
      <c r="I139" s="125"/>
      <c r="J139" s="125"/>
      <c r="K139" s="125"/>
      <c r="L139" s="125"/>
      <c r="M139" s="125"/>
      <c r="N139" s="125"/>
      <c r="O139" s="125"/>
    </row>
    <row r="140" spans="1:15">
      <c r="A140" s="126" t="s">
        <v>734</v>
      </c>
      <c r="B140" s="125"/>
      <c r="C140" s="125"/>
      <c r="D140" s="125"/>
      <c r="E140" s="125"/>
      <c r="F140" s="125"/>
      <c r="G140" s="125"/>
      <c r="H140" s="125"/>
      <c r="I140" s="125"/>
      <c r="J140" s="125"/>
      <c r="K140" s="125"/>
      <c r="L140" s="125"/>
      <c r="M140" s="125"/>
      <c r="N140" s="125"/>
      <c r="O140" s="125"/>
    </row>
    <row r="142" spans="1:15" ht="18">
      <c r="A142" s="14" t="s">
        <v>648</v>
      </c>
      <c r="B142" s="1032">
        <f>'Student Data'!D21</f>
        <v>0</v>
      </c>
      <c r="C142" s="1032"/>
      <c r="D142" s="1032"/>
      <c r="E142" s="1032"/>
      <c r="F142" s="1032"/>
      <c r="G142" s="1032"/>
      <c r="H142" s="1032"/>
      <c r="I142" s="1032"/>
      <c r="J142" s="1032"/>
      <c r="K142" s="1032"/>
      <c r="L142" s="1032"/>
      <c r="M142" s="1032"/>
      <c r="N142" s="1032"/>
      <c r="O142" s="1032"/>
    </row>
    <row r="143" spans="1:15">
      <c r="A143" s="122"/>
      <c r="B143" s="123" t="s">
        <v>421</v>
      </c>
      <c r="C143" s="123" t="s">
        <v>422</v>
      </c>
      <c r="D143" s="123" t="s">
        <v>423</v>
      </c>
      <c r="E143" s="123" t="s">
        <v>424</v>
      </c>
      <c r="F143" s="123" t="s">
        <v>425</v>
      </c>
      <c r="G143" s="123" t="s">
        <v>426</v>
      </c>
      <c r="H143" s="123" t="s">
        <v>427</v>
      </c>
      <c r="I143" s="123" t="s">
        <v>428</v>
      </c>
      <c r="J143" s="123" t="s">
        <v>429</v>
      </c>
      <c r="K143" s="123" t="s">
        <v>430</v>
      </c>
      <c r="L143" s="123" t="s">
        <v>431</v>
      </c>
      <c r="M143" s="123" t="s">
        <v>432</v>
      </c>
      <c r="N143" s="123" t="s">
        <v>729</v>
      </c>
      <c r="O143" s="123" t="s">
        <v>434</v>
      </c>
    </row>
    <row r="144" spans="1:15">
      <c r="A144" s="124" t="s">
        <v>730</v>
      </c>
      <c r="B144" s="125"/>
      <c r="C144" s="125"/>
      <c r="D144" s="125"/>
      <c r="E144" s="125"/>
      <c r="F144" s="125"/>
      <c r="G144" s="125"/>
      <c r="H144" s="125"/>
      <c r="I144" s="125"/>
      <c r="J144" s="125"/>
      <c r="K144" s="125"/>
      <c r="L144" s="125"/>
      <c r="M144" s="125"/>
      <c r="N144" s="125"/>
      <c r="O144" s="125"/>
    </row>
    <row r="145" spans="1:15">
      <c r="A145" s="124" t="s">
        <v>731</v>
      </c>
      <c r="B145" s="125"/>
      <c r="C145" s="125"/>
      <c r="D145" s="125"/>
      <c r="E145" s="125"/>
      <c r="F145" s="125"/>
      <c r="G145" s="125"/>
      <c r="H145" s="125"/>
      <c r="I145" s="125"/>
      <c r="J145" s="125"/>
      <c r="K145" s="125"/>
      <c r="L145" s="125"/>
      <c r="M145" s="125"/>
      <c r="N145" s="125"/>
      <c r="O145" s="125"/>
    </row>
    <row r="146" spans="1:15">
      <c r="A146" s="126" t="s">
        <v>732</v>
      </c>
      <c r="B146" s="125"/>
      <c r="C146" s="125"/>
      <c r="D146" s="125"/>
      <c r="E146" s="125"/>
      <c r="F146" s="125"/>
      <c r="G146" s="125"/>
      <c r="H146" s="125"/>
      <c r="I146" s="125"/>
      <c r="J146" s="125"/>
      <c r="K146" s="125"/>
      <c r="L146" s="125"/>
      <c r="M146" s="125"/>
      <c r="N146" s="125"/>
      <c r="O146" s="125"/>
    </row>
    <row r="147" spans="1:15">
      <c r="A147" s="126" t="s">
        <v>733</v>
      </c>
      <c r="B147" s="125"/>
      <c r="C147" s="125"/>
      <c r="D147" s="125"/>
      <c r="E147" s="125"/>
      <c r="F147" s="125"/>
      <c r="G147" s="125"/>
      <c r="H147" s="125"/>
      <c r="I147" s="125"/>
      <c r="J147" s="125"/>
      <c r="K147" s="125"/>
      <c r="L147" s="125"/>
      <c r="M147" s="125"/>
      <c r="N147" s="125"/>
      <c r="O147" s="125"/>
    </row>
    <row r="148" spans="1:15">
      <c r="A148" s="126" t="s">
        <v>734</v>
      </c>
      <c r="B148" s="125"/>
      <c r="C148" s="125"/>
      <c r="D148" s="125"/>
      <c r="E148" s="125"/>
      <c r="F148" s="125"/>
      <c r="G148" s="125"/>
      <c r="H148" s="125"/>
      <c r="I148" s="125"/>
      <c r="J148" s="125"/>
      <c r="K148" s="125"/>
      <c r="L148" s="125"/>
      <c r="M148" s="125"/>
      <c r="N148" s="125"/>
      <c r="O148" s="125"/>
    </row>
    <row r="150" spans="1:15" ht="18">
      <c r="A150" s="14" t="s">
        <v>648</v>
      </c>
      <c r="B150" s="1032">
        <f>'Student Data'!D22</f>
        <v>0</v>
      </c>
      <c r="C150" s="1032"/>
      <c r="D150" s="1032"/>
      <c r="E150" s="1032"/>
      <c r="F150" s="1032"/>
      <c r="G150" s="1032"/>
      <c r="H150" s="1032"/>
      <c r="I150" s="1032"/>
      <c r="J150" s="1032"/>
      <c r="K150" s="1032"/>
      <c r="L150" s="1032"/>
      <c r="M150" s="1032"/>
      <c r="N150" s="1032"/>
      <c r="O150" s="1032"/>
    </row>
    <row r="151" spans="1:15">
      <c r="A151" s="122"/>
      <c r="B151" s="123" t="s">
        <v>421</v>
      </c>
      <c r="C151" s="123" t="s">
        <v>422</v>
      </c>
      <c r="D151" s="123" t="s">
        <v>423</v>
      </c>
      <c r="E151" s="123" t="s">
        <v>424</v>
      </c>
      <c r="F151" s="123" t="s">
        <v>425</v>
      </c>
      <c r="G151" s="123" t="s">
        <v>426</v>
      </c>
      <c r="H151" s="123" t="s">
        <v>427</v>
      </c>
      <c r="I151" s="123" t="s">
        <v>428</v>
      </c>
      <c r="J151" s="123" t="s">
        <v>429</v>
      </c>
      <c r="K151" s="123" t="s">
        <v>430</v>
      </c>
      <c r="L151" s="123" t="s">
        <v>431</v>
      </c>
      <c r="M151" s="123" t="s">
        <v>432</v>
      </c>
      <c r="N151" s="123" t="s">
        <v>729</v>
      </c>
      <c r="O151" s="123" t="s">
        <v>434</v>
      </c>
    </row>
    <row r="152" spans="1:15">
      <c r="A152" s="124" t="s">
        <v>730</v>
      </c>
      <c r="B152" s="125"/>
      <c r="C152" s="125"/>
      <c r="D152" s="125"/>
      <c r="E152" s="125"/>
      <c r="F152" s="125"/>
      <c r="G152" s="125"/>
      <c r="H152" s="125"/>
      <c r="I152" s="125"/>
      <c r="J152" s="125"/>
      <c r="K152" s="125"/>
      <c r="L152" s="125"/>
      <c r="M152" s="125"/>
      <c r="N152" s="125"/>
      <c r="O152" s="125"/>
    </row>
    <row r="153" spans="1:15">
      <c r="A153" s="124" t="s">
        <v>731</v>
      </c>
      <c r="B153" s="125"/>
      <c r="C153" s="125"/>
      <c r="D153" s="125"/>
      <c r="E153" s="125"/>
      <c r="F153" s="125"/>
      <c r="G153" s="125"/>
      <c r="H153" s="125"/>
      <c r="I153" s="125"/>
      <c r="J153" s="125"/>
      <c r="K153" s="125"/>
      <c r="L153" s="125"/>
      <c r="M153" s="125"/>
      <c r="N153" s="125"/>
      <c r="O153" s="125"/>
    </row>
    <row r="154" spans="1:15">
      <c r="A154" s="126" t="s">
        <v>732</v>
      </c>
      <c r="B154" s="125"/>
      <c r="C154" s="125"/>
      <c r="D154" s="125"/>
      <c r="E154" s="125"/>
      <c r="F154" s="125"/>
      <c r="G154" s="125"/>
      <c r="H154" s="125"/>
      <c r="I154" s="125"/>
      <c r="J154" s="125"/>
      <c r="K154" s="125"/>
      <c r="L154" s="125"/>
      <c r="M154" s="125"/>
      <c r="N154" s="125"/>
      <c r="O154" s="125"/>
    </row>
    <row r="155" spans="1:15">
      <c r="A155" s="126" t="s">
        <v>733</v>
      </c>
      <c r="B155" s="125"/>
      <c r="C155" s="125"/>
      <c r="D155" s="125"/>
      <c r="E155" s="125"/>
      <c r="F155" s="125"/>
      <c r="G155" s="125"/>
      <c r="H155" s="125"/>
      <c r="I155" s="125"/>
      <c r="J155" s="125"/>
      <c r="K155" s="125"/>
      <c r="L155" s="125"/>
      <c r="M155" s="125"/>
      <c r="N155" s="125"/>
      <c r="O155" s="125"/>
    </row>
    <row r="156" spans="1:15">
      <c r="A156" s="126" t="s">
        <v>734</v>
      </c>
      <c r="B156" s="125"/>
      <c r="C156" s="125"/>
      <c r="D156" s="125"/>
      <c r="E156" s="125"/>
      <c r="F156" s="125"/>
      <c r="G156" s="125"/>
      <c r="H156" s="125"/>
      <c r="I156" s="125"/>
      <c r="J156" s="125"/>
      <c r="K156" s="125"/>
      <c r="L156" s="125"/>
      <c r="M156" s="125"/>
      <c r="N156" s="125"/>
      <c r="O156" s="125"/>
    </row>
    <row r="158" spans="1:15" ht="18">
      <c r="A158" s="14" t="s">
        <v>648</v>
      </c>
      <c r="B158" s="1032">
        <f>'Student Data'!D23</f>
        <v>0</v>
      </c>
      <c r="C158" s="1032"/>
      <c r="D158" s="1032"/>
      <c r="E158" s="1032"/>
      <c r="F158" s="1032"/>
      <c r="G158" s="1032"/>
      <c r="H158" s="1032"/>
      <c r="I158" s="1032"/>
      <c r="J158" s="1032"/>
      <c r="K158" s="1032"/>
      <c r="L158" s="1032"/>
      <c r="M158" s="1032"/>
      <c r="N158" s="1032"/>
      <c r="O158" s="1032"/>
    </row>
    <row r="159" spans="1:15">
      <c r="A159" s="122"/>
      <c r="B159" s="123" t="s">
        <v>421</v>
      </c>
      <c r="C159" s="123" t="s">
        <v>422</v>
      </c>
      <c r="D159" s="123" t="s">
        <v>423</v>
      </c>
      <c r="E159" s="123" t="s">
        <v>424</v>
      </c>
      <c r="F159" s="123" t="s">
        <v>425</v>
      </c>
      <c r="G159" s="123" t="s">
        <v>426</v>
      </c>
      <c r="H159" s="123" t="s">
        <v>427</v>
      </c>
      <c r="I159" s="123" t="s">
        <v>428</v>
      </c>
      <c r="J159" s="123" t="s">
        <v>429</v>
      </c>
      <c r="K159" s="123" t="s">
        <v>430</v>
      </c>
      <c r="L159" s="123" t="s">
        <v>431</v>
      </c>
      <c r="M159" s="123" t="s">
        <v>432</v>
      </c>
      <c r="N159" s="123" t="s">
        <v>729</v>
      </c>
      <c r="O159" s="123" t="s">
        <v>434</v>
      </c>
    </row>
    <row r="160" spans="1:15">
      <c r="A160" s="124" t="s">
        <v>730</v>
      </c>
      <c r="B160" s="125"/>
      <c r="C160" s="125"/>
      <c r="D160" s="125"/>
      <c r="E160" s="125"/>
      <c r="F160" s="125"/>
      <c r="G160" s="125"/>
      <c r="H160" s="125"/>
      <c r="I160" s="125"/>
      <c r="J160" s="125"/>
      <c r="K160" s="125"/>
      <c r="L160" s="125"/>
      <c r="M160" s="125"/>
      <c r="N160" s="125"/>
      <c r="O160" s="125"/>
    </row>
    <row r="161" spans="1:15">
      <c r="A161" s="124" t="s">
        <v>731</v>
      </c>
      <c r="B161" s="125"/>
      <c r="C161" s="125"/>
      <c r="D161" s="125"/>
      <c r="E161" s="125"/>
      <c r="F161" s="125"/>
      <c r="G161" s="125"/>
      <c r="H161" s="125"/>
      <c r="I161" s="125"/>
      <c r="J161" s="125"/>
      <c r="K161" s="125"/>
      <c r="L161" s="125"/>
      <c r="M161" s="125"/>
      <c r="N161" s="125"/>
      <c r="O161" s="125"/>
    </row>
    <row r="162" spans="1:15">
      <c r="A162" s="126" t="s">
        <v>732</v>
      </c>
      <c r="B162" s="125"/>
      <c r="C162" s="125"/>
      <c r="D162" s="125"/>
      <c r="E162" s="125"/>
      <c r="F162" s="125"/>
      <c r="G162" s="125"/>
      <c r="H162" s="125"/>
      <c r="I162" s="125"/>
      <c r="J162" s="125"/>
      <c r="K162" s="125"/>
      <c r="L162" s="125"/>
      <c r="M162" s="125"/>
      <c r="N162" s="125"/>
      <c r="O162" s="125"/>
    </row>
    <row r="163" spans="1:15">
      <c r="A163" s="126" t="s">
        <v>733</v>
      </c>
      <c r="B163" s="125"/>
      <c r="C163" s="125"/>
      <c r="D163" s="125"/>
      <c r="E163" s="125"/>
      <c r="F163" s="125"/>
      <c r="G163" s="125"/>
      <c r="H163" s="125"/>
      <c r="I163" s="125"/>
      <c r="J163" s="125"/>
      <c r="K163" s="125"/>
      <c r="L163" s="125"/>
      <c r="M163" s="125"/>
      <c r="N163" s="125"/>
      <c r="O163" s="125"/>
    </row>
    <row r="164" spans="1:15">
      <c r="A164" s="126" t="s">
        <v>734</v>
      </c>
      <c r="B164" s="125"/>
      <c r="C164" s="125"/>
      <c r="D164" s="125"/>
      <c r="E164" s="125"/>
      <c r="F164" s="125"/>
      <c r="G164" s="125"/>
      <c r="H164" s="125"/>
      <c r="I164" s="125"/>
      <c r="J164" s="125"/>
      <c r="K164" s="125"/>
      <c r="L164" s="125"/>
      <c r="M164" s="125"/>
      <c r="N164" s="125"/>
      <c r="O164" s="125"/>
    </row>
    <row r="166" spans="1:15" ht="18">
      <c r="A166" s="14" t="s">
        <v>648</v>
      </c>
      <c r="B166" s="1032">
        <f>'Student Data'!D24</f>
        <v>0</v>
      </c>
      <c r="C166" s="1032"/>
      <c r="D166" s="1032"/>
      <c r="E166" s="1032"/>
      <c r="F166" s="1032"/>
      <c r="G166" s="1032"/>
      <c r="H166" s="1032"/>
      <c r="I166" s="1032"/>
      <c r="J166" s="1032"/>
      <c r="K166" s="1032"/>
      <c r="L166" s="1032"/>
      <c r="M166" s="1032"/>
      <c r="N166" s="1032"/>
      <c r="O166" s="1032"/>
    </row>
    <row r="167" spans="1:15">
      <c r="A167" s="122"/>
      <c r="B167" s="4" t="s">
        <v>421</v>
      </c>
      <c r="C167" s="4" t="s">
        <v>422</v>
      </c>
      <c r="D167" s="4" t="s">
        <v>423</v>
      </c>
      <c r="E167" s="4" t="s">
        <v>424</v>
      </c>
      <c r="F167" s="4" t="s">
        <v>425</v>
      </c>
      <c r="G167" s="4" t="s">
        <v>426</v>
      </c>
      <c r="H167" s="4" t="s">
        <v>427</v>
      </c>
      <c r="I167" s="4" t="s">
        <v>428</v>
      </c>
      <c r="J167" s="4" t="s">
        <v>429</v>
      </c>
      <c r="K167" s="123" t="s">
        <v>430</v>
      </c>
      <c r="L167" s="123" t="s">
        <v>431</v>
      </c>
      <c r="M167" s="123" t="s">
        <v>432</v>
      </c>
      <c r="N167" s="123" t="s">
        <v>729</v>
      </c>
      <c r="O167" s="123" t="s">
        <v>434</v>
      </c>
    </row>
    <row r="168" spans="1:15">
      <c r="A168" s="124" t="s">
        <v>730</v>
      </c>
      <c r="B168" s="2"/>
      <c r="C168" s="2"/>
      <c r="D168" s="2"/>
      <c r="E168" s="2"/>
      <c r="F168" s="2"/>
      <c r="G168" s="2"/>
      <c r="H168" s="2"/>
      <c r="I168" s="2"/>
      <c r="J168" s="2"/>
      <c r="K168" s="125"/>
      <c r="L168" s="125"/>
      <c r="M168" s="125"/>
      <c r="N168" s="125"/>
      <c r="O168" s="125"/>
    </row>
    <row r="169" spans="1:15">
      <c r="A169" s="124" t="s">
        <v>731</v>
      </c>
      <c r="B169" s="2"/>
      <c r="C169" s="2"/>
      <c r="D169" s="2"/>
      <c r="E169" s="2"/>
      <c r="F169" s="2"/>
      <c r="G169" s="2"/>
      <c r="H169" s="2"/>
      <c r="I169" s="2"/>
      <c r="J169" s="2"/>
      <c r="K169" s="125"/>
      <c r="L169" s="125"/>
      <c r="M169" s="125"/>
      <c r="N169" s="125"/>
      <c r="O169" s="125"/>
    </row>
    <row r="170" spans="1:15">
      <c r="A170" s="126" t="s">
        <v>732</v>
      </c>
      <c r="B170" s="2"/>
      <c r="C170" s="2"/>
      <c r="D170" s="2"/>
      <c r="E170" s="2"/>
      <c r="F170" s="2"/>
      <c r="G170" s="2"/>
      <c r="H170" s="2"/>
      <c r="I170" s="2"/>
      <c r="J170" s="2"/>
      <c r="K170" s="125"/>
      <c r="L170" s="125"/>
      <c r="M170" s="125"/>
      <c r="N170" s="125"/>
      <c r="O170" s="125"/>
    </row>
    <row r="171" spans="1:15">
      <c r="A171" s="126" t="s">
        <v>733</v>
      </c>
      <c r="B171" s="2"/>
      <c r="C171" s="2"/>
      <c r="D171" s="2"/>
      <c r="E171" s="2"/>
      <c r="F171" s="2"/>
      <c r="G171" s="2"/>
      <c r="H171" s="2"/>
      <c r="I171" s="2"/>
      <c r="J171" s="2"/>
      <c r="K171" s="125"/>
      <c r="L171" s="125"/>
      <c r="M171" s="125"/>
      <c r="N171" s="125"/>
      <c r="O171" s="125"/>
    </row>
    <row r="172" spans="1:15">
      <c r="A172" s="126" t="s">
        <v>734</v>
      </c>
      <c r="B172" s="2"/>
      <c r="C172" s="2"/>
      <c r="D172" s="2"/>
      <c r="E172" s="2"/>
      <c r="F172" s="2"/>
      <c r="G172" s="2"/>
      <c r="H172" s="2"/>
      <c r="I172" s="2"/>
      <c r="J172" s="2"/>
      <c r="K172" s="125"/>
      <c r="L172" s="125"/>
      <c r="M172" s="125"/>
      <c r="N172" s="125"/>
      <c r="O172" s="125"/>
    </row>
    <row r="174" spans="1:15" ht="18">
      <c r="A174" s="14" t="s">
        <v>648</v>
      </c>
      <c r="B174" s="1032">
        <f>'Student Data'!D25</f>
        <v>0</v>
      </c>
      <c r="C174" s="1032"/>
      <c r="D174" s="1032"/>
      <c r="E174" s="1032"/>
      <c r="F174" s="1032"/>
      <c r="G174" s="1032"/>
      <c r="H174" s="1032"/>
      <c r="I174" s="1032"/>
      <c r="J174" s="1032"/>
      <c r="K174" s="1032"/>
      <c r="L174" s="1032"/>
      <c r="M174" s="1032"/>
      <c r="N174" s="1032"/>
      <c r="O174" s="1032"/>
    </row>
    <row r="175" spans="1:15">
      <c r="A175" s="122"/>
      <c r="B175" s="123" t="s">
        <v>421</v>
      </c>
      <c r="C175" s="123" t="s">
        <v>422</v>
      </c>
      <c r="D175" s="123" t="s">
        <v>423</v>
      </c>
      <c r="E175" s="123" t="s">
        <v>424</v>
      </c>
      <c r="F175" s="123" t="s">
        <v>425</v>
      </c>
      <c r="G175" s="123" t="s">
        <v>426</v>
      </c>
      <c r="H175" s="123" t="s">
        <v>427</v>
      </c>
      <c r="I175" s="123" t="s">
        <v>428</v>
      </c>
      <c r="J175" s="123" t="s">
        <v>429</v>
      </c>
      <c r="K175" s="123" t="s">
        <v>430</v>
      </c>
      <c r="L175" s="123" t="s">
        <v>431</v>
      </c>
      <c r="M175" s="123" t="s">
        <v>432</v>
      </c>
      <c r="N175" s="123" t="s">
        <v>729</v>
      </c>
      <c r="O175" s="123" t="s">
        <v>434</v>
      </c>
    </row>
    <row r="176" spans="1:15">
      <c r="A176" s="124" t="s">
        <v>730</v>
      </c>
      <c r="B176" s="125"/>
      <c r="C176" s="125"/>
      <c r="D176" s="125"/>
      <c r="E176" s="125"/>
      <c r="F176" s="125"/>
      <c r="G176" s="125"/>
      <c r="H176" s="125"/>
      <c r="I176" s="125"/>
      <c r="J176" s="125"/>
      <c r="K176" s="125"/>
      <c r="L176" s="125"/>
      <c r="M176" s="125"/>
      <c r="N176" s="125"/>
      <c r="O176" s="125"/>
    </row>
    <row r="177" spans="1:15">
      <c r="A177" s="124" t="s">
        <v>731</v>
      </c>
      <c r="B177" s="125"/>
      <c r="C177" s="125"/>
      <c r="D177" s="125"/>
      <c r="E177" s="125"/>
      <c r="F177" s="125"/>
      <c r="G177" s="125"/>
      <c r="H177" s="125"/>
      <c r="I177" s="125"/>
      <c r="J177" s="125"/>
      <c r="K177" s="125"/>
      <c r="L177" s="125"/>
      <c r="M177" s="125"/>
      <c r="N177" s="125"/>
      <c r="O177" s="125"/>
    </row>
    <row r="178" spans="1:15">
      <c r="A178" s="126" t="s">
        <v>732</v>
      </c>
      <c r="B178" s="125"/>
      <c r="C178" s="125"/>
      <c r="D178" s="125"/>
      <c r="E178" s="125"/>
      <c r="F178" s="125"/>
      <c r="G178" s="125"/>
      <c r="H178" s="125"/>
      <c r="I178" s="125"/>
      <c r="J178" s="125"/>
      <c r="K178" s="125"/>
      <c r="L178" s="125"/>
      <c r="M178" s="125"/>
      <c r="N178" s="125"/>
      <c r="O178" s="125"/>
    </row>
    <row r="179" spans="1:15">
      <c r="A179" s="126" t="s">
        <v>733</v>
      </c>
      <c r="B179" s="125"/>
      <c r="C179" s="125"/>
      <c r="D179" s="125"/>
      <c r="E179" s="125"/>
      <c r="F179" s="125"/>
      <c r="G179" s="125"/>
      <c r="H179" s="125"/>
      <c r="I179" s="125"/>
      <c r="J179" s="125"/>
      <c r="K179" s="125"/>
      <c r="L179" s="125"/>
      <c r="M179" s="125"/>
      <c r="N179" s="125"/>
      <c r="O179" s="125"/>
    </row>
    <row r="180" spans="1:15">
      <c r="A180" s="126" t="s">
        <v>734</v>
      </c>
      <c r="B180" s="125"/>
      <c r="C180" s="125"/>
      <c r="D180" s="125"/>
      <c r="E180" s="125"/>
      <c r="F180" s="125"/>
      <c r="G180" s="125"/>
      <c r="H180" s="125"/>
      <c r="I180" s="125"/>
      <c r="J180" s="125"/>
      <c r="K180" s="125"/>
      <c r="L180" s="125"/>
      <c r="M180" s="125"/>
      <c r="N180" s="125"/>
      <c r="O180" s="125"/>
    </row>
    <row r="182" spans="1:15" ht="18">
      <c r="A182" s="14" t="s">
        <v>648</v>
      </c>
      <c r="B182" s="1032">
        <f>'Student Data'!D26</f>
        <v>0</v>
      </c>
      <c r="C182" s="1032"/>
      <c r="D182" s="1032"/>
      <c r="E182" s="1032"/>
      <c r="F182" s="1032"/>
      <c r="G182" s="1032"/>
      <c r="H182" s="1032"/>
      <c r="I182" s="1032"/>
      <c r="J182" s="1032"/>
      <c r="K182" s="1032"/>
      <c r="L182" s="1032"/>
      <c r="M182" s="1032"/>
      <c r="N182" s="1032"/>
      <c r="O182" s="1032"/>
    </row>
    <row r="183" spans="1:15">
      <c r="A183" s="122"/>
      <c r="B183" s="123" t="s">
        <v>421</v>
      </c>
      <c r="C183" s="123" t="s">
        <v>422</v>
      </c>
      <c r="D183" s="123" t="s">
        <v>423</v>
      </c>
      <c r="E183" s="123" t="s">
        <v>424</v>
      </c>
      <c r="F183" s="123" t="s">
        <v>425</v>
      </c>
      <c r="G183" s="123" t="s">
        <v>426</v>
      </c>
      <c r="H183" s="123" t="s">
        <v>427</v>
      </c>
      <c r="I183" s="123" t="s">
        <v>428</v>
      </c>
      <c r="J183" s="123" t="s">
        <v>429</v>
      </c>
      <c r="K183" s="123" t="s">
        <v>430</v>
      </c>
      <c r="L183" s="123" t="s">
        <v>431</v>
      </c>
      <c r="M183" s="123" t="s">
        <v>432</v>
      </c>
      <c r="N183" s="123" t="s">
        <v>729</v>
      </c>
      <c r="O183" s="123" t="s">
        <v>434</v>
      </c>
    </row>
    <row r="184" spans="1:15">
      <c r="A184" s="124" t="s">
        <v>730</v>
      </c>
      <c r="B184" s="125"/>
      <c r="C184" s="125"/>
      <c r="D184" s="125"/>
      <c r="E184" s="125"/>
      <c r="F184" s="125"/>
      <c r="G184" s="125"/>
      <c r="H184" s="125"/>
      <c r="I184" s="125"/>
      <c r="J184" s="125"/>
      <c r="K184" s="125"/>
      <c r="L184" s="125"/>
      <c r="M184" s="125"/>
      <c r="N184" s="125"/>
      <c r="O184" s="125"/>
    </row>
    <row r="185" spans="1:15">
      <c r="A185" s="124" t="s">
        <v>731</v>
      </c>
      <c r="B185" s="125"/>
      <c r="C185" s="125"/>
      <c r="D185" s="125"/>
      <c r="E185" s="125"/>
      <c r="F185" s="125"/>
      <c r="G185" s="125"/>
      <c r="H185" s="125"/>
      <c r="I185" s="125"/>
      <c r="J185" s="125"/>
      <c r="K185" s="125"/>
      <c r="L185" s="125"/>
      <c r="M185" s="125"/>
      <c r="N185" s="125"/>
      <c r="O185" s="125"/>
    </row>
    <row r="186" spans="1:15">
      <c r="A186" s="126" t="s">
        <v>732</v>
      </c>
      <c r="B186" s="125"/>
      <c r="C186" s="125"/>
      <c r="D186" s="125"/>
      <c r="E186" s="125"/>
      <c r="F186" s="125"/>
      <c r="G186" s="125"/>
      <c r="H186" s="125"/>
      <c r="I186" s="125"/>
      <c r="J186" s="125"/>
      <c r="K186" s="125"/>
      <c r="L186" s="125"/>
      <c r="M186" s="125"/>
      <c r="N186" s="125"/>
      <c r="O186" s="125"/>
    </row>
    <row r="187" spans="1:15">
      <c r="A187" s="126" t="s">
        <v>733</v>
      </c>
      <c r="B187" s="125"/>
      <c r="C187" s="125"/>
      <c r="D187" s="125"/>
      <c r="E187" s="125"/>
      <c r="F187" s="125"/>
      <c r="G187" s="125"/>
      <c r="H187" s="125"/>
      <c r="I187" s="125"/>
      <c r="J187" s="125"/>
      <c r="K187" s="125"/>
      <c r="L187" s="125"/>
      <c r="M187" s="125"/>
      <c r="N187" s="125"/>
      <c r="O187" s="125"/>
    </row>
    <row r="188" spans="1:15">
      <c r="A188" s="126" t="s">
        <v>734</v>
      </c>
      <c r="B188" s="125"/>
      <c r="C188" s="125"/>
      <c r="D188" s="125"/>
      <c r="E188" s="125"/>
      <c r="F188" s="125"/>
      <c r="G188" s="125"/>
      <c r="H188" s="125"/>
      <c r="I188" s="125"/>
      <c r="J188" s="125"/>
      <c r="K188" s="125"/>
      <c r="L188" s="125"/>
      <c r="M188" s="125"/>
      <c r="N188" s="125"/>
      <c r="O188" s="125"/>
    </row>
    <row r="190" spans="1:15" ht="18">
      <c r="A190" s="14" t="s">
        <v>648</v>
      </c>
      <c r="B190" s="1032">
        <f>'Student Data'!D27</f>
        <v>0</v>
      </c>
      <c r="C190" s="1032"/>
      <c r="D190" s="1032"/>
      <c r="E190" s="1032"/>
      <c r="F190" s="1032"/>
      <c r="G190" s="1032"/>
      <c r="H190" s="1032"/>
      <c r="I190" s="1032"/>
      <c r="J190" s="1032"/>
      <c r="K190" s="1032"/>
      <c r="L190" s="1032"/>
      <c r="M190" s="1032"/>
      <c r="N190" s="1032"/>
      <c r="O190" s="1032"/>
    </row>
    <row r="191" spans="1:15">
      <c r="A191" s="122"/>
      <c r="B191" s="123" t="s">
        <v>421</v>
      </c>
      <c r="C191" s="123" t="s">
        <v>422</v>
      </c>
      <c r="D191" s="123" t="s">
        <v>423</v>
      </c>
      <c r="E191" s="123" t="s">
        <v>424</v>
      </c>
      <c r="F191" s="123" t="s">
        <v>425</v>
      </c>
      <c r="G191" s="123" t="s">
        <v>426</v>
      </c>
      <c r="H191" s="123" t="s">
        <v>427</v>
      </c>
      <c r="I191" s="123" t="s">
        <v>428</v>
      </c>
      <c r="J191" s="123" t="s">
        <v>429</v>
      </c>
      <c r="K191" s="123" t="s">
        <v>430</v>
      </c>
      <c r="L191" s="123" t="s">
        <v>431</v>
      </c>
      <c r="M191" s="123" t="s">
        <v>432</v>
      </c>
      <c r="N191" s="123" t="s">
        <v>729</v>
      </c>
      <c r="O191" s="123" t="s">
        <v>434</v>
      </c>
    </row>
    <row r="192" spans="1:15">
      <c r="A192" s="124" t="s">
        <v>730</v>
      </c>
      <c r="B192" s="125"/>
      <c r="C192" s="125"/>
      <c r="D192" s="125"/>
      <c r="E192" s="125"/>
      <c r="F192" s="125"/>
      <c r="G192" s="125"/>
      <c r="H192" s="125"/>
      <c r="I192" s="125"/>
      <c r="J192" s="125"/>
      <c r="K192" s="125"/>
      <c r="L192" s="125"/>
      <c r="M192" s="125"/>
      <c r="N192" s="125"/>
      <c r="O192" s="125"/>
    </row>
    <row r="193" spans="1:15">
      <c r="A193" s="124" t="s">
        <v>731</v>
      </c>
      <c r="B193" s="125"/>
      <c r="C193" s="125"/>
      <c r="D193" s="125"/>
      <c r="E193" s="125"/>
      <c r="F193" s="125"/>
      <c r="G193" s="125"/>
      <c r="H193" s="125"/>
      <c r="I193" s="125"/>
      <c r="J193" s="125"/>
      <c r="K193" s="125"/>
      <c r="L193" s="125"/>
      <c r="M193" s="125"/>
      <c r="N193" s="125"/>
      <c r="O193" s="125"/>
    </row>
    <row r="194" spans="1:15">
      <c r="A194" s="126" t="s">
        <v>732</v>
      </c>
      <c r="B194" s="125"/>
      <c r="C194" s="125"/>
      <c r="D194" s="125"/>
      <c r="E194" s="125"/>
      <c r="F194" s="125"/>
      <c r="G194" s="125"/>
      <c r="H194" s="125"/>
      <c r="I194" s="125"/>
      <c r="J194" s="125"/>
      <c r="K194" s="125"/>
      <c r="L194" s="125"/>
      <c r="M194" s="125"/>
      <c r="N194" s="125"/>
      <c r="O194" s="125"/>
    </row>
    <row r="195" spans="1:15">
      <c r="A195" s="126" t="s">
        <v>733</v>
      </c>
      <c r="B195" s="125"/>
      <c r="C195" s="125"/>
      <c r="D195" s="125"/>
      <c r="E195" s="125"/>
      <c r="F195" s="125"/>
      <c r="G195" s="125"/>
      <c r="H195" s="125"/>
      <c r="I195" s="125"/>
      <c r="J195" s="125"/>
      <c r="K195" s="125"/>
      <c r="L195" s="125"/>
      <c r="M195" s="125"/>
      <c r="N195" s="125"/>
      <c r="O195" s="125"/>
    </row>
    <row r="196" spans="1:15">
      <c r="A196" s="126" t="s">
        <v>734</v>
      </c>
      <c r="B196" s="125"/>
      <c r="C196" s="125"/>
      <c r="D196" s="125"/>
      <c r="E196" s="125"/>
      <c r="F196" s="125"/>
      <c r="G196" s="125"/>
      <c r="H196" s="125"/>
      <c r="I196" s="125"/>
      <c r="J196" s="125"/>
      <c r="K196" s="125"/>
      <c r="L196" s="125"/>
      <c r="M196" s="125"/>
      <c r="N196" s="125"/>
      <c r="O196" s="125"/>
    </row>
    <row r="198" spans="1:15" ht="18">
      <c r="A198" s="14" t="s">
        <v>648</v>
      </c>
      <c r="B198" s="1032">
        <f>'Student Data'!D28</f>
        <v>0</v>
      </c>
      <c r="C198" s="1032"/>
      <c r="D198" s="1032"/>
      <c r="E198" s="1032"/>
      <c r="F198" s="1032"/>
      <c r="G198" s="1032"/>
      <c r="H198" s="1032"/>
      <c r="I198" s="1032"/>
      <c r="J198" s="1032"/>
      <c r="K198" s="1032"/>
      <c r="L198" s="1032"/>
      <c r="M198" s="1032"/>
      <c r="N198" s="1032"/>
      <c r="O198" s="1032"/>
    </row>
    <row r="199" spans="1:15">
      <c r="A199" s="122"/>
      <c r="B199" s="123" t="s">
        <v>421</v>
      </c>
      <c r="C199" s="123" t="s">
        <v>422</v>
      </c>
      <c r="D199" s="123" t="s">
        <v>423</v>
      </c>
      <c r="E199" s="123" t="s">
        <v>424</v>
      </c>
      <c r="F199" s="123" t="s">
        <v>425</v>
      </c>
      <c r="G199" s="123" t="s">
        <v>426</v>
      </c>
      <c r="H199" s="123" t="s">
        <v>427</v>
      </c>
      <c r="I199" s="123" t="s">
        <v>428</v>
      </c>
      <c r="J199" s="123" t="s">
        <v>429</v>
      </c>
      <c r="K199" s="123" t="s">
        <v>430</v>
      </c>
      <c r="L199" s="123" t="s">
        <v>431</v>
      </c>
      <c r="M199" s="123" t="s">
        <v>432</v>
      </c>
      <c r="N199" s="123" t="s">
        <v>729</v>
      </c>
      <c r="O199" s="123" t="s">
        <v>434</v>
      </c>
    </row>
    <row r="200" spans="1:15">
      <c r="A200" s="124" t="s">
        <v>730</v>
      </c>
      <c r="B200" s="125"/>
      <c r="C200" s="125"/>
      <c r="D200" s="125"/>
      <c r="E200" s="125"/>
      <c r="F200" s="125"/>
      <c r="G200" s="125"/>
      <c r="H200" s="125"/>
      <c r="I200" s="125"/>
      <c r="J200" s="125"/>
      <c r="K200" s="125"/>
      <c r="L200" s="125"/>
      <c r="M200" s="125"/>
      <c r="N200" s="125"/>
      <c r="O200" s="125"/>
    </row>
    <row r="201" spans="1:15">
      <c r="A201" s="124" t="s">
        <v>731</v>
      </c>
      <c r="B201" s="125"/>
      <c r="C201" s="125"/>
      <c r="D201" s="125"/>
      <c r="E201" s="125"/>
      <c r="F201" s="125"/>
      <c r="G201" s="125"/>
      <c r="H201" s="125"/>
      <c r="I201" s="125"/>
      <c r="J201" s="125"/>
      <c r="K201" s="125"/>
      <c r="L201" s="125"/>
      <c r="M201" s="125"/>
      <c r="N201" s="125"/>
      <c r="O201" s="125"/>
    </row>
    <row r="202" spans="1:15">
      <c r="A202" s="126" t="s">
        <v>732</v>
      </c>
      <c r="B202" s="125"/>
      <c r="C202" s="125"/>
      <c r="D202" s="125"/>
      <c r="E202" s="125"/>
      <c r="F202" s="125"/>
      <c r="G202" s="125"/>
      <c r="H202" s="125"/>
      <c r="I202" s="125"/>
      <c r="J202" s="125"/>
      <c r="K202" s="125"/>
      <c r="L202" s="125"/>
      <c r="M202" s="125"/>
      <c r="N202" s="125"/>
      <c r="O202" s="125"/>
    </row>
    <row r="203" spans="1:15">
      <c r="A203" s="126" t="s">
        <v>733</v>
      </c>
      <c r="B203" s="125"/>
      <c r="C203" s="125"/>
      <c r="D203" s="125"/>
      <c r="E203" s="125"/>
      <c r="F203" s="125"/>
      <c r="G203" s="125"/>
      <c r="H203" s="125"/>
      <c r="I203" s="125"/>
      <c r="J203" s="125"/>
      <c r="K203" s="125"/>
      <c r="L203" s="125"/>
      <c r="M203" s="125"/>
      <c r="N203" s="125"/>
      <c r="O203" s="125"/>
    </row>
    <row r="204" spans="1:15">
      <c r="A204" s="126" t="s">
        <v>734</v>
      </c>
      <c r="B204" s="125"/>
      <c r="C204" s="125"/>
      <c r="D204" s="125"/>
      <c r="E204" s="125"/>
      <c r="F204" s="125"/>
      <c r="G204" s="125"/>
      <c r="H204" s="125"/>
      <c r="I204" s="125"/>
      <c r="J204" s="125"/>
      <c r="K204" s="125"/>
      <c r="L204" s="125"/>
      <c r="M204" s="125"/>
      <c r="N204" s="125"/>
      <c r="O204" s="125"/>
    </row>
    <row r="206" spans="1:15" ht="18">
      <c r="A206" s="14" t="s">
        <v>648</v>
      </c>
      <c r="B206" s="1032">
        <f>'Student Data'!D29</f>
        <v>0</v>
      </c>
      <c r="C206" s="1032"/>
      <c r="D206" s="1032"/>
      <c r="E206" s="1032"/>
      <c r="F206" s="1032"/>
      <c r="G206" s="1032"/>
      <c r="H206" s="1032"/>
      <c r="I206" s="1032"/>
      <c r="J206" s="1032"/>
      <c r="K206" s="1032"/>
      <c r="L206" s="1032"/>
      <c r="M206" s="1032"/>
      <c r="N206" s="1032"/>
      <c r="O206" s="1032"/>
    </row>
    <row r="207" spans="1:15">
      <c r="A207" s="122"/>
      <c r="B207" s="123" t="s">
        <v>421</v>
      </c>
      <c r="C207" s="123" t="s">
        <v>422</v>
      </c>
      <c r="D207" s="123" t="s">
        <v>423</v>
      </c>
      <c r="E207" s="123" t="s">
        <v>424</v>
      </c>
      <c r="F207" s="123" t="s">
        <v>425</v>
      </c>
      <c r="G207" s="123" t="s">
        <v>426</v>
      </c>
      <c r="H207" s="123" t="s">
        <v>427</v>
      </c>
      <c r="I207" s="123" t="s">
        <v>428</v>
      </c>
      <c r="J207" s="123" t="s">
        <v>429</v>
      </c>
      <c r="K207" s="123" t="s">
        <v>430</v>
      </c>
      <c r="L207" s="123" t="s">
        <v>431</v>
      </c>
      <c r="M207" s="123" t="s">
        <v>432</v>
      </c>
      <c r="N207" s="123" t="s">
        <v>729</v>
      </c>
      <c r="O207" s="123" t="s">
        <v>434</v>
      </c>
    </row>
    <row r="208" spans="1:15">
      <c r="A208" s="124" t="s">
        <v>730</v>
      </c>
      <c r="B208" s="125"/>
      <c r="C208" s="125"/>
      <c r="D208" s="125"/>
      <c r="E208" s="125"/>
      <c r="F208" s="125"/>
      <c r="G208" s="125"/>
      <c r="H208" s="125"/>
      <c r="I208" s="125"/>
      <c r="J208" s="125"/>
      <c r="K208" s="125"/>
      <c r="L208" s="125"/>
      <c r="M208" s="125"/>
      <c r="N208" s="125"/>
      <c r="O208" s="125"/>
    </row>
    <row r="209" spans="1:15">
      <c r="A209" s="124" t="s">
        <v>731</v>
      </c>
      <c r="B209" s="125"/>
      <c r="C209" s="125"/>
      <c r="D209" s="125"/>
      <c r="E209" s="125"/>
      <c r="F209" s="125"/>
      <c r="G209" s="125"/>
      <c r="H209" s="125"/>
      <c r="I209" s="125"/>
      <c r="J209" s="125"/>
      <c r="K209" s="125"/>
      <c r="L209" s="125"/>
      <c r="M209" s="125"/>
      <c r="N209" s="125"/>
      <c r="O209" s="125"/>
    </row>
    <row r="210" spans="1:15">
      <c r="A210" s="126" t="s">
        <v>732</v>
      </c>
      <c r="B210" s="125"/>
      <c r="C210" s="125"/>
      <c r="D210" s="125"/>
      <c r="E210" s="125"/>
      <c r="F210" s="125"/>
      <c r="G210" s="125"/>
      <c r="H210" s="125"/>
      <c r="I210" s="125"/>
      <c r="J210" s="125"/>
      <c r="K210" s="125"/>
      <c r="L210" s="125"/>
      <c r="M210" s="125"/>
      <c r="N210" s="125"/>
      <c r="O210" s="125"/>
    </row>
    <row r="211" spans="1:15">
      <c r="A211" s="126" t="s">
        <v>733</v>
      </c>
      <c r="B211" s="125"/>
      <c r="C211" s="125"/>
      <c r="D211" s="125"/>
      <c r="E211" s="125"/>
      <c r="F211" s="125"/>
      <c r="G211" s="125"/>
      <c r="H211" s="125"/>
      <c r="I211" s="125"/>
      <c r="J211" s="125"/>
      <c r="K211" s="125"/>
      <c r="L211" s="125"/>
      <c r="M211" s="125"/>
      <c r="N211" s="125"/>
      <c r="O211" s="125"/>
    </row>
    <row r="212" spans="1:15">
      <c r="A212" s="126" t="s">
        <v>734</v>
      </c>
      <c r="B212" s="125"/>
      <c r="C212" s="125"/>
      <c r="D212" s="125"/>
      <c r="E212" s="125"/>
      <c r="F212" s="125"/>
      <c r="G212" s="125"/>
      <c r="H212" s="125"/>
      <c r="I212" s="125"/>
      <c r="J212" s="125"/>
      <c r="K212" s="125"/>
      <c r="L212" s="125"/>
      <c r="M212" s="125"/>
      <c r="N212" s="125"/>
      <c r="O212" s="125"/>
    </row>
  </sheetData>
  <mergeCells count="53">
    <mergeCell ref="B198:O198"/>
    <mergeCell ref="B206:O206"/>
    <mergeCell ref="B190:O190"/>
    <mergeCell ref="B102:O102"/>
    <mergeCell ref="B110:O110"/>
    <mergeCell ref="B118:O118"/>
    <mergeCell ref="B126:O126"/>
    <mergeCell ref="B134:O134"/>
    <mergeCell ref="B142:O142"/>
    <mergeCell ref="B150:O150"/>
    <mergeCell ref="B158:O158"/>
    <mergeCell ref="B166:O166"/>
    <mergeCell ref="B174:O174"/>
    <mergeCell ref="B182:O182"/>
    <mergeCell ref="B94:O94"/>
    <mergeCell ref="A12:O12"/>
    <mergeCell ref="B14:O14"/>
    <mergeCell ref="B22:O22"/>
    <mergeCell ref="B30:O30"/>
    <mergeCell ref="B38:O38"/>
    <mergeCell ref="B46:O46"/>
    <mergeCell ref="B54:O54"/>
    <mergeCell ref="B62:O62"/>
    <mergeCell ref="B70:O70"/>
    <mergeCell ref="B78:O78"/>
    <mergeCell ref="B86:O86"/>
    <mergeCell ref="A8:B8"/>
    <mergeCell ref="C8:D8"/>
    <mergeCell ref="E8:F8"/>
    <mergeCell ref="G8:H8"/>
    <mergeCell ref="I8:J8"/>
    <mergeCell ref="A9:B9"/>
    <mergeCell ref="C9:D9"/>
    <mergeCell ref="E9:F9"/>
    <mergeCell ref="G9:H9"/>
    <mergeCell ref="I9:J9"/>
    <mergeCell ref="A6:B6"/>
    <mergeCell ref="C6:D6"/>
    <mergeCell ref="E6:F6"/>
    <mergeCell ref="G6:H6"/>
    <mergeCell ref="I6:J6"/>
    <mergeCell ref="A7:B7"/>
    <mergeCell ref="C7:D7"/>
    <mergeCell ref="E7:F7"/>
    <mergeCell ref="G7:H7"/>
    <mergeCell ref="I7:J7"/>
    <mergeCell ref="A2:O2"/>
    <mergeCell ref="B3:O3"/>
    <mergeCell ref="A5:B5"/>
    <mergeCell ref="C5:D5"/>
    <mergeCell ref="E5:F5"/>
    <mergeCell ref="G5:H5"/>
    <mergeCell ref="I5:J5"/>
  </mergeCells>
  <conditionalFormatting sqref="A10">
    <cfRule type="expression" dxfId="130" priority="124">
      <formula>IF($K10="Resigned",TRUE,FALSE)</formula>
    </cfRule>
    <cfRule type="expression" dxfId="129" priority="125">
      <formula>IF($K10="Terminated",TRUE,FALSE)</formula>
    </cfRule>
  </conditionalFormatting>
  <conditionalFormatting sqref="A10">
    <cfRule type="expression" dxfId="128" priority="126">
      <formula>IF($K10="Resigned",TRUE,FALSE)</formula>
    </cfRule>
  </conditionalFormatting>
  <conditionalFormatting sqref="A5:A9 C5:C9 E5:E9 G5:G9 I5:I9">
    <cfRule type="expression" dxfId="127" priority="1364">
      <formula>IF(#REF!="Resigned",TRUE,FALSE)</formula>
    </cfRule>
    <cfRule type="expression" dxfId="126" priority="1365">
      <formula>IF(#REF!="Terminated",TRUE,FALSE)</formula>
    </cfRule>
  </conditionalFormatting>
  <conditionalFormatting sqref="A5:A9 C5:C9 E5:E9 G5:G9 I5:I9">
    <cfRule type="expression" dxfId="125" priority="1366">
      <formula>IF(#REF!="Resigned",TRUE,FALSE)</formula>
    </cfRule>
  </conditionalFormatting>
  <hyperlinks>
    <hyperlink ref="A5" location="'Nesting Observations'!A25" display="'Nesting Observations'!A25" xr:uid="{00000000-0004-0000-0F00-000000000000}"/>
    <hyperlink ref="A5:B5" location="Discipline!B9" display="Discipline!B9" xr:uid="{00000000-0004-0000-0F00-000001000000}"/>
    <hyperlink ref="A6" location="'Nesting Observations'!A25" display="'Nesting Observations'!A25" xr:uid="{00000000-0004-0000-0F00-000002000000}"/>
    <hyperlink ref="A6:B6" location="Discipline!B9" display="Discipline!B9" xr:uid="{00000000-0004-0000-0F00-000003000000}"/>
    <hyperlink ref="A7" location="'Nesting Observations'!A25" display="'Nesting Observations'!A25" xr:uid="{00000000-0004-0000-0F00-000004000000}"/>
    <hyperlink ref="A7:B7" location="Discipline!B9" display="Discipline!B9" xr:uid="{00000000-0004-0000-0F00-000005000000}"/>
    <hyperlink ref="A8" location="'Nesting Observations'!A25" display="'Nesting Observations'!A25" xr:uid="{00000000-0004-0000-0F00-000006000000}"/>
    <hyperlink ref="A8:B8" location="Discipline!B9" display="Discipline!B9" xr:uid="{00000000-0004-0000-0F00-000007000000}"/>
    <hyperlink ref="A9" location="'Nesting Observations'!A25" display="'Nesting Observations'!A25" xr:uid="{00000000-0004-0000-0F00-000008000000}"/>
    <hyperlink ref="A9:B9" location="Discipline!B9" display="Discipline!B9" xr:uid="{00000000-0004-0000-0F00-000009000000}"/>
    <hyperlink ref="C5" location="'Nesting Observations'!A25" display="'Nesting Observations'!A25" xr:uid="{00000000-0004-0000-0F00-00000A000000}"/>
    <hyperlink ref="C5:D5" location="Discipline!B9" display="Discipline!B9" xr:uid="{00000000-0004-0000-0F00-00000B000000}"/>
    <hyperlink ref="C6" location="'Nesting Observations'!A25" display="'Nesting Observations'!A25" xr:uid="{00000000-0004-0000-0F00-00000C000000}"/>
    <hyperlink ref="C6:D6" location="Discipline!B9" display="Discipline!B9" xr:uid="{00000000-0004-0000-0F00-00000D000000}"/>
    <hyperlink ref="C7" location="'Nesting Observations'!A25" display="'Nesting Observations'!A25" xr:uid="{00000000-0004-0000-0F00-00000E000000}"/>
    <hyperlink ref="C7:D7" location="Discipline!B9" display="Discipline!B9" xr:uid="{00000000-0004-0000-0F00-00000F000000}"/>
    <hyperlink ref="C8" location="'Nesting Observations'!A25" display="'Nesting Observations'!A25" xr:uid="{00000000-0004-0000-0F00-000010000000}"/>
    <hyperlink ref="C8:D8" location="Discipline!B9" display="Discipline!B9" xr:uid="{00000000-0004-0000-0F00-000011000000}"/>
    <hyperlink ref="C9" location="'Nesting Observations'!A25" display="'Nesting Observations'!A25" xr:uid="{00000000-0004-0000-0F00-000012000000}"/>
    <hyperlink ref="C9:D9" location="Discipline!B9" display="Discipline!B9" xr:uid="{00000000-0004-0000-0F00-000013000000}"/>
    <hyperlink ref="E5" location="'Nesting Observations'!A25" display="'Nesting Observations'!A25" xr:uid="{00000000-0004-0000-0F00-000014000000}"/>
    <hyperlink ref="E5:F5" location="Discipline!B9" display="Discipline!B9" xr:uid="{00000000-0004-0000-0F00-000015000000}"/>
    <hyperlink ref="E6" location="'Nesting Observations'!A25" display="'Nesting Observations'!A25" xr:uid="{00000000-0004-0000-0F00-000016000000}"/>
    <hyperlink ref="E6:F6" location="Discipline!B9" display="Discipline!B9" xr:uid="{00000000-0004-0000-0F00-000017000000}"/>
    <hyperlink ref="E7" location="'Nesting Observations'!A25" display="'Nesting Observations'!A25" xr:uid="{00000000-0004-0000-0F00-000018000000}"/>
    <hyperlink ref="E7:F7" location="Discipline!B9" display="Discipline!B9" xr:uid="{00000000-0004-0000-0F00-000019000000}"/>
    <hyperlink ref="E8" location="'Nesting Observations'!A25" display="'Nesting Observations'!A25" xr:uid="{00000000-0004-0000-0F00-00001A000000}"/>
    <hyperlink ref="E8:F8" location="Discipline!B9" display="Discipline!B9" xr:uid="{00000000-0004-0000-0F00-00001B000000}"/>
    <hyperlink ref="E9" location="'Nesting Observations'!A25" display="'Nesting Observations'!A25" xr:uid="{00000000-0004-0000-0F00-00001C000000}"/>
    <hyperlink ref="E9:F9" location="Discipline!B9" display="Discipline!B9" xr:uid="{00000000-0004-0000-0F00-00001D000000}"/>
    <hyperlink ref="G5" location="'Nesting Observations'!A25" display="'Nesting Observations'!A25" xr:uid="{00000000-0004-0000-0F00-00001E000000}"/>
    <hyperlink ref="G5:H5" location="Discipline!B9" display="Discipline!B9" xr:uid="{00000000-0004-0000-0F00-00001F000000}"/>
    <hyperlink ref="G6" location="'Nesting Observations'!A25" display="'Nesting Observations'!A25" xr:uid="{00000000-0004-0000-0F00-000020000000}"/>
    <hyperlink ref="G6:H6" location="Discipline!B9" display="Discipline!B9" xr:uid="{00000000-0004-0000-0F00-000021000000}"/>
    <hyperlink ref="G7" location="'Nesting Observations'!A25" display="'Nesting Observations'!A25" xr:uid="{00000000-0004-0000-0F00-000022000000}"/>
    <hyperlink ref="G7:H7" location="Discipline!B9" display="Discipline!B9" xr:uid="{00000000-0004-0000-0F00-000023000000}"/>
    <hyperlink ref="G8" location="'Nesting Observations'!A25" display="'Nesting Observations'!A25" xr:uid="{00000000-0004-0000-0F00-000024000000}"/>
    <hyperlink ref="G8:H8" location="Discipline!B9" display="Discipline!B9" xr:uid="{00000000-0004-0000-0F00-000025000000}"/>
    <hyperlink ref="G9" location="'Nesting Observations'!A25" display="'Nesting Observations'!A25" xr:uid="{00000000-0004-0000-0F00-000026000000}"/>
    <hyperlink ref="G9:H9" location="Discipline!B9" display="Discipline!B9" xr:uid="{00000000-0004-0000-0F00-000027000000}"/>
    <hyperlink ref="I5" location="'Nesting Observations'!A25" display="'Nesting Observations'!A25" xr:uid="{00000000-0004-0000-0F00-000028000000}"/>
    <hyperlink ref="I5:J5" location="Discipline!B9" display="Discipline!B9" xr:uid="{00000000-0004-0000-0F00-000029000000}"/>
    <hyperlink ref="I6" location="'Nesting Observations'!A25" display="'Nesting Observations'!A25" xr:uid="{00000000-0004-0000-0F00-00002A000000}"/>
    <hyperlink ref="I6:J6" location="Discipline!B9" display="Discipline!B9" xr:uid="{00000000-0004-0000-0F00-00002B000000}"/>
    <hyperlink ref="I7" location="'Nesting Observations'!A25" display="'Nesting Observations'!A25" xr:uid="{00000000-0004-0000-0F00-00002C000000}"/>
    <hyperlink ref="I7:J7" location="Discipline!B9" display="Discipline!B9" xr:uid="{00000000-0004-0000-0F00-00002D000000}"/>
    <hyperlink ref="I8" location="'Nesting Observations'!A25" display="'Nesting Observations'!A25" xr:uid="{00000000-0004-0000-0F00-00002E000000}"/>
    <hyperlink ref="I8:J8" location="Discipline!B9" display="Discipline!B9" xr:uid="{00000000-0004-0000-0F00-00002F000000}"/>
    <hyperlink ref="I9" location="'Nesting Observations'!A25" display="'Nesting Observations'!A25" xr:uid="{00000000-0004-0000-0F00-000030000000}"/>
    <hyperlink ref="I9:J9" location="Discipline!B9" display="Discipline!B9" xr:uid="{00000000-0004-0000-0F00-000031000000}"/>
    <hyperlink ref="A1" location="'Quick Links'!A1" display="Home" xr:uid="{CCED56C9-4268-4CFE-AAE7-6A841AC963E6}"/>
  </hyperlinks>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FFFF00"/>
    <pageSetUpPr fitToPage="1"/>
  </sheetPr>
  <dimension ref="A1:Y69"/>
  <sheetViews>
    <sheetView zoomScaleNormal="100" workbookViewId="0"/>
  </sheetViews>
  <sheetFormatPr defaultColWidth="9.140625" defaultRowHeight="14.45"/>
  <cols>
    <col min="1" max="1" width="13" style="46" customWidth="1"/>
    <col min="2" max="2" width="7.85546875" customWidth="1"/>
    <col min="3" max="3" width="6.5703125" customWidth="1"/>
    <col min="4" max="5" width="6" style="45" bestFit="1" customWidth="1"/>
    <col min="6" max="6" width="6.28515625" style="45" customWidth="1"/>
    <col min="7" max="7" width="6.85546875" customWidth="1"/>
    <col min="8" max="10" width="5.7109375" customWidth="1"/>
    <col min="11" max="16" width="4.28515625" customWidth="1"/>
    <col min="17" max="20" width="5.5703125" customWidth="1"/>
    <col min="21" max="24" width="22.28515625" customWidth="1"/>
    <col min="25" max="25" width="59.28515625" customWidth="1"/>
  </cols>
  <sheetData>
    <row r="1" spans="1:25" ht="15" thickBot="1">
      <c r="A1" s="288" t="s">
        <v>90</v>
      </c>
    </row>
    <row r="2" spans="1:25" ht="15" customHeight="1" thickBot="1">
      <c r="A2" s="1038" t="s">
        <v>557</v>
      </c>
      <c r="B2" s="89" t="s">
        <v>558</v>
      </c>
      <c r="C2" s="963" t="s">
        <v>559</v>
      </c>
      <c r="D2" s="963"/>
      <c r="E2" s="963"/>
      <c r="F2" s="963"/>
      <c r="G2" s="964"/>
      <c r="H2" s="965" t="s">
        <v>25</v>
      </c>
      <c r="I2" s="965"/>
      <c r="J2" s="966"/>
      <c r="K2" s="967" t="s">
        <v>561</v>
      </c>
      <c r="L2" s="968"/>
      <c r="M2" s="968"/>
      <c r="N2" s="968"/>
      <c r="O2" s="968"/>
      <c r="P2" s="969"/>
      <c r="Q2" s="1035" t="s">
        <v>520</v>
      </c>
      <c r="R2" s="1036"/>
      <c r="S2" s="1036"/>
      <c r="T2" s="1037"/>
      <c r="U2" s="1040" t="s">
        <v>332</v>
      </c>
      <c r="V2" s="1040" t="s">
        <v>562</v>
      </c>
      <c r="W2" s="1040" t="s">
        <v>563</v>
      </c>
      <c r="X2" s="1040" t="s">
        <v>564</v>
      </c>
      <c r="Y2" s="1042" t="s">
        <v>565</v>
      </c>
    </row>
    <row r="3" spans="1:25" ht="24" customHeight="1" thickBot="1">
      <c r="A3" s="1039"/>
      <c r="B3" s="90" t="s">
        <v>566</v>
      </c>
      <c r="C3" s="194" t="s">
        <v>567</v>
      </c>
      <c r="D3" s="127" t="s">
        <v>568</v>
      </c>
      <c r="E3" s="127" t="s">
        <v>569</v>
      </c>
      <c r="F3" s="128" t="s">
        <v>570</v>
      </c>
      <c r="G3" s="129" t="s">
        <v>579</v>
      </c>
      <c r="H3" s="145" t="s">
        <v>170</v>
      </c>
      <c r="I3" s="146" t="s">
        <v>171</v>
      </c>
      <c r="J3" s="147" t="s">
        <v>172</v>
      </c>
      <c r="K3" s="91" t="s">
        <v>583</v>
      </c>
      <c r="L3" s="92" t="s">
        <v>584</v>
      </c>
      <c r="M3" s="92" t="s">
        <v>585</v>
      </c>
      <c r="N3" s="92" t="s">
        <v>172</v>
      </c>
      <c r="O3" s="92" t="s">
        <v>586</v>
      </c>
      <c r="P3" s="93" t="s">
        <v>735</v>
      </c>
      <c r="Q3" s="307" t="s">
        <v>736</v>
      </c>
      <c r="R3" s="310" t="s">
        <v>737</v>
      </c>
      <c r="S3" s="310" t="s">
        <v>722</v>
      </c>
      <c r="T3" s="311" t="s">
        <v>738</v>
      </c>
      <c r="U3" s="1041"/>
      <c r="V3" s="1041"/>
      <c r="W3" s="1041"/>
      <c r="X3" s="1041"/>
      <c r="Y3" s="1043"/>
    </row>
    <row r="4" spans="1:25">
      <c r="A4" s="191" t="str">
        <f>'Student Data'!D5&amp;" "&amp;'Student Data'!C5</f>
        <v>Donna Rnne</v>
      </c>
      <c r="B4" s="132" t="str">
        <f>Performance!AJ5</f>
        <v>0</v>
      </c>
      <c r="C4" s="300" t="str">
        <f>IF('PCB Nesting QA'!D5="","",'PCB Nesting QA'!D5)</f>
        <v/>
      </c>
      <c r="D4" s="301" t="e">
        <f>IF('PCB Nesting QA'!#REF!="","",'PCB Nesting QA'!#REF!)</f>
        <v>#REF!</v>
      </c>
      <c r="E4" s="301" t="str">
        <f>IF('PCB Nesting QA'!E5="","",'PCB Nesting QA'!E5)</f>
        <v/>
      </c>
      <c r="F4" s="302" t="str">
        <f>IF('PCB Nesting QA'!F5="","",'PCB Nesting QA'!F5)</f>
        <v/>
      </c>
      <c r="G4" s="142" t="e">
        <f>'PCB Nesting QA'!P5</f>
        <v>#DIV/0!</v>
      </c>
      <c r="H4" s="136">
        <f>IF('Student Data'!D5="","",Attendance!BO21)</f>
        <v>0</v>
      </c>
      <c r="I4" s="137">
        <f>IF('Student Data'!D5="","",Attendance!BP21)</f>
        <v>0</v>
      </c>
      <c r="J4" s="138">
        <f>IF('Student Data'!D5="","",Attendance!BQ21)</f>
        <v>0</v>
      </c>
      <c r="K4" s="85" t="str">
        <f>IF('Perf. Mgmnt'!F13&gt;0,"S4",IF('Perf. Mgmnt'!E13&gt;0,"S3",IF('Perf. Mgmnt'!D13&gt;0,"S2",IF('Perf. Mgmnt'!B13&gt;0,"S1",""))))</f>
        <v>S1</v>
      </c>
      <c r="L4" s="86" t="e">
        <f>IF('Perf. Mgmnt'!#REF!&gt;0,"FW",IF('Perf. Mgmnt'!#REF!&gt;0,"2W",IF('Perf. Mgmnt'!#REF!&gt;0,"1W",IF('Perf. Mgmnt'!#REF!&gt;0,"VW",""))))</f>
        <v>#REF!</v>
      </c>
      <c r="M4" s="86" t="str">
        <f>IF('Perf. Mgmnt'!K13&gt;0,"FW",IF('Perf. Mgmnt'!J13&gt;0,"2W",IF('Perf. Mgmnt'!I13&gt;0,"1W",IF('Perf. Mgmnt'!H13&gt;0,"VW",""))))</f>
        <v>VW</v>
      </c>
      <c r="N4" s="86" t="str">
        <f>IF('Perf. Mgmnt'!M13&gt;0,"FW","")</f>
        <v>FW</v>
      </c>
      <c r="O4" s="86" t="str">
        <f>IF('Perf. Mgmnt'!N13&gt;0,"FW","")</f>
        <v/>
      </c>
      <c r="P4" s="305" t="str">
        <f>IF('Perf. Mgmnt'!S13&gt;0,"FW",IF('Perf. Mgmnt'!Q13&gt;0,"2W",IF('Perf. Mgmnt'!P13&gt;0,"1W",IF('Perf. Mgmnt'!O13&gt;0,"VW",""))))</f>
        <v>1W</v>
      </c>
      <c r="Q4" s="139">
        <f>IF('Student Data'!D5="","",'Nesting Sales'!AM4)</f>
        <v>0</v>
      </c>
      <c r="R4" s="140">
        <f>IF('Student Data'!D5="","",'Nesting Sales'!AN4)</f>
        <v>0</v>
      </c>
      <c r="S4" s="140">
        <f>IF('Student Data'!D5="","",'Nesting Sales'!AO4)</f>
        <v>0</v>
      </c>
      <c r="T4" s="141">
        <f>IF('Student Data'!D5="","",'Nesting Sales'!AP4)</f>
        <v>0</v>
      </c>
      <c r="U4" s="308"/>
      <c r="V4" s="87"/>
      <c r="W4" s="87"/>
      <c r="X4" s="87"/>
      <c r="Y4" s="88"/>
    </row>
    <row r="5" spans="1:25" ht="18.75" customHeight="1">
      <c r="A5" s="192" t="str">
        <f>'Student Data'!D6&amp;" "&amp;'Student Data'!C6</f>
        <v xml:space="preserve">Summer Aquino </v>
      </c>
      <c r="B5" s="195" t="str">
        <f>Performance!AJ6</f>
        <v>0</v>
      </c>
      <c r="C5" s="303" t="str">
        <f>IF('PCB Nesting QA'!D6="","",'PCB Nesting QA'!D6)</f>
        <v/>
      </c>
      <c r="D5" s="131" t="e">
        <f>IF('PCB Nesting QA'!#REF!="","",'PCB Nesting QA'!#REF!)</f>
        <v>#REF!</v>
      </c>
      <c r="E5" s="131" t="str">
        <f>IF('PCB Nesting QA'!E6="","",'PCB Nesting QA'!E6)</f>
        <v/>
      </c>
      <c r="F5" s="133" t="str">
        <f>IF('PCB Nesting QA'!F6="","",'PCB Nesting QA'!F6)</f>
        <v/>
      </c>
      <c r="G5" s="143" t="e">
        <f>'PCB Nesting QA'!P6</f>
        <v>#DIV/0!</v>
      </c>
      <c r="H5" s="148">
        <f>IF('Student Data'!D6="","",Attendance!BO22)</f>
        <v>0</v>
      </c>
      <c r="I5" s="49">
        <f>IF('Student Data'!D6="","",Attendance!BP22)</f>
        <v>2</v>
      </c>
      <c r="J5" s="73">
        <f>IF('Student Data'!D6="","",Attendance!BQ22)</f>
        <v>0</v>
      </c>
      <c r="K5" s="76" t="str">
        <f>IF('Perf. Mgmnt'!F19&gt;0,"S4",IF('Perf. Mgmnt'!E19&gt;0,"S3",IF('Perf. Mgmnt'!D19&gt;0,"S2",IF('Perf. Mgmnt'!B19&gt;0,"S1",""))))</f>
        <v/>
      </c>
      <c r="L5" s="62" t="e">
        <f>IF('Perf. Mgmnt'!#REF!&gt;0,"FW",IF('Perf. Mgmnt'!#REF!&gt;0,"S3",IF('Perf. Mgmnt'!#REF!&gt;0,"S2",IF('Perf. Mgmnt'!#REF!&gt;0,"S1",""))))</f>
        <v>#REF!</v>
      </c>
      <c r="M5" s="62" t="str">
        <f>IF('Perf. Mgmnt'!K19&gt;0,"FW",IF('Perf. Mgmnt'!J19&gt;0,"2W",IF('Perf. Mgmnt'!I19&gt;0,"1W",IF('Perf. Mgmnt'!H19&gt;0,"VW",""))))</f>
        <v/>
      </c>
      <c r="N5" s="62" t="str">
        <f>IF('Perf. Mgmnt'!M19&gt;0,"FW","")</f>
        <v/>
      </c>
      <c r="O5" s="62" t="str">
        <f>IF('Perf. Mgmnt'!N19&gt;0,"FW","")</f>
        <v/>
      </c>
      <c r="P5" s="66" t="str">
        <f>IF('Perf. Mgmnt'!S19&gt;0,"FW",IF('Perf. Mgmnt'!Q19&gt;0,"2W",IF('Perf. Mgmnt'!P19&gt;0,"1W",IF('Perf. Mgmnt'!O19&gt;0,"VW",""))))</f>
        <v/>
      </c>
      <c r="Q5" s="76">
        <f>IF('Student Data'!D6="","",'Nesting Sales'!AM5)</f>
        <v>0</v>
      </c>
      <c r="R5" s="62">
        <f>IF('Student Data'!D6="","",'Nesting Sales'!AN5)</f>
        <v>0</v>
      </c>
      <c r="S5" s="62">
        <f>IF('Student Data'!D6="","",'Nesting Sales'!AO5)</f>
        <v>0</v>
      </c>
      <c r="T5" s="77">
        <f>IF('Student Data'!D6="","",'Nesting Sales'!AP5)</f>
        <v>0</v>
      </c>
      <c r="U5" s="308"/>
      <c r="V5" s="87"/>
      <c r="W5" s="87"/>
      <c r="X5" s="81"/>
      <c r="Y5" s="84"/>
    </row>
    <row r="6" spans="1:25">
      <c r="A6" s="192" t="str">
        <f>'Student Data'!D7&amp;" "&amp;'Student Data'!C7</f>
        <v xml:space="preserve">Joana Reyes </v>
      </c>
      <c r="B6" s="195" t="str">
        <f>Performance!AJ7</f>
        <v>0</v>
      </c>
      <c r="C6" s="303" t="str">
        <f>IF('PCB Nesting QA'!D7="","",'PCB Nesting QA'!D7)</f>
        <v/>
      </c>
      <c r="D6" s="131" t="e">
        <f>IF('PCB Nesting QA'!#REF!="","",'PCB Nesting QA'!#REF!)</f>
        <v>#REF!</v>
      </c>
      <c r="E6" s="131" t="str">
        <f>IF('PCB Nesting QA'!E7="","",'PCB Nesting QA'!E7)</f>
        <v/>
      </c>
      <c r="F6" s="133" t="str">
        <f>IF('PCB Nesting QA'!F7="","",'PCB Nesting QA'!F7)</f>
        <v/>
      </c>
      <c r="G6" s="143" t="e">
        <f>'PCB Nesting QA'!P7</f>
        <v>#DIV/0!</v>
      </c>
      <c r="H6" s="148">
        <f>IF('Student Data'!D7="","",Attendance!BO23)</f>
        <v>1</v>
      </c>
      <c r="I6" s="49">
        <f>IF('Student Data'!D7="","",Attendance!BP23)</f>
        <v>0</v>
      </c>
      <c r="J6" s="73">
        <f>IF('Student Data'!D7="","",Attendance!BQ23)</f>
        <v>0</v>
      </c>
      <c r="K6" s="76" t="str">
        <f>IF('Perf. Mgmnt'!F25&gt;0,"S4",IF('Perf. Mgmnt'!E25&gt;0,"S3",IF('Perf. Mgmnt'!D25&gt;0,"S2",IF('Perf. Mgmnt'!B25&gt;0,"S1",""))))</f>
        <v/>
      </c>
      <c r="L6" s="62" t="e">
        <f>IF('Perf. Mgmnt'!#REF!&gt;0,"FW",IF('Perf. Mgmnt'!#REF!&gt;0,"S3",IF('Perf. Mgmnt'!#REF!&gt;0,"S2",IF('Perf. Mgmnt'!#REF!&gt;0,"S1",""))))</f>
        <v>#REF!</v>
      </c>
      <c r="M6" s="62" t="str">
        <f>IF('Perf. Mgmnt'!K25&gt;0,"FW",IF('Perf. Mgmnt'!J25&gt;0,"S3",IF('Perf. Mgmnt'!I25&gt;0,"S2",IF('Perf. Mgmnt'!H25&gt;0,"S1",""))))</f>
        <v/>
      </c>
      <c r="N6" s="62" t="str">
        <f>IF('Perf. Mgmnt'!M25&gt;0,"FW","")</f>
        <v/>
      </c>
      <c r="O6" s="62" t="str">
        <f>IF('Perf. Mgmnt'!N25&gt;0,"FW","")</f>
        <v/>
      </c>
      <c r="P6" s="66" t="str">
        <f>IF('Perf. Mgmnt'!S25&gt;0,"FW",IF('Perf. Mgmnt'!Q25&gt;0,"S3",IF('Perf. Mgmnt'!P25&gt;0,"S2",IF('Perf. Mgmnt'!O25&gt;0,"S1",""))))</f>
        <v/>
      </c>
      <c r="Q6" s="76">
        <f>IF('Student Data'!D7="","",'Nesting Sales'!AM6)</f>
        <v>0</v>
      </c>
      <c r="R6" s="62">
        <f>IF('Student Data'!D7="","",'Nesting Sales'!AN6)</f>
        <v>0</v>
      </c>
      <c r="S6" s="62">
        <f>IF('Student Data'!D7="","",'Nesting Sales'!AO6)</f>
        <v>0</v>
      </c>
      <c r="T6" s="77">
        <f>IF('Student Data'!D7="","",'Nesting Sales'!AP6)</f>
        <v>0</v>
      </c>
      <c r="U6" s="308"/>
      <c r="V6" s="87"/>
      <c r="W6" s="87"/>
      <c r="X6" s="81"/>
      <c r="Y6" s="84"/>
    </row>
    <row r="7" spans="1:25">
      <c r="A7" s="192" t="str">
        <f>'Student Data'!D8&amp;" "&amp;'Student Data'!C8</f>
        <v>Quezon Manuel</v>
      </c>
      <c r="B7" s="195">
        <f>Performance!AJ8</f>
        <v>0</v>
      </c>
      <c r="C7" s="303" t="str">
        <f>IF('PCB Nesting QA'!D8="","",'PCB Nesting QA'!D8)</f>
        <v/>
      </c>
      <c r="D7" s="131" t="e">
        <f>IF('PCB Nesting QA'!#REF!="","",'PCB Nesting QA'!#REF!)</f>
        <v>#REF!</v>
      </c>
      <c r="E7" s="131" t="str">
        <f>IF('PCB Nesting QA'!E8="","",'PCB Nesting QA'!E8)</f>
        <v/>
      </c>
      <c r="F7" s="133" t="str">
        <f>IF('PCB Nesting QA'!F8="","",'PCB Nesting QA'!F8)</f>
        <v/>
      </c>
      <c r="G7" s="143" t="e">
        <f>'PCB Nesting QA'!P8</f>
        <v>#DIV/0!</v>
      </c>
      <c r="H7" s="148">
        <f>IF('Student Data'!D8="","",Attendance!BO24)</f>
        <v>0</v>
      </c>
      <c r="I7" s="49">
        <f>IF('Student Data'!D8="","",Attendance!BP24)</f>
        <v>0</v>
      </c>
      <c r="J7" s="73">
        <f>IF('Student Data'!D8="","",Attendance!BQ24)</f>
        <v>0</v>
      </c>
      <c r="K7" s="76" t="str">
        <f>IF('Perf. Mgmnt'!F31&gt;0,"S4",IF('Perf. Mgmnt'!E31&gt;0,"S3",IF('Perf. Mgmnt'!D31&gt;0,"S2",IF('Perf. Mgmnt'!B31&gt;0,"S1",""))))</f>
        <v/>
      </c>
      <c r="L7" s="62" t="e">
        <f>IF('Perf. Mgmnt'!#REF!&gt;0,"FW",IF('Perf. Mgmnt'!#REF!&gt;0,"2W",IF('Perf. Mgmnt'!#REF!&gt;0,"1W",IF('Perf. Mgmnt'!#REF!&gt;0,"VW",""))))</f>
        <v>#REF!</v>
      </c>
      <c r="M7" s="62" t="str">
        <f>IF('Perf. Mgmnt'!K31&gt;0,"FW",IF('Perf. Mgmnt'!J31&gt;0,"2W",IF('Perf. Mgmnt'!I31&gt;0,"1W",IF('Perf. Mgmnt'!H31&gt;0,"VW",""))))</f>
        <v/>
      </c>
      <c r="N7" s="62" t="str">
        <f>IF('Perf. Mgmnt'!M31&gt;0,"FW","")</f>
        <v/>
      </c>
      <c r="O7" s="62" t="str">
        <f>IF('Perf. Mgmnt'!N31&gt;0,"FW","")</f>
        <v/>
      </c>
      <c r="P7" s="66" t="str">
        <f>IF('Perf. Mgmnt'!S31&gt;0,"FW",IF('Perf. Mgmnt'!Q31&gt;0,"2W",IF('Perf. Mgmnt'!P31&gt;0,"1W",IF('Perf. Mgmnt'!O31&gt;0,"VW",""))))</f>
        <v/>
      </c>
      <c r="Q7" s="76">
        <f>IF('Student Data'!D8="","",'Nesting Sales'!AM7)</f>
        <v>0</v>
      </c>
      <c r="R7" s="62">
        <f>IF('Student Data'!D8="","",'Nesting Sales'!AN7)</f>
        <v>0</v>
      </c>
      <c r="S7" s="62">
        <f>IF('Student Data'!D8="","",'Nesting Sales'!AO7)</f>
        <v>0</v>
      </c>
      <c r="T7" s="77">
        <f>IF('Student Data'!D8="","",'Nesting Sales'!AP7)</f>
        <v>0</v>
      </c>
      <c r="U7" s="308"/>
      <c r="V7" s="87"/>
      <c r="W7" s="87"/>
      <c r="X7" s="87"/>
      <c r="Y7" s="84"/>
    </row>
    <row r="8" spans="1:25">
      <c r="A8" s="192" t="str">
        <f>'Student Data'!D9&amp;" "&amp;'Student Data'!C9</f>
        <v xml:space="preserve"> </v>
      </c>
      <c r="B8" s="195" t="str">
        <f>Performance!AJ9</f>
        <v/>
      </c>
      <c r="C8" s="303" t="str">
        <f>IF('PCB Nesting QA'!D9="","",'PCB Nesting QA'!D9)</f>
        <v/>
      </c>
      <c r="D8" s="131" t="e">
        <f>IF('PCB Nesting QA'!#REF!="","",'PCB Nesting QA'!#REF!)</f>
        <v>#REF!</v>
      </c>
      <c r="E8" s="131" t="str">
        <f>IF('PCB Nesting QA'!E9="","",'PCB Nesting QA'!E9)</f>
        <v/>
      </c>
      <c r="F8" s="133" t="str">
        <f>IF('PCB Nesting QA'!F9="","",'PCB Nesting QA'!F9)</f>
        <v/>
      </c>
      <c r="G8" s="143" t="e">
        <f>'PCB Nesting QA'!P9</f>
        <v>#DIV/0!</v>
      </c>
      <c r="H8" s="148" t="str">
        <f>IF('Student Data'!D9="","",Attendance!BO25)</f>
        <v/>
      </c>
      <c r="I8" s="49" t="str">
        <f>IF('Student Data'!D9="","",Attendance!BP25)</f>
        <v/>
      </c>
      <c r="J8" s="73" t="str">
        <f>IF('Student Data'!D9="","",Attendance!BQ25)</f>
        <v/>
      </c>
      <c r="K8" s="76" t="str">
        <f>IF('Perf. Mgmnt'!F37&gt;0,"S4",IF('Perf. Mgmnt'!E37&gt;0,"S3",IF('Perf. Mgmnt'!D37&gt;0,"S2",IF('Perf. Mgmnt'!B37&gt;0,"S1",""))))</f>
        <v/>
      </c>
      <c r="L8" s="62" t="e">
        <f>IF('Perf. Mgmnt'!#REF!&gt;0,"FW",IF('Perf. Mgmnt'!#REF!&gt;0,"2W",IF('Perf. Mgmnt'!#REF!&gt;0,"1W",IF('Perf. Mgmnt'!#REF!&gt;0,"VW",""))))</f>
        <v>#REF!</v>
      </c>
      <c r="M8" s="62" t="str">
        <f>IF('Perf. Mgmnt'!K37&gt;0,"FW",IF('Perf. Mgmnt'!J37&gt;0,"2W",IF('Perf. Mgmnt'!I37&gt;0,"1W",IF('Perf. Mgmnt'!H37&gt;0,"VW",""))))</f>
        <v/>
      </c>
      <c r="N8" s="62" t="str">
        <f>IF('Perf. Mgmnt'!M37&gt;0,"FW","")</f>
        <v/>
      </c>
      <c r="O8" s="62" t="str">
        <f>IF('Perf. Mgmnt'!N37&gt;0,"FW","")</f>
        <v/>
      </c>
      <c r="P8" s="66" t="str">
        <f>IF('Perf. Mgmnt'!S37&gt;0,"FW",IF('Perf. Mgmnt'!Q37&gt;0,"2W",IF('Perf. Mgmnt'!P37&gt;0,"1W",IF('Perf. Mgmnt'!O37&gt;0,"VW",""))))</f>
        <v/>
      </c>
      <c r="Q8" s="76" t="str">
        <f>IF('Student Data'!D9="","",'Nesting Sales'!AM8)</f>
        <v/>
      </c>
      <c r="R8" s="62" t="str">
        <f>IF('Student Data'!D9="","",'Nesting Sales'!AN8)</f>
        <v/>
      </c>
      <c r="S8" s="62" t="str">
        <f>IF('Student Data'!D9="","",'Nesting Sales'!AO8)</f>
        <v/>
      </c>
      <c r="T8" s="77" t="str">
        <f>IF('Student Data'!D9="","",'Nesting Sales'!AP8)</f>
        <v/>
      </c>
      <c r="U8" s="308"/>
      <c r="V8" s="87"/>
      <c r="W8" s="87"/>
      <c r="X8" s="81"/>
      <c r="Y8" s="84"/>
    </row>
    <row r="9" spans="1:25">
      <c r="A9" s="192" t="str">
        <f>'Student Data'!D10&amp;" "&amp;'Student Data'!C10</f>
        <v xml:space="preserve"> </v>
      </c>
      <c r="B9" s="195" t="str">
        <f>Performance!AJ10</f>
        <v/>
      </c>
      <c r="C9" s="303" t="str">
        <f>IF('PCB Nesting QA'!D10="","",'PCB Nesting QA'!D10)</f>
        <v/>
      </c>
      <c r="D9" s="131" t="e">
        <f>IF('PCB Nesting QA'!#REF!="","",'PCB Nesting QA'!#REF!)</f>
        <v>#REF!</v>
      </c>
      <c r="E9" s="131" t="str">
        <f>IF('PCB Nesting QA'!E10="","",'PCB Nesting QA'!E10)</f>
        <v/>
      </c>
      <c r="F9" s="133" t="str">
        <f>IF('PCB Nesting QA'!F10="","",'PCB Nesting QA'!F10)</f>
        <v/>
      </c>
      <c r="G9" s="143" t="e">
        <f>'PCB Nesting QA'!P10</f>
        <v>#DIV/0!</v>
      </c>
      <c r="H9" s="148" t="str">
        <f>IF('Student Data'!D10="","",Attendance!BO26)</f>
        <v/>
      </c>
      <c r="I9" s="49" t="str">
        <f>IF('Student Data'!D10="","",Attendance!BP26)</f>
        <v/>
      </c>
      <c r="J9" s="73" t="str">
        <f>IF('Student Data'!D10="","",Attendance!BQ26)</f>
        <v/>
      </c>
      <c r="K9" s="76" t="str">
        <f>IF('Perf. Mgmnt'!F43&gt;0,"S4",IF('Perf. Mgmnt'!E43&gt;0,"S3",IF('Perf. Mgmnt'!D43&gt;0,"S2",IF('Perf. Mgmnt'!B43&gt;0,"S1",""))))</f>
        <v/>
      </c>
      <c r="L9" s="62" t="e">
        <f>IF('Perf. Mgmnt'!#REF!&gt;0,"FW",IF('Perf. Mgmnt'!#REF!&gt;0,"2W",IF('Perf. Mgmnt'!#REF!&gt;0,"1W",IF('Perf. Mgmnt'!#REF!&gt;0,"VW",""))))</f>
        <v>#REF!</v>
      </c>
      <c r="M9" s="62" t="str">
        <f>IF('Perf. Mgmnt'!K43&gt;0,"FW",IF('Perf. Mgmnt'!J43&gt;0,"2W",IF('Perf. Mgmnt'!I43&gt;0,"1W",IF('Perf. Mgmnt'!H43&gt;0,"VW",""))))</f>
        <v/>
      </c>
      <c r="N9" s="62" t="str">
        <f>IF('Perf. Mgmnt'!M43&gt;0,"FW","")</f>
        <v/>
      </c>
      <c r="O9" s="62" t="str">
        <f>IF('Perf. Mgmnt'!N43&gt;0,"FW","")</f>
        <v/>
      </c>
      <c r="P9" s="66" t="str">
        <f>IF('Perf. Mgmnt'!S43&gt;0,"FW",IF('Perf. Mgmnt'!Q43&gt;0,"2W",IF('Perf. Mgmnt'!P43&gt;0,"1W",IF('Perf. Mgmnt'!O43&gt;0,"VW",""))))</f>
        <v/>
      </c>
      <c r="Q9" s="76" t="str">
        <f>IF('Student Data'!D10="","",'Nesting Sales'!AM9)</f>
        <v/>
      </c>
      <c r="R9" s="62" t="str">
        <f>IF('Student Data'!D10="","",'Nesting Sales'!AN9)</f>
        <v/>
      </c>
      <c r="S9" s="62" t="str">
        <f>IF('Student Data'!D10="","",'Nesting Sales'!AO9)</f>
        <v/>
      </c>
      <c r="T9" s="77" t="str">
        <f>IF('Student Data'!D10="","",'Nesting Sales'!AP9)</f>
        <v/>
      </c>
      <c r="U9" s="308"/>
      <c r="V9" s="87"/>
      <c r="W9" s="87"/>
      <c r="X9" s="81"/>
      <c r="Y9" s="84"/>
    </row>
    <row r="10" spans="1:25">
      <c r="A10" s="192" t="str">
        <f>'Student Data'!D11&amp;" "&amp;'Student Data'!C11</f>
        <v xml:space="preserve"> </v>
      </c>
      <c r="B10" s="195" t="str">
        <f>Performance!AJ11</f>
        <v/>
      </c>
      <c r="C10" s="303" t="str">
        <f>IF('PCB Nesting QA'!D11="","",'PCB Nesting QA'!D11)</f>
        <v/>
      </c>
      <c r="D10" s="131" t="e">
        <f>IF('PCB Nesting QA'!#REF!="","",'PCB Nesting QA'!#REF!)</f>
        <v>#REF!</v>
      </c>
      <c r="E10" s="131" t="str">
        <f>IF('PCB Nesting QA'!E11="","",'PCB Nesting QA'!E11)</f>
        <v/>
      </c>
      <c r="F10" s="133" t="str">
        <f>IF('PCB Nesting QA'!F11="","",'PCB Nesting QA'!F11)</f>
        <v/>
      </c>
      <c r="G10" s="143" t="e">
        <f>'PCB Nesting QA'!P11</f>
        <v>#DIV/0!</v>
      </c>
      <c r="H10" s="148" t="str">
        <f>IF('Student Data'!D11="","",Attendance!BO27)</f>
        <v/>
      </c>
      <c r="I10" s="49" t="str">
        <f>IF('Student Data'!D11="","",Attendance!BP27)</f>
        <v/>
      </c>
      <c r="J10" s="73" t="str">
        <f>IF('Student Data'!D11="","",Attendance!BQ27)</f>
        <v/>
      </c>
      <c r="K10" s="76" t="str">
        <f>IF('Perf. Mgmnt'!F49&gt;0,"S4",IF('Perf. Mgmnt'!E49&gt;0,"S3",IF('Perf. Mgmnt'!D49&gt;0,"S2",IF('Perf. Mgmnt'!B49&gt;0,"S1",""))))</f>
        <v/>
      </c>
      <c r="L10" s="62" t="e">
        <f>IF('Perf. Mgmnt'!#REF!&gt;0,"FW",IF('Perf. Mgmnt'!#REF!&gt;0,"2W",IF('Perf. Mgmnt'!#REF!&gt;0,"1W",IF('Perf. Mgmnt'!#REF!&gt;0,"VW",""))))</f>
        <v>#REF!</v>
      </c>
      <c r="M10" s="62" t="str">
        <f>IF('Perf. Mgmnt'!K49&gt;0,"FW",IF('Perf. Mgmnt'!J49&gt;0,"2W",IF('Perf. Mgmnt'!I49&gt;0,"1W",IF('Perf. Mgmnt'!H49&gt;0,"VW",""))))</f>
        <v/>
      </c>
      <c r="N10" s="62" t="str">
        <f>IF('Perf. Mgmnt'!M49&gt;0,"FW","")</f>
        <v/>
      </c>
      <c r="O10" s="62" t="str">
        <f>IF('Perf. Mgmnt'!N49&gt;0,"FW","")</f>
        <v/>
      </c>
      <c r="P10" s="66" t="str">
        <f>IF('Perf. Mgmnt'!S49&gt;0,"FW",IF('Perf. Mgmnt'!Q49&gt;0,"2W",IF('Perf. Mgmnt'!P49&gt;0,"1W",IF('Perf. Mgmnt'!O49&gt;0,"VW",""))))</f>
        <v/>
      </c>
      <c r="Q10" s="76" t="str">
        <f>IF('Student Data'!D11="","",'Nesting Sales'!AM10)</f>
        <v/>
      </c>
      <c r="R10" s="62" t="str">
        <f>IF('Student Data'!D11="","",'Nesting Sales'!AN10)</f>
        <v/>
      </c>
      <c r="S10" s="62" t="str">
        <f>IF('Student Data'!D11="","",'Nesting Sales'!AO10)</f>
        <v/>
      </c>
      <c r="T10" s="77" t="str">
        <f>IF('Student Data'!D11="","",'Nesting Sales'!AP10)</f>
        <v/>
      </c>
      <c r="U10" s="308"/>
      <c r="V10" s="87"/>
      <c r="W10" s="87"/>
      <c r="X10" s="81"/>
      <c r="Y10" s="84"/>
    </row>
    <row r="11" spans="1:25">
      <c r="A11" s="192" t="str">
        <f>'Student Data'!D12&amp;" "&amp;'Student Data'!C12</f>
        <v xml:space="preserve"> </v>
      </c>
      <c r="B11" s="195" t="str">
        <f>Performance!AJ12</f>
        <v/>
      </c>
      <c r="C11" s="303" t="str">
        <f>IF('PCB Nesting QA'!D12="","",'PCB Nesting QA'!D12)</f>
        <v/>
      </c>
      <c r="D11" s="131" t="e">
        <f>IF('PCB Nesting QA'!#REF!="","",'PCB Nesting QA'!#REF!)</f>
        <v>#REF!</v>
      </c>
      <c r="E11" s="131" t="str">
        <f>IF('PCB Nesting QA'!E12="","",'PCB Nesting QA'!E12)</f>
        <v/>
      </c>
      <c r="F11" s="133" t="str">
        <f>IF('PCB Nesting QA'!F12="","",'PCB Nesting QA'!F12)</f>
        <v/>
      </c>
      <c r="G11" s="143" t="e">
        <f>'PCB Nesting QA'!P12</f>
        <v>#DIV/0!</v>
      </c>
      <c r="H11" s="148" t="str">
        <f>IF('Student Data'!D12="","",Attendance!BO28)</f>
        <v/>
      </c>
      <c r="I11" s="49" t="str">
        <f>IF('Student Data'!D12="","",Attendance!BP28)</f>
        <v/>
      </c>
      <c r="J11" s="73" t="str">
        <f>IF('Student Data'!D12="","",Attendance!BQ28)</f>
        <v/>
      </c>
      <c r="K11" s="76" t="str">
        <f>IF('Perf. Mgmnt'!F55&gt;0,"S4",IF('Perf. Mgmnt'!E55&gt;0,"S3",IF('Perf. Mgmnt'!D55&gt;0,"S2",IF('Perf. Mgmnt'!B55&gt;0,"S1",""))))</f>
        <v/>
      </c>
      <c r="L11" s="62" t="e">
        <f>IF('Perf. Mgmnt'!#REF!&gt;0,"FW",IF('Perf. Mgmnt'!#REF!&gt;0,"2W",IF('Perf. Mgmnt'!#REF!&gt;0,"1W",IF('Perf. Mgmnt'!#REF!&gt;0,"VW",""))))</f>
        <v>#REF!</v>
      </c>
      <c r="M11" s="62" t="str">
        <f>IF('Perf. Mgmnt'!K55&gt;0,"FW",IF('Perf. Mgmnt'!J55&gt;0,"2W",IF('Perf. Mgmnt'!I55&gt;0,"1W",IF('Perf. Mgmnt'!H55&gt;0,"VW",""))))</f>
        <v/>
      </c>
      <c r="N11" s="62" t="str">
        <f>IF('Perf. Mgmnt'!M55&gt;0,"FW","")</f>
        <v/>
      </c>
      <c r="O11" s="62" t="str">
        <f>IF('Perf. Mgmnt'!N55&gt;0,"FW","")</f>
        <v/>
      </c>
      <c r="P11" s="66" t="str">
        <f>IF('Perf. Mgmnt'!S55&gt;0,"FW",IF('Perf. Mgmnt'!Q55&gt;0,"2W",IF('Perf. Mgmnt'!P55&gt;0,"1W",IF('Perf. Mgmnt'!O55&gt;0,"VW",""))))</f>
        <v/>
      </c>
      <c r="Q11" s="76" t="str">
        <f>IF('Student Data'!D12="","",'Nesting Sales'!AM11)</f>
        <v/>
      </c>
      <c r="R11" s="62" t="str">
        <f>IF('Student Data'!D12="","",'Nesting Sales'!AN11)</f>
        <v/>
      </c>
      <c r="S11" s="62" t="str">
        <f>IF('Student Data'!D12="","",'Nesting Sales'!AO11)</f>
        <v/>
      </c>
      <c r="T11" s="77" t="str">
        <f>IF('Student Data'!D12="","",'Nesting Sales'!AP11)</f>
        <v/>
      </c>
      <c r="U11" s="308"/>
      <c r="V11" s="87"/>
      <c r="W11" s="87"/>
      <c r="X11" s="81"/>
      <c r="Y11" s="84"/>
    </row>
    <row r="12" spans="1:25">
      <c r="A12" s="192" t="str">
        <f>'Student Data'!D13&amp;" "&amp;'Student Data'!C13</f>
        <v xml:space="preserve"> </v>
      </c>
      <c r="B12" s="195" t="str">
        <f>Performance!AJ13</f>
        <v/>
      </c>
      <c r="C12" s="303" t="str">
        <f>IF('PCB Nesting QA'!D13="","",'PCB Nesting QA'!D13)</f>
        <v/>
      </c>
      <c r="D12" s="131" t="e">
        <f>IF('PCB Nesting QA'!#REF!="","",'PCB Nesting QA'!#REF!)</f>
        <v>#REF!</v>
      </c>
      <c r="E12" s="131" t="str">
        <f>IF('PCB Nesting QA'!E13="","",'PCB Nesting QA'!E13)</f>
        <v/>
      </c>
      <c r="F12" s="133" t="str">
        <f>IF('PCB Nesting QA'!F13="","",'PCB Nesting QA'!F13)</f>
        <v/>
      </c>
      <c r="G12" s="143" t="e">
        <f>'PCB Nesting QA'!P13</f>
        <v>#DIV/0!</v>
      </c>
      <c r="H12" s="148" t="str">
        <f>IF('Student Data'!D13="","",Attendance!BO29)</f>
        <v/>
      </c>
      <c r="I12" s="49" t="str">
        <f>IF('Student Data'!D13="","",Attendance!BP29)</f>
        <v/>
      </c>
      <c r="J12" s="73" t="str">
        <f>IF('Student Data'!D13="","",Attendance!BQ29)</f>
        <v/>
      </c>
      <c r="K12" s="76" t="str">
        <f>IF('Perf. Mgmnt'!F61&gt;0,"S4",IF('Perf. Mgmnt'!E61&gt;0,"S3",IF('Perf. Mgmnt'!D61&gt;0,"S2",IF('Perf. Mgmnt'!B61&gt;0,"S1",""))))</f>
        <v/>
      </c>
      <c r="L12" s="62" t="e">
        <f>IF('Perf. Mgmnt'!#REF!&gt;0,"FW",IF('Perf. Mgmnt'!#REF!&gt;0,"2W",IF('Perf. Mgmnt'!#REF!&gt;0,"1W",IF('Perf. Mgmnt'!#REF!&gt;0,"VW",""))))</f>
        <v>#REF!</v>
      </c>
      <c r="M12" s="62" t="str">
        <f>IF('Perf. Mgmnt'!K61&gt;0,"FW",IF('Perf. Mgmnt'!J61&gt;0,"2W",IF('Perf. Mgmnt'!I61&gt;0,"1W",IF('Perf. Mgmnt'!H61&gt;0,"VW",""))))</f>
        <v/>
      </c>
      <c r="N12" s="62" t="str">
        <f>IF('Perf. Mgmnt'!M61&gt;0,"FW","")</f>
        <v/>
      </c>
      <c r="O12" s="62" t="str">
        <f>IF('Perf. Mgmnt'!N61&gt;0,"FW","")</f>
        <v/>
      </c>
      <c r="P12" s="66" t="str">
        <f>IF('Perf. Mgmnt'!S61&gt;0,"FW",IF('Perf. Mgmnt'!Q61&gt;0,"2W",IF('Perf. Mgmnt'!P61&gt;0,"1W",IF('Perf. Mgmnt'!O61&gt;0,"VW",""))))</f>
        <v/>
      </c>
      <c r="Q12" s="76" t="str">
        <f>IF('Student Data'!D13="","",'Nesting Sales'!AM12)</f>
        <v/>
      </c>
      <c r="R12" s="62" t="str">
        <f>IF('Student Data'!D13="","",'Nesting Sales'!AN12)</f>
        <v/>
      </c>
      <c r="S12" s="62" t="str">
        <f>IF('Student Data'!D13="","",'Nesting Sales'!AO12)</f>
        <v/>
      </c>
      <c r="T12" s="77" t="str">
        <f>IF('Student Data'!D13="","",'Nesting Sales'!AP12)</f>
        <v/>
      </c>
      <c r="U12" s="308"/>
      <c r="V12" s="87"/>
      <c r="W12" s="87"/>
      <c r="X12" s="81"/>
      <c r="Y12" s="84"/>
    </row>
    <row r="13" spans="1:25">
      <c r="A13" s="192" t="str">
        <f>'Student Data'!D14&amp;" "&amp;'Student Data'!C14</f>
        <v xml:space="preserve"> </v>
      </c>
      <c r="B13" s="195" t="str">
        <f>Performance!AJ14</f>
        <v/>
      </c>
      <c r="C13" s="303" t="str">
        <f>IF('PCB Nesting QA'!D14="","",'PCB Nesting QA'!D14)</f>
        <v/>
      </c>
      <c r="D13" s="131" t="e">
        <f>IF('PCB Nesting QA'!#REF!="","",'PCB Nesting QA'!#REF!)</f>
        <v>#REF!</v>
      </c>
      <c r="E13" s="131" t="str">
        <f>IF('PCB Nesting QA'!E14="","",'PCB Nesting QA'!E14)</f>
        <v/>
      </c>
      <c r="F13" s="133" t="str">
        <f>IF('PCB Nesting QA'!F14="","",'PCB Nesting QA'!F14)</f>
        <v/>
      </c>
      <c r="G13" s="143" t="e">
        <f>'PCB Nesting QA'!P14</f>
        <v>#DIV/0!</v>
      </c>
      <c r="H13" s="148" t="str">
        <f>IF('Student Data'!D14="","",Attendance!BO30)</f>
        <v/>
      </c>
      <c r="I13" s="49" t="str">
        <f>IF('Student Data'!D14="","",Attendance!BP30)</f>
        <v/>
      </c>
      <c r="J13" s="73" t="str">
        <f>IF('Student Data'!D14="","",Attendance!BQ30)</f>
        <v/>
      </c>
      <c r="K13" s="76" t="str">
        <f>IF('Perf. Mgmnt'!F67&gt;0,"S4",IF('Perf. Mgmnt'!E67&gt;0,"S3",IF('Perf. Mgmnt'!D67&gt;0,"S2",IF('Perf. Mgmnt'!B67&gt;0,"S1",""))))</f>
        <v/>
      </c>
      <c r="L13" s="62" t="e">
        <f>IF('Perf. Mgmnt'!#REF!&gt;0,"FW",IF('Perf. Mgmnt'!#REF!&gt;0,"2W",IF('Perf. Mgmnt'!#REF!&gt;0,"1W",IF('Perf. Mgmnt'!#REF!&gt;0,"VW",""))))</f>
        <v>#REF!</v>
      </c>
      <c r="M13" s="62" t="str">
        <f>IF('Perf. Mgmnt'!K67&gt;0,"FW",IF('Perf. Mgmnt'!J67&gt;0,"2W",IF('Perf. Mgmnt'!I67&gt;0,"1W",IF('Perf. Mgmnt'!H67&gt;0,"VW",""))))</f>
        <v/>
      </c>
      <c r="N13" s="62" t="str">
        <f>IF('Perf. Mgmnt'!M67&gt;0,"FW","")</f>
        <v/>
      </c>
      <c r="O13" s="62" t="str">
        <f>IF('Perf. Mgmnt'!N67&gt;0,"FW","")</f>
        <v/>
      </c>
      <c r="P13" s="66" t="str">
        <f>IF('Perf. Mgmnt'!S67&gt;0,"FW",IF('Perf. Mgmnt'!Q67&gt;0,"2W",IF('Perf. Mgmnt'!P67&gt;0,"1W",IF('Perf. Mgmnt'!O67&gt;0,"VW",""))))</f>
        <v/>
      </c>
      <c r="Q13" s="76" t="str">
        <f>IF('Student Data'!D14="","",'Nesting Sales'!AM13)</f>
        <v/>
      </c>
      <c r="R13" s="62" t="str">
        <f>IF('Student Data'!D14="","",'Nesting Sales'!AN13)</f>
        <v/>
      </c>
      <c r="S13" s="62" t="str">
        <f>IF('Student Data'!D14="","",'Nesting Sales'!AO13)</f>
        <v/>
      </c>
      <c r="T13" s="77" t="str">
        <f>IF('Student Data'!D14="","",'Nesting Sales'!AP13)</f>
        <v/>
      </c>
      <c r="U13" s="308"/>
      <c r="V13" s="87"/>
      <c r="W13" s="87"/>
      <c r="X13" s="81"/>
      <c r="Y13" s="84"/>
    </row>
    <row r="14" spans="1:25">
      <c r="A14" s="192" t="str">
        <f>'Student Data'!D15&amp;" "&amp;'Student Data'!C15</f>
        <v xml:space="preserve"> </v>
      </c>
      <c r="B14" s="195" t="str">
        <f>Performance!AJ15</f>
        <v/>
      </c>
      <c r="C14" s="303" t="str">
        <f>IF('PCB Nesting QA'!D15="","",'PCB Nesting QA'!D15)</f>
        <v/>
      </c>
      <c r="D14" s="131" t="e">
        <f>IF('PCB Nesting QA'!#REF!="","",'PCB Nesting QA'!#REF!)</f>
        <v>#REF!</v>
      </c>
      <c r="E14" s="131" t="str">
        <f>IF('PCB Nesting QA'!E15="","",'PCB Nesting QA'!E15)</f>
        <v/>
      </c>
      <c r="F14" s="133" t="str">
        <f>IF('PCB Nesting QA'!F15="","",'PCB Nesting QA'!F15)</f>
        <v/>
      </c>
      <c r="G14" s="143" t="e">
        <f>'PCB Nesting QA'!P15</f>
        <v>#DIV/0!</v>
      </c>
      <c r="H14" s="148" t="str">
        <f>IF('Student Data'!D15="","",Attendance!BO31)</f>
        <v/>
      </c>
      <c r="I14" s="49" t="str">
        <f>IF('Student Data'!D15="","",Attendance!BP31)</f>
        <v/>
      </c>
      <c r="J14" s="73" t="str">
        <f>IF('Student Data'!D15="","",Attendance!BQ31)</f>
        <v/>
      </c>
      <c r="K14" s="76" t="str">
        <f>IF('Perf. Mgmnt'!F73&gt;0,"S4",IF('Perf. Mgmnt'!E73&gt;0,"S3",IF('Perf. Mgmnt'!D73&gt;0,"S2",IF('Perf. Mgmnt'!B73&gt;0,"S1",""))))</f>
        <v/>
      </c>
      <c r="L14" s="62" t="e">
        <f>IF('Perf. Mgmnt'!#REF!&gt;0,"FW",IF('Perf. Mgmnt'!#REF!&gt;0,"2W",IF('Perf. Mgmnt'!#REF!&gt;0,"1W",IF('Perf. Mgmnt'!#REF!&gt;0,"VW",""))))</f>
        <v>#REF!</v>
      </c>
      <c r="M14" s="62" t="str">
        <f>IF('Perf. Mgmnt'!K73&gt;0,"FW",IF('Perf. Mgmnt'!J73&gt;0,"2W",IF('Perf. Mgmnt'!I73&gt;0,"1W",IF('Perf. Mgmnt'!H73&gt;0,"VW",""))))</f>
        <v/>
      </c>
      <c r="N14" s="62" t="str">
        <f>IF('Perf. Mgmnt'!M73&gt;0,"FW","")</f>
        <v/>
      </c>
      <c r="O14" s="62" t="str">
        <f>IF('Perf. Mgmnt'!N73&gt;0,"FW","")</f>
        <v/>
      </c>
      <c r="P14" s="66" t="str">
        <f>IF('Perf. Mgmnt'!S73&gt;0,"FW",IF('Perf. Mgmnt'!Q73&gt;0,"2W",IF('Perf. Mgmnt'!P73&gt;0,"1W",IF('Perf. Mgmnt'!O73&gt;0,"VW",""))))</f>
        <v/>
      </c>
      <c r="Q14" s="76" t="str">
        <f>IF('Student Data'!D15="","",'Nesting Sales'!AM14)</f>
        <v/>
      </c>
      <c r="R14" s="62" t="str">
        <f>IF('Student Data'!D15="","",'Nesting Sales'!AN14)</f>
        <v/>
      </c>
      <c r="S14" s="62" t="str">
        <f>IF('Student Data'!D15="","",'Nesting Sales'!AO14)</f>
        <v/>
      </c>
      <c r="T14" s="77" t="str">
        <f>IF('Student Data'!D15="","",'Nesting Sales'!AP14)</f>
        <v/>
      </c>
      <c r="U14" s="308"/>
      <c r="V14" s="87"/>
      <c r="W14" s="87"/>
      <c r="X14" s="81"/>
      <c r="Y14" s="84"/>
    </row>
    <row r="15" spans="1:25">
      <c r="A15" s="192" t="str">
        <f>'Student Data'!D16&amp;" "&amp;'Student Data'!C16</f>
        <v xml:space="preserve"> </v>
      </c>
      <c r="B15" s="195" t="str">
        <f>Performance!AJ16</f>
        <v/>
      </c>
      <c r="C15" s="303" t="str">
        <f>IF('PCB Nesting QA'!D16="","",'PCB Nesting QA'!D16)</f>
        <v/>
      </c>
      <c r="D15" s="131" t="e">
        <f>IF('PCB Nesting QA'!#REF!="","",'PCB Nesting QA'!#REF!)</f>
        <v>#REF!</v>
      </c>
      <c r="E15" s="131" t="str">
        <f>IF('PCB Nesting QA'!E16="","",'PCB Nesting QA'!E16)</f>
        <v/>
      </c>
      <c r="F15" s="133" t="str">
        <f>IF('PCB Nesting QA'!F16="","",'PCB Nesting QA'!F16)</f>
        <v/>
      </c>
      <c r="G15" s="143" t="e">
        <f>'PCB Nesting QA'!P16</f>
        <v>#DIV/0!</v>
      </c>
      <c r="H15" s="148" t="str">
        <f>IF('Student Data'!D16="","",Attendance!BO32)</f>
        <v/>
      </c>
      <c r="I15" s="49" t="str">
        <f>IF('Student Data'!D16="","",Attendance!BP32)</f>
        <v/>
      </c>
      <c r="J15" s="73" t="str">
        <f>IF('Student Data'!D16="","",Attendance!BQ32)</f>
        <v/>
      </c>
      <c r="K15" s="76" t="str">
        <f>IF('Perf. Mgmnt'!F79&gt;0,"S4",IF('Perf. Mgmnt'!E79&gt;0,"S3",IF('Perf. Mgmnt'!D79&gt;0,"S2",IF('Perf. Mgmnt'!B79&gt;0,"S1",""))))</f>
        <v/>
      </c>
      <c r="L15" s="62" t="e">
        <f>IF('Perf. Mgmnt'!#REF!&gt;0,"FW",IF('Perf. Mgmnt'!#REF!&gt;0,"2W",IF('Perf. Mgmnt'!#REF!&gt;0,"1W",IF('Perf. Mgmnt'!#REF!&gt;0,"VW",""))))</f>
        <v>#REF!</v>
      </c>
      <c r="M15" s="62" t="str">
        <f>IF('Perf. Mgmnt'!K79&gt;0,"FW",IF('Perf. Mgmnt'!J79&gt;0,"2W",IF('Perf. Mgmnt'!I79&gt;0,"1W",IF('Perf. Mgmnt'!H79&gt;0,"VW",""))))</f>
        <v/>
      </c>
      <c r="N15" s="62" t="str">
        <f>IF('Perf. Mgmnt'!M79&gt;0,"FW","")</f>
        <v/>
      </c>
      <c r="O15" s="62" t="str">
        <f>IF('Perf. Mgmnt'!N79&gt;0,"FW","")</f>
        <v/>
      </c>
      <c r="P15" s="66" t="str">
        <f>IF('Perf. Mgmnt'!S79&gt;0,"FW",IF('Perf. Mgmnt'!Q79&gt;0,"2W",IF('Perf. Mgmnt'!P79&gt;0,"1W",IF('Perf. Mgmnt'!O79&gt;0,"VW",""))))</f>
        <v/>
      </c>
      <c r="Q15" s="76" t="str">
        <f>IF('Student Data'!D16="","",'Nesting Sales'!AM15)</f>
        <v/>
      </c>
      <c r="R15" s="62" t="str">
        <f>IF('Student Data'!D16="","",'Nesting Sales'!AN15)</f>
        <v/>
      </c>
      <c r="S15" s="62" t="str">
        <f>IF('Student Data'!D16="","",'Nesting Sales'!AO15)</f>
        <v/>
      </c>
      <c r="T15" s="77" t="str">
        <f>IF('Student Data'!D16="","",'Nesting Sales'!AP15)</f>
        <v/>
      </c>
      <c r="U15" s="308"/>
      <c r="V15" s="87"/>
      <c r="W15" s="87"/>
      <c r="X15" s="81"/>
      <c r="Y15" s="84"/>
    </row>
    <row r="16" spans="1:25">
      <c r="A16" s="192" t="str">
        <f>'Student Data'!D17&amp;" "&amp;'Student Data'!C17</f>
        <v xml:space="preserve"> </v>
      </c>
      <c r="B16" s="195" t="str">
        <f>Performance!AJ17</f>
        <v/>
      </c>
      <c r="C16" s="303" t="str">
        <f>IF('PCB Nesting QA'!D17="","",'PCB Nesting QA'!D17)</f>
        <v/>
      </c>
      <c r="D16" s="131" t="e">
        <f>IF('PCB Nesting QA'!#REF!="","",'PCB Nesting QA'!#REF!)</f>
        <v>#REF!</v>
      </c>
      <c r="E16" s="131" t="str">
        <f>IF('PCB Nesting QA'!E17="","",'PCB Nesting QA'!E17)</f>
        <v/>
      </c>
      <c r="F16" s="133" t="str">
        <f>IF('PCB Nesting QA'!F17="","",'PCB Nesting QA'!F17)</f>
        <v/>
      </c>
      <c r="G16" s="143" t="e">
        <f>'PCB Nesting QA'!P17</f>
        <v>#DIV/0!</v>
      </c>
      <c r="H16" s="148" t="str">
        <f>IF('Student Data'!D17="","",Attendance!BO33)</f>
        <v/>
      </c>
      <c r="I16" s="49" t="str">
        <f>IF('Student Data'!D17="","",Attendance!BP33)</f>
        <v/>
      </c>
      <c r="J16" s="73" t="str">
        <f>IF('Student Data'!D17="","",Attendance!BQ33)</f>
        <v/>
      </c>
      <c r="K16" s="76" t="str">
        <f>IF('Perf. Mgmnt'!F85&gt;0,"S4",IF('Perf. Mgmnt'!E85&gt;0,"S3",IF('Perf. Mgmnt'!D85&gt;0,"S2",IF('Perf. Mgmnt'!B85&gt;0,"S1",""))))</f>
        <v/>
      </c>
      <c r="L16" s="62" t="str">
        <f>IF('Perf. Mgmnt'!K85&gt;0,"FW",IF('Perf. Mgmnt'!J85&gt;0,"2W",IF('Perf. Mgmnt'!I85&gt;0,"1W",IF('Perf. Mgmnt'!H85&gt;0,"VW",""))))</f>
        <v/>
      </c>
      <c r="M16" s="62" t="str">
        <f>IF('Perf. Mgmnt'!P85&gt;0,"FW",IF('Perf. Mgmnt'!O85&gt;0,"2W",IF('Perf. Mgmnt'!N85&gt;0,"1W",IF('Perf. Mgmnt'!M85&gt;0,"VW",""))))</f>
        <v/>
      </c>
      <c r="N16" s="62" t="str">
        <f>IF('Perf. Mgmnt'!Q85&gt;0,"FW","")</f>
        <v/>
      </c>
      <c r="O16" s="62" t="str">
        <f>IF('Perf. Mgmnt'!S85&gt;0,"FW","")</f>
        <v/>
      </c>
      <c r="P16" s="66" t="str">
        <f>IF('Perf. Mgmnt'!W85&gt;0,"FW",IF('Perf. Mgmnt'!V85&gt;0,"2W",IF('Perf. Mgmnt'!U85&gt;0,"1W",IF('Perf. Mgmnt'!T85&gt;0,"VW",""))))</f>
        <v/>
      </c>
      <c r="Q16" s="76" t="str">
        <f>IF('Student Data'!D17="","",'Nesting Sales'!AM16)</f>
        <v/>
      </c>
      <c r="R16" s="62" t="str">
        <f>IF('Student Data'!D17="","",'Nesting Sales'!AN16)</f>
        <v/>
      </c>
      <c r="S16" s="62" t="str">
        <f>IF('Student Data'!D17="","",'Nesting Sales'!AO16)</f>
        <v/>
      </c>
      <c r="T16" s="77" t="str">
        <f>IF('Student Data'!D17="","",'Nesting Sales'!AP16)</f>
        <v/>
      </c>
      <c r="U16" s="308"/>
      <c r="V16" s="87"/>
      <c r="W16" s="87"/>
      <c r="X16" s="82"/>
      <c r="Y16" s="84"/>
    </row>
    <row r="17" spans="1:25">
      <c r="A17" s="192" t="str">
        <f>'Student Data'!D18&amp;" "&amp;'Student Data'!C18</f>
        <v xml:space="preserve"> </v>
      </c>
      <c r="B17" s="195" t="str">
        <f>Performance!AJ18</f>
        <v/>
      </c>
      <c r="C17" s="303" t="str">
        <f>IF('PCB Nesting QA'!D18="","",'PCB Nesting QA'!D18)</f>
        <v/>
      </c>
      <c r="D17" s="131" t="e">
        <f>IF('PCB Nesting QA'!#REF!="","",'PCB Nesting QA'!#REF!)</f>
        <v>#REF!</v>
      </c>
      <c r="E17" s="131" t="str">
        <f>IF('PCB Nesting QA'!E18="","",'PCB Nesting QA'!E18)</f>
        <v/>
      </c>
      <c r="F17" s="133" t="str">
        <f>IF('PCB Nesting QA'!F18="","",'PCB Nesting QA'!F18)</f>
        <v/>
      </c>
      <c r="G17" s="143" t="e">
        <f>'PCB Nesting QA'!P18</f>
        <v>#DIV/0!</v>
      </c>
      <c r="H17" s="148" t="str">
        <f>IF('Student Data'!D18="","",Attendance!BO34)</f>
        <v/>
      </c>
      <c r="I17" s="49" t="str">
        <f>IF('Student Data'!D18="","",Attendance!BP34)</f>
        <v/>
      </c>
      <c r="J17" s="73" t="str">
        <f>IF('Student Data'!D18="","",Attendance!BQ34)</f>
        <v/>
      </c>
      <c r="K17" s="76" t="str">
        <f>IF('Perf. Mgmnt'!F91&gt;0,"S4",IF('Perf. Mgmnt'!E91&gt;0,"S3",IF('Perf. Mgmnt'!D91&gt;0,"S2",IF('Perf. Mgmnt'!B91&gt;0,"S1",""))))</f>
        <v/>
      </c>
      <c r="L17" s="62" t="str">
        <f>IF('Perf. Mgmnt'!K91&gt;0,"FW",IF('Perf. Mgmnt'!J91&gt;0,"2W",IF('Perf. Mgmnt'!I91&gt;0,"1W",IF('Perf. Mgmnt'!H91&gt;0,"VW",""))))</f>
        <v/>
      </c>
      <c r="M17" s="62" t="str">
        <f>IF('Perf. Mgmnt'!P91&gt;0,"FW",IF('Perf. Mgmnt'!O91&gt;0,"2W",IF('Perf. Mgmnt'!N91&gt;0,"1W",IF('Perf. Mgmnt'!M91&gt;0,"VW",""))))</f>
        <v/>
      </c>
      <c r="N17" s="62" t="str">
        <f>IF('Perf. Mgmnt'!Q91&gt;0,"FW","")</f>
        <v/>
      </c>
      <c r="O17" s="62" t="str">
        <f>IF('Perf. Mgmnt'!S91&gt;0,"FW","")</f>
        <v/>
      </c>
      <c r="P17" s="66" t="str">
        <f>IF('Perf. Mgmnt'!W91&gt;0,"FW",IF('Perf. Mgmnt'!V91&gt;0,"2W",IF('Perf. Mgmnt'!U91&gt;0,"1W",IF('Perf. Mgmnt'!T91&gt;0,"VW",""))))</f>
        <v/>
      </c>
      <c r="Q17" s="76" t="str">
        <f>IF('Student Data'!D18="","",'Nesting Sales'!AM17)</f>
        <v/>
      </c>
      <c r="R17" s="62" t="str">
        <f>IF('Student Data'!D18="","",'Nesting Sales'!AN17)</f>
        <v/>
      </c>
      <c r="S17" s="62" t="str">
        <f>IF('Student Data'!D18="","",'Nesting Sales'!AO17)</f>
        <v/>
      </c>
      <c r="T17" s="77" t="str">
        <f>IF('Student Data'!D18="","",'Nesting Sales'!AP17)</f>
        <v/>
      </c>
      <c r="U17" s="308"/>
      <c r="V17" s="87"/>
      <c r="W17" s="87"/>
      <c r="X17" s="82"/>
      <c r="Y17" s="84"/>
    </row>
    <row r="18" spans="1:25">
      <c r="A18" s="192" t="str">
        <f>'Student Data'!D19&amp;" "&amp;'Student Data'!C19</f>
        <v xml:space="preserve"> </v>
      </c>
      <c r="B18" s="195" t="str">
        <f>Performance!AJ19</f>
        <v/>
      </c>
      <c r="C18" s="303" t="str">
        <f>IF('PCB Nesting QA'!D19="","",'PCB Nesting QA'!D19)</f>
        <v/>
      </c>
      <c r="D18" s="131" t="e">
        <f>IF('PCB Nesting QA'!#REF!="","",'PCB Nesting QA'!#REF!)</f>
        <v>#REF!</v>
      </c>
      <c r="E18" s="131" t="str">
        <f>IF('PCB Nesting QA'!E19="","",'PCB Nesting QA'!E19)</f>
        <v/>
      </c>
      <c r="F18" s="133" t="str">
        <f>IF('PCB Nesting QA'!F19="","",'PCB Nesting QA'!F19)</f>
        <v/>
      </c>
      <c r="G18" s="143" t="e">
        <f>'PCB Nesting QA'!P19</f>
        <v>#DIV/0!</v>
      </c>
      <c r="H18" s="148" t="str">
        <f>IF('Student Data'!D19="","",Attendance!BO35)</f>
        <v/>
      </c>
      <c r="I18" s="49" t="str">
        <f>IF('Student Data'!D19="","",Attendance!BP35)</f>
        <v/>
      </c>
      <c r="J18" s="73" t="str">
        <f>IF('Student Data'!D19="","",Attendance!BQ35)</f>
        <v/>
      </c>
      <c r="K18" s="76" t="str">
        <f>IF('Perf. Mgmnt'!F97&gt;0,"S4",IF('Perf. Mgmnt'!E97&gt;0,"S3",IF('Perf. Mgmnt'!D97&gt;0,"S2",IF('Perf. Mgmnt'!B97&gt;0,"S1",""))))</f>
        <v/>
      </c>
      <c r="L18" s="62" t="str">
        <f>IF('Perf. Mgmnt'!K97&gt;0,"FW",IF('Perf. Mgmnt'!J97&gt;0,"2W",IF('Perf. Mgmnt'!I97&gt;0,"1W",IF('Perf. Mgmnt'!H97&gt;0,"VW",""))))</f>
        <v/>
      </c>
      <c r="M18" s="62" t="str">
        <f>IF('Perf. Mgmnt'!P97&gt;0,"FW",IF('Perf. Mgmnt'!O97&gt;0,"2W",IF('Perf. Mgmnt'!N97&gt;0,"1W",IF('Perf. Mgmnt'!M97&gt;0,"VW",""))))</f>
        <v/>
      </c>
      <c r="N18" s="62" t="str">
        <f>IF('Perf. Mgmnt'!Q97&gt;0,"FW","")</f>
        <v/>
      </c>
      <c r="O18" s="62" t="str">
        <f>IF('Perf. Mgmnt'!S97&gt;0,"FW","")</f>
        <v/>
      </c>
      <c r="P18" s="66" t="str">
        <f>IF('Perf. Mgmnt'!W97&gt;0,"FW",IF('Perf. Mgmnt'!V97&gt;0,"2W",IF('Perf. Mgmnt'!U97&gt;0,"1W",IF('Perf. Mgmnt'!T97&gt;0,"VW",""))))</f>
        <v/>
      </c>
      <c r="Q18" s="76" t="str">
        <f>IF('Student Data'!D19="","",'Nesting Sales'!AM18)</f>
        <v/>
      </c>
      <c r="R18" s="62" t="str">
        <f>IF('Student Data'!D19="","",'Nesting Sales'!AN18)</f>
        <v/>
      </c>
      <c r="S18" s="62" t="str">
        <f>IF('Student Data'!D19="","",'Nesting Sales'!AO18)</f>
        <v/>
      </c>
      <c r="T18" s="77" t="str">
        <f>IF('Student Data'!D19="","",'Nesting Sales'!AP18)</f>
        <v/>
      </c>
      <c r="U18" s="308"/>
      <c r="V18" s="87"/>
      <c r="W18" s="87"/>
      <c r="X18" s="82"/>
      <c r="Y18" s="84"/>
    </row>
    <row r="19" spans="1:25">
      <c r="A19" s="192" t="str">
        <f>'Student Data'!D20&amp;" "&amp;'Student Data'!C20</f>
        <v xml:space="preserve"> </v>
      </c>
      <c r="B19" s="195" t="str">
        <f>Performance!AJ20</f>
        <v/>
      </c>
      <c r="C19" s="303" t="str">
        <f>IF('PCB Nesting QA'!D20="","",'PCB Nesting QA'!D20)</f>
        <v/>
      </c>
      <c r="D19" s="131" t="e">
        <f>IF('PCB Nesting QA'!#REF!="","",'PCB Nesting QA'!#REF!)</f>
        <v>#REF!</v>
      </c>
      <c r="E19" s="131" t="str">
        <f>IF('PCB Nesting QA'!E20="","",'PCB Nesting QA'!E20)</f>
        <v/>
      </c>
      <c r="F19" s="133" t="str">
        <f>IF('PCB Nesting QA'!F20="","",'PCB Nesting QA'!F20)</f>
        <v/>
      </c>
      <c r="G19" s="143" t="e">
        <f>'PCB Nesting QA'!P20</f>
        <v>#DIV/0!</v>
      </c>
      <c r="H19" s="148" t="str">
        <f>IF('Student Data'!D20="","",Attendance!BO36)</f>
        <v/>
      </c>
      <c r="I19" s="49" t="str">
        <f>IF('Student Data'!D20="","",Attendance!BP36)</f>
        <v/>
      </c>
      <c r="J19" s="73" t="str">
        <f>IF('Student Data'!D20="","",Attendance!BQ36)</f>
        <v/>
      </c>
      <c r="K19" s="76" t="str">
        <f>IF('Perf. Mgmnt'!F103&gt;0,"S4",IF('Perf. Mgmnt'!E103&gt;0,"S3",IF('Perf. Mgmnt'!D103&gt;0,"S2",IF('Perf. Mgmnt'!B103&gt;0,"S1",""))))</f>
        <v/>
      </c>
      <c r="L19" s="62" t="str">
        <f>IF('Perf. Mgmnt'!K103&gt;0,"FW",IF('Perf. Mgmnt'!J103&gt;0,"2W",IF('Perf. Mgmnt'!I103&gt;0,"1W",IF('Perf. Mgmnt'!H103&gt;0,"VW",""))))</f>
        <v/>
      </c>
      <c r="M19" s="62" t="str">
        <f>IF('Perf. Mgmnt'!P103&gt;0,"FW",IF('Perf. Mgmnt'!O103&gt;0,"2W",IF('Perf. Mgmnt'!N103&gt;0,"1W",IF('Perf. Mgmnt'!M103&gt;0,"VW",""))))</f>
        <v/>
      </c>
      <c r="N19" s="62" t="str">
        <f>IF('Perf. Mgmnt'!Q103&gt;0,"FW","")</f>
        <v/>
      </c>
      <c r="O19" s="62" t="str">
        <f>IF('Perf. Mgmnt'!S103&gt;0,"FW","")</f>
        <v/>
      </c>
      <c r="P19" s="66" t="str">
        <f>IF('Perf. Mgmnt'!W103&gt;0,"FW",IF('Perf. Mgmnt'!V103&gt;0,"2W",IF('Perf. Mgmnt'!U103&gt;0,"1W",IF('Perf. Mgmnt'!T103&gt;0,"VW",""))))</f>
        <v/>
      </c>
      <c r="Q19" s="76" t="str">
        <f>IF('Student Data'!D20="","",'Nesting Sales'!AM19)</f>
        <v/>
      </c>
      <c r="R19" s="62" t="str">
        <f>IF('Student Data'!D20="","",'Nesting Sales'!AN19)</f>
        <v/>
      </c>
      <c r="S19" s="62" t="str">
        <f>IF('Student Data'!D20="","",'Nesting Sales'!AO19)</f>
        <v/>
      </c>
      <c r="T19" s="77" t="str">
        <f>IF('Student Data'!D20="","",'Nesting Sales'!AP19)</f>
        <v/>
      </c>
      <c r="U19" s="308"/>
      <c r="V19" s="87"/>
      <c r="W19" s="87"/>
      <c r="X19" s="82"/>
      <c r="Y19" s="84"/>
    </row>
    <row r="20" spans="1:25">
      <c r="A20" s="192" t="str">
        <f>'Student Data'!D21&amp;" "&amp;'Student Data'!C21</f>
        <v xml:space="preserve"> </v>
      </c>
      <c r="B20" s="195" t="str">
        <f>Performance!AJ21</f>
        <v/>
      </c>
      <c r="C20" s="303" t="str">
        <f>IF('PCB Nesting QA'!D21="","",'PCB Nesting QA'!D21)</f>
        <v/>
      </c>
      <c r="D20" s="131" t="e">
        <f>IF('PCB Nesting QA'!#REF!="","",'PCB Nesting QA'!#REF!)</f>
        <v>#REF!</v>
      </c>
      <c r="E20" s="131" t="str">
        <f>IF('PCB Nesting QA'!E21="","",'PCB Nesting QA'!E21)</f>
        <v/>
      </c>
      <c r="F20" s="133" t="str">
        <f>IF('PCB Nesting QA'!F21="","",'PCB Nesting QA'!F21)</f>
        <v/>
      </c>
      <c r="G20" s="143" t="e">
        <f>'PCB Nesting QA'!P21</f>
        <v>#DIV/0!</v>
      </c>
      <c r="H20" s="148" t="str">
        <f>IF('Student Data'!D21="","",Attendance!BO37)</f>
        <v/>
      </c>
      <c r="I20" s="49" t="str">
        <f>IF('Student Data'!D21="","",Attendance!BP37)</f>
        <v/>
      </c>
      <c r="J20" s="73" t="str">
        <f>IF('Student Data'!D21="","",Attendance!BQ37)</f>
        <v/>
      </c>
      <c r="K20" s="76" t="str">
        <f>IF('Perf. Mgmnt'!F109&gt;0,"S4",IF('Perf. Mgmnt'!E109&gt;0,"S3",IF('Perf. Mgmnt'!D109&gt;0,"S2",IF('Perf. Mgmnt'!B109&gt;0,"S1",""))))</f>
        <v/>
      </c>
      <c r="L20" s="62" t="str">
        <f>IF('Perf. Mgmnt'!K109&gt;0,"FW",IF('Perf. Mgmnt'!J109&gt;0,"2W",IF('Perf. Mgmnt'!I109&gt;0,"1W",IF('Perf. Mgmnt'!H109&gt;0,"VW",""))))</f>
        <v/>
      </c>
      <c r="M20" s="62" t="str">
        <f>IF('Perf. Mgmnt'!P109&gt;0,"FW",IF('Perf. Mgmnt'!O109&gt;0,"2W",IF('Perf. Mgmnt'!N109&gt;0,"1W",IF('Perf. Mgmnt'!M109&gt;0,"VW",""))))</f>
        <v/>
      </c>
      <c r="N20" s="62" t="str">
        <f>IF('Perf. Mgmnt'!Q109&gt;0,"FW","")</f>
        <v/>
      </c>
      <c r="O20" s="62" t="str">
        <f>IF('Perf. Mgmnt'!S109&gt;0,"FW","")</f>
        <v/>
      </c>
      <c r="P20" s="66" t="str">
        <f>IF('Perf. Mgmnt'!W109&gt;0,"FW",IF('Perf. Mgmnt'!V109&gt;0,"2W",IF('Perf. Mgmnt'!U109&gt;0,"1W",IF('Perf. Mgmnt'!T109&gt;0,"VW",""))))</f>
        <v/>
      </c>
      <c r="Q20" s="76" t="str">
        <f>IF('Student Data'!D21="","",'Nesting Sales'!AM20)</f>
        <v/>
      </c>
      <c r="R20" s="62" t="str">
        <f>IF('Student Data'!D21="","",'Nesting Sales'!AN20)</f>
        <v/>
      </c>
      <c r="S20" s="62" t="str">
        <f>IF('Student Data'!D21="","",'Nesting Sales'!AO20)</f>
        <v/>
      </c>
      <c r="T20" s="77" t="str">
        <f>IF('Student Data'!D21="","",'Nesting Sales'!AP20)</f>
        <v/>
      </c>
      <c r="U20" s="308"/>
      <c r="V20" s="87"/>
      <c r="W20" s="87"/>
      <c r="X20" s="82"/>
      <c r="Y20" s="84"/>
    </row>
    <row r="21" spans="1:25">
      <c r="A21" s="192" t="str">
        <f>'Student Data'!D22&amp;" "&amp;'Student Data'!C22</f>
        <v xml:space="preserve"> </v>
      </c>
      <c r="B21" s="195" t="str">
        <f>Performance!AJ22</f>
        <v/>
      </c>
      <c r="C21" s="303" t="str">
        <f>IF('PCB Nesting QA'!D22="","",'PCB Nesting QA'!D22)</f>
        <v/>
      </c>
      <c r="D21" s="131" t="e">
        <f>IF('PCB Nesting QA'!#REF!="","",'PCB Nesting QA'!#REF!)</f>
        <v>#REF!</v>
      </c>
      <c r="E21" s="131" t="str">
        <f>IF('PCB Nesting QA'!E22="","",'PCB Nesting QA'!E22)</f>
        <v/>
      </c>
      <c r="F21" s="133" t="str">
        <f>IF('PCB Nesting QA'!F22="","",'PCB Nesting QA'!F22)</f>
        <v/>
      </c>
      <c r="G21" s="143" t="e">
        <f>'PCB Nesting QA'!P22</f>
        <v>#DIV/0!</v>
      </c>
      <c r="H21" s="148" t="str">
        <f>IF('Student Data'!D22="","",Attendance!BO38)</f>
        <v/>
      </c>
      <c r="I21" s="49" t="str">
        <f>IF('Student Data'!D22="","",Attendance!BP38)</f>
        <v/>
      </c>
      <c r="J21" s="73" t="str">
        <f>IF('Student Data'!D22="","",Attendance!BQ38)</f>
        <v/>
      </c>
      <c r="K21" s="76" t="str">
        <f>IF('Perf. Mgmnt'!F115&gt;0,"S4",IF('Perf. Mgmnt'!E115&gt;0,"S3",IF('Perf. Mgmnt'!D115&gt;0,"S2",IF('Perf. Mgmnt'!B115&gt;0,"S1",""))))</f>
        <v/>
      </c>
      <c r="L21" s="62" t="str">
        <f>IF('Perf. Mgmnt'!K115&gt;0,"FW",IF('Perf. Mgmnt'!J115&gt;0,"2W",IF('Perf. Mgmnt'!I115&gt;0,"1W",IF('Perf. Mgmnt'!H115&gt;0,"VW",""))))</f>
        <v/>
      </c>
      <c r="M21" s="62" t="str">
        <f>IF('Perf. Mgmnt'!P115&gt;0,"FW",IF('Perf. Mgmnt'!O115&gt;0,"2W",IF('Perf. Mgmnt'!N115&gt;0,"1W",IF('Perf. Mgmnt'!M115&gt;0,"VW",""))))</f>
        <v/>
      </c>
      <c r="N21" s="62" t="str">
        <f>IF('Perf. Mgmnt'!Q115&gt;0,"FW","")</f>
        <v/>
      </c>
      <c r="O21" s="62" t="str">
        <f>IF('Perf. Mgmnt'!S115&gt;0,"FW","")</f>
        <v/>
      </c>
      <c r="P21" s="66" t="str">
        <f>IF('Perf. Mgmnt'!W115&gt;0,"FW",IF('Perf. Mgmnt'!V115&gt;0,"2W",IF('Perf. Mgmnt'!U115&gt;0,"1W",IF('Perf. Mgmnt'!T115&gt;0,"VW",""))))</f>
        <v/>
      </c>
      <c r="Q21" s="76" t="str">
        <f>IF('Student Data'!D22="","",'Nesting Sales'!AM21)</f>
        <v/>
      </c>
      <c r="R21" s="62" t="str">
        <f>IF('Student Data'!D22="","",'Nesting Sales'!AN21)</f>
        <v/>
      </c>
      <c r="S21" s="62" t="str">
        <f>IF('Student Data'!D22="","",'Nesting Sales'!AO21)</f>
        <v/>
      </c>
      <c r="T21" s="77" t="str">
        <f>IF('Student Data'!D22="","",'Nesting Sales'!AP21)</f>
        <v/>
      </c>
      <c r="U21" s="308"/>
      <c r="V21" s="87"/>
      <c r="W21" s="87"/>
      <c r="X21" s="82"/>
      <c r="Y21" s="84"/>
    </row>
    <row r="22" spans="1:25">
      <c r="A22" s="192" t="str">
        <f>'Student Data'!D23&amp;" "&amp;'Student Data'!C23</f>
        <v xml:space="preserve"> </v>
      </c>
      <c r="B22" s="195" t="str">
        <f>Performance!AJ23</f>
        <v/>
      </c>
      <c r="C22" s="303" t="str">
        <f>IF('PCB Nesting QA'!D23="","",'PCB Nesting QA'!D23)</f>
        <v/>
      </c>
      <c r="D22" s="131" t="e">
        <f>IF('PCB Nesting QA'!#REF!="","",'PCB Nesting QA'!#REF!)</f>
        <v>#REF!</v>
      </c>
      <c r="E22" s="131" t="str">
        <f>IF('PCB Nesting QA'!E23="","",'PCB Nesting QA'!E23)</f>
        <v/>
      </c>
      <c r="F22" s="133" t="str">
        <f>IF('PCB Nesting QA'!F23="","",'PCB Nesting QA'!F23)</f>
        <v/>
      </c>
      <c r="G22" s="143" t="e">
        <f>'PCB Nesting QA'!P23</f>
        <v>#DIV/0!</v>
      </c>
      <c r="H22" s="148" t="str">
        <f>IF('Student Data'!D23="","",Attendance!BO39)</f>
        <v/>
      </c>
      <c r="I22" s="49" t="str">
        <f>IF('Student Data'!D23="","",Attendance!BP39)</f>
        <v/>
      </c>
      <c r="J22" s="73" t="str">
        <f>IF('Student Data'!D23="","",Attendance!BQ39)</f>
        <v/>
      </c>
      <c r="K22" s="76" t="str">
        <f>IF('Perf. Mgmnt'!F121&gt;0,"S4",IF('Perf. Mgmnt'!E121&gt;0,"S3",IF('Perf. Mgmnt'!D121&gt;0,"S2",IF('Perf. Mgmnt'!B121&gt;0,"S1",""))))</f>
        <v/>
      </c>
      <c r="L22" s="62" t="str">
        <f>IF('Perf. Mgmnt'!K121&gt;0,"FW",IF('Perf. Mgmnt'!J121&gt;0,"2W",IF('Perf. Mgmnt'!I121&gt;0,"1W",IF('Perf. Mgmnt'!H121&gt;0,"VW",""))))</f>
        <v/>
      </c>
      <c r="M22" s="62" t="str">
        <f>IF('Perf. Mgmnt'!P121&gt;0,"FW",IF('Perf. Mgmnt'!O121&gt;0,"2W",IF('Perf. Mgmnt'!N121&gt;0,"1W",IF('Perf. Mgmnt'!M121&gt;0,"VW",""))))</f>
        <v/>
      </c>
      <c r="N22" s="62" t="str">
        <f>IF('Perf. Mgmnt'!Q121&gt;0,"FW","")</f>
        <v/>
      </c>
      <c r="O22" s="62" t="str">
        <f>IF('Perf. Mgmnt'!S121&gt;0,"FW","")</f>
        <v/>
      </c>
      <c r="P22" s="66" t="str">
        <f>IF('Perf. Mgmnt'!W121&gt;0,"FW",IF('Perf. Mgmnt'!V121&gt;0,"2W",IF('Perf. Mgmnt'!U121&gt;0,"1W",IF('Perf. Mgmnt'!T121&gt;0,"VW",""))))</f>
        <v/>
      </c>
      <c r="Q22" s="76" t="str">
        <f>IF('Student Data'!D23="","",'Nesting Sales'!AM22)</f>
        <v/>
      </c>
      <c r="R22" s="62" t="str">
        <f>IF('Student Data'!D23="","",'Nesting Sales'!AN22)</f>
        <v/>
      </c>
      <c r="S22" s="62" t="str">
        <f>IF('Student Data'!D23="","",'Nesting Sales'!AO22)</f>
        <v/>
      </c>
      <c r="T22" s="77" t="str">
        <f>IF('Student Data'!D23="","",'Nesting Sales'!AP22)</f>
        <v/>
      </c>
      <c r="U22" s="308"/>
      <c r="V22" s="87"/>
      <c r="W22" s="87"/>
      <c r="X22" s="82"/>
      <c r="Y22" s="84"/>
    </row>
    <row r="23" spans="1:25">
      <c r="A23" s="192" t="str">
        <f>'Student Data'!D24&amp;" "&amp;'Student Data'!C24</f>
        <v xml:space="preserve"> </v>
      </c>
      <c r="B23" s="195" t="str">
        <f>Performance!AJ24</f>
        <v/>
      </c>
      <c r="C23" s="303" t="e">
        <f>IF('PCB Nesting QA'!#REF!="","",'PCB Nesting QA'!#REF!)</f>
        <v>#REF!</v>
      </c>
      <c r="D23" s="131" t="e">
        <f>IF('PCB Nesting QA'!#REF!="","",'PCB Nesting QA'!#REF!)</f>
        <v>#REF!</v>
      </c>
      <c r="E23" s="131" t="e">
        <f>IF('PCB Nesting QA'!#REF!="","",'PCB Nesting QA'!#REF!)</f>
        <v>#REF!</v>
      </c>
      <c r="F23" s="133" t="e">
        <f>IF('PCB Nesting QA'!#REF!="","",'PCB Nesting QA'!#REF!)</f>
        <v>#REF!</v>
      </c>
      <c r="G23" s="143" t="e">
        <f>'PCB Nesting QA'!#REF!</f>
        <v>#REF!</v>
      </c>
      <c r="H23" s="148" t="str">
        <f>IF('Student Data'!D24="","",Attendance!BO40)</f>
        <v/>
      </c>
      <c r="I23" s="49" t="str">
        <f>IF('Student Data'!D24="","",Attendance!BP40)</f>
        <v/>
      </c>
      <c r="J23" s="73" t="str">
        <f>IF('Student Data'!D24="","",Attendance!BQ40)</f>
        <v/>
      </c>
      <c r="K23" s="76" t="str">
        <f>IF('Perf. Mgmnt'!F127&gt;0,"S4",IF('Perf. Mgmnt'!E127&gt;0,"S3",IF('Perf. Mgmnt'!D127&gt;0,"S2",IF('Perf. Mgmnt'!B127&gt;0,"S1",""))))</f>
        <v/>
      </c>
      <c r="L23" s="62" t="str">
        <f>IF('Perf. Mgmnt'!K127&gt;0,"FW",IF('Perf. Mgmnt'!J127&gt;0,"2W",IF('Perf. Mgmnt'!I127&gt;0,"1W",IF('Perf. Mgmnt'!H127&gt;0,"VW",""))))</f>
        <v/>
      </c>
      <c r="M23" s="62" t="str">
        <f>IF('Perf. Mgmnt'!P127&gt;0,"FW",IF('Perf. Mgmnt'!O127&gt;0,"2W",IF('Perf. Mgmnt'!N127&gt;0,"1W",IF('Perf. Mgmnt'!M127&gt;0,"VW",""))))</f>
        <v/>
      </c>
      <c r="N23" s="62" t="str">
        <f>IF('Perf. Mgmnt'!Q127&gt;0,"FW","")</f>
        <v/>
      </c>
      <c r="O23" s="62" t="str">
        <f>IF('Perf. Mgmnt'!S127&gt;0,"FW","")</f>
        <v/>
      </c>
      <c r="P23" s="66" t="str">
        <f>IF('Perf. Mgmnt'!W127&gt;0,"FW",IF('Perf. Mgmnt'!V127&gt;0,"2W",IF('Perf. Mgmnt'!U127&gt;0,"1W",IF('Perf. Mgmnt'!T127&gt;0,"VW",""))))</f>
        <v/>
      </c>
      <c r="Q23" s="76" t="str">
        <f>IF('Student Data'!D24="","",'Nesting Sales'!AM23)</f>
        <v/>
      </c>
      <c r="R23" s="62" t="str">
        <f>IF('Student Data'!D24="","",'Nesting Sales'!AN23)</f>
        <v/>
      </c>
      <c r="S23" s="62" t="str">
        <f>IF('Student Data'!D24="","",'Nesting Sales'!AO23)</f>
        <v/>
      </c>
      <c r="T23" s="77" t="str">
        <f>IF('Student Data'!D24="","",'Nesting Sales'!AP23)</f>
        <v/>
      </c>
      <c r="U23" s="308"/>
      <c r="V23" s="87"/>
      <c r="W23" s="87"/>
      <c r="X23" s="82"/>
      <c r="Y23" s="84"/>
    </row>
    <row r="24" spans="1:25">
      <c r="A24" s="192" t="str">
        <f>'Student Data'!D25&amp;" "&amp;'Student Data'!C25</f>
        <v xml:space="preserve"> </v>
      </c>
      <c r="B24" s="195" t="str">
        <f>Performance!AJ25</f>
        <v/>
      </c>
      <c r="C24" s="303" t="e">
        <f>IF('PCB Nesting QA'!#REF!="","",'PCB Nesting QA'!#REF!)</f>
        <v>#REF!</v>
      </c>
      <c r="D24" s="131" t="e">
        <f>IF('PCB Nesting QA'!#REF!="","",'PCB Nesting QA'!#REF!)</f>
        <v>#REF!</v>
      </c>
      <c r="E24" s="131" t="e">
        <f>IF('PCB Nesting QA'!#REF!="","",'PCB Nesting QA'!#REF!)</f>
        <v>#REF!</v>
      </c>
      <c r="F24" s="133" t="e">
        <f>IF('PCB Nesting QA'!#REF!="","",'PCB Nesting QA'!#REF!)</f>
        <v>#REF!</v>
      </c>
      <c r="G24" s="143" t="e">
        <f>'PCB Nesting QA'!#REF!</f>
        <v>#REF!</v>
      </c>
      <c r="H24" s="148" t="str">
        <f>IF('Student Data'!D25="","",Attendance!#REF!)</f>
        <v/>
      </c>
      <c r="I24" s="49" t="str">
        <f>IF('Student Data'!D25="","",Attendance!#REF!)</f>
        <v/>
      </c>
      <c r="J24" s="73" t="str">
        <f>IF('Student Data'!D25="","",Attendance!#REF!)</f>
        <v/>
      </c>
      <c r="K24" s="76" t="e">
        <f>IF('Perf. Mgmnt'!#REF!&gt;0,"S4",IF('Perf. Mgmnt'!#REF!&gt;0,"S3",IF('Perf. Mgmnt'!#REF!&gt;0,"S2",IF('Perf. Mgmnt'!#REF!&gt;0,"S1",""))))</f>
        <v>#REF!</v>
      </c>
      <c r="L24" s="62" t="e">
        <f>IF('Perf. Mgmnt'!#REF!&gt;0,"FW",IF('Perf. Mgmnt'!#REF!&gt;0,"2W",IF('Perf. Mgmnt'!#REF!&gt;0,"1W",IF('Perf. Mgmnt'!#REF!&gt;0,"VW",""))))</f>
        <v>#REF!</v>
      </c>
      <c r="M24" s="62" t="e">
        <f>IF('Perf. Mgmnt'!#REF!&gt;0,"FW",IF('Perf. Mgmnt'!#REF!&gt;0,"2W",IF('Perf. Mgmnt'!#REF!&gt;0,"1W",IF('Perf. Mgmnt'!#REF!&gt;0,"VW",""))))</f>
        <v>#REF!</v>
      </c>
      <c r="N24" s="62" t="e">
        <f>IF('Perf. Mgmnt'!#REF!&gt;0,"FW","")</f>
        <v>#REF!</v>
      </c>
      <c r="O24" s="62" t="e">
        <f>IF('Perf. Mgmnt'!#REF!&gt;0,"FW","")</f>
        <v>#REF!</v>
      </c>
      <c r="P24" s="66" t="e">
        <f>IF('Perf. Mgmnt'!#REF!&gt;0,"FW",IF('Perf. Mgmnt'!#REF!&gt;0,"2W",IF('Perf. Mgmnt'!#REF!&gt;0,"1W",IF('Perf. Mgmnt'!#REF!&gt;0,"VW",""))))</f>
        <v>#REF!</v>
      </c>
      <c r="Q24" s="76" t="str">
        <f>IF('Student Data'!D25="","",'Nesting Sales'!AM24)</f>
        <v/>
      </c>
      <c r="R24" s="62" t="str">
        <f>IF('Student Data'!D25="","",'Nesting Sales'!AN24)</f>
        <v/>
      </c>
      <c r="S24" s="62" t="str">
        <f>IF('Student Data'!D25="","",'Nesting Sales'!AO24)</f>
        <v/>
      </c>
      <c r="T24" s="77" t="str">
        <f>IF('Student Data'!D25="","",'Nesting Sales'!AP24)</f>
        <v/>
      </c>
      <c r="U24" s="308"/>
      <c r="V24" s="87"/>
      <c r="W24" s="87"/>
      <c r="X24" s="82"/>
      <c r="Y24" s="84"/>
    </row>
    <row r="25" spans="1:25">
      <c r="A25" s="192" t="str">
        <f>'Student Data'!D26&amp;" "&amp;'Student Data'!C26</f>
        <v xml:space="preserve"> </v>
      </c>
      <c r="B25" s="195" t="str">
        <f>Performance!AJ26</f>
        <v/>
      </c>
      <c r="C25" s="303" t="e">
        <f>IF('PCB Nesting QA'!#REF!="","",'PCB Nesting QA'!#REF!)</f>
        <v>#REF!</v>
      </c>
      <c r="D25" s="131" t="e">
        <f>IF('PCB Nesting QA'!#REF!="","",'PCB Nesting QA'!#REF!)</f>
        <v>#REF!</v>
      </c>
      <c r="E25" s="131" t="e">
        <f>IF('PCB Nesting QA'!#REF!="","",'PCB Nesting QA'!#REF!)</f>
        <v>#REF!</v>
      </c>
      <c r="F25" s="133" t="e">
        <f>IF('PCB Nesting QA'!#REF!="","",'PCB Nesting QA'!#REF!)</f>
        <v>#REF!</v>
      </c>
      <c r="G25" s="143" t="e">
        <f>'PCB Nesting QA'!#REF!</f>
        <v>#REF!</v>
      </c>
      <c r="H25" s="148" t="str">
        <f>IF('Student Data'!D26="","",Attendance!#REF!)</f>
        <v/>
      </c>
      <c r="I25" s="49" t="str">
        <f>IF('Student Data'!D26="","",Attendance!#REF!)</f>
        <v/>
      </c>
      <c r="J25" s="73" t="str">
        <f>IF('Student Data'!D26="","",Attendance!#REF!)</f>
        <v/>
      </c>
      <c r="K25" s="76" t="e">
        <f>IF('Perf. Mgmnt'!#REF!&gt;0,"S4",IF('Perf. Mgmnt'!#REF!&gt;0,"S3",IF('Perf. Mgmnt'!#REF!&gt;0,"S2",IF('Perf. Mgmnt'!#REF!&gt;0,"S1",""))))</f>
        <v>#REF!</v>
      </c>
      <c r="L25" s="62" t="e">
        <f>IF('Perf. Mgmnt'!#REF!&gt;0,"FW",IF('Perf. Mgmnt'!#REF!&gt;0,"2W",IF('Perf. Mgmnt'!#REF!&gt;0,"1W",IF('Perf. Mgmnt'!#REF!&gt;0,"VW",""))))</f>
        <v>#REF!</v>
      </c>
      <c r="M25" s="62" t="e">
        <f>IF('Perf. Mgmnt'!#REF!&gt;0,"FW",IF('Perf. Mgmnt'!#REF!&gt;0,"2W",IF('Perf. Mgmnt'!#REF!&gt;0,"1W",IF('Perf. Mgmnt'!#REF!&gt;0,"VW",""))))</f>
        <v>#REF!</v>
      </c>
      <c r="N25" s="62" t="e">
        <f>IF('Perf. Mgmnt'!#REF!&gt;0,"FW","")</f>
        <v>#REF!</v>
      </c>
      <c r="O25" s="62" t="e">
        <f>IF('Perf. Mgmnt'!#REF!&gt;0,"FW","")</f>
        <v>#REF!</v>
      </c>
      <c r="P25" s="66" t="e">
        <f>IF('Perf. Mgmnt'!#REF!&gt;0,"FW",IF('Perf. Mgmnt'!#REF!&gt;0,"2W",IF('Perf. Mgmnt'!#REF!&gt;0,"1W",IF('Perf. Mgmnt'!#REF!&gt;0,"VW",""))))</f>
        <v>#REF!</v>
      </c>
      <c r="Q25" s="76" t="str">
        <f>IF('Student Data'!D26="","",'Nesting Sales'!AM25)</f>
        <v/>
      </c>
      <c r="R25" s="62" t="str">
        <f>IF('Student Data'!D26="","",'Nesting Sales'!AN25)</f>
        <v/>
      </c>
      <c r="S25" s="62" t="str">
        <f>IF('Student Data'!D26="","",'Nesting Sales'!AO25)</f>
        <v/>
      </c>
      <c r="T25" s="77" t="str">
        <f>IF('Student Data'!D26="","",'Nesting Sales'!AP25)</f>
        <v/>
      </c>
      <c r="U25" s="308"/>
      <c r="V25" s="87"/>
      <c r="W25" s="87"/>
      <c r="X25" s="82"/>
      <c r="Y25" s="84"/>
    </row>
    <row r="26" spans="1:25">
      <c r="A26" s="192" t="str">
        <f>'Student Data'!D27&amp;" "&amp;'Student Data'!C27</f>
        <v xml:space="preserve"> </v>
      </c>
      <c r="B26" s="195" t="str">
        <f>Performance!AJ27</f>
        <v/>
      </c>
      <c r="C26" s="303" t="e">
        <f>IF('PCB Nesting QA'!#REF!="","",'PCB Nesting QA'!#REF!)</f>
        <v>#REF!</v>
      </c>
      <c r="D26" s="131" t="e">
        <f>IF('PCB Nesting QA'!#REF!="","",'PCB Nesting QA'!#REF!)</f>
        <v>#REF!</v>
      </c>
      <c r="E26" s="131" t="e">
        <f>IF('PCB Nesting QA'!#REF!="","",'PCB Nesting QA'!#REF!)</f>
        <v>#REF!</v>
      </c>
      <c r="F26" s="133" t="e">
        <f>IF('PCB Nesting QA'!#REF!="","",'PCB Nesting QA'!#REF!)</f>
        <v>#REF!</v>
      </c>
      <c r="G26" s="143" t="e">
        <f>'PCB Nesting QA'!#REF!</f>
        <v>#REF!</v>
      </c>
      <c r="H26" s="148" t="str">
        <f>IF('Student Data'!D27="","",Attendance!#REF!)</f>
        <v/>
      </c>
      <c r="I26" s="49" t="str">
        <f>IF('Student Data'!D27="","",Attendance!#REF!)</f>
        <v/>
      </c>
      <c r="J26" s="73" t="str">
        <f>IF('Student Data'!D27="","",Attendance!#REF!)</f>
        <v/>
      </c>
      <c r="K26" s="76" t="e">
        <f>IF('Perf. Mgmnt'!#REF!&gt;0,"S4",IF('Perf. Mgmnt'!#REF!&gt;0,"S3",IF('Perf. Mgmnt'!#REF!&gt;0,"S2",IF('Perf. Mgmnt'!#REF!&gt;0,"S1",""))))</f>
        <v>#REF!</v>
      </c>
      <c r="L26" s="62" t="e">
        <f>IF('Perf. Mgmnt'!#REF!&gt;0,"FW",IF('Perf. Mgmnt'!#REF!&gt;0,"2W",IF('Perf. Mgmnt'!#REF!&gt;0,"1W",IF('Perf. Mgmnt'!#REF!&gt;0,"VW",""))))</f>
        <v>#REF!</v>
      </c>
      <c r="M26" s="62" t="e">
        <f>IF('Perf. Mgmnt'!#REF!&gt;0,"FW",IF('Perf. Mgmnt'!#REF!&gt;0,"2W",IF('Perf. Mgmnt'!#REF!&gt;0,"1W",IF('Perf. Mgmnt'!#REF!&gt;0,"VW",""))))</f>
        <v>#REF!</v>
      </c>
      <c r="N26" s="62" t="e">
        <f>IF('Perf. Mgmnt'!#REF!&gt;0,"FW","")</f>
        <v>#REF!</v>
      </c>
      <c r="O26" s="62" t="e">
        <f>IF('Perf. Mgmnt'!#REF!&gt;0,"FW","")</f>
        <v>#REF!</v>
      </c>
      <c r="P26" s="66" t="e">
        <f>IF('Perf. Mgmnt'!#REF!&gt;0,"FW",IF('Perf. Mgmnt'!#REF!&gt;0,"2W",IF('Perf. Mgmnt'!#REF!&gt;0,"1W",IF('Perf. Mgmnt'!#REF!&gt;0,"VW",""))))</f>
        <v>#REF!</v>
      </c>
      <c r="Q26" s="76" t="str">
        <f>IF('Student Data'!D27="","",'Nesting Sales'!AM26)</f>
        <v/>
      </c>
      <c r="R26" s="62" t="str">
        <f>IF('Student Data'!D27="","",'Nesting Sales'!AN26)</f>
        <v/>
      </c>
      <c r="S26" s="62" t="str">
        <f>IF('Student Data'!D27="","",'Nesting Sales'!AO26)</f>
        <v/>
      </c>
      <c r="T26" s="77" t="str">
        <f>IF('Student Data'!D27="","",'Nesting Sales'!AP26)</f>
        <v/>
      </c>
      <c r="U26" s="308"/>
      <c r="V26" s="87"/>
      <c r="W26" s="87"/>
      <c r="X26" s="82"/>
      <c r="Y26" s="82"/>
    </row>
    <row r="27" spans="1:25">
      <c r="A27" s="192" t="str">
        <f>'Student Data'!D28&amp;" "&amp;'Student Data'!C28</f>
        <v xml:space="preserve"> </v>
      </c>
      <c r="B27" s="195" t="str">
        <f>Performance!AJ28</f>
        <v/>
      </c>
      <c r="C27" s="303" t="e">
        <f>IF('PCB Nesting QA'!#REF!="","",'PCB Nesting QA'!#REF!)</f>
        <v>#REF!</v>
      </c>
      <c r="D27" s="131" t="e">
        <f>IF('PCB Nesting QA'!#REF!="","",'PCB Nesting QA'!#REF!)</f>
        <v>#REF!</v>
      </c>
      <c r="E27" s="131" t="e">
        <f>IF('PCB Nesting QA'!#REF!="","",'PCB Nesting QA'!#REF!)</f>
        <v>#REF!</v>
      </c>
      <c r="F27" s="133" t="e">
        <f>IF('PCB Nesting QA'!#REF!="","",'PCB Nesting QA'!#REF!)</f>
        <v>#REF!</v>
      </c>
      <c r="G27" s="143" t="e">
        <f>'PCB Nesting QA'!#REF!</f>
        <v>#REF!</v>
      </c>
      <c r="H27" s="148" t="str">
        <f>IF('Student Data'!D28="","",Attendance!#REF!)</f>
        <v/>
      </c>
      <c r="I27" s="49" t="str">
        <f>IF('Student Data'!D28="","",Attendance!#REF!)</f>
        <v/>
      </c>
      <c r="J27" s="73" t="str">
        <f>IF('Student Data'!D28="","",Attendance!#REF!)</f>
        <v/>
      </c>
      <c r="K27" s="76" t="e">
        <f>IF('Perf. Mgmnt'!#REF!&gt;0,"S4",IF('Perf. Mgmnt'!#REF!&gt;0,"S3",IF('Perf. Mgmnt'!#REF!&gt;0,"S2",IF('Perf. Mgmnt'!#REF!&gt;0,"S1",""))))</f>
        <v>#REF!</v>
      </c>
      <c r="L27" s="62" t="e">
        <f>IF('Perf. Mgmnt'!#REF!&gt;0,"FW",IF('Perf. Mgmnt'!#REF!&gt;0,"2W",IF('Perf. Mgmnt'!#REF!&gt;0,"1W",IF('Perf. Mgmnt'!#REF!&gt;0,"VW",""))))</f>
        <v>#REF!</v>
      </c>
      <c r="M27" s="62" t="e">
        <f>IF('Perf. Mgmnt'!#REF!&gt;0,"FW",IF('Perf. Mgmnt'!#REF!&gt;0,"2W",IF('Perf. Mgmnt'!#REF!&gt;0,"1W",IF('Perf. Mgmnt'!#REF!&gt;0,"VW",""))))</f>
        <v>#REF!</v>
      </c>
      <c r="N27" s="62" t="e">
        <f>IF('Perf. Mgmnt'!#REF!&gt;0,"FW","")</f>
        <v>#REF!</v>
      </c>
      <c r="O27" s="62" t="e">
        <f>IF('Perf. Mgmnt'!#REF!&gt;0,"FW","")</f>
        <v>#REF!</v>
      </c>
      <c r="P27" s="66" t="e">
        <f>IF('Perf. Mgmnt'!#REF!&gt;0,"FW",IF('Perf. Mgmnt'!#REF!&gt;0,"2W",IF('Perf. Mgmnt'!#REF!&gt;0,"1W",IF('Perf. Mgmnt'!#REF!&gt;0,"VW",""))))</f>
        <v>#REF!</v>
      </c>
      <c r="Q27" s="76" t="str">
        <f>IF('Student Data'!D28="","",'Nesting Sales'!AM27)</f>
        <v/>
      </c>
      <c r="R27" s="62" t="str">
        <f>IF('Student Data'!D28="","",'Nesting Sales'!AN27)</f>
        <v/>
      </c>
      <c r="S27" s="62" t="str">
        <f>IF('Student Data'!D28="","",'Nesting Sales'!AO27)</f>
        <v/>
      </c>
      <c r="T27" s="77" t="str">
        <f>IF('Student Data'!D28="","",'Nesting Sales'!AP27)</f>
        <v/>
      </c>
      <c r="U27" s="308"/>
      <c r="V27" s="87"/>
      <c r="W27" s="87"/>
      <c r="X27" s="82"/>
      <c r="Y27" s="82"/>
    </row>
    <row r="28" spans="1:25" ht="15" thickBot="1">
      <c r="A28" s="193" t="str">
        <f>'Student Data'!D29&amp;" "&amp;'Student Data'!C29</f>
        <v xml:space="preserve"> </v>
      </c>
      <c r="B28" s="196" t="str">
        <f>Performance!AJ29</f>
        <v/>
      </c>
      <c r="C28" s="304" t="e">
        <f>IF('PCB Nesting QA'!#REF!="","",'PCB Nesting QA'!#REF!)</f>
        <v>#REF!</v>
      </c>
      <c r="D28" s="134" t="e">
        <f>IF('PCB Nesting QA'!#REF!="","",'PCB Nesting QA'!#REF!)</f>
        <v>#REF!</v>
      </c>
      <c r="E28" s="134" t="e">
        <f>IF('PCB Nesting QA'!#REF!="","",'PCB Nesting QA'!#REF!)</f>
        <v>#REF!</v>
      </c>
      <c r="F28" s="135" t="e">
        <f>IF('PCB Nesting QA'!#REF!="","",'PCB Nesting QA'!#REF!)</f>
        <v>#REF!</v>
      </c>
      <c r="G28" s="144" t="e">
        <f>'PCB Nesting QA'!#REF!</f>
        <v>#REF!</v>
      </c>
      <c r="H28" s="149" t="str">
        <f>IF('Student Data'!D29="","",Attendance!#REF!)</f>
        <v/>
      </c>
      <c r="I28" s="74" t="str">
        <f>IF('Student Data'!D29="","",Attendance!#REF!)</f>
        <v/>
      </c>
      <c r="J28" s="75" t="str">
        <f>IF('Student Data'!D29="","",Attendance!#REF!)</f>
        <v/>
      </c>
      <c r="K28" s="78" t="e">
        <f>IF('Perf. Mgmnt'!#REF!&gt;0,"S4",IF('Perf. Mgmnt'!#REF!&gt;0,"S3",IF('Perf. Mgmnt'!#REF!&gt;0,"S2",IF('Perf. Mgmnt'!#REF!&gt;0,"S1",""))))</f>
        <v>#REF!</v>
      </c>
      <c r="L28" s="79" t="e">
        <f>IF('Perf. Mgmnt'!#REF!&gt;0,"FW",IF('Perf. Mgmnt'!#REF!&gt;0,"2W",IF('Perf. Mgmnt'!#REF!&gt;0,"1W",IF('Perf. Mgmnt'!#REF!&gt;0,"VW",""))))</f>
        <v>#REF!</v>
      </c>
      <c r="M28" s="79" t="e">
        <f>IF('Perf. Mgmnt'!#REF!&gt;0,"FW",IF('Perf. Mgmnt'!#REF!&gt;0,"2W",IF('Perf. Mgmnt'!#REF!&gt;0,"1W",IF('Perf. Mgmnt'!#REF!&gt;0,"VW",""))))</f>
        <v>#REF!</v>
      </c>
      <c r="N28" s="79" t="e">
        <f>IF('Perf. Mgmnt'!#REF!&gt;0,"FW","")</f>
        <v>#REF!</v>
      </c>
      <c r="O28" s="79" t="e">
        <f>IF('Perf. Mgmnt'!#REF!&gt;0,"FW","")</f>
        <v>#REF!</v>
      </c>
      <c r="P28" s="306" t="e">
        <f>IF('Perf. Mgmnt'!#REF!&gt;0,"FW",IF('Perf. Mgmnt'!#REF!&gt;0,"2W",IF('Perf. Mgmnt'!#REF!&gt;0,"1W",IF('Perf. Mgmnt'!#REF!&gt;0,"VW",""))))</f>
        <v>#REF!</v>
      </c>
      <c r="Q28" s="78" t="str">
        <f>IF('Student Data'!D29="","",'Nesting Sales'!AM28)</f>
        <v/>
      </c>
      <c r="R28" s="79" t="str">
        <f>IF('Student Data'!D29="","",'Nesting Sales'!AN28)</f>
        <v/>
      </c>
      <c r="S28" s="79" t="str">
        <f>IF('Student Data'!D29="","",'Nesting Sales'!AO28)</f>
        <v/>
      </c>
      <c r="T28" s="80" t="str">
        <f>IF('Student Data'!D29="","",'Nesting Sales'!AP28)</f>
        <v/>
      </c>
      <c r="U28" s="309"/>
      <c r="V28" s="190"/>
      <c r="W28" s="190"/>
      <c r="X28" s="83"/>
      <c r="Y28" s="83"/>
    </row>
    <row r="30" spans="1:25">
      <c r="H30" s="960" t="s">
        <v>593</v>
      </c>
      <c r="I30" s="960"/>
      <c r="J30" s="960"/>
      <c r="K30" s="45" t="s">
        <v>594</v>
      </c>
      <c r="L30" t="s">
        <v>595</v>
      </c>
    </row>
    <row r="31" spans="1:25" ht="15" hidden="1" customHeight="1">
      <c r="A31" s="54" t="s">
        <v>596</v>
      </c>
      <c r="K31" s="45"/>
    </row>
    <row r="32" spans="1:25" ht="15" hidden="1" customHeight="1">
      <c r="A32" s="54" t="s">
        <v>597</v>
      </c>
      <c r="K32" s="45"/>
    </row>
    <row r="33" spans="1:11" ht="15" hidden="1" customHeight="1">
      <c r="A33" s="54" t="s">
        <v>598</v>
      </c>
      <c r="K33" s="45"/>
    </row>
    <row r="34" spans="1:11" ht="15" hidden="1" customHeight="1">
      <c r="A34" s="54" t="s">
        <v>599</v>
      </c>
      <c r="K34" s="45"/>
    </row>
    <row r="35" spans="1:11" ht="15" hidden="1" customHeight="1">
      <c r="A35" s="54" t="s">
        <v>600</v>
      </c>
      <c r="K35" s="45"/>
    </row>
    <row r="36" spans="1:11" ht="15" hidden="1" customHeight="1">
      <c r="A36" s="54" t="s">
        <v>601</v>
      </c>
      <c r="K36" s="45"/>
    </row>
    <row r="37" spans="1:11" ht="15" hidden="1" customHeight="1">
      <c r="A37" s="54" t="s">
        <v>602</v>
      </c>
      <c r="K37" s="45"/>
    </row>
    <row r="38" spans="1:11" ht="15" hidden="1" customHeight="1">
      <c r="A38" s="54" t="s">
        <v>603</v>
      </c>
      <c r="K38" s="45"/>
    </row>
    <row r="39" spans="1:11" ht="15" hidden="1" customHeight="1">
      <c r="A39" s="54" t="s">
        <v>604</v>
      </c>
      <c r="K39" s="45"/>
    </row>
    <row r="40" spans="1:11" ht="15" hidden="1" customHeight="1">
      <c r="A40" s="54" t="s">
        <v>605</v>
      </c>
      <c r="K40" s="45"/>
    </row>
    <row r="41" spans="1:11" ht="15" hidden="1" customHeight="1">
      <c r="A41" s="54" t="s">
        <v>606</v>
      </c>
      <c r="K41" s="45"/>
    </row>
    <row r="42" spans="1:11" ht="15" hidden="1" customHeight="1">
      <c r="A42" s="54" t="s">
        <v>607</v>
      </c>
      <c r="K42" s="45"/>
    </row>
    <row r="43" spans="1:11" ht="15" hidden="1" customHeight="1">
      <c r="A43" s="54" t="s">
        <v>608</v>
      </c>
      <c r="K43" s="45"/>
    </row>
    <row r="44" spans="1:11" ht="15" hidden="1" customHeight="1">
      <c r="A44" s="54" t="s">
        <v>609</v>
      </c>
      <c r="K44" s="45"/>
    </row>
    <row r="45" spans="1:11" ht="15" hidden="1" customHeight="1">
      <c r="A45" s="54" t="s">
        <v>610</v>
      </c>
      <c r="K45" s="45"/>
    </row>
    <row r="46" spans="1:11" ht="15" hidden="1" customHeight="1">
      <c r="A46" s="54" t="s">
        <v>611</v>
      </c>
      <c r="K46" s="45"/>
    </row>
    <row r="47" spans="1:11" ht="15" hidden="1" customHeight="1">
      <c r="A47" s="54" t="s">
        <v>612</v>
      </c>
      <c r="K47" s="45"/>
    </row>
    <row r="48" spans="1:11" ht="15" hidden="1" customHeight="1">
      <c r="A48" s="54" t="s">
        <v>613</v>
      </c>
      <c r="K48" s="45"/>
    </row>
    <row r="49" spans="1:12" ht="15" hidden="1" customHeight="1">
      <c r="A49" s="54" t="s">
        <v>614</v>
      </c>
      <c r="K49" s="45"/>
    </row>
    <row r="50" spans="1:12" ht="15" hidden="1" customHeight="1">
      <c r="A50" s="54" t="s">
        <v>615</v>
      </c>
      <c r="K50" s="45"/>
    </row>
    <row r="51" spans="1:12" ht="15" hidden="1" customHeight="1">
      <c r="A51" s="54" t="s">
        <v>616</v>
      </c>
      <c r="K51" s="45"/>
    </row>
    <row r="52" spans="1:12" ht="15" hidden="1" customHeight="1">
      <c r="A52" s="54" t="s">
        <v>617</v>
      </c>
      <c r="K52" s="45"/>
    </row>
    <row r="53" spans="1:12">
      <c r="K53" s="45" t="s">
        <v>618</v>
      </c>
      <c r="L53" t="s">
        <v>619</v>
      </c>
    </row>
    <row r="54" spans="1:12">
      <c r="K54" s="45" t="s">
        <v>620</v>
      </c>
      <c r="L54" t="s">
        <v>621</v>
      </c>
    </row>
    <row r="55" spans="1:12">
      <c r="K55" s="45" t="s">
        <v>622</v>
      </c>
      <c r="L55" t="s">
        <v>623</v>
      </c>
    </row>
    <row r="56" spans="1:12">
      <c r="K56" s="45" t="s">
        <v>614</v>
      </c>
      <c r="L56" t="s">
        <v>624</v>
      </c>
    </row>
    <row r="57" spans="1:12">
      <c r="K57" s="45" t="s">
        <v>615</v>
      </c>
      <c r="L57" t="s">
        <v>625</v>
      </c>
    </row>
    <row r="58" spans="1:12">
      <c r="K58" s="45" t="s">
        <v>616</v>
      </c>
      <c r="L58" t="s">
        <v>626</v>
      </c>
    </row>
    <row r="59" spans="1:12">
      <c r="K59" s="45" t="s">
        <v>617</v>
      </c>
      <c r="L59" t="s">
        <v>627</v>
      </c>
    </row>
    <row r="67" spans="1:1">
      <c r="A67" s="46" t="s">
        <v>739</v>
      </c>
    </row>
    <row r="68" spans="1:1">
      <c r="A68" s="46" t="s">
        <v>740</v>
      </c>
    </row>
    <row r="69" spans="1:1">
      <c r="A69" s="46" t="s">
        <v>490</v>
      </c>
    </row>
  </sheetData>
  <mergeCells count="11">
    <mergeCell ref="W2:W3"/>
    <mergeCell ref="X2:X3"/>
    <mergeCell ref="U2:U3"/>
    <mergeCell ref="V2:V3"/>
    <mergeCell ref="Y2:Y3"/>
    <mergeCell ref="Q2:T2"/>
    <mergeCell ref="H30:J30"/>
    <mergeCell ref="A2:A3"/>
    <mergeCell ref="C2:G2"/>
    <mergeCell ref="H2:J2"/>
    <mergeCell ref="K2:P2"/>
  </mergeCells>
  <conditionalFormatting sqref="G4:G28">
    <cfRule type="cellIs" dxfId="124" priority="3" operator="between">
      <formula>0.1</formula>
      <formula>0.4999</formula>
    </cfRule>
    <cfRule type="cellIs" dxfId="123" priority="4" operator="greaterThan">
      <formula>0.4999</formula>
    </cfRule>
  </conditionalFormatting>
  <conditionalFormatting sqref="G4:G28">
    <cfRule type="cellIs" dxfId="122" priority="1" operator="equal">
      <formula>"Off Brand"</formula>
    </cfRule>
    <cfRule type="cellIs" dxfId="121" priority="2" operator="equal">
      <formula>"On Brand"</formula>
    </cfRule>
  </conditionalFormatting>
  <dataValidations count="1">
    <dataValidation type="list" allowBlank="1" showInputMessage="1" showErrorMessage="1" sqref="U4:W28" xr:uid="{00000000-0002-0000-1100-000000000000}">
      <formula1>$A$67:$A$69</formula1>
    </dataValidation>
  </dataValidations>
  <hyperlinks>
    <hyperlink ref="A1" location="'Quick Links'!A1" display="Home" xr:uid="{ADEC3AA2-C7B5-44A0-8192-B82D4915DF31}"/>
  </hyperlinks>
  <pageMargins left="0.7" right="0.7" top="0.75" bottom="0.75" header="0.3" footer="0.3"/>
  <pageSetup paperSize="5" scale="72" fitToHeight="0" orientation="landscape"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B18"/>
  <sheetViews>
    <sheetView workbookViewId="0">
      <selection activeCell="B18" sqref="B18"/>
    </sheetView>
  </sheetViews>
  <sheetFormatPr defaultColWidth="9.140625" defaultRowHeight="14.45"/>
  <cols>
    <col min="1" max="1" width="29.85546875" customWidth="1"/>
    <col min="2" max="2" width="18.140625" customWidth="1"/>
  </cols>
  <sheetData>
    <row r="1" spans="1:2">
      <c r="A1" s="288" t="s">
        <v>90</v>
      </c>
    </row>
    <row r="2" spans="1:2">
      <c r="A2" s="31"/>
      <c r="B2" s="32">
        <f>'Class Summary'!$B$118</f>
        <v>0</v>
      </c>
    </row>
    <row r="3" spans="1:2">
      <c r="A3" s="31"/>
      <c r="B3" s="32" t="e">
        <f>'Class Summary'!#REF!</f>
        <v>#REF!</v>
      </c>
    </row>
    <row r="4" spans="1:2">
      <c r="A4" s="31" t="s">
        <v>741</v>
      </c>
      <c r="B4" s="33">
        <f>COUNTIF('Student Data'!$N5:$N29,"English")</f>
        <v>0</v>
      </c>
    </row>
    <row r="5" spans="1:2">
      <c r="A5" s="31" t="s">
        <v>742</v>
      </c>
      <c r="B5" s="33">
        <f>COUNTIF('Student Data'!$N5:$N29,"Bilingual")</f>
        <v>0</v>
      </c>
    </row>
    <row r="6" spans="1:2">
      <c r="A6" s="31" t="s">
        <v>743</v>
      </c>
      <c r="B6" s="33">
        <f>COUNTIFS('Student Data'!$B5:$B29,"Transfer", 'Student Data'!$N5:N29, "English")</f>
        <v>0</v>
      </c>
    </row>
    <row r="7" spans="1:2">
      <c r="A7" s="31" t="s">
        <v>744</v>
      </c>
      <c r="B7" s="33">
        <f>COUNTIFS('Student Data'!$B5:$B29,"Transfer", 'Student Data'!$N5:N29, "Bilingual")</f>
        <v>0</v>
      </c>
    </row>
    <row r="8" spans="1:2">
      <c r="A8" s="31" t="s">
        <v>745</v>
      </c>
      <c r="B8" s="33" t="e">
        <f>'Class Summary'!#REF!</f>
        <v>#REF!</v>
      </c>
    </row>
    <row r="9" spans="1:2">
      <c r="A9" s="31" t="s">
        <v>123</v>
      </c>
      <c r="B9" s="31"/>
    </row>
    <row r="10" spans="1:2">
      <c r="A10" s="31" t="s">
        <v>746</v>
      </c>
      <c r="B10" s="31"/>
    </row>
    <row r="11" spans="1:2">
      <c r="A11" s="31" t="s">
        <v>747</v>
      </c>
      <c r="B11" s="31"/>
    </row>
    <row r="12" spans="1:2">
      <c r="A12" s="31" t="s">
        <v>748</v>
      </c>
      <c r="B12" s="33" t="e">
        <f>'Class Summary'!#REF!</f>
        <v>#REF!</v>
      </c>
    </row>
    <row r="13" spans="1:2">
      <c r="A13" s="31" t="s">
        <v>749</v>
      </c>
      <c r="B13" s="33">
        <f>COUNTIF('Student Data'!$G$5:$G$29, "Graduated Nesting")</f>
        <v>0</v>
      </c>
    </row>
    <row r="14" spans="1:2">
      <c r="A14" s="31" t="s">
        <v>750</v>
      </c>
      <c r="B14" s="31"/>
    </row>
    <row r="15" spans="1:2">
      <c r="A15" s="31" t="s">
        <v>751</v>
      </c>
      <c r="B15" s="31"/>
    </row>
    <row r="16" spans="1:2">
      <c r="A16" s="31" t="s">
        <v>752</v>
      </c>
      <c r="B16" s="108" t="str">
        <f>IFERROR(SUM(COUNTIF(#REF!,"&lt;80%")/COUNTIF(#REF!,"&gt;80%")), "")</f>
        <v/>
      </c>
    </row>
    <row r="17" spans="1:2">
      <c r="A17" s="31" t="s">
        <v>753</v>
      </c>
      <c r="B17" s="109" t="e">
        <f>#REF!</f>
        <v>#REF!</v>
      </c>
    </row>
    <row r="18" spans="1:2">
      <c r="A18" s="31" t="s">
        <v>754</v>
      </c>
      <c r="B18" s="108" t="e">
        <f>#REF!</f>
        <v>#REF!</v>
      </c>
    </row>
  </sheetData>
  <sheetProtection selectLockedCells="1" selectUnlockedCells="1"/>
  <hyperlinks>
    <hyperlink ref="A1" location="'Quick Links'!A1" display="Home" xr:uid="{5D02AFC1-0C61-4828-9EF4-5E5A98A07D2D}"/>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HC32"/>
  <sheetViews>
    <sheetView zoomScale="70" zoomScaleNormal="70" workbookViewId="0">
      <selection activeCell="F9" sqref="F9"/>
    </sheetView>
  </sheetViews>
  <sheetFormatPr defaultColWidth="9.140625" defaultRowHeight="15" customHeight="1"/>
  <cols>
    <col min="1" max="1" width="11.28515625" customWidth="1"/>
    <col min="2" max="2" width="7.5703125" customWidth="1"/>
    <col min="3" max="3" width="22.85546875" customWidth="1"/>
    <col min="4" max="4" width="15.140625" bestFit="1" customWidth="1"/>
    <col min="5" max="5" width="15.5703125" customWidth="1"/>
    <col min="6" max="6" width="33.140625" customWidth="1"/>
    <col min="7" max="11" width="12.5703125" customWidth="1"/>
    <col min="12" max="17" width="13.5703125" customWidth="1"/>
    <col min="18" max="41" width="8.42578125" customWidth="1"/>
    <col min="42" max="67" width="8.42578125" hidden="1" customWidth="1"/>
    <col min="68" max="68" width="24.140625" hidden="1" customWidth="1"/>
    <col min="69" max="69" width="0" hidden="1" customWidth="1"/>
    <col min="70" max="70" width="11.140625" hidden="1" customWidth="1"/>
    <col min="71" max="72" width="0" hidden="1" customWidth="1"/>
    <col min="73" max="75" width="11.140625" hidden="1" customWidth="1"/>
    <col min="76" max="112" width="0" hidden="1" customWidth="1"/>
    <col min="113" max="195" width="9.140625" hidden="1" customWidth="1"/>
    <col min="196" max="196" width="9.140625" customWidth="1"/>
    <col min="197" max="211" width="9.140625" hidden="1" customWidth="1"/>
    <col min="212" max="214" width="0" hidden="1" customWidth="1"/>
  </cols>
  <sheetData>
    <row r="1" spans="1:211" ht="27" customHeight="1">
      <c r="A1" s="288" t="s">
        <v>90</v>
      </c>
      <c r="B1" s="1048" t="s">
        <v>556</v>
      </c>
      <c r="C1" s="1050" t="s">
        <v>161</v>
      </c>
      <c r="D1" s="1050" t="s">
        <v>755</v>
      </c>
      <c r="E1" s="1050" t="s">
        <v>136</v>
      </c>
      <c r="F1" s="1052" t="s">
        <v>756</v>
      </c>
      <c r="G1" s="1046" t="s">
        <v>757</v>
      </c>
      <c r="H1" s="1044" t="s">
        <v>758</v>
      </c>
      <c r="I1" s="1044" t="s">
        <v>759</v>
      </c>
      <c r="J1" s="1044" t="s">
        <v>760</v>
      </c>
      <c r="K1" s="1044" t="s">
        <v>761</v>
      </c>
      <c r="L1" s="1054" t="s">
        <v>762</v>
      </c>
      <c r="M1" s="1052" t="s">
        <v>173</v>
      </c>
      <c r="N1" s="1060" t="s">
        <v>590</v>
      </c>
      <c r="O1" s="1052" t="s">
        <v>299</v>
      </c>
      <c r="P1" s="1060" t="s">
        <v>763</v>
      </c>
      <c r="Q1" s="1060" t="s">
        <v>764</v>
      </c>
      <c r="R1" s="1064" t="s">
        <v>765</v>
      </c>
      <c r="S1" s="1064"/>
      <c r="T1" s="1064"/>
      <c r="U1" s="1064"/>
      <c r="V1" s="1064"/>
      <c r="W1" s="1064"/>
      <c r="X1" s="1064"/>
      <c r="Y1" s="1064"/>
      <c r="Z1" s="1064"/>
      <c r="AA1" s="1064"/>
      <c r="AB1" s="1064"/>
      <c r="AC1" s="1064"/>
      <c r="AD1" s="1059" t="s">
        <v>766</v>
      </c>
      <c r="AE1" s="1059"/>
      <c r="AF1" s="1059"/>
      <c r="AG1" s="1065" t="s">
        <v>767</v>
      </c>
      <c r="AH1" s="1059" t="s">
        <v>544</v>
      </c>
      <c r="AI1" s="1059"/>
      <c r="AJ1" s="1059"/>
      <c r="AK1" s="1065" t="s">
        <v>768</v>
      </c>
      <c r="AL1" s="1059" t="s">
        <v>662</v>
      </c>
      <c r="AM1" s="1059"/>
      <c r="AN1" s="1059"/>
      <c r="AO1" s="1065" t="s">
        <v>769</v>
      </c>
      <c r="AP1" s="644"/>
      <c r="AQ1" s="644"/>
      <c r="AR1" s="644"/>
      <c r="AS1" s="644"/>
      <c r="AT1" s="644"/>
      <c r="AU1" s="644"/>
      <c r="AV1" s="644"/>
      <c r="AW1" s="644"/>
      <c r="AX1" s="644"/>
      <c r="AY1" s="644"/>
      <c r="AZ1" s="644"/>
      <c r="BA1" s="644"/>
      <c r="BB1" s="644"/>
      <c r="BC1" s="644"/>
      <c r="BD1" s="644"/>
      <c r="BE1" s="644"/>
      <c r="BF1" s="644"/>
      <c r="BG1" s="644"/>
      <c r="BH1" s="644"/>
      <c r="BI1" s="644"/>
      <c r="BJ1" s="644"/>
      <c r="BK1" s="644"/>
      <c r="BL1" s="644"/>
      <c r="BM1" s="644"/>
      <c r="BN1" s="644"/>
      <c r="BO1" s="644"/>
      <c r="BQ1" s="1068" t="s">
        <v>770</v>
      </c>
      <c r="BR1" s="1068"/>
      <c r="BS1" s="1068"/>
      <c r="BT1" s="1068"/>
      <c r="BU1" s="1068"/>
      <c r="BV1" s="1069" t="s">
        <v>771</v>
      </c>
      <c r="BW1" s="1069"/>
      <c r="BX1" s="1069"/>
      <c r="BY1" s="1069"/>
      <c r="BZ1" s="1069"/>
      <c r="CA1" s="1069"/>
      <c r="CB1" s="1069"/>
      <c r="CC1" s="1069"/>
      <c r="CD1" s="1069"/>
      <c r="CE1" s="1069"/>
      <c r="CF1" s="1069"/>
      <c r="CG1" s="1069"/>
      <c r="CH1" s="1069"/>
      <c r="CI1" s="1069"/>
      <c r="CJ1" s="1069"/>
      <c r="CK1" s="1069"/>
      <c r="CL1" s="1069"/>
      <c r="CM1" s="1069"/>
      <c r="CN1" s="1069"/>
      <c r="CO1" s="584"/>
      <c r="CP1" s="582" t="s">
        <v>772</v>
      </c>
      <c r="CQ1" s="582"/>
      <c r="CR1" s="582"/>
      <c r="CS1" s="582"/>
      <c r="CT1" s="582"/>
      <c r="CU1" s="582"/>
      <c r="CV1" s="582"/>
      <c r="CW1" s="582"/>
      <c r="CX1" s="582"/>
      <c r="CY1" s="582"/>
      <c r="CZ1" s="582"/>
      <c r="DA1" s="582"/>
      <c r="DB1" s="582"/>
      <c r="DC1" s="582"/>
      <c r="DD1" s="582"/>
      <c r="DE1" s="582"/>
      <c r="DF1" s="582"/>
      <c r="DG1" s="582"/>
      <c r="DH1" s="549"/>
      <c r="DI1" s="1070" t="s">
        <v>339</v>
      </c>
      <c r="DJ1" s="1070"/>
      <c r="DK1" s="1070"/>
      <c r="DL1" s="1070"/>
      <c r="DM1" s="1070"/>
      <c r="DN1" s="1070"/>
      <c r="DO1" s="1070"/>
      <c r="DP1" s="1070"/>
      <c r="DQ1" s="1070"/>
      <c r="DR1" s="1070"/>
      <c r="DS1" s="1070"/>
      <c r="DT1" s="1070"/>
      <c r="DU1" s="549"/>
      <c r="DV1" s="1056" t="s">
        <v>773</v>
      </c>
      <c r="DW1" s="1056"/>
      <c r="DX1" s="1056"/>
      <c r="DY1" s="1056"/>
      <c r="DZ1" s="1056"/>
      <c r="EA1" s="1056"/>
      <c r="EB1" s="1056"/>
      <c r="EC1" s="1056"/>
      <c r="ED1" s="1056"/>
      <c r="EE1" s="1056"/>
      <c r="EF1" s="1056"/>
      <c r="EG1" s="1056"/>
      <c r="EH1" s="549"/>
      <c r="EI1" s="1056" t="s">
        <v>774</v>
      </c>
      <c r="EJ1" s="1056"/>
      <c r="EK1" s="1056"/>
      <c r="EL1" s="1056"/>
      <c r="EM1" s="1056"/>
      <c r="EN1" s="1056"/>
      <c r="EO1" s="1056"/>
      <c r="EP1" s="1056"/>
      <c r="EQ1" s="1056"/>
      <c r="ER1" s="1056"/>
      <c r="ES1" s="1056"/>
      <c r="ET1" s="1056"/>
      <c r="EU1" s="549"/>
      <c r="EV1" s="1056" t="s">
        <v>775</v>
      </c>
      <c r="EW1" s="1056"/>
      <c r="EX1" s="1056"/>
      <c r="EY1" s="1056"/>
      <c r="EZ1" s="1056"/>
      <c r="FA1" s="1056"/>
      <c r="FB1" s="1056"/>
      <c r="FC1" s="1056"/>
      <c r="FD1" s="1056"/>
      <c r="FE1" s="1056"/>
      <c r="FF1" s="1056"/>
      <c r="FG1" s="1056"/>
      <c r="FH1" s="549"/>
      <c r="FI1" s="1057" t="s">
        <v>776</v>
      </c>
      <c r="FJ1" s="1058"/>
      <c r="FK1" s="1058"/>
      <c r="FL1" s="1058"/>
      <c r="FM1" s="1058"/>
      <c r="FN1" s="1058"/>
      <c r="FO1" s="1058"/>
      <c r="FP1" s="1058"/>
      <c r="FQ1" s="1058"/>
      <c r="FR1" s="1058"/>
      <c r="FS1" s="1058"/>
      <c r="FT1" s="1058"/>
      <c r="FU1" s="1058"/>
      <c r="FV1" s="1058"/>
      <c r="FW1" s="1058"/>
      <c r="FX1" s="549"/>
      <c r="FY1" s="1057" t="s">
        <v>777</v>
      </c>
      <c r="FZ1" s="1058"/>
      <c r="GA1" s="1058"/>
      <c r="GB1" s="1058"/>
      <c r="GC1" s="1058"/>
      <c r="GD1" s="1058"/>
      <c r="GE1" s="1058"/>
      <c r="GF1" s="1058"/>
      <c r="GG1" s="1058"/>
      <c r="GH1" s="1058"/>
      <c r="GI1" s="1058"/>
      <c r="GJ1" s="1058"/>
      <c r="GK1" s="1058"/>
      <c r="GL1" s="1058"/>
      <c r="GM1" s="1058"/>
      <c r="GN1" s="549"/>
      <c r="GO1" s="1057" t="s">
        <v>778</v>
      </c>
      <c r="GP1" s="1058"/>
      <c r="GQ1" s="1058"/>
      <c r="GR1" s="1058"/>
      <c r="GS1" s="1058"/>
      <c r="GT1" s="1058"/>
      <c r="GU1" s="1058"/>
      <c r="GV1" s="1058"/>
      <c r="GW1" s="1058"/>
      <c r="GX1" s="1058"/>
      <c r="GY1" s="1058"/>
      <c r="GZ1" s="1058"/>
      <c r="HA1" s="1058"/>
      <c r="HB1" s="1058"/>
      <c r="HC1" s="1058"/>
    </row>
    <row r="2" spans="1:211" ht="27" customHeight="1">
      <c r="B2" s="1049"/>
      <c r="C2" s="1051"/>
      <c r="D2" s="1051"/>
      <c r="E2" s="1051"/>
      <c r="F2" s="1053"/>
      <c r="G2" s="1047"/>
      <c r="H2" s="1045"/>
      <c r="I2" s="1045"/>
      <c r="J2" s="1045"/>
      <c r="K2" s="1045"/>
      <c r="L2" s="1055"/>
      <c r="M2" s="1053"/>
      <c r="N2" s="1061"/>
      <c r="O2" s="1062"/>
      <c r="P2" s="1063"/>
      <c r="Q2" s="1067"/>
      <c r="R2" s="112" t="s">
        <v>523</v>
      </c>
      <c r="S2" s="113" t="s">
        <v>524</v>
      </c>
      <c r="T2" s="113" t="s">
        <v>525</v>
      </c>
      <c r="U2" s="114" t="s">
        <v>526</v>
      </c>
      <c r="V2" s="114" t="s">
        <v>527</v>
      </c>
      <c r="W2" s="114" t="s">
        <v>779</v>
      </c>
      <c r="X2" s="114" t="s">
        <v>780</v>
      </c>
      <c r="Y2" s="114" t="s">
        <v>781</v>
      </c>
      <c r="Z2" s="114" t="s">
        <v>782</v>
      </c>
      <c r="AA2" s="114" t="s">
        <v>783</v>
      </c>
      <c r="AB2" s="114" t="s">
        <v>784</v>
      </c>
      <c r="AC2" s="114" t="s">
        <v>785</v>
      </c>
      <c r="AD2" s="112" t="s">
        <v>231</v>
      </c>
      <c r="AE2" s="112" t="s">
        <v>281</v>
      </c>
      <c r="AF2" s="113" t="s">
        <v>786</v>
      </c>
      <c r="AG2" s="1066"/>
      <c r="AH2" s="112" t="s">
        <v>231</v>
      </c>
      <c r="AI2" s="112" t="s">
        <v>281</v>
      </c>
      <c r="AJ2" s="113" t="s">
        <v>786</v>
      </c>
      <c r="AK2" s="1066"/>
      <c r="AL2" s="112" t="s">
        <v>231</v>
      </c>
      <c r="AM2" s="112" t="s">
        <v>281</v>
      </c>
      <c r="AN2" s="113" t="s">
        <v>786</v>
      </c>
      <c r="AO2" s="1066"/>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Q2" s="550" t="s">
        <v>787</v>
      </c>
      <c r="BR2" s="550" t="s">
        <v>788</v>
      </c>
      <c r="BS2" s="550" t="s">
        <v>789</v>
      </c>
      <c r="BT2" s="550" t="s">
        <v>790</v>
      </c>
      <c r="BU2" s="550" t="s">
        <v>791</v>
      </c>
      <c r="BV2" s="550" t="s">
        <v>556</v>
      </c>
      <c r="BW2" s="550" t="s">
        <v>792</v>
      </c>
      <c r="BX2" s="550" t="s">
        <v>793</v>
      </c>
      <c r="BY2" s="550" t="s">
        <v>794</v>
      </c>
      <c r="BZ2" s="550" t="s">
        <v>795</v>
      </c>
      <c r="CA2" s="550" t="s">
        <v>796</v>
      </c>
      <c r="CB2" s="550" t="s">
        <v>797</v>
      </c>
      <c r="CC2" s="551" t="s">
        <v>798</v>
      </c>
      <c r="CD2" s="551" t="s">
        <v>167</v>
      </c>
      <c r="CE2" s="551" t="s">
        <v>158</v>
      </c>
      <c r="CF2" s="551" t="s">
        <v>799</v>
      </c>
      <c r="CG2" s="550" t="s">
        <v>800</v>
      </c>
      <c r="CH2" s="550" t="s">
        <v>801</v>
      </c>
      <c r="CI2" s="550" t="s">
        <v>802</v>
      </c>
      <c r="CJ2" s="550" t="s">
        <v>803</v>
      </c>
      <c r="CK2" s="550" t="s">
        <v>804</v>
      </c>
      <c r="CL2" s="550" t="s">
        <v>661</v>
      </c>
      <c r="CM2" s="550" t="s">
        <v>805</v>
      </c>
      <c r="CN2" s="550" t="s">
        <v>806</v>
      </c>
      <c r="CO2" s="585"/>
      <c r="CP2" s="550" t="s">
        <v>795</v>
      </c>
      <c r="CQ2" s="550" t="s">
        <v>796</v>
      </c>
      <c r="CR2" s="551" t="s">
        <v>158</v>
      </c>
      <c r="CS2" s="583" t="s">
        <v>173</v>
      </c>
      <c r="CT2" s="583" t="s">
        <v>590</v>
      </c>
      <c r="CU2" s="583" t="s">
        <v>807</v>
      </c>
      <c r="CV2" s="583" t="s">
        <v>808</v>
      </c>
      <c r="CW2" s="583"/>
      <c r="CX2" s="583"/>
      <c r="CY2" s="583"/>
      <c r="CZ2" s="583"/>
      <c r="DA2" s="583"/>
      <c r="DB2" s="583"/>
      <c r="DC2" s="583"/>
      <c r="DD2" s="583"/>
      <c r="DE2" s="583"/>
      <c r="DF2" s="583"/>
      <c r="DG2" s="583"/>
      <c r="DH2" s="549"/>
      <c r="DI2" s="550" t="s">
        <v>556</v>
      </c>
      <c r="DJ2" s="550" t="s">
        <v>792</v>
      </c>
      <c r="DK2" s="550" t="s">
        <v>793</v>
      </c>
      <c r="DL2" s="550" t="s">
        <v>794</v>
      </c>
      <c r="DM2" s="550" t="s">
        <v>795</v>
      </c>
      <c r="DN2" s="550" t="s">
        <v>796</v>
      </c>
      <c r="DO2" s="550" t="s">
        <v>797</v>
      </c>
      <c r="DP2" s="552" t="s">
        <v>798</v>
      </c>
      <c r="DQ2" s="552" t="s">
        <v>167</v>
      </c>
      <c r="DR2" s="552" t="s">
        <v>158</v>
      </c>
      <c r="DS2" s="552" t="s">
        <v>799</v>
      </c>
      <c r="DT2" s="550" t="s">
        <v>802</v>
      </c>
      <c r="DU2" s="549"/>
      <c r="DV2" s="550" t="s">
        <v>556</v>
      </c>
      <c r="DW2" s="550" t="s">
        <v>792</v>
      </c>
      <c r="DX2" s="550" t="s">
        <v>793</v>
      </c>
      <c r="DY2" s="550" t="s">
        <v>794</v>
      </c>
      <c r="DZ2" s="550" t="s">
        <v>795</v>
      </c>
      <c r="EA2" s="550" t="s">
        <v>796</v>
      </c>
      <c r="EB2" s="550" t="s">
        <v>797</v>
      </c>
      <c r="EC2" s="553" t="s">
        <v>798</v>
      </c>
      <c r="ED2" s="553" t="s">
        <v>167</v>
      </c>
      <c r="EE2" s="553" t="s">
        <v>158</v>
      </c>
      <c r="EF2" s="553" t="s">
        <v>799</v>
      </c>
      <c r="EG2" s="550" t="s">
        <v>802</v>
      </c>
      <c r="EH2" s="549"/>
      <c r="EI2" s="550" t="s">
        <v>556</v>
      </c>
      <c r="EJ2" s="550" t="s">
        <v>792</v>
      </c>
      <c r="EK2" s="550" t="s">
        <v>793</v>
      </c>
      <c r="EL2" s="550" t="s">
        <v>794</v>
      </c>
      <c r="EM2" s="550" t="s">
        <v>795</v>
      </c>
      <c r="EN2" s="550" t="s">
        <v>796</v>
      </c>
      <c r="EO2" s="550" t="s">
        <v>797</v>
      </c>
      <c r="EP2" s="553" t="s">
        <v>798</v>
      </c>
      <c r="EQ2" s="553" t="s">
        <v>167</v>
      </c>
      <c r="ER2" s="553" t="s">
        <v>158</v>
      </c>
      <c r="ES2" s="553" t="s">
        <v>799</v>
      </c>
      <c r="ET2" s="550" t="s">
        <v>802</v>
      </c>
      <c r="EU2" s="549"/>
      <c r="EV2" s="550" t="s">
        <v>556</v>
      </c>
      <c r="EW2" s="550" t="s">
        <v>792</v>
      </c>
      <c r="EX2" s="550" t="s">
        <v>793</v>
      </c>
      <c r="EY2" s="550" t="s">
        <v>794</v>
      </c>
      <c r="EZ2" s="550" t="s">
        <v>795</v>
      </c>
      <c r="FA2" s="550" t="s">
        <v>796</v>
      </c>
      <c r="FB2" s="550" t="s">
        <v>797</v>
      </c>
      <c r="FC2" s="553" t="s">
        <v>798</v>
      </c>
      <c r="FD2" s="553" t="s">
        <v>167</v>
      </c>
      <c r="FE2" s="553" t="s">
        <v>158</v>
      </c>
      <c r="FF2" s="553" t="s">
        <v>799</v>
      </c>
      <c r="FG2" s="550" t="s">
        <v>802</v>
      </c>
      <c r="FH2" s="549"/>
      <c r="FI2" s="550" t="s">
        <v>556</v>
      </c>
      <c r="FJ2" s="550" t="s">
        <v>792</v>
      </c>
      <c r="FK2" s="550" t="s">
        <v>793</v>
      </c>
      <c r="FL2" s="550" t="s">
        <v>794</v>
      </c>
      <c r="FM2" s="550" t="s">
        <v>795</v>
      </c>
      <c r="FN2" s="550" t="s">
        <v>796</v>
      </c>
      <c r="FO2" s="550" t="s">
        <v>797</v>
      </c>
      <c r="FP2" s="554" t="s">
        <v>798</v>
      </c>
      <c r="FQ2" s="554" t="s">
        <v>167</v>
      </c>
      <c r="FR2" s="554" t="s">
        <v>158</v>
      </c>
      <c r="FS2" s="554" t="s">
        <v>799</v>
      </c>
      <c r="FT2" s="550" t="s">
        <v>802</v>
      </c>
      <c r="FU2" s="550" t="s">
        <v>804</v>
      </c>
      <c r="FV2" s="550" t="s">
        <v>805</v>
      </c>
      <c r="FW2" s="550" t="s">
        <v>806</v>
      </c>
      <c r="FX2" s="549"/>
      <c r="FY2" s="550" t="s">
        <v>556</v>
      </c>
      <c r="FZ2" s="550" t="s">
        <v>792</v>
      </c>
      <c r="GA2" s="550" t="s">
        <v>793</v>
      </c>
      <c r="GB2" s="550" t="s">
        <v>794</v>
      </c>
      <c r="GC2" s="550" t="s">
        <v>795</v>
      </c>
      <c r="GD2" s="550" t="s">
        <v>796</v>
      </c>
      <c r="GE2" s="550" t="s">
        <v>797</v>
      </c>
      <c r="GF2" s="554" t="s">
        <v>798</v>
      </c>
      <c r="GG2" s="554" t="s">
        <v>167</v>
      </c>
      <c r="GH2" s="554" t="s">
        <v>158</v>
      </c>
      <c r="GI2" s="554" t="s">
        <v>799</v>
      </c>
      <c r="GJ2" s="550" t="s">
        <v>802</v>
      </c>
      <c r="GK2" s="550" t="s">
        <v>804</v>
      </c>
      <c r="GL2" s="550" t="s">
        <v>805</v>
      </c>
      <c r="GM2" s="550" t="s">
        <v>806</v>
      </c>
      <c r="GN2" s="549"/>
      <c r="GO2" s="550" t="s">
        <v>556</v>
      </c>
      <c r="GP2" s="550" t="s">
        <v>792</v>
      </c>
      <c r="GQ2" s="550" t="s">
        <v>793</v>
      </c>
      <c r="GR2" s="550" t="s">
        <v>794</v>
      </c>
      <c r="GS2" s="550" t="s">
        <v>795</v>
      </c>
      <c r="GT2" s="550" t="s">
        <v>796</v>
      </c>
      <c r="GU2" s="550" t="s">
        <v>797</v>
      </c>
      <c r="GV2" s="554" t="s">
        <v>798</v>
      </c>
      <c r="GW2" s="554" t="s">
        <v>167</v>
      </c>
      <c r="GX2" s="554" t="s">
        <v>158</v>
      </c>
      <c r="GY2" s="554" t="s">
        <v>799</v>
      </c>
      <c r="GZ2" s="550" t="s">
        <v>802</v>
      </c>
      <c r="HA2" s="550" t="s">
        <v>804</v>
      </c>
      <c r="HB2" s="550" t="s">
        <v>805</v>
      </c>
      <c r="HC2" s="550" t="s">
        <v>806</v>
      </c>
    </row>
    <row r="3" spans="1:211" s="558" customFormat="1" ht="14.45">
      <c r="A3" s="98" t="s">
        <v>809</v>
      </c>
      <c r="B3" s="240">
        <f>'Class Summary'!B4</f>
        <v>46023</v>
      </c>
      <c r="C3" s="241"/>
      <c r="D3" s="548">
        <f>'Class Summary'!B8</f>
        <v>0</v>
      </c>
      <c r="E3" s="242">
        <f>'Class Summary'!B7</f>
        <v>46057</v>
      </c>
      <c r="F3" s="243"/>
      <c r="G3" s="244">
        <f>SUM(G4:G30)</f>
        <v>4</v>
      </c>
      <c r="H3" s="539">
        <f>AVERAGE(H4:H30)</f>
        <v>0</v>
      </c>
      <c r="I3" s="245"/>
      <c r="J3" s="245">
        <f>SUM(J4:J30)</f>
        <v>0</v>
      </c>
      <c r="K3" s="245">
        <f>SUM(K4:K30)</f>
        <v>0</v>
      </c>
      <c r="L3" s="246">
        <f>IFERROR(AVERAGE(K3/G3), "")</f>
        <v>0</v>
      </c>
      <c r="M3" s="247">
        <f>SUM(M4:M30)</f>
        <v>1</v>
      </c>
      <c r="N3" s="247">
        <f>SUM(N4:N30)</f>
        <v>0</v>
      </c>
      <c r="O3" s="248">
        <f>SUM(O4:O30)</f>
        <v>0</v>
      </c>
      <c r="P3" s="249">
        <f>SUM(P4:P30)</f>
        <v>0</v>
      </c>
      <c r="Q3" s="247">
        <f>SUM(Q4:Q30)</f>
        <v>0</v>
      </c>
      <c r="R3" s="540">
        <f>AVERAGE(R4:R22)</f>
        <v>0</v>
      </c>
      <c r="S3" s="540">
        <f t="shared" ref="S3:AB3" si="0">AVERAGE(S4:S22)</f>
        <v>0</v>
      </c>
      <c r="T3" s="540">
        <f t="shared" si="0"/>
        <v>0</v>
      </c>
      <c r="U3" s="540">
        <f t="shared" si="0"/>
        <v>0</v>
      </c>
      <c r="V3" s="540">
        <f t="shared" si="0"/>
        <v>0</v>
      </c>
      <c r="W3" s="540">
        <f t="shared" si="0"/>
        <v>0</v>
      </c>
      <c r="X3" s="540">
        <f t="shared" si="0"/>
        <v>0</v>
      </c>
      <c r="Y3" s="540">
        <f t="shared" si="0"/>
        <v>0</v>
      </c>
      <c r="Z3" s="540">
        <f t="shared" si="0"/>
        <v>0</v>
      </c>
      <c r="AA3" s="540">
        <f t="shared" si="0"/>
        <v>0</v>
      </c>
      <c r="AB3" s="540">
        <f t="shared" si="0"/>
        <v>0</v>
      </c>
      <c r="AC3" s="654">
        <f>AVERAGE(AC4:AC22)</f>
        <v>0</v>
      </c>
      <c r="AD3" s="651" t="e">
        <f>AVERAGE(AD4:AD22)</f>
        <v>#DIV/0!</v>
      </c>
      <c r="AE3" s="651" t="e">
        <f t="shared" ref="AE3:AF3" si="1">AVERAGE(AE4:AE22)</f>
        <v>#DIV/0!</v>
      </c>
      <c r="AF3" s="651" t="e">
        <f t="shared" si="1"/>
        <v>#DIV/0!</v>
      </c>
      <c r="AG3" s="656" t="e">
        <f>'KPI Dashboard'!AN6</f>
        <v>#DIV/0!</v>
      </c>
      <c r="AH3" s="651" t="e">
        <f>AVERAGE(AH4:AH22)</f>
        <v>#DIV/0!</v>
      </c>
      <c r="AI3" s="651" t="e">
        <f t="shared" ref="AI3:AJ3" si="2">AVERAGE(AI4:AI22)</f>
        <v>#DIV/0!</v>
      </c>
      <c r="AJ3" s="651" t="e">
        <f t="shared" si="2"/>
        <v>#DIV/0!</v>
      </c>
      <c r="AK3" s="656" t="e">
        <f>'KPI Dashboard'!BM6</f>
        <v>#DIV/0!</v>
      </c>
      <c r="AL3" s="651" t="e">
        <f>AVERAGE(AL4:AL22)</f>
        <v>#DIV/0!</v>
      </c>
      <c r="AM3" s="651" t="e">
        <f>AVERAGE(AM4:AM22)</f>
        <v>#DIV/0!</v>
      </c>
      <c r="AN3" s="651" t="e">
        <f>AVERAGE(AN4:AN22)</f>
        <v>#DIV/0!</v>
      </c>
      <c r="AO3" s="656" t="e">
        <f>'KPI Dashboard'!CL6</f>
        <v>#DIV/0!</v>
      </c>
      <c r="AP3" s="645"/>
      <c r="AQ3" s="645"/>
      <c r="AR3" s="645"/>
      <c r="AS3" s="645"/>
      <c r="AT3" s="645"/>
      <c r="AU3" s="645"/>
      <c r="AV3" s="645"/>
      <c r="AW3" s="645"/>
      <c r="AX3" s="645"/>
      <c r="AY3" s="645"/>
      <c r="AZ3" s="645"/>
      <c r="BA3" s="645"/>
      <c r="BB3" s="645"/>
      <c r="BC3" s="645"/>
      <c r="BD3" s="645"/>
      <c r="BE3" s="645"/>
      <c r="BF3" s="645"/>
      <c r="BG3" s="645"/>
      <c r="BH3" s="645"/>
      <c r="BI3" s="645"/>
      <c r="BJ3" s="645"/>
      <c r="BK3" s="645"/>
      <c r="BL3" s="645"/>
      <c r="BM3" s="645"/>
      <c r="BN3" s="645"/>
      <c r="BO3" s="645"/>
      <c r="BP3" s="98"/>
      <c r="BQ3" s="555">
        <v>0</v>
      </c>
      <c r="BR3" s="556">
        <f>'Class Summary'!B8</f>
        <v>0</v>
      </c>
      <c r="BS3" s="555">
        <f>D4</f>
        <v>0</v>
      </c>
      <c r="BT3" s="555">
        <f>'Student Data'!B5</f>
        <v>0</v>
      </c>
      <c r="BU3" s="556">
        <f>'Class Summary'!B10</f>
        <v>0</v>
      </c>
      <c r="BV3" s="557">
        <f>Attendance!C5</f>
        <v>46023</v>
      </c>
      <c r="BW3" s="557">
        <f>Attendance!C10</f>
        <v>0</v>
      </c>
      <c r="BX3" s="555">
        <f>'Student Data'!C45</f>
        <v>4</v>
      </c>
      <c r="BY3" s="555">
        <f>Attendance!L41</f>
        <v>0</v>
      </c>
      <c r="BZ3" s="555">
        <f>Attendance!G4</f>
        <v>3</v>
      </c>
      <c r="CA3" s="555">
        <f>SUM(M3:P3)</f>
        <v>1</v>
      </c>
      <c r="CB3" s="555">
        <f>J3</f>
        <v>0</v>
      </c>
      <c r="CC3" s="559">
        <f>BY3/BX3</f>
        <v>0</v>
      </c>
      <c r="CD3" s="559">
        <f>CB3/BZ3</f>
        <v>0</v>
      </c>
      <c r="CE3" s="559">
        <f>CA3/BZ3</f>
        <v>0.33333333333333331</v>
      </c>
      <c r="CF3" s="559">
        <f>Attendance!M5</f>
        <v>0.89893617021276595</v>
      </c>
      <c r="CG3" s="579" t="e">
        <f>Performance!AD45</f>
        <v>#DIV/0!</v>
      </c>
      <c r="CH3" s="579" t="e">
        <f>Performance!AE45</f>
        <v>#DIV/0!</v>
      </c>
      <c r="CI3" s="555" t="e">
        <f>Performance!H45</f>
        <v>#DIV/0!</v>
      </c>
      <c r="CJ3" s="555"/>
      <c r="CK3" s="580" t="e">
        <f>'PCB Nesting QA'!P24</f>
        <v>#DIV/0!</v>
      </c>
      <c r="CL3" s="581" t="e">
        <f>'KPI Dashboard'!AN3</f>
        <v>#DIV/0!</v>
      </c>
      <c r="CM3" s="581" t="e">
        <f>'KPI Dashboard'!BM3</f>
        <v>#DIV/0!</v>
      </c>
      <c r="CN3" s="581" t="e">
        <f>'KPI Dashboard'!CL3</f>
        <v>#DIV/0!</v>
      </c>
      <c r="CO3"/>
      <c r="CP3" s="555">
        <f>Attendance!G4</f>
        <v>3</v>
      </c>
      <c r="CQ3" s="555">
        <f>SUM(M3:P3)</f>
        <v>1</v>
      </c>
      <c r="CR3" s="559">
        <f>CQ3/CP3</f>
        <v>0.33333333333333331</v>
      </c>
      <c r="CS3" s="581"/>
      <c r="CT3" s="581"/>
      <c r="CU3" s="581"/>
      <c r="CV3" s="581"/>
      <c r="CW3" s="581"/>
      <c r="CX3" s="581"/>
      <c r="CY3" s="581"/>
      <c r="CZ3" s="581"/>
      <c r="DA3" s="581"/>
      <c r="DB3" s="581"/>
      <c r="DC3" s="581"/>
      <c r="DD3" s="581"/>
      <c r="DE3" s="581"/>
      <c r="DF3" s="581"/>
      <c r="DG3" s="581"/>
      <c r="DH3" s="555"/>
      <c r="DI3" s="555"/>
      <c r="DJ3" s="555"/>
      <c r="DK3" s="555"/>
      <c r="DL3" s="555"/>
      <c r="DM3" s="555"/>
      <c r="DN3" s="555"/>
      <c r="DO3" s="555"/>
      <c r="DP3" s="555"/>
      <c r="DQ3" s="555"/>
      <c r="DR3" s="555"/>
      <c r="DS3" s="555"/>
      <c r="DT3" s="555"/>
      <c r="DU3" s="555"/>
      <c r="DV3" s="555"/>
      <c r="DW3" s="555"/>
      <c r="DX3" s="555"/>
      <c r="DY3" s="555"/>
      <c r="DZ3" s="555"/>
      <c r="EA3" s="555"/>
      <c r="EB3" s="555"/>
      <c r="EC3" s="555"/>
      <c r="ED3" s="555"/>
      <c r="EE3" s="555"/>
      <c r="EF3" s="555"/>
      <c r="EG3" s="555"/>
      <c r="EH3" s="555"/>
      <c r="EI3" s="555"/>
      <c r="EJ3" s="555"/>
      <c r="EK3" s="555"/>
      <c r="EL3" s="555"/>
      <c r="EM3" s="555"/>
      <c r="EN3" s="555"/>
      <c r="EO3" s="555"/>
      <c r="EP3" s="555"/>
      <c r="EQ3" s="555"/>
      <c r="ER3" s="555"/>
      <c r="ES3" s="555"/>
      <c r="ET3" s="555"/>
      <c r="EU3" s="555"/>
      <c r="EV3" s="555"/>
      <c r="EW3" s="555"/>
      <c r="EX3" s="555"/>
      <c r="EY3" s="555"/>
      <c r="EZ3" s="555"/>
      <c r="FA3" s="555"/>
      <c r="FB3" s="555"/>
      <c r="FC3" s="555"/>
      <c r="FD3" s="555"/>
      <c r="FE3" s="555"/>
      <c r="FF3" s="555"/>
      <c r="FG3" s="555"/>
      <c r="FH3" s="555"/>
      <c r="FI3" s="555"/>
      <c r="FJ3" s="555"/>
      <c r="FK3" s="555"/>
      <c r="FL3" s="555"/>
      <c r="FM3" s="555"/>
      <c r="FN3" s="555"/>
      <c r="FO3" s="555"/>
      <c r="FP3" s="555"/>
      <c r="FQ3" s="555"/>
      <c r="FR3" s="555"/>
      <c r="FS3" s="555"/>
      <c r="FT3" s="555"/>
      <c r="FU3" s="555"/>
      <c r="FV3" s="555"/>
      <c r="FW3" s="555"/>
      <c r="FX3" s="555"/>
      <c r="FY3" s="555"/>
      <c r="FZ3" s="555"/>
      <c r="GA3" s="555"/>
      <c r="GB3" s="555"/>
      <c r="GC3" s="555"/>
      <c r="GD3" s="555"/>
      <c r="GE3" s="555"/>
      <c r="GF3" s="555"/>
      <c r="GG3" s="555"/>
      <c r="GH3" s="555"/>
      <c r="GI3" s="555"/>
      <c r="GJ3" s="555"/>
      <c r="GK3" s="555"/>
      <c r="GL3" s="555"/>
      <c r="GM3" s="555"/>
      <c r="GN3" s="555"/>
      <c r="GO3" s="555"/>
      <c r="GP3" s="555"/>
      <c r="GQ3" s="555"/>
      <c r="GR3" s="555"/>
      <c r="GS3" s="555"/>
      <c r="GT3" s="555"/>
      <c r="GU3" s="555"/>
      <c r="GV3" s="555"/>
      <c r="GW3" s="555"/>
      <c r="GX3" s="555"/>
      <c r="GY3" s="555"/>
      <c r="GZ3" s="555"/>
      <c r="HA3" s="555"/>
      <c r="HB3" s="555"/>
      <c r="HC3" s="555"/>
    </row>
    <row r="4" spans="1:211" ht="14.45">
      <c r="A4" t="s">
        <v>810</v>
      </c>
      <c r="B4" s="221"/>
      <c r="C4" s="222" t="str">
        <f>'Student Data'!G5</f>
        <v>Resigned Pre-Process</v>
      </c>
      <c r="D4" s="252">
        <f>'Student Data'!K5</f>
        <v>0</v>
      </c>
      <c r="E4" s="223">
        <f>'Student Data'!E5</f>
        <v>0</v>
      </c>
      <c r="F4" s="224" t="str">
        <f>'Student Data'!D5&amp;" "&amp;'Student Data'!C5</f>
        <v>Donna Rnne</v>
      </c>
      <c r="G4" s="225">
        <f>COUNTIF('Student Data'!D5, "*")</f>
        <v>1</v>
      </c>
      <c r="H4" s="250">
        <f>MAX(Performance!AD5:AH5)</f>
        <v>0</v>
      </c>
      <c r="I4" s="226">
        <f>COUNTIF(Performance!AF5:AF5, "&gt;0")</f>
        <v>0</v>
      </c>
      <c r="J4" s="227" cm="1">
        <f t="array" ref="J4">SUMPRODUCT(COUNTIF('Student Data'!$G5,{"Tier 1A Nesting","*Tier 1B*","Nesting 3","Transi*"}))</f>
        <v>0</v>
      </c>
      <c r="K4" s="227" cm="1">
        <f t="array" ref="K4">SUMPRODUCT(COUNTIF('Student Data'!$G5,{"Transi*"}))</f>
        <v>0</v>
      </c>
      <c r="L4" s="228"/>
      <c r="M4" s="229" cm="1">
        <f t="array" ref="M4">SUMPRODUCT(COUNTIF('Student Data'!$G5,{"*Resigned*"}))</f>
        <v>1</v>
      </c>
      <c r="N4" s="230" cm="1">
        <f t="array" ref="N4">SUMPRODUCT(COUNTIF('Student Data'!$G5,{"*Terminated*"}))</f>
        <v>0</v>
      </c>
      <c r="O4" s="229">
        <f>COUNTIF('Student Data'!G5, "Remained at Previous Level")</f>
        <v>0</v>
      </c>
      <c r="P4" s="230">
        <f>COUNTIF('Student Data'!G5, "Transferred Out of Program")</f>
        <v>0</v>
      </c>
      <c r="Q4" s="230" cm="1">
        <f t="array" ref="Q4">SUMPRODUCT(COUNTIF('Student Data'!$G5,{"*Moved/Joining Alternate Class*"}))</f>
        <v>0</v>
      </c>
      <c r="R4" s="313">
        <f>'PCB Nesting QA'!D5</f>
        <v>0</v>
      </c>
      <c r="S4" s="313">
        <f>'PCB Nesting QA'!E5</f>
        <v>0</v>
      </c>
      <c r="T4" s="313">
        <f>'PCB Nesting QA'!F5</f>
        <v>0</v>
      </c>
      <c r="U4" s="313">
        <f>'PCB Nesting QA'!G5</f>
        <v>0</v>
      </c>
      <c r="V4" s="313">
        <f>'PCB Nesting QA'!H5</f>
        <v>0</v>
      </c>
      <c r="W4" s="313">
        <f>'PCB Nesting QA'!I5</f>
        <v>0</v>
      </c>
      <c r="X4" s="313">
        <f>'PCB Nesting QA'!J5</f>
        <v>0</v>
      </c>
      <c r="Y4" s="313">
        <f>'PCB Nesting QA'!K5</f>
        <v>0</v>
      </c>
      <c r="Z4" s="313">
        <f>'PCB Nesting QA'!L5</f>
        <v>0</v>
      </c>
      <c r="AA4" s="313">
        <f>'PCB Nesting QA'!M5</f>
        <v>0</v>
      </c>
      <c r="AB4" s="313">
        <f>'PCB Nesting QA'!N5</f>
        <v>0</v>
      </c>
      <c r="AC4" s="655">
        <f>'PCB Nesting QA'!O5</f>
        <v>0</v>
      </c>
      <c r="AD4" s="652" t="e">
        <f>'KPI Dashboard'!AT6</f>
        <v>#DIV/0!</v>
      </c>
      <c r="AE4" s="652" t="e">
        <f>'KPI Dashboard'!BA6</f>
        <v>#DIV/0!</v>
      </c>
      <c r="AF4" s="652" t="e">
        <f>'KPI Dashboard'!BL6</f>
        <v>#DIV/0!</v>
      </c>
      <c r="AG4" s="656" t="e">
        <f>'KPI Dashboard'!AN7</f>
        <v>#DIV/0!</v>
      </c>
      <c r="AH4" s="652" t="e">
        <f>'KPI Dashboard'!U6</f>
        <v>#DIV/0!</v>
      </c>
      <c r="AI4" s="652" t="e">
        <f>'KPI Dashboard'!AB6</f>
        <v>#DIV/0!</v>
      </c>
      <c r="AJ4" s="652" t="e">
        <f>'KPI Dashboard'!AM6</f>
        <v>#DIV/0!</v>
      </c>
      <c r="AK4" s="656" t="e">
        <f>'KPI Dashboard'!BM7</f>
        <v>#DIV/0!</v>
      </c>
      <c r="AL4" s="652" t="e">
        <f>'KPI Dashboard'!BS6</f>
        <v>#DIV/0!</v>
      </c>
      <c r="AM4" s="652" t="e">
        <f>'KPI Dashboard'!BZ6</f>
        <v>#DIV/0!</v>
      </c>
      <c r="AN4" s="652" t="e">
        <f>'KPI Dashboard'!CK6</f>
        <v>#DIV/0!</v>
      </c>
      <c r="AO4" s="656" t="e">
        <f>'KPI Dashboard'!CL7</f>
        <v>#DIV/0!</v>
      </c>
      <c r="AP4" s="646"/>
      <c r="AQ4" s="646"/>
      <c r="AR4" s="646"/>
      <c r="AS4" s="646"/>
      <c r="AT4" s="646"/>
      <c r="AU4" s="646"/>
      <c r="AV4" s="646"/>
      <c r="AW4" s="646"/>
      <c r="AX4" s="646"/>
      <c r="AY4" s="646"/>
      <c r="AZ4" s="646"/>
      <c r="BA4" s="646"/>
      <c r="BB4" s="646"/>
      <c r="BC4" s="646"/>
      <c r="BD4" s="646"/>
      <c r="BE4" s="646"/>
      <c r="BF4" s="646"/>
      <c r="BG4" s="646"/>
      <c r="BH4" s="646"/>
      <c r="BI4" s="646"/>
      <c r="BJ4" s="646"/>
      <c r="BK4" s="646"/>
      <c r="BL4" s="646"/>
      <c r="BM4" s="646"/>
      <c r="BN4" s="646"/>
      <c r="BO4" s="646"/>
    </row>
    <row r="5" spans="1:211" ht="14.45">
      <c r="B5" s="221"/>
      <c r="C5" s="222" t="str">
        <f>'Student Data'!G6</f>
        <v>Tier 1A</v>
      </c>
      <c r="D5" s="252">
        <f>'Student Data'!K6</f>
        <v>0</v>
      </c>
      <c r="E5" s="223">
        <f>'Student Data'!E6</f>
        <v>0</v>
      </c>
      <c r="F5" s="224" t="str">
        <f>'Student Data'!D6&amp;" "&amp;'Student Data'!C6</f>
        <v xml:space="preserve">Summer Aquino </v>
      </c>
      <c r="G5" s="225">
        <f>COUNTIF('Student Data'!D6, "*")</f>
        <v>1</v>
      </c>
      <c r="H5" s="250">
        <f>MAX(Performance!AD6:AH6)</f>
        <v>0</v>
      </c>
      <c r="I5" s="226">
        <f>COUNTIF(Performance!AF6:AF6, "&gt;0")</f>
        <v>0</v>
      </c>
      <c r="J5" s="227" cm="1">
        <f t="array" ref="J5">SUMPRODUCT(COUNTIF('Student Data'!$G6,{"Tier 1A Nesting","*Tier 1B*","Nesting 3","Transi*"}))</f>
        <v>0</v>
      </c>
      <c r="K5" s="227" cm="1">
        <f t="array" ref="K5">SUMPRODUCT(COUNTIF('Student Data'!$G6,{"Transi*"}))</f>
        <v>0</v>
      </c>
      <c r="L5" s="228"/>
      <c r="M5" s="229" cm="1">
        <f t="array" ref="M5">SUMPRODUCT(COUNTIF('Student Data'!$G6,{"*Resigned*"}))</f>
        <v>0</v>
      </c>
      <c r="N5" s="230" cm="1">
        <f t="array" ref="N5">SUMPRODUCT(COUNTIF('Student Data'!$G6,{"*Terminated*"}))</f>
        <v>0</v>
      </c>
      <c r="O5" s="229">
        <f>COUNTIF('Student Data'!G6, "Remained at Previous Level")</f>
        <v>0</v>
      </c>
      <c r="P5" s="230">
        <f>COUNTIF('Student Data'!G6, "Transferred Out of Program")</f>
        <v>0</v>
      </c>
      <c r="Q5" s="230" cm="1">
        <f t="array" ref="Q5">SUMPRODUCT(COUNTIF('Student Data'!$G6,{"*Moved/Joining Alternate Class*"}))</f>
        <v>0</v>
      </c>
      <c r="R5" s="313">
        <f>'PCB Nesting QA'!D6</f>
        <v>0</v>
      </c>
      <c r="S5" s="313">
        <f>'PCB Nesting QA'!E6</f>
        <v>0</v>
      </c>
      <c r="T5" s="313">
        <f>'PCB Nesting QA'!F6</f>
        <v>0</v>
      </c>
      <c r="U5" s="313">
        <f>'PCB Nesting QA'!G6</f>
        <v>0</v>
      </c>
      <c r="V5" s="313">
        <f>'PCB Nesting QA'!H6</f>
        <v>0</v>
      </c>
      <c r="W5" s="313">
        <f>'PCB Nesting QA'!I6</f>
        <v>0</v>
      </c>
      <c r="X5" s="313">
        <f>'PCB Nesting QA'!J6</f>
        <v>0</v>
      </c>
      <c r="Y5" s="313">
        <f>'PCB Nesting QA'!K6</f>
        <v>0</v>
      </c>
      <c r="Z5" s="313">
        <f>'PCB Nesting QA'!L6</f>
        <v>0</v>
      </c>
      <c r="AA5" s="313">
        <f>'PCB Nesting QA'!M6</f>
        <v>0</v>
      </c>
      <c r="AB5" s="313">
        <f>'PCB Nesting QA'!N6</f>
        <v>0</v>
      </c>
      <c r="AC5" s="655">
        <f>'PCB Nesting QA'!O6</f>
        <v>0</v>
      </c>
      <c r="AD5" s="652" t="e">
        <f>'KPI Dashboard'!AT7</f>
        <v>#DIV/0!</v>
      </c>
      <c r="AE5" s="652" t="e">
        <f>'KPI Dashboard'!BA7</f>
        <v>#DIV/0!</v>
      </c>
      <c r="AF5" s="652" t="e">
        <f>'KPI Dashboard'!BL7</f>
        <v>#DIV/0!</v>
      </c>
      <c r="AG5" s="656" t="e">
        <f>'KPI Dashboard'!AN8</f>
        <v>#DIV/0!</v>
      </c>
      <c r="AH5" s="652" t="e">
        <f>'KPI Dashboard'!U7</f>
        <v>#DIV/0!</v>
      </c>
      <c r="AI5" s="652" t="e">
        <f>'KPI Dashboard'!AB7</f>
        <v>#DIV/0!</v>
      </c>
      <c r="AJ5" s="652" t="e">
        <f>'KPI Dashboard'!AM7</f>
        <v>#DIV/0!</v>
      </c>
      <c r="AK5" s="656" t="e">
        <f>'KPI Dashboard'!BM8</f>
        <v>#DIV/0!</v>
      </c>
      <c r="AL5" s="652" t="e">
        <f>'KPI Dashboard'!BS7</f>
        <v>#DIV/0!</v>
      </c>
      <c r="AM5" s="652" t="e">
        <f>'KPI Dashboard'!BZ7</f>
        <v>#DIV/0!</v>
      </c>
      <c r="AN5" s="652" t="e">
        <f>'KPI Dashboard'!CK7</f>
        <v>#DIV/0!</v>
      </c>
      <c r="AO5" s="656" t="e">
        <f>'KPI Dashboard'!CL8</f>
        <v>#DIV/0!</v>
      </c>
      <c r="AP5" s="646"/>
      <c r="AQ5" s="646"/>
      <c r="AR5" s="646"/>
      <c r="AS5" s="646"/>
      <c r="AT5" s="646"/>
      <c r="AU5" s="646"/>
      <c r="AV5" s="646"/>
      <c r="AW5" s="646"/>
      <c r="AX5" s="646"/>
      <c r="AY5" s="646"/>
      <c r="AZ5" s="646"/>
      <c r="BA5" s="646"/>
      <c r="BB5" s="646"/>
      <c r="BC5" s="646"/>
      <c r="BD5" s="646"/>
      <c r="BE5" s="646"/>
      <c r="BF5" s="646"/>
      <c r="BG5" s="646"/>
      <c r="BH5" s="646"/>
      <c r="BI5" s="646"/>
      <c r="BJ5" s="646"/>
      <c r="BK5" s="646"/>
      <c r="BL5" s="646"/>
      <c r="BM5" s="646"/>
      <c r="BN5" s="646"/>
      <c r="BO5" s="646"/>
    </row>
    <row r="6" spans="1:211" ht="14.45">
      <c r="B6" s="221"/>
      <c r="C6" s="222" t="str">
        <f>'Student Data'!G7</f>
        <v>Tier 1A</v>
      </c>
      <c r="D6" s="252">
        <f>'Student Data'!K7</f>
        <v>0</v>
      </c>
      <c r="E6" s="223">
        <f>'Student Data'!E7</f>
        <v>0</v>
      </c>
      <c r="F6" s="224" t="str">
        <f>'Student Data'!D7&amp;" "&amp;'Student Data'!C7</f>
        <v xml:space="preserve">Joana Reyes </v>
      </c>
      <c r="G6" s="225">
        <f>COUNTIF('Student Data'!D7, "*")</f>
        <v>1</v>
      </c>
      <c r="H6" s="250">
        <f>MAX(Performance!AD7:AH7)</f>
        <v>0</v>
      </c>
      <c r="I6" s="226">
        <f>COUNTIF(Performance!AF7:AF7, "&gt;0")</f>
        <v>0</v>
      </c>
      <c r="J6" s="227" cm="1">
        <f t="array" ref="J6">SUMPRODUCT(COUNTIF('Student Data'!$G7,{"Tier 1A Nesting","*Tier 1B*","Nesting 3","Transi*"}))</f>
        <v>0</v>
      </c>
      <c r="K6" s="227" cm="1">
        <f t="array" ref="K6">SUMPRODUCT(COUNTIF('Student Data'!$G7,{"Transi*"}))</f>
        <v>0</v>
      </c>
      <c r="L6" s="228"/>
      <c r="M6" s="229" cm="1">
        <f t="array" ref="M6">SUMPRODUCT(COUNTIF('Student Data'!$G7,{"*Resigned*"}))</f>
        <v>0</v>
      </c>
      <c r="N6" s="230" cm="1">
        <f t="array" ref="N6">SUMPRODUCT(COUNTIF('Student Data'!$G7,{"*Terminated*"}))</f>
        <v>0</v>
      </c>
      <c r="O6" s="229">
        <f>COUNTIF('Student Data'!G7, "Remained at Previous Level")</f>
        <v>0</v>
      </c>
      <c r="P6" s="230">
        <f>COUNTIF('Student Data'!G7, "Transferred Out of Program")</f>
        <v>0</v>
      </c>
      <c r="Q6" s="230" cm="1">
        <f t="array" ref="Q6">SUMPRODUCT(COUNTIF('Student Data'!$G7,{"*Moved/Joining Alternate Class*"}))</f>
        <v>0</v>
      </c>
      <c r="R6" s="313">
        <f>'PCB Nesting QA'!D7</f>
        <v>0</v>
      </c>
      <c r="S6" s="313">
        <f>'PCB Nesting QA'!E7</f>
        <v>0</v>
      </c>
      <c r="T6" s="313">
        <f>'PCB Nesting QA'!F7</f>
        <v>0</v>
      </c>
      <c r="U6" s="313">
        <f>'PCB Nesting QA'!G7</f>
        <v>0</v>
      </c>
      <c r="V6" s="313">
        <f>'PCB Nesting QA'!H7</f>
        <v>0</v>
      </c>
      <c r="W6" s="313">
        <f>'PCB Nesting QA'!I7</f>
        <v>0</v>
      </c>
      <c r="X6" s="313">
        <f>'PCB Nesting QA'!J7</f>
        <v>0</v>
      </c>
      <c r="Y6" s="313">
        <f>'PCB Nesting QA'!K7</f>
        <v>0</v>
      </c>
      <c r="Z6" s="313">
        <f>'PCB Nesting QA'!L7</f>
        <v>0</v>
      </c>
      <c r="AA6" s="313">
        <f>'PCB Nesting QA'!M7</f>
        <v>0</v>
      </c>
      <c r="AB6" s="313">
        <f>'PCB Nesting QA'!N7</f>
        <v>0</v>
      </c>
      <c r="AC6" s="655">
        <f>'PCB Nesting QA'!O7</f>
        <v>0</v>
      </c>
      <c r="AD6" s="652" t="e">
        <f>'KPI Dashboard'!AT8</f>
        <v>#DIV/0!</v>
      </c>
      <c r="AE6" s="652" t="e">
        <f>'KPI Dashboard'!BA8</f>
        <v>#DIV/0!</v>
      </c>
      <c r="AF6" s="652" t="e">
        <f>'KPI Dashboard'!BL8</f>
        <v>#DIV/0!</v>
      </c>
      <c r="AG6" s="656" t="e">
        <f>'KPI Dashboard'!AN9</f>
        <v>#DIV/0!</v>
      </c>
      <c r="AH6" s="652" t="e">
        <f>'KPI Dashboard'!U8</f>
        <v>#DIV/0!</v>
      </c>
      <c r="AI6" s="652" t="e">
        <f>'KPI Dashboard'!AB8</f>
        <v>#DIV/0!</v>
      </c>
      <c r="AJ6" s="652" t="e">
        <f>'KPI Dashboard'!AM8</f>
        <v>#DIV/0!</v>
      </c>
      <c r="AK6" s="656" t="e">
        <f>'KPI Dashboard'!BM9</f>
        <v>#DIV/0!</v>
      </c>
      <c r="AL6" s="652" t="e">
        <f>'KPI Dashboard'!BS8</f>
        <v>#DIV/0!</v>
      </c>
      <c r="AM6" s="652" t="e">
        <f>'KPI Dashboard'!BZ8</f>
        <v>#DIV/0!</v>
      </c>
      <c r="AN6" s="652" t="e">
        <f>'KPI Dashboard'!CK8</f>
        <v>#DIV/0!</v>
      </c>
      <c r="AO6" s="656" t="e">
        <f>'KPI Dashboard'!CL9</f>
        <v>#DIV/0!</v>
      </c>
      <c r="AP6" s="646"/>
      <c r="AQ6" s="646"/>
      <c r="AR6" s="646"/>
      <c r="AS6" s="646"/>
      <c r="AT6" s="646"/>
      <c r="AU6" s="646"/>
      <c r="AV6" s="646"/>
      <c r="AW6" s="646"/>
      <c r="AX6" s="646"/>
      <c r="AY6" s="646"/>
      <c r="AZ6" s="646"/>
      <c r="BA6" s="646"/>
      <c r="BB6" s="646"/>
      <c r="BC6" s="646"/>
      <c r="BD6" s="646"/>
      <c r="BE6" s="646"/>
      <c r="BF6" s="646"/>
      <c r="BG6" s="646"/>
      <c r="BH6" s="646"/>
      <c r="BI6" s="646"/>
      <c r="BJ6" s="646"/>
      <c r="BK6" s="646"/>
      <c r="BL6" s="646"/>
      <c r="BM6" s="646"/>
      <c r="BN6" s="646"/>
      <c r="BO6" s="646"/>
    </row>
    <row r="7" spans="1:211" ht="14.45">
      <c r="B7" s="221"/>
      <c r="C7" s="222" t="str">
        <f>'Student Data'!G8</f>
        <v>Tier 1A</v>
      </c>
      <c r="D7" s="252">
        <f>'Student Data'!K8</f>
        <v>0</v>
      </c>
      <c r="E7" s="223">
        <f>'Student Data'!E8</f>
        <v>0</v>
      </c>
      <c r="F7" s="224" t="str">
        <f>'Student Data'!D8&amp;" "&amp;'Student Data'!C8</f>
        <v>Quezon Manuel</v>
      </c>
      <c r="G7" s="225">
        <f>COUNTIF('Student Data'!D8, "*")</f>
        <v>1</v>
      </c>
      <c r="H7" s="250">
        <f>MAX(Performance!AD8:AH8)</f>
        <v>0</v>
      </c>
      <c r="I7" s="226">
        <f>COUNTIF(Performance!AF8:AF8, "&gt;0")</f>
        <v>0</v>
      </c>
      <c r="J7" s="227" cm="1">
        <f t="array" ref="J7">SUMPRODUCT(COUNTIF('Student Data'!$G8,{"Tier 1A Nesting","*Tier 1B*","Nesting 3","Transi*"}))</f>
        <v>0</v>
      </c>
      <c r="K7" s="227" cm="1">
        <f t="array" ref="K7">SUMPRODUCT(COUNTIF('Student Data'!$G8,{"Transi*"}))</f>
        <v>0</v>
      </c>
      <c r="L7" s="228"/>
      <c r="M7" s="229" cm="1">
        <f t="array" ref="M7">SUMPRODUCT(COUNTIF('Student Data'!$G8,{"*Resigned*"}))</f>
        <v>0</v>
      </c>
      <c r="N7" s="230" cm="1">
        <f t="array" ref="N7">SUMPRODUCT(COUNTIF('Student Data'!$G8,{"*Terminated*"}))</f>
        <v>0</v>
      </c>
      <c r="O7" s="229">
        <f>COUNTIF('Student Data'!G8, "Remained at Previous Level")</f>
        <v>0</v>
      </c>
      <c r="P7" s="230">
        <f>COUNTIF('Student Data'!G8, "Transferred Out of Program")</f>
        <v>0</v>
      </c>
      <c r="Q7" s="230" cm="1">
        <f t="array" ref="Q7">SUMPRODUCT(COUNTIF('Student Data'!$G8,{"*Moved/Joining Alternate Class*"}))</f>
        <v>0</v>
      </c>
      <c r="R7" s="313">
        <f>'PCB Nesting QA'!D8</f>
        <v>0</v>
      </c>
      <c r="S7" s="313">
        <f>'PCB Nesting QA'!E8</f>
        <v>0</v>
      </c>
      <c r="T7" s="313">
        <f>'PCB Nesting QA'!F8</f>
        <v>0</v>
      </c>
      <c r="U7" s="313">
        <f>'PCB Nesting QA'!G8</f>
        <v>0</v>
      </c>
      <c r="V7" s="313">
        <f>'PCB Nesting QA'!H8</f>
        <v>0</v>
      </c>
      <c r="W7" s="313">
        <f>'PCB Nesting QA'!I8</f>
        <v>0</v>
      </c>
      <c r="X7" s="313">
        <f>'PCB Nesting QA'!J8</f>
        <v>0</v>
      </c>
      <c r="Y7" s="313">
        <f>'PCB Nesting QA'!K8</f>
        <v>0</v>
      </c>
      <c r="Z7" s="313">
        <f>'PCB Nesting QA'!L8</f>
        <v>0</v>
      </c>
      <c r="AA7" s="313">
        <f>'PCB Nesting QA'!M8</f>
        <v>0</v>
      </c>
      <c r="AB7" s="313">
        <f>'PCB Nesting QA'!N8</f>
        <v>0</v>
      </c>
      <c r="AC7" s="655">
        <f>'PCB Nesting QA'!O8</f>
        <v>0</v>
      </c>
      <c r="AD7" s="652" t="e">
        <f>'KPI Dashboard'!AT9</f>
        <v>#DIV/0!</v>
      </c>
      <c r="AE7" s="652" t="e">
        <f>'KPI Dashboard'!BA9</f>
        <v>#DIV/0!</v>
      </c>
      <c r="AF7" s="652" t="e">
        <f>'KPI Dashboard'!BL9</f>
        <v>#DIV/0!</v>
      </c>
      <c r="AG7" s="656" t="e">
        <f>'KPI Dashboard'!AN10</f>
        <v>#DIV/0!</v>
      </c>
      <c r="AH7" s="652" t="e">
        <f>'KPI Dashboard'!U9</f>
        <v>#DIV/0!</v>
      </c>
      <c r="AI7" s="652" t="e">
        <f>'KPI Dashboard'!AB9</f>
        <v>#DIV/0!</v>
      </c>
      <c r="AJ7" s="652" t="e">
        <f>'KPI Dashboard'!AM9</f>
        <v>#DIV/0!</v>
      </c>
      <c r="AK7" s="656" t="e">
        <f>'KPI Dashboard'!BM10</f>
        <v>#DIV/0!</v>
      </c>
      <c r="AL7" s="652" t="e">
        <f>'KPI Dashboard'!BS9</f>
        <v>#DIV/0!</v>
      </c>
      <c r="AM7" s="652" t="e">
        <f>'KPI Dashboard'!BZ9</f>
        <v>#DIV/0!</v>
      </c>
      <c r="AN7" s="652" t="e">
        <f>'KPI Dashboard'!CK9</f>
        <v>#DIV/0!</v>
      </c>
      <c r="AO7" s="656" t="e">
        <f>'KPI Dashboard'!CL10</f>
        <v>#DIV/0!</v>
      </c>
      <c r="AP7" s="646"/>
      <c r="AQ7" s="646"/>
      <c r="AR7" s="646"/>
      <c r="AS7" s="646"/>
      <c r="AT7" s="646"/>
      <c r="AU7" s="646"/>
      <c r="AV7" s="646"/>
      <c r="AW7" s="646"/>
      <c r="AX7" s="646"/>
      <c r="AY7" s="646"/>
      <c r="AZ7" s="646"/>
      <c r="BA7" s="646"/>
      <c r="BB7" s="646"/>
      <c r="BC7" s="646"/>
      <c r="BD7" s="646"/>
      <c r="BE7" s="646"/>
      <c r="BF7" s="646"/>
      <c r="BG7" s="646"/>
      <c r="BH7" s="646"/>
      <c r="BI7" s="646"/>
      <c r="BJ7" s="646"/>
      <c r="BK7" s="646"/>
      <c r="BL7" s="646"/>
      <c r="BM7" s="646"/>
      <c r="BN7" s="646"/>
      <c r="BO7" s="646"/>
    </row>
    <row r="8" spans="1:211" ht="14.45">
      <c r="B8" s="221"/>
      <c r="C8" s="222">
        <f>'Student Data'!G9</f>
        <v>0</v>
      </c>
      <c r="D8" s="252">
        <f>'Student Data'!K9</f>
        <v>0</v>
      </c>
      <c r="E8" s="223">
        <f>'Student Data'!E9</f>
        <v>0</v>
      </c>
      <c r="F8" s="224" t="str">
        <f>'Student Data'!D9&amp;" "&amp;'Student Data'!C9</f>
        <v xml:space="preserve"> </v>
      </c>
      <c r="G8" s="225">
        <f>COUNTIF('Student Data'!D9, "*")</f>
        <v>0</v>
      </c>
      <c r="H8" s="250">
        <f>MAX(Performance!AD9:AH9)</f>
        <v>0</v>
      </c>
      <c r="I8" s="226">
        <f>COUNTIF(Performance!AF9:AF9, "&gt;0")</f>
        <v>0</v>
      </c>
      <c r="J8" s="227" cm="1">
        <f t="array" ref="J8">SUMPRODUCT(COUNTIF('Student Data'!$G9,{"Tier 1A Nesting","*Tier 1B*","Nesting 3","Transi*"}))</f>
        <v>0</v>
      </c>
      <c r="K8" s="227" cm="1">
        <f t="array" ref="K8">SUMPRODUCT(COUNTIF('Student Data'!$G9,{"Transi*"}))</f>
        <v>0</v>
      </c>
      <c r="L8" s="228"/>
      <c r="M8" s="229" cm="1">
        <f t="array" ref="M8">SUMPRODUCT(COUNTIF('Student Data'!$G9,{"*Resigned*"}))</f>
        <v>0</v>
      </c>
      <c r="N8" s="230" cm="1">
        <f t="array" ref="N8">SUMPRODUCT(COUNTIF('Student Data'!$G9,{"*Terminated*"}))</f>
        <v>0</v>
      </c>
      <c r="O8" s="229">
        <f>COUNTIF('Student Data'!G9, "Remained at Previous Level")</f>
        <v>0</v>
      </c>
      <c r="P8" s="230">
        <f>COUNTIF('Student Data'!G9, "Transferred Out of Program")</f>
        <v>0</v>
      </c>
      <c r="Q8" s="230" cm="1">
        <f t="array" ref="Q8">SUMPRODUCT(COUNTIF('Student Data'!$G9,{"*Moved/Joining Alternate Class*"}))</f>
        <v>0</v>
      </c>
      <c r="R8" s="313">
        <f>'PCB Nesting QA'!D9</f>
        <v>0</v>
      </c>
      <c r="S8" s="313">
        <f>'PCB Nesting QA'!E9</f>
        <v>0</v>
      </c>
      <c r="T8" s="313">
        <f>'PCB Nesting QA'!F9</f>
        <v>0</v>
      </c>
      <c r="U8" s="313">
        <f>'PCB Nesting QA'!G9</f>
        <v>0</v>
      </c>
      <c r="V8" s="313">
        <f>'PCB Nesting QA'!H9</f>
        <v>0</v>
      </c>
      <c r="W8" s="313">
        <f>'PCB Nesting QA'!I9</f>
        <v>0</v>
      </c>
      <c r="X8" s="313">
        <f>'PCB Nesting QA'!J9</f>
        <v>0</v>
      </c>
      <c r="Y8" s="313">
        <f>'PCB Nesting QA'!K9</f>
        <v>0</v>
      </c>
      <c r="Z8" s="313">
        <f>'PCB Nesting QA'!L9</f>
        <v>0</v>
      </c>
      <c r="AA8" s="313">
        <f>'PCB Nesting QA'!M9</f>
        <v>0</v>
      </c>
      <c r="AB8" s="313">
        <f>'PCB Nesting QA'!N9</f>
        <v>0</v>
      </c>
      <c r="AC8" s="655">
        <f>'PCB Nesting QA'!O9</f>
        <v>0</v>
      </c>
      <c r="AD8" s="652" t="e">
        <f>'KPI Dashboard'!AT10</f>
        <v>#DIV/0!</v>
      </c>
      <c r="AE8" s="652" t="e">
        <f>'KPI Dashboard'!BA10</f>
        <v>#DIV/0!</v>
      </c>
      <c r="AF8" s="652" t="e">
        <f>'KPI Dashboard'!BL10</f>
        <v>#DIV/0!</v>
      </c>
      <c r="AG8" s="656" t="e">
        <f>'KPI Dashboard'!AN11</f>
        <v>#DIV/0!</v>
      </c>
      <c r="AH8" s="652" t="e">
        <f>'KPI Dashboard'!U10</f>
        <v>#DIV/0!</v>
      </c>
      <c r="AI8" s="652" t="e">
        <f>'KPI Dashboard'!AB10</f>
        <v>#DIV/0!</v>
      </c>
      <c r="AJ8" s="652" t="e">
        <f>'KPI Dashboard'!AM10</f>
        <v>#DIV/0!</v>
      </c>
      <c r="AK8" s="656" t="e">
        <f>'KPI Dashboard'!BM11</f>
        <v>#DIV/0!</v>
      </c>
      <c r="AL8" s="652" t="e">
        <f>'KPI Dashboard'!BS10</f>
        <v>#DIV/0!</v>
      </c>
      <c r="AM8" s="652" t="e">
        <f>'KPI Dashboard'!BZ10</f>
        <v>#DIV/0!</v>
      </c>
      <c r="AN8" s="652" t="e">
        <f>'KPI Dashboard'!CK10</f>
        <v>#DIV/0!</v>
      </c>
      <c r="AO8" s="656" t="e">
        <f>'KPI Dashboard'!CL11</f>
        <v>#DIV/0!</v>
      </c>
      <c r="AP8" s="646"/>
      <c r="AQ8" s="646"/>
      <c r="AR8" s="646"/>
      <c r="AS8" s="646"/>
      <c r="AT8" s="646"/>
      <c r="AU8" s="646"/>
      <c r="AV8" s="646"/>
      <c r="AW8" s="646"/>
      <c r="AX8" s="646"/>
      <c r="AY8" s="646"/>
      <c r="AZ8" s="646"/>
      <c r="BA8" s="646"/>
      <c r="BB8" s="646"/>
      <c r="BC8" s="646"/>
      <c r="BD8" s="646"/>
      <c r="BE8" s="646"/>
      <c r="BF8" s="646"/>
      <c r="BG8" s="646"/>
      <c r="BH8" s="646"/>
      <c r="BI8" s="646"/>
      <c r="BJ8" s="646"/>
      <c r="BK8" s="646"/>
      <c r="BL8" s="646"/>
      <c r="BM8" s="646"/>
      <c r="BN8" s="646"/>
      <c r="BO8" s="646"/>
    </row>
    <row r="9" spans="1:211" ht="14.45">
      <c r="B9" s="221"/>
      <c r="C9" s="222">
        <f>'Student Data'!G10</f>
        <v>0</v>
      </c>
      <c r="D9" s="252">
        <f>'Student Data'!K10</f>
        <v>0</v>
      </c>
      <c r="E9" s="223">
        <f>'Student Data'!E10</f>
        <v>0</v>
      </c>
      <c r="F9" s="224" t="str">
        <f>'Student Data'!D10&amp;" "&amp;'Student Data'!C10</f>
        <v xml:space="preserve"> </v>
      </c>
      <c r="G9" s="225">
        <f>COUNTIF('Student Data'!D10, "*")</f>
        <v>0</v>
      </c>
      <c r="H9" s="250">
        <f>MAX(Performance!AD10:AH10)</f>
        <v>0</v>
      </c>
      <c r="I9" s="226">
        <f>COUNTIF(Performance!AF10:AF10, "&gt;0")</f>
        <v>0</v>
      </c>
      <c r="J9" s="227" cm="1">
        <f t="array" ref="J9">SUMPRODUCT(COUNTIF('Student Data'!$G10,{"Tier 1A Nesting","*Tier 1B*","Nesting 3","Transi*"}))</f>
        <v>0</v>
      </c>
      <c r="K9" s="227" cm="1">
        <f t="array" ref="K9">SUMPRODUCT(COUNTIF('Student Data'!$G10,{"Transi*"}))</f>
        <v>0</v>
      </c>
      <c r="L9" s="228"/>
      <c r="M9" s="229" cm="1">
        <f t="array" ref="M9">SUMPRODUCT(COUNTIF('Student Data'!$G10,{"*Resigned*"}))</f>
        <v>0</v>
      </c>
      <c r="N9" s="230" cm="1">
        <f t="array" ref="N9">SUMPRODUCT(COUNTIF('Student Data'!$G10,{"*Terminated*"}))</f>
        <v>0</v>
      </c>
      <c r="O9" s="229">
        <f>COUNTIF('Student Data'!G10, "Remained at Previous Level")</f>
        <v>0</v>
      </c>
      <c r="P9" s="230">
        <f>COUNTIF('Student Data'!G10, "Transferred Out of Program")</f>
        <v>0</v>
      </c>
      <c r="Q9" s="230" cm="1">
        <f t="array" ref="Q9">SUMPRODUCT(COUNTIF('Student Data'!$G10,{"*Moved/Joining Alternate Class*"}))</f>
        <v>0</v>
      </c>
      <c r="R9" s="313">
        <f>'PCB Nesting QA'!D10</f>
        <v>0</v>
      </c>
      <c r="S9" s="313">
        <f>'PCB Nesting QA'!E10</f>
        <v>0</v>
      </c>
      <c r="T9" s="313">
        <f>'PCB Nesting QA'!F10</f>
        <v>0</v>
      </c>
      <c r="U9" s="313">
        <f>'PCB Nesting QA'!G10</f>
        <v>0</v>
      </c>
      <c r="V9" s="313">
        <f>'PCB Nesting QA'!H10</f>
        <v>0</v>
      </c>
      <c r="W9" s="313">
        <f>'PCB Nesting QA'!I10</f>
        <v>0</v>
      </c>
      <c r="X9" s="313">
        <f>'PCB Nesting QA'!J10</f>
        <v>0</v>
      </c>
      <c r="Y9" s="313">
        <f>'PCB Nesting QA'!K10</f>
        <v>0</v>
      </c>
      <c r="Z9" s="313">
        <f>'PCB Nesting QA'!L10</f>
        <v>0</v>
      </c>
      <c r="AA9" s="313">
        <f>'PCB Nesting QA'!M10</f>
        <v>0</v>
      </c>
      <c r="AB9" s="313">
        <f>'PCB Nesting QA'!N10</f>
        <v>0</v>
      </c>
      <c r="AC9" s="655">
        <f>'PCB Nesting QA'!O10</f>
        <v>0</v>
      </c>
      <c r="AD9" s="652" t="e">
        <f>'KPI Dashboard'!AT11</f>
        <v>#DIV/0!</v>
      </c>
      <c r="AE9" s="652" t="e">
        <f>'KPI Dashboard'!BA11</f>
        <v>#DIV/0!</v>
      </c>
      <c r="AF9" s="652" t="e">
        <f>'KPI Dashboard'!BL11</f>
        <v>#DIV/0!</v>
      </c>
      <c r="AG9" s="656" t="e">
        <f>'KPI Dashboard'!AN12</f>
        <v>#DIV/0!</v>
      </c>
      <c r="AH9" s="652" t="e">
        <f>'KPI Dashboard'!U11</f>
        <v>#DIV/0!</v>
      </c>
      <c r="AI9" s="652" t="e">
        <f>'KPI Dashboard'!AB11</f>
        <v>#DIV/0!</v>
      </c>
      <c r="AJ9" s="652" t="e">
        <f>'KPI Dashboard'!AM11</f>
        <v>#DIV/0!</v>
      </c>
      <c r="AK9" s="656" t="e">
        <f>'KPI Dashboard'!BM12</f>
        <v>#DIV/0!</v>
      </c>
      <c r="AL9" s="652" t="e">
        <f>'KPI Dashboard'!BS11</f>
        <v>#DIV/0!</v>
      </c>
      <c r="AM9" s="652" t="e">
        <f>'KPI Dashboard'!BZ11</f>
        <v>#DIV/0!</v>
      </c>
      <c r="AN9" s="652" t="e">
        <f>'KPI Dashboard'!CK11</f>
        <v>#DIV/0!</v>
      </c>
      <c r="AO9" s="656" t="e">
        <f>'KPI Dashboard'!CL12</f>
        <v>#DIV/0!</v>
      </c>
      <c r="AP9" s="646"/>
      <c r="AQ9" s="646"/>
      <c r="AR9" s="646"/>
      <c r="AS9" s="646"/>
      <c r="AT9" s="646"/>
      <c r="AU9" s="646"/>
      <c r="AV9" s="646"/>
      <c r="AW9" s="646"/>
      <c r="AX9" s="646"/>
      <c r="AY9" s="646"/>
      <c r="AZ9" s="646"/>
      <c r="BA9" s="646"/>
      <c r="BB9" s="646"/>
      <c r="BC9" s="646"/>
      <c r="BD9" s="646"/>
      <c r="BE9" s="646"/>
      <c r="BF9" s="646"/>
      <c r="BG9" s="646"/>
      <c r="BH9" s="646"/>
      <c r="BI9" s="646"/>
      <c r="BJ9" s="646"/>
      <c r="BK9" s="646"/>
      <c r="BL9" s="646"/>
      <c r="BM9" s="646"/>
      <c r="BN9" s="646"/>
      <c r="BO9" s="646"/>
    </row>
    <row r="10" spans="1:211" ht="14.45">
      <c r="B10" s="221"/>
      <c r="C10" s="222">
        <f>'Student Data'!G11</f>
        <v>0</v>
      </c>
      <c r="D10" s="252">
        <f>'Student Data'!K11</f>
        <v>0</v>
      </c>
      <c r="E10" s="223">
        <f>'Student Data'!E11</f>
        <v>0</v>
      </c>
      <c r="F10" s="224" t="str">
        <f>'Student Data'!D11&amp;" "&amp;'Student Data'!C11</f>
        <v xml:space="preserve"> </v>
      </c>
      <c r="G10" s="225">
        <f>COUNTIF('Student Data'!D11, "*")</f>
        <v>0</v>
      </c>
      <c r="H10" s="250">
        <f>MAX(Performance!AD11:AH11)</f>
        <v>0</v>
      </c>
      <c r="I10" s="226">
        <f>COUNTIF(Performance!AF11:AF11, "&gt;0")</f>
        <v>0</v>
      </c>
      <c r="J10" s="227" cm="1">
        <f t="array" ref="J10">SUMPRODUCT(COUNTIF('Student Data'!$G11,{"Tier 1A Nesting","*Tier 1B*","Nesting 3","Transi*"}))</f>
        <v>0</v>
      </c>
      <c r="K10" s="227" cm="1">
        <f t="array" ref="K10">SUMPRODUCT(COUNTIF('Student Data'!$G11,{"Transi*"}))</f>
        <v>0</v>
      </c>
      <c r="L10" s="228"/>
      <c r="M10" s="229" cm="1">
        <f t="array" ref="M10">SUMPRODUCT(COUNTIF('Student Data'!$G11,{"*Resigned*"}))</f>
        <v>0</v>
      </c>
      <c r="N10" s="230" cm="1">
        <f t="array" ref="N10">SUMPRODUCT(COUNTIF('Student Data'!$G11,{"*Terminated*"}))</f>
        <v>0</v>
      </c>
      <c r="O10" s="229">
        <f>COUNTIF('Student Data'!G11, "Remained at Previous Level")</f>
        <v>0</v>
      </c>
      <c r="P10" s="230">
        <f>COUNTIF('Student Data'!G11, "Transferred Out of Program")</f>
        <v>0</v>
      </c>
      <c r="Q10" s="230" cm="1">
        <f t="array" ref="Q10">SUMPRODUCT(COUNTIF('Student Data'!$G11,{"*Moved/Joining Alternate Class*"}))</f>
        <v>0</v>
      </c>
      <c r="R10" s="313">
        <f>'PCB Nesting QA'!D11</f>
        <v>0</v>
      </c>
      <c r="S10" s="313">
        <f>'PCB Nesting QA'!E11</f>
        <v>0</v>
      </c>
      <c r="T10" s="313">
        <f>'PCB Nesting QA'!F11</f>
        <v>0</v>
      </c>
      <c r="U10" s="313">
        <f>'PCB Nesting QA'!G11</f>
        <v>0</v>
      </c>
      <c r="V10" s="313">
        <f>'PCB Nesting QA'!H11</f>
        <v>0</v>
      </c>
      <c r="W10" s="313">
        <f>'PCB Nesting QA'!I11</f>
        <v>0</v>
      </c>
      <c r="X10" s="313">
        <f>'PCB Nesting QA'!J11</f>
        <v>0</v>
      </c>
      <c r="Y10" s="313">
        <f>'PCB Nesting QA'!K11</f>
        <v>0</v>
      </c>
      <c r="Z10" s="313">
        <f>'PCB Nesting QA'!L11</f>
        <v>0</v>
      </c>
      <c r="AA10" s="313">
        <f>'PCB Nesting QA'!M11</f>
        <v>0</v>
      </c>
      <c r="AB10" s="313">
        <f>'PCB Nesting QA'!N11</f>
        <v>0</v>
      </c>
      <c r="AC10" s="655">
        <f>'PCB Nesting QA'!O11</f>
        <v>0</v>
      </c>
      <c r="AD10" s="652" t="e">
        <f>'KPI Dashboard'!AT12</f>
        <v>#DIV/0!</v>
      </c>
      <c r="AE10" s="652" t="e">
        <f>'KPI Dashboard'!BA12</f>
        <v>#DIV/0!</v>
      </c>
      <c r="AF10" s="652" t="e">
        <f>'KPI Dashboard'!BL12</f>
        <v>#DIV/0!</v>
      </c>
      <c r="AG10" s="656" t="e">
        <f>'KPI Dashboard'!AN13</f>
        <v>#DIV/0!</v>
      </c>
      <c r="AH10" s="652" t="e">
        <f>'KPI Dashboard'!U12</f>
        <v>#DIV/0!</v>
      </c>
      <c r="AI10" s="652" t="e">
        <f>'KPI Dashboard'!AB12</f>
        <v>#DIV/0!</v>
      </c>
      <c r="AJ10" s="652" t="e">
        <f>'KPI Dashboard'!AM12</f>
        <v>#DIV/0!</v>
      </c>
      <c r="AK10" s="656" t="e">
        <f>'KPI Dashboard'!BM13</f>
        <v>#DIV/0!</v>
      </c>
      <c r="AL10" s="652" t="e">
        <f>'KPI Dashboard'!BS12</f>
        <v>#DIV/0!</v>
      </c>
      <c r="AM10" s="652" t="e">
        <f>'KPI Dashboard'!BZ12</f>
        <v>#DIV/0!</v>
      </c>
      <c r="AN10" s="652" t="e">
        <f>'KPI Dashboard'!CK12</f>
        <v>#DIV/0!</v>
      </c>
      <c r="AO10" s="656" t="e">
        <f>'KPI Dashboard'!CL13</f>
        <v>#DIV/0!</v>
      </c>
      <c r="AP10" s="646"/>
      <c r="AQ10" s="646"/>
      <c r="AR10" s="646"/>
      <c r="AS10" s="646"/>
      <c r="AT10" s="646"/>
      <c r="AU10" s="646"/>
      <c r="AV10" s="646"/>
      <c r="AW10" s="646"/>
      <c r="AX10" s="646"/>
      <c r="AY10" s="646"/>
      <c r="AZ10" s="646"/>
      <c r="BA10" s="646"/>
      <c r="BB10" s="646"/>
      <c r="BC10" s="646"/>
      <c r="BD10" s="646"/>
      <c r="BE10" s="646"/>
      <c r="BF10" s="646"/>
      <c r="BG10" s="646"/>
      <c r="BH10" s="646"/>
      <c r="BI10" s="646"/>
      <c r="BJ10" s="646"/>
      <c r="BK10" s="646"/>
      <c r="BL10" s="646"/>
      <c r="BM10" s="646"/>
      <c r="BN10" s="646"/>
      <c r="BO10" s="646"/>
    </row>
    <row r="11" spans="1:211" ht="14.45">
      <c r="B11" s="221"/>
      <c r="C11" s="222">
        <f>'Student Data'!G12</f>
        <v>0</v>
      </c>
      <c r="D11" s="252">
        <f>'Student Data'!K12</f>
        <v>0</v>
      </c>
      <c r="E11" s="223">
        <f>'Student Data'!E12</f>
        <v>0</v>
      </c>
      <c r="F11" s="224" t="str">
        <f>'Student Data'!D12&amp;" "&amp;'Student Data'!C12</f>
        <v xml:space="preserve"> </v>
      </c>
      <c r="G11" s="225">
        <f>COUNTIF('Student Data'!D12, "*")</f>
        <v>0</v>
      </c>
      <c r="H11" s="250">
        <f>MAX(Performance!AD12:AH12)</f>
        <v>0</v>
      </c>
      <c r="I11" s="226">
        <f>COUNTIF(Performance!AF12:AF12, "&gt;0")</f>
        <v>0</v>
      </c>
      <c r="J11" s="227" cm="1">
        <f t="array" ref="J11">SUMPRODUCT(COUNTIF('Student Data'!$G12,{"Tier 1A Nesting","*Tier 1B*","Nesting 3","Transi*"}))</f>
        <v>0</v>
      </c>
      <c r="K11" s="227" cm="1">
        <f t="array" ref="K11">SUMPRODUCT(COUNTIF('Student Data'!$G12,{"Transi*"}))</f>
        <v>0</v>
      </c>
      <c r="L11" s="228"/>
      <c r="M11" s="229" cm="1">
        <f t="array" ref="M11">SUMPRODUCT(COUNTIF('Student Data'!$G12,{"*Resigned*"}))</f>
        <v>0</v>
      </c>
      <c r="N11" s="230" cm="1">
        <f t="array" ref="N11">SUMPRODUCT(COUNTIF('Student Data'!$G12,{"*Terminated*"}))</f>
        <v>0</v>
      </c>
      <c r="O11" s="229">
        <f>COUNTIF('Student Data'!G12, "Remained at Previous Level")</f>
        <v>0</v>
      </c>
      <c r="P11" s="230">
        <f>COUNTIF('Student Data'!G12, "Transferred Out of Program")</f>
        <v>0</v>
      </c>
      <c r="Q11" s="230" cm="1">
        <f t="array" ref="Q11">SUMPRODUCT(COUNTIF('Student Data'!$G12,{"*Moved/Joining Alternate Class*"}))</f>
        <v>0</v>
      </c>
      <c r="R11" s="313">
        <f>'PCB Nesting QA'!D12</f>
        <v>0</v>
      </c>
      <c r="S11" s="313">
        <f>'PCB Nesting QA'!E12</f>
        <v>0</v>
      </c>
      <c r="T11" s="313">
        <f>'PCB Nesting QA'!F12</f>
        <v>0</v>
      </c>
      <c r="U11" s="313">
        <f>'PCB Nesting QA'!G12</f>
        <v>0</v>
      </c>
      <c r="V11" s="313">
        <f>'PCB Nesting QA'!H12</f>
        <v>0</v>
      </c>
      <c r="W11" s="313">
        <f>'PCB Nesting QA'!I12</f>
        <v>0</v>
      </c>
      <c r="X11" s="313">
        <f>'PCB Nesting QA'!J12</f>
        <v>0</v>
      </c>
      <c r="Y11" s="313">
        <f>'PCB Nesting QA'!K12</f>
        <v>0</v>
      </c>
      <c r="Z11" s="313">
        <f>'PCB Nesting QA'!L12</f>
        <v>0</v>
      </c>
      <c r="AA11" s="313">
        <f>'PCB Nesting QA'!M12</f>
        <v>0</v>
      </c>
      <c r="AB11" s="313">
        <f>'PCB Nesting QA'!N12</f>
        <v>0</v>
      </c>
      <c r="AC11" s="655">
        <f>'PCB Nesting QA'!O12</f>
        <v>0</v>
      </c>
      <c r="AD11" s="652" t="e">
        <f>'KPI Dashboard'!AT13</f>
        <v>#DIV/0!</v>
      </c>
      <c r="AE11" s="652" t="e">
        <f>'KPI Dashboard'!BA13</f>
        <v>#DIV/0!</v>
      </c>
      <c r="AF11" s="652" t="e">
        <f>'KPI Dashboard'!BL13</f>
        <v>#DIV/0!</v>
      </c>
      <c r="AG11" s="656" t="e">
        <f>'KPI Dashboard'!AN14</f>
        <v>#DIV/0!</v>
      </c>
      <c r="AH11" s="652" t="e">
        <f>'KPI Dashboard'!U13</f>
        <v>#DIV/0!</v>
      </c>
      <c r="AI11" s="652" t="e">
        <f>'KPI Dashboard'!AB13</f>
        <v>#DIV/0!</v>
      </c>
      <c r="AJ11" s="652" t="e">
        <f>'KPI Dashboard'!AM13</f>
        <v>#DIV/0!</v>
      </c>
      <c r="AK11" s="656" t="e">
        <f>'KPI Dashboard'!BM14</f>
        <v>#DIV/0!</v>
      </c>
      <c r="AL11" s="652" t="e">
        <f>'KPI Dashboard'!BS13</f>
        <v>#DIV/0!</v>
      </c>
      <c r="AM11" s="652" t="e">
        <f>'KPI Dashboard'!BZ13</f>
        <v>#DIV/0!</v>
      </c>
      <c r="AN11" s="652" t="e">
        <f>'KPI Dashboard'!CK13</f>
        <v>#DIV/0!</v>
      </c>
      <c r="AO11" s="656" t="e">
        <f>'KPI Dashboard'!CL14</f>
        <v>#DIV/0!</v>
      </c>
      <c r="AP11" s="646"/>
      <c r="AQ11" s="646"/>
      <c r="AR11" s="646"/>
      <c r="AS11" s="646"/>
      <c r="AT11" s="646"/>
      <c r="AU11" s="646"/>
      <c r="AV11" s="646"/>
      <c r="AW11" s="646"/>
      <c r="AX11" s="646"/>
      <c r="AY11" s="646"/>
      <c r="AZ11" s="646"/>
      <c r="BA11" s="646"/>
      <c r="BB11" s="646"/>
      <c r="BC11" s="646"/>
      <c r="BD11" s="646"/>
      <c r="BE11" s="646"/>
      <c r="BF11" s="646"/>
      <c r="BG11" s="646"/>
      <c r="BH11" s="646"/>
      <c r="BI11" s="646"/>
      <c r="BJ11" s="646"/>
      <c r="BK11" s="646"/>
      <c r="BL11" s="646"/>
      <c r="BM11" s="646"/>
      <c r="BN11" s="646"/>
      <c r="BO11" s="646"/>
    </row>
    <row r="12" spans="1:211" ht="14.45">
      <c r="B12" s="221"/>
      <c r="C12" s="222">
        <f>'Student Data'!G13</f>
        <v>0</v>
      </c>
      <c r="D12" s="252">
        <f>'Student Data'!K13</f>
        <v>0</v>
      </c>
      <c r="E12" s="223">
        <f>'Student Data'!E13</f>
        <v>0</v>
      </c>
      <c r="F12" s="224" t="str">
        <f>'Student Data'!D13&amp;" "&amp;'Student Data'!C13</f>
        <v xml:space="preserve"> </v>
      </c>
      <c r="G12" s="225">
        <f>COUNTIF('Student Data'!D13, "*")</f>
        <v>0</v>
      </c>
      <c r="H12" s="250">
        <f>MAX(Performance!AD13:AH13)</f>
        <v>0</v>
      </c>
      <c r="I12" s="226">
        <f>COUNTIF(Performance!AF13:AF13, "&gt;0")</f>
        <v>0</v>
      </c>
      <c r="J12" s="227" cm="1">
        <f t="array" ref="J12">SUMPRODUCT(COUNTIF('Student Data'!$G13,{"Tier 1A Nesting","*Tier 1B*","Nesting 3","Transi*"}))</f>
        <v>0</v>
      </c>
      <c r="K12" s="227" cm="1">
        <f t="array" ref="K12">SUMPRODUCT(COUNTIF('Student Data'!$G13,{"Transi*"}))</f>
        <v>0</v>
      </c>
      <c r="L12" s="228"/>
      <c r="M12" s="229" cm="1">
        <f t="array" ref="M12">SUMPRODUCT(COUNTIF('Student Data'!$G13,{"*Resigned*"}))</f>
        <v>0</v>
      </c>
      <c r="N12" s="230" cm="1">
        <f t="array" ref="N12">SUMPRODUCT(COUNTIF('Student Data'!$G13,{"*Terminated*"}))</f>
        <v>0</v>
      </c>
      <c r="O12" s="229">
        <f>COUNTIF('Student Data'!G13, "Remained at Previous Level")</f>
        <v>0</v>
      </c>
      <c r="P12" s="230">
        <f>COUNTIF('Student Data'!G13, "Transferred Out of Program")</f>
        <v>0</v>
      </c>
      <c r="Q12" s="230" cm="1">
        <f t="array" ref="Q12">SUMPRODUCT(COUNTIF('Student Data'!$G13,{"*Moved/Joining Alternate Class*"}))</f>
        <v>0</v>
      </c>
      <c r="R12" s="313">
        <f>'PCB Nesting QA'!D13</f>
        <v>0</v>
      </c>
      <c r="S12" s="313">
        <f>'PCB Nesting QA'!E13</f>
        <v>0</v>
      </c>
      <c r="T12" s="313">
        <f>'PCB Nesting QA'!F13</f>
        <v>0</v>
      </c>
      <c r="U12" s="313">
        <f>'PCB Nesting QA'!G13</f>
        <v>0</v>
      </c>
      <c r="V12" s="313">
        <f>'PCB Nesting QA'!H13</f>
        <v>0</v>
      </c>
      <c r="W12" s="313">
        <f>'PCB Nesting QA'!I13</f>
        <v>0</v>
      </c>
      <c r="X12" s="313">
        <f>'PCB Nesting QA'!J13</f>
        <v>0</v>
      </c>
      <c r="Y12" s="313">
        <f>'PCB Nesting QA'!K13</f>
        <v>0</v>
      </c>
      <c r="Z12" s="313">
        <f>'PCB Nesting QA'!L13</f>
        <v>0</v>
      </c>
      <c r="AA12" s="313">
        <f>'PCB Nesting QA'!M13</f>
        <v>0</v>
      </c>
      <c r="AB12" s="313">
        <f>'PCB Nesting QA'!N13</f>
        <v>0</v>
      </c>
      <c r="AC12" s="655">
        <f>'PCB Nesting QA'!O13</f>
        <v>0</v>
      </c>
      <c r="AD12" s="652" t="e">
        <f>'KPI Dashboard'!AT14</f>
        <v>#DIV/0!</v>
      </c>
      <c r="AE12" s="652" t="e">
        <f>'KPI Dashboard'!BA14</f>
        <v>#DIV/0!</v>
      </c>
      <c r="AF12" s="652" t="e">
        <f>'KPI Dashboard'!BL14</f>
        <v>#DIV/0!</v>
      </c>
      <c r="AG12" s="656" t="e">
        <f>'KPI Dashboard'!AN15</f>
        <v>#DIV/0!</v>
      </c>
      <c r="AH12" s="652" t="e">
        <f>'KPI Dashboard'!U14</f>
        <v>#DIV/0!</v>
      </c>
      <c r="AI12" s="652" t="e">
        <f>'KPI Dashboard'!AB14</f>
        <v>#DIV/0!</v>
      </c>
      <c r="AJ12" s="652" t="e">
        <f>'KPI Dashboard'!AM14</f>
        <v>#DIV/0!</v>
      </c>
      <c r="AK12" s="656" t="e">
        <f>'KPI Dashboard'!BM15</f>
        <v>#DIV/0!</v>
      </c>
      <c r="AL12" s="652" t="e">
        <f>'KPI Dashboard'!BS14</f>
        <v>#DIV/0!</v>
      </c>
      <c r="AM12" s="652" t="e">
        <f>'KPI Dashboard'!BZ14</f>
        <v>#DIV/0!</v>
      </c>
      <c r="AN12" s="652" t="e">
        <f>'KPI Dashboard'!CK14</f>
        <v>#DIV/0!</v>
      </c>
      <c r="AO12" s="656" t="e">
        <f>'KPI Dashboard'!CL15</f>
        <v>#DIV/0!</v>
      </c>
      <c r="AP12" s="646"/>
      <c r="AQ12" s="646"/>
      <c r="AR12" s="646"/>
      <c r="AS12" s="646"/>
      <c r="AT12" s="646"/>
      <c r="AU12" s="646"/>
      <c r="AV12" s="646"/>
      <c r="AW12" s="646"/>
      <c r="AX12" s="646"/>
      <c r="AY12" s="646"/>
      <c r="AZ12" s="646"/>
      <c r="BA12" s="646"/>
      <c r="BB12" s="646"/>
      <c r="BC12" s="646"/>
      <c r="BD12" s="646"/>
      <c r="BE12" s="646"/>
      <c r="BF12" s="646"/>
      <c r="BG12" s="646"/>
      <c r="BH12" s="646"/>
      <c r="BI12" s="646"/>
      <c r="BJ12" s="646"/>
      <c r="BK12" s="646"/>
      <c r="BL12" s="646"/>
      <c r="BM12" s="646"/>
      <c r="BN12" s="646"/>
      <c r="BO12" s="646"/>
    </row>
    <row r="13" spans="1:211" ht="14.45">
      <c r="B13" s="221"/>
      <c r="C13" s="222">
        <f>'Student Data'!G14</f>
        <v>0</v>
      </c>
      <c r="D13" s="252">
        <f>'Student Data'!K14</f>
        <v>0</v>
      </c>
      <c r="E13" s="223">
        <f>'Student Data'!E14</f>
        <v>0</v>
      </c>
      <c r="F13" s="224" t="str">
        <f>'Student Data'!D14&amp;" "&amp;'Student Data'!C14</f>
        <v xml:space="preserve"> </v>
      </c>
      <c r="G13" s="225">
        <f>COUNTIF('Student Data'!D14, "*")</f>
        <v>0</v>
      </c>
      <c r="H13" s="250">
        <f>MAX(Performance!AD14:AH14)</f>
        <v>0</v>
      </c>
      <c r="I13" s="226">
        <f>COUNTIF(Performance!AF14:AF14, "&gt;0")</f>
        <v>0</v>
      </c>
      <c r="J13" s="227" cm="1">
        <f t="array" ref="J13">SUMPRODUCT(COUNTIF('Student Data'!$G14,{"Tier 1A Nesting","*Tier 1B*","Nesting 3","Transi*"}))</f>
        <v>0</v>
      </c>
      <c r="K13" s="227" cm="1">
        <f t="array" ref="K13">SUMPRODUCT(COUNTIF('Student Data'!$G14,{"Transi*"}))</f>
        <v>0</v>
      </c>
      <c r="L13" s="228"/>
      <c r="M13" s="229" cm="1">
        <f t="array" ref="M13">SUMPRODUCT(COUNTIF('Student Data'!$G14,{"*Resigned*"}))</f>
        <v>0</v>
      </c>
      <c r="N13" s="230" cm="1">
        <f t="array" ref="N13">SUMPRODUCT(COUNTIF('Student Data'!$G14,{"*Terminated*"}))</f>
        <v>0</v>
      </c>
      <c r="O13" s="229">
        <f>COUNTIF('Student Data'!G14, "Remained at Previous Level")</f>
        <v>0</v>
      </c>
      <c r="P13" s="230">
        <f>COUNTIF('Student Data'!G14, "Transferred Out of Program")</f>
        <v>0</v>
      </c>
      <c r="Q13" s="230" cm="1">
        <f t="array" ref="Q13">SUMPRODUCT(COUNTIF('Student Data'!$G14,{"*Moved/Joining Alternate Class*"}))</f>
        <v>0</v>
      </c>
      <c r="R13" s="313">
        <f>'PCB Nesting QA'!D14</f>
        <v>0</v>
      </c>
      <c r="S13" s="313">
        <f>'PCB Nesting QA'!E14</f>
        <v>0</v>
      </c>
      <c r="T13" s="313">
        <f>'PCB Nesting QA'!F14</f>
        <v>0</v>
      </c>
      <c r="U13" s="313">
        <f>'PCB Nesting QA'!G14</f>
        <v>0</v>
      </c>
      <c r="V13" s="313">
        <f>'PCB Nesting QA'!H14</f>
        <v>0</v>
      </c>
      <c r="W13" s="313">
        <f>'PCB Nesting QA'!I14</f>
        <v>0</v>
      </c>
      <c r="X13" s="313">
        <f>'PCB Nesting QA'!J14</f>
        <v>0</v>
      </c>
      <c r="Y13" s="313">
        <f>'PCB Nesting QA'!K14</f>
        <v>0</v>
      </c>
      <c r="Z13" s="313">
        <f>'PCB Nesting QA'!L14</f>
        <v>0</v>
      </c>
      <c r="AA13" s="313">
        <f>'PCB Nesting QA'!M14</f>
        <v>0</v>
      </c>
      <c r="AB13" s="313">
        <f>'PCB Nesting QA'!N14</f>
        <v>0</v>
      </c>
      <c r="AC13" s="655">
        <f>'PCB Nesting QA'!O14</f>
        <v>0</v>
      </c>
      <c r="AD13" s="652" t="e">
        <f>'KPI Dashboard'!AT15</f>
        <v>#DIV/0!</v>
      </c>
      <c r="AE13" s="652" t="e">
        <f>'KPI Dashboard'!BA15</f>
        <v>#DIV/0!</v>
      </c>
      <c r="AF13" s="652" t="e">
        <f>'KPI Dashboard'!BL15</f>
        <v>#DIV/0!</v>
      </c>
      <c r="AG13" s="656" t="e">
        <f>'KPI Dashboard'!AN16</f>
        <v>#DIV/0!</v>
      </c>
      <c r="AH13" s="652" t="e">
        <f>'KPI Dashboard'!U15</f>
        <v>#DIV/0!</v>
      </c>
      <c r="AI13" s="652" t="e">
        <f>'KPI Dashboard'!AB15</f>
        <v>#DIV/0!</v>
      </c>
      <c r="AJ13" s="652" t="e">
        <f>'KPI Dashboard'!AM15</f>
        <v>#DIV/0!</v>
      </c>
      <c r="AK13" s="656" t="e">
        <f>'KPI Dashboard'!BM16</f>
        <v>#DIV/0!</v>
      </c>
      <c r="AL13" s="652" t="e">
        <f>'KPI Dashboard'!BS15</f>
        <v>#DIV/0!</v>
      </c>
      <c r="AM13" s="652" t="e">
        <f>'KPI Dashboard'!BZ15</f>
        <v>#DIV/0!</v>
      </c>
      <c r="AN13" s="652" t="e">
        <f>'KPI Dashboard'!CK15</f>
        <v>#DIV/0!</v>
      </c>
      <c r="AO13" s="656" t="e">
        <f>'KPI Dashboard'!CL16</f>
        <v>#DIV/0!</v>
      </c>
      <c r="AP13" s="646"/>
      <c r="AQ13" s="646"/>
      <c r="AR13" s="646"/>
      <c r="AS13" s="646"/>
      <c r="AT13" s="646"/>
      <c r="AU13" s="646"/>
      <c r="AV13" s="646"/>
      <c r="AW13" s="646"/>
      <c r="AX13" s="646"/>
      <c r="AY13" s="646"/>
      <c r="AZ13" s="646"/>
      <c r="BA13" s="646"/>
      <c r="BB13" s="646"/>
      <c r="BC13" s="646"/>
      <c r="BD13" s="646"/>
      <c r="BE13" s="646"/>
      <c r="BF13" s="646"/>
      <c r="BG13" s="646"/>
      <c r="BH13" s="646"/>
      <c r="BI13" s="646"/>
      <c r="BJ13" s="646"/>
      <c r="BK13" s="646"/>
      <c r="BL13" s="646"/>
      <c r="BM13" s="646"/>
      <c r="BN13" s="646"/>
      <c r="BO13" s="646"/>
    </row>
    <row r="14" spans="1:211" ht="14.45">
      <c r="B14" s="221"/>
      <c r="C14" s="222">
        <f>'Student Data'!G15</f>
        <v>0</v>
      </c>
      <c r="D14" s="252">
        <f>'Student Data'!K15</f>
        <v>0</v>
      </c>
      <c r="E14" s="223">
        <f>'Student Data'!E15</f>
        <v>0</v>
      </c>
      <c r="F14" s="224" t="str">
        <f>'Student Data'!D15&amp;" "&amp;'Student Data'!C15</f>
        <v xml:space="preserve"> </v>
      </c>
      <c r="G14" s="225">
        <f>COUNTIF('Student Data'!D15, "*")</f>
        <v>0</v>
      </c>
      <c r="H14" s="250">
        <f>MAX(Performance!AD15:AH15)</f>
        <v>0</v>
      </c>
      <c r="I14" s="226">
        <f>COUNTIF(Performance!AF15:AF15, "&gt;0")</f>
        <v>0</v>
      </c>
      <c r="J14" s="227" cm="1">
        <f t="array" ref="J14">SUMPRODUCT(COUNTIF('Student Data'!$G15,{"Tier 1A Nesting","*Tier 1B*","Nesting 3","Transi*"}))</f>
        <v>0</v>
      </c>
      <c r="K14" s="227" cm="1">
        <f t="array" ref="K14">SUMPRODUCT(COUNTIF('Student Data'!$G15,{"Transi*"}))</f>
        <v>0</v>
      </c>
      <c r="L14" s="228"/>
      <c r="M14" s="229" cm="1">
        <f t="array" ref="M14">SUMPRODUCT(COUNTIF('Student Data'!$G15,{"*Resigned*"}))</f>
        <v>0</v>
      </c>
      <c r="N14" s="230" cm="1">
        <f t="array" ref="N14">SUMPRODUCT(COUNTIF('Student Data'!$G15,{"*Terminated*"}))</f>
        <v>0</v>
      </c>
      <c r="O14" s="229">
        <f>COUNTIF('Student Data'!G15, "Remained at Previous Level")</f>
        <v>0</v>
      </c>
      <c r="P14" s="230">
        <f>COUNTIF('Student Data'!G15, "Transferred Out of Program")</f>
        <v>0</v>
      </c>
      <c r="Q14" s="230" cm="1">
        <f t="array" ref="Q14">SUMPRODUCT(COUNTIF('Student Data'!$G15,{"*Moved/Joining Alternate Class*"}))</f>
        <v>0</v>
      </c>
      <c r="R14" s="313">
        <f>'PCB Nesting QA'!D15</f>
        <v>0</v>
      </c>
      <c r="S14" s="313">
        <f>'PCB Nesting QA'!E15</f>
        <v>0</v>
      </c>
      <c r="T14" s="313">
        <f>'PCB Nesting QA'!F15</f>
        <v>0</v>
      </c>
      <c r="U14" s="313">
        <f>'PCB Nesting QA'!G15</f>
        <v>0</v>
      </c>
      <c r="V14" s="313">
        <f>'PCB Nesting QA'!H15</f>
        <v>0</v>
      </c>
      <c r="W14" s="313">
        <f>'PCB Nesting QA'!I15</f>
        <v>0</v>
      </c>
      <c r="X14" s="313">
        <f>'PCB Nesting QA'!J15</f>
        <v>0</v>
      </c>
      <c r="Y14" s="313">
        <f>'PCB Nesting QA'!K15</f>
        <v>0</v>
      </c>
      <c r="Z14" s="313">
        <f>'PCB Nesting QA'!L15</f>
        <v>0</v>
      </c>
      <c r="AA14" s="313">
        <f>'PCB Nesting QA'!M15</f>
        <v>0</v>
      </c>
      <c r="AB14" s="313">
        <f>'PCB Nesting QA'!N15</f>
        <v>0</v>
      </c>
      <c r="AC14" s="655">
        <f>'PCB Nesting QA'!O15</f>
        <v>0</v>
      </c>
      <c r="AD14" s="652" t="e">
        <f>'KPI Dashboard'!AT16</f>
        <v>#DIV/0!</v>
      </c>
      <c r="AE14" s="652" t="e">
        <f>'KPI Dashboard'!BA16</f>
        <v>#DIV/0!</v>
      </c>
      <c r="AF14" s="652" t="e">
        <f>'KPI Dashboard'!BL16</f>
        <v>#DIV/0!</v>
      </c>
      <c r="AG14" s="656" t="e">
        <f>'KPI Dashboard'!AN17</f>
        <v>#DIV/0!</v>
      </c>
      <c r="AH14" s="652" t="e">
        <f>'KPI Dashboard'!U16</f>
        <v>#DIV/0!</v>
      </c>
      <c r="AI14" s="652" t="e">
        <f>'KPI Dashboard'!AB16</f>
        <v>#DIV/0!</v>
      </c>
      <c r="AJ14" s="652" t="e">
        <f>'KPI Dashboard'!AM16</f>
        <v>#DIV/0!</v>
      </c>
      <c r="AK14" s="656" t="e">
        <f>'KPI Dashboard'!BM17</f>
        <v>#DIV/0!</v>
      </c>
      <c r="AL14" s="652" t="e">
        <f>'KPI Dashboard'!BS16</f>
        <v>#DIV/0!</v>
      </c>
      <c r="AM14" s="652" t="e">
        <f>'KPI Dashboard'!BZ16</f>
        <v>#DIV/0!</v>
      </c>
      <c r="AN14" s="652" t="e">
        <f>'KPI Dashboard'!CK16</f>
        <v>#DIV/0!</v>
      </c>
      <c r="AO14" s="656" t="e">
        <f>'KPI Dashboard'!CL17</f>
        <v>#DIV/0!</v>
      </c>
      <c r="AP14" s="646"/>
      <c r="AQ14" s="646"/>
      <c r="AR14" s="646"/>
      <c r="AS14" s="646"/>
      <c r="AT14" s="646"/>
      <c r="AU14" s="646"/>
      <c r="AV14" s="646"/>
      <c r="AW14" s="646"/>
      <c r="AX14" s="646"/>
      <c r="AY14" s="646"/>
      <c r="AZ14" s="646"/>
      <c r="BA14" s="646"/>
      <c r="BB14" s="646"/>
      <c r="BC14" s="646"/>
      <c r="BD14" s="646"/>
      <c r="BE14" s="646"/>
      <c r="BF14" s="646"/>
      <c r="BG14" s="646"/>
      <c r="BH14" s="646"/>
      <c r="BI14" s="646"/>
      <c r="BJ14" s="646"/>
      <c r="BK14" s="646"/>
      <c r="BL14" s="646"/>
      <c r="BM14" s="646"/>
      <c r="BN14" s="646"/>
      <c r="BO14" s="646"/>
    </row>
    <row r="15" spans="1:211" ht="14.45">
      <c r="B15" s="221"/>
      <c r="C15" s="222">
        <f>'Student Data'!G16</f>
        <v>0</v>
      </c>
      <c r="D15" s="252">
        <f>'Student Data'!K16</f>
        <v>0</v>
      </c>
      <c r="E15" s="223">
        <f>'Student Data'!E16</f>
        <v>0</v>
      </c>
      <c r="F15" s="224" t="str">
        <f>'Student Data'!D16&amp;" "&amp;'Student Data'!C16</f>
        <v xml:space="preserve"> </v>
      </c>
      <c r="G15" s="225">
        <f>COUNTIF('Student Data'!D16, "*")</f>
        <v>0</v>
      </c>
      <c r="H15" s="250">
        <f>MAX(Performance!AD16:AH16)</f>
        <v>0</v>
      </c>
      <c r="I15" s="226">
        <f>COUNTIF(Performance!AF16:AF16, "&gt;0")</f>
        <v>0</v>
      </c>
      <c r="J15" s="227" cm="1">
        <f t="array" ref="J15">SUMPRODUCT(COUNTIF('Student Data'!$G16,{"Tier 1A Nesting","*Tier 1B*","Nesting 3","Transi*"}))</f>
        <v>0</v>
      </c>
      <c r="K15" s="227" cm="1">
        <f t="array" ref="K15">SUMPRODUCT(COUNTIF('Student Data'!$G16,{"Transi*"}))</f>
        <v>0</v>
      </c>
      <c r="L15" s="228"/>
      <c r="M15" s="229" cm="1">
        <f t="array" ref="M15">SUMPRODUCT(COUNTIF('Student Data'!$G16,{"*Resigned*"}))</f>
        <v>0</v>
      </c>
      <c r="N15" s="230" cm="1">
        <f t="array" ref="N15">SUMPRODUCT(COUNTIF('Student Data'!$G16,{"*Terminated*"}))</f>
        <v>0</v>
      </c>
      <c r="O15" s="229">
        <f>COUNTIF('Student Data'!G16, "Remained at Previous Level")</f>
        <v>0</v>
      </c>
      <c r="P15" s="230">
        <f>COUNTIF('Student Data'!G16, "Transferred Out of Program")</f>
        <v>0</v>
      </c>
      <c r="Q15" s="230" cm="1">
        <f t="array" ref="Q15">SUMPRODUCT(COUNTIF('Student Data'!$G16,{"*Moved/Joining Alternate Class*"}))</f>
        <v>0</v>
      </c>
      <c r="R15" s="313">
        <f>'PCB Nesting QA'!D16</f>
        <v>0</v>
      </c>
      <c r="S15" s="313">
        <f>'PCB Nesting QA'!E16</f>
        <v>0</v>
      </c>
      <c r="T15" s="313">
        <f>'PCB Nesting QA'!F16</f>
        <v>0</v>
      </c>
      <c r="U15" s="313">
        <f>'PCB Nesting QA'!G16</f>
        <v>0</v>
      </c>
      <c r="V15" s="313">
        <f>'PCB Nesting QA'!H16</f>
        <v>0</v>
      </c>
      <c r="W15" s="313">
        <f>'PCB Nesting QA'!I16</f>
        <v>0</v>
      </c>
      <c r="X15" s="313">
        <f>'PCB Nesting QA'!J16</f>
        <v>0</v>
      </c>
      <c r="Y15" s="313">
        <f>'PCB Nesting QA'!K16</f>
        <v>0</v>
      </c>
      <c r="Z15" s="313">
        <f>'PCB Nesting QA'!L16</f>
        <v>0</v>
      </c>
      <c r="AA15" s="313">
        <f>'PCB Nesting QA'!M16</f>
        <v>0</v>
      </c>
      <c r="AB15" s="313">
        <f>'PCB Nesting QA'!N16</f>
        <v>0</v>
      </c>
      <c r="AC15" s="655">
        <f>'PCB Nesting QA'!O16</f>
        <v>0</v>
      </c>
      <c r="AD15" s="652" t="e">
        <f>'KPI Dashboard'!AT17</f>
        <v>#DIV/0!</v>
      </c>
      <c r="AE15" s="652" t="e">
        <f>'KPI Dashboard'!BA17</f>
        <v>#DIV/0!</v>
      </c>
      <c r="AF15" s="652" t="e">
        <f>'KPI Dashboard'!BL17</f>
        <v>#DIV/0!</v>
      </c>
      <c r="AG15" s="656" t="e">
        <f>'KPI Dashboard'!AN18</f>
        <v>#DIV/0!</v>
      </c>
      <c r="AH15" s="652" t="e">
        <f>'KPI Dashboard'!U17</f>
        <v>#DIV/0!</v>
      </c>
      <c r="AI15" s="652" t="e">
        <f>'KPI Dashboard'!AB17</f>
        <v>#DIV/0!</v>
      </c>
      <c r="AJ15" s="652" t="e">
        <f>'KPI Dashboard'!AM17</f>
        <v>#DIV/0!</v>
      </c>
      <c r="AK15" s="656" t="e">
        <f>'KPI Dashboard'!BM18</f>
        <v>#DIV/0!</v>
      </c>
      <c r="AL15" s="652" t="e">
        <f>'KPI Dashboard'!BS17</f>
        <v>#DIV/0!</v>
      </c>
      <c r="AM15" s="652" t="e">
        <f>'KPI Dashboard'!BZ17</f>
        <v>#DIV/0!</v>
      </c>
      <c r="AN15" s="652" t="e">
        <f>'KPI Dashboard'!CK17</f>
        <v>#DIV/0!</v>
      </c>
      <c r="AO15" s="656" t="e">
        <f>'KPI Dashboard'!CL18</f>
        <v>#DIV/0!</v>
      </c>
      <c r="AP15" s="646"/>
      <c r="AQ15" s="646"/>
      <c r="AR15" s="646"/>
      <c r="AS15" s="646"/>
      <c r="AT15" s="646"/>
      <c r="AU15" s="646"/>
      <c r="AV15" s="646"/>
      <c r="AW15" s="646"/>
      <c r="AX15" s="646"/>
      <c r="AY15" s="646"/>
      <c r="AZ15" s="646"/>
      <c r="BA15" s="646"/>
      <c r="BB15" s="646"/>
      <c r="BC15" s="646"/>
      <c r="BD15" s="646"/>
      <c r="BE15" s="646"/>
      <c r="BF15" s="646"/>
      <c r="BG15" s="646"/>
      <c r="BH15" s="646"/>
      <c r="BI15" s="646"/>
      <c r="BJ15" s="646"/>
      <c r="BK15" s="646"/>
      <c r="BL15" s="646"/>
      <c r="BM15" s="646"/>
      <c r="BN15" s="646"/>
      <c r="BO15" s="646"/>
    </row>
    <row r="16" spans="1:211" ht="14.45">
      <c r="B16" s="221"/>
      <c r="C16" s="222">
        <f>'Student Data'!G17</f>
        <v>0</v>
      </c>
      <c r="D16" s="252">
        <f>'Student Data'!K17</f>
        <v>0</v>
      </c>
      <c r="E16" s="223">
        <f>'Student Data'!E17</f>
        <v>0</v>
      </c>
      <c r="F16" s="224" t="str">
        <f>'Student Data'!D17&amp;" "&amp;'Student Data'!C17</f>
        <v xml:space="preserve"> </v>
      </c>
      <c r="G16" s="225">
        <f>COUNTIF('Student Data'!D17, "*")</f>
        <v>0</v>
      </c>
      <c r="H16" s="250">
        <f>MAX(Performance!AD17:AH17)</f>
        <v>0</v>
      </c>
      <c r="I16" s="226">
        <f>COUNTIF(Performance!AF17:AF17, "&gt;0")</f>
        <v>0</v>
      </c>
      <c r="J16" s="227" cm="1">
        <f t="array" ref="J16">SUMPRODUCT(COUNTIF('Student Data'!$G17,{"Tier 1A Nesting","*Tier 1B*","Nesting 3","Transi*"}))</f>
        <v>0</v>
      </c>
      <c r="K16" s="227" cm="1">
        <f t="array" ref="K16">SUMPRODUCT(COUNTIF('Student Data'!$G17,{"Transi*"}))</f>
        <v>0</v>
      </c>
      <c r="L16" s="228"/>
      <c r="M16" s="229" cm="1">
        <f t="array" ref="M16">SUMPRODUCT(COUNTIF('Student Data'!$G17,{"*Resigned*"}))</f>
        <v>0</v>
      </c>
      <c r="N16" s="230" cm="1">
        <f t="array" ref="N16">SUMPRODUCT(COUNTIF('Student Data'!$G17,{"*Terminated*"}))</f>
        <v>0</v>
      </c>
      <c r="O16" s="229">
        <f>COUNTIF('Student Data'!G17, "Remained at Previous Level")</f>
        <v>0</v>
      </c>
      <c r="P16" s="230">
        <f>COUNTIF('Student Data'!G17, "Transferred Out of Program")</f>
        <v>0</v>
      </c>
      <c r="Q16" s="230" cm="1">
        <f t="array" ref="Q16">SUMPRODUCT(COUNTIF('Student Data'!$G17,{"*Moved/Joining Alternate Class*"}))</f>
        <v>0</v>
      </c>
      <c r="R16" s="313">
        <f>'PCB Nesting QA'!D17</f>
        <v>0</v>
      </c>
      <c r="S16" s="313">
        <f>'PCB Nesting QA'!E17</f>
        <v>0</v>
      </c>
      <c r="T16" s="313">
        <f>'PCB Nesting QA'!F17</f>
        <v>0</v>
      </c>
      <c r="U16" s="313">
        <f>'PCB Nesting QA'!G17</f>
        <v>0</v>
      </c>
      <c r="V16" s="313">
        <f>'PCB Nesting QA'!H17</f>
        <v>0</v>
      </c>
      <c r="W16" s="313">
        <f>'PCB Nesting QA'!I17</f>
        <v>0</v>
      </c>
      <c r="X16" s="313">
        <f>'PCB Nesting QA'!J17</f>
        <v>0</v>
      </c>
      <c r="Y16" s="313">
        <f>'PCB Nesting QA'!K17</f>
        <v>0</v>
      </c>
      <c r="Z16" s="313">
        <f>'PCB Nesting QA'!L17</f>
        <v>0</v>
      </c>
      <c r="AA16" s="313">
        <f>'PCB Nesting QA'!M17</f>
        <v>0</v>
      </c>
      <c r="AB16" s="313">
        <f>'PCB Nesting QA'!N17</f>
        <v>0</v>
      </c>
      <c r="AC16" s="655">
        <f>'PCB Nesting QA'!O17</f>
        <v>0</v>
      </c>
      <c r="AD16" s="652" t="e">
        <f>'KPI Dashboard'!AT18</f>
        <v>#DIV/0!</v>
      </c>
      <c r="AE16" s="652" t="e">
        <f>'KPI Dashboard'!BA18</f>
        <v>#DIV/0!</v>
      </c>
      <c r="AF16" s="652" t="e">
        <f>'KPI Dashboard'!BL18</f>
        <v>#DIV/0!</v>
      </c>
      <c r="AG16" s="656" t="e">
        <f>'KPI Dashboard'!AN19</f>
        <v>#DIV/0!</v>
      </c>
      <c r="AH16" s="652" t="e">
        <f>'KPI Dashboard'!U18</f>
        <v>#DIV/0!</v>
      </c>
      <c r="AI16" s="652" t="e">
        <f>'KPI Dashboard'!AB18</f>
        <v>#DIV/0!</v>
      </c>
      <c r="AJ16" s="652" t="e">
        <f>'KPI Dashboard'!AM18</f>
        <v>#DIV/0!</v>
      </c>
      <c r="AK16" s="656" t="e">
        <f>'KPI Dashboard'!BM19</f>
        <v>#DIV/0!</v>
      </c>
      <c r="AL16" s="652" t="e">
        <f>'KPI Dashboard'!BS18</f>
        <v>#DIV/0!</v>
      </c>
      <c r="AM16" s="652" t="e">
        <f>'KPI Dashboard'!BZ18</f>
        <v>#DIV/0!</v>
      </c>
      <c r="AN16" s="652" t="e">
        <f>'KPI Dashboard'!CK18</f>
        <v>#DIV/0!</v>
      </c>
      <c r="AO16" s="656" t="e">
        <f>'KPI Dashboard'!CL19</f>
        <v>#DIV/0!</v>
      </c>
      <c r="AP16" s="646"/>
      <c r="AQ16" s="646"/>
      <c r="AR16" s="646"/>
      <c r="AS16" s="646"/>
      <c r="AT16" s="646"/>
      <c r="AU16" s="646"/>
      <c r="AV16" s="646"/>
      <c r="AW16" s="646"/>
      <c r="AX16" s="646"/>
      <c r="AY16" s="646"/>
      <c r="AZ16" s="646"/>
      <c r="BA16" s="646"/>
      <c r="BB16" s="646"/>
      <c r="BC16" s="646"/>
      <c r="BD16" s="646"/>
      <c r="BE16" s="646"/>
      <c r="BF16" s="646"/>
      <c r="BG16" s="646"/>
      <c r="BH16" s="646"/>
      <c r="BI16" s="646"/>
      <c r="BJ16" s="646"/>
      <c r="BK16" s="646"/>
      <c r="BL16" s="646"/>
      <c r="BM16" s="646"/>
      <c r="BN16" s="646"/>
      <c r="BO16" s="646"/>
    </row>
    <row r="17" spans="2:67" ht="14.45">
      <c r="B17" s="221"/>
      <c r="C17" s="222">
        <f>'Student Data'!G18</f>
        <v>0</v>
      </c>
      <c r="D17" s="252">
        <f>'Student Data'!K18</f>
        <v>0</v>
      </c>
      <c r="E17" s="223">
        <f>'Student Data'!E18</f>
        <v>0</v>
      </c>
      <c r="F17" s="224" t="str">
        <f>'Student Data'!D18&amp;" "&amp;'Student Data'!C18</f>
        <v xml:space="preserve"> </v>
      </c>
      <c r="G17" s="225">
        <f>COUNTIF('Student Data'!D18, "*")</f>
        <v>0</v>
      </c>
      <c r="H17" s="250">
        <f>MAX(Performance!AD18:AH18)</f>
        <v>0</v>
      </c>
      <c r="I17" s="226">
        <f>COUNTIF(Performance!AF18:AF18, "&gt;0")</f>
        <v>0</v>
      </c>
      <c r="J17" s="227" cm="1">
        <f t="array" ref="J17">SUMPRODUCT(COUNTIF('Student Data'!$G18,{"Tier 1A Nesting","*Tier 1B*","Nesting 3","Transi*"}))</f>
        <v>0</v>
      </c>
      <c r="K17" s="227" cm="1">
        <f t="array" ref="K17">SUMPRODUCT(COUNTIF('Student Data'!$G18,{"Transi*"}))</f>
        <v>0</v>
      </c>
      <c r="L17" s="228"/>
      <c r="M17" s="229" cm="1">
        <f t="array" ref="M17">SUMPRODUCT(COUNTIF('Student Data'!$G18,{"*Resigned*"}))</f>
        <v>0</v>
      </c>
      <c r="N17" s="230" cm="1">
        <f t="array" ref="N17">SUMPRODUCT(COUNTIF('Student Data'!$G18,{"*Terminated*"}))</f>
        <v>0</v>
      </c>
      <c r="O17" s="229">
        <f>COUNTIF('Student Data'!G18, "Remained at Previous Level")</f>
        <v>0</v>
      </c>
      <c r="P17" s="230">
        <f>COUNTIF('Student Data'!G18, "Transferred Out of Program")</f>
        <v>0</v>
      </c>
      <c r="Q17" s="230" cm="1">
        <f t="array" ref="Q17">SUMPRODUCT(COUNTIF('Student Data'!$G18,{"*Moved/Joining Alternate Class*"}))</f>
        <v>0</v>
      </c>
      <c r="R17" s="313">
        <f>'PCB Nesting QA'!D18</f>
        <v>0</v>
      </c>
      <c r="S17" s="313">
        <f>'PCB Nesting QA'!E18</f>
        <v>0</v>
      </c>
      <c r="T17" s="313">
        <f>'PCB Nesting QA'!F18</f>
        <v>0</v>
      </c>
      <c r="U17" s="313">
        <f>'PCB Nesting QA'!G18</f>
        <v>0</v>
      </c>
      <c r="V17" s="313">
        <f>'PCB Nesting QA'!H18</f>
        <v>0</v>
      </c>
      <c r="W17" s="313">
        <f>'PCB Nesting QA'!I18</f>
        <v>0</v>
      </c>
      <c r="X17" s="313">
        <f>'PCB Nesting QA'!J18</f>
        <v>0</v>
      </c>
      <c r="Y17" s="313">
        <f>'PCB Nesting QA'!K18</f>
        <v>0</v>
      </c>
      <c r="Z17" s="313">
        <f>'PCB Nesting QA'!L18</f>
        <v>0</v>
      </c>
      <c r="AA17" s="313">
        <f>'PCB Nesting QA'!M18</f>
        <v>0</v>
      </c>
      <c r="AB17" s="313">
        <f>'PCB Nesting QA'!N18</f>
        <v>0</v>
      </c>
      <c r="AC17" s="655">
        <f>'PCB Nesting QA'!O18</f>
        <v>0</v>
      </c>
      <c r="AD17" s="652" t="e">
        <f>'KPI Dashboard'!AT19</f>
        <v>#DIV/0!</v>
      </c>
      <c r="AE17" s="652" t="e">
        <f>'KPI Dashboard'!BA19</f>
        <v>#DIV/0!</v>
      </c>
      <c r="AF17" s="652" t="e">
        <f>'KPI Dashboard'!BL19</f>
        <v>#DIV/0!</v>
      </c>
      <c r="AG17" s="656" t="e">
        <f>'KPI Dashboard'!AN20</f>
        <v>#DIV/0!</v>
      </c>
      <c r="AH17" s="652" t="e">
        <f>'KPI Dashboard'!U19</f>
        <v>#DIV/0!</v>
      </c>
      <c r="AI17" s="652" t="e">
        <f>'KPI Dashboard'!AB19</f>
        <v>#DIV/0!</v>
      </c>
      <c r="AJ17" s="652" t="e">
        <f>'KPI Dashboard'!AM19</f>
        <v>#DIV/0!</v>
      </c>
      <c r="AK17" s="656" t="e">
        <f>'KPI Dashboard'!BM20</f>
        <v>#DIV/0!</v>
      </c>
      <c r="AL17" s="652" t="e">
        <f>'KPI Dashboard'!BS19</f>
        <v>#DIV/0!</v>
      </c>
      <c r="AM17" s="652" t="e">
        <f>'KPI Dashboard'!BZ19</f>
        <v>#DIV/0!</v>
      </c>
      <c r="AN17" s="652" t="e">
        <f>'KPI Dashboard'!CK19</f>
        <v>#DIV/0!</v>
      </c>
      <c r="AO17" s="656" t="e">
        <f>'KPI Dashboard'!CL20</f>
        <v>#DIV/0!</v>
      </c>
      <c r="AP17" s="646"/>
      <c r="AQ17" s="646"/>
      <c r="AR17" s="646"/>
      <c r="AS17" s="646"/>
      <c r="AT17" s="646"/>
      <c r="AU17" s="646"/>
      <c r="AV17" s="646"/>
      <c r="AW17" s="646"/>
      <c r="AX17" s="646"/>
      <c r="AY17" s="646"/>
      <c r="AZ17" s="646"/>
      <c r="BA17" s="646"/>
      <c r="BB17" s="646"/>
      <c r="BC17" s="646"/>
      <c r="BD17" s="646"/>
      <c r="BE17" s="646"/>
      <c r="BF17" s="646"/>
      <c r="BG17" s="646"/>
      <c r="BH17" s="646"/>
      <c r="BI17" s="646"/>
      <c r="BJ17" s="646"/>
      <c r="BK17" s="646"/>
      <c r="BL17" s="646"/>
      <c r="BM17" s="646"/>
      <c r="BN17" s="646"/>
      <c r="BO17" s="646"/>
    </row>
    <row r="18" spans="2:67" ht="14.45">
      <c r="B18" s="221"/>
      <c r="C18" s="222">
        <f>'Student Data'!G19</f>
        <v>0</v>
      </c>
      <c r="D18" s="252">
        <f>'Student Data'!K19</f>
        <v>0</v>
      </c>
      <c r="E18" s="223">
        <f>'Student Data'!E19</f>
        <v>0</v>
      </c>
      <c r="F18" s="224" t="str">
        <f>'Student Data'!D19&amp;" "&amp;'Student Data'!C19</f>
        <v xml:space="preserve"> </v>
      </c>
      <c r="G18" s="225">
        <f>COUNTIF('Student Data'!D19, "*")</f>
        <v>0</v>
      </c>
      <c r="H18" s="250">
        <f>MAX(Performance!AD19:AH19)</f>
        <v>0</v>
      </c>
      <c r="I18" s="226">
        <f>COUNTIF(Performance!AF19:AF19, "&gt;0")</f>
        <v>0</v>
      </c>
      <c r="J18" s="227" cm="1">
        <f t="array" ref="J18">SUMPRODUCT(COUNTIF('Student Data'!$G19,{"Tier 1A Nesting","*Tier 1B*","Nesting 3","Transi*"}))</f>
        <v>0</v>
      </c>
      <c r="K18" s="227" cm="1">
        <f t="array" ref="K18">SUMPRODUCT(COUNTIF('Student Data'!$G19,{"Transi*"}))</f>
        <v>0</v>
      </c>
      <c r="L18" s="228"/>
      <c r="M18" s="229" cm="1">
        <f t="array" ref="M18">SUMPRODUCT(COUNTIF('Student Data'!$G19,{"*Resigned*"}))</f>
        <v>0</v>
      </c>
      <c r="N18" s="230" cm="1">
        <f t="array" ref="N18">SUMPRODUCT(COUNTIF('Student Data'!$G19,{"*Terminated*"}))</f>
        <v>0</v>
      </c>
      <c r="O18" s="229">
        <f>COUNTIF('Student Data'!G19, "Remained at Previous Level")</f>
        <v>0</v>
      </c>
      <c r="P18" s="230">
        <f>COUNTIF('Student Data'!G19, "Transferred Out of Program")</f>
        <v>0</v>
      </c>
      <c r="Q18" s="230" cm="1">
        <f t="array" ref="Q18">SUMPRODUCT(COUNTIF('Student Data'!$G19,{"*Moved/Joining Alternate Class*"}))</f>
        <v>0</v>
      </c>
      <c r="R18" s="313">
        <f>'PCB Nesting QA'!D19</f>
        <v>0</v>
      </c>
      <c r="S18" s="313">
        <f>'PCB Nesting QA'!E19</f>
        <v>0</v>
      </c>
      <c r="T18" s="313">
        <f>'PCB Nesting QA'!F19</f>
        <v>0</v>
      </c>
      <c r="U18" s="313">
        <f>'PCB Nesting QA'!G19</f>
        <v>0</v>
      </c>
      <c r="V18" s="313">
        <f>'PCB Nesting QA'!H19</f>
        <v>0</v>
      </c>
      <c r="W18" s="313">
        <f>'PCB Nesting QA'!I19</f>
        <v>0</v>
      </c>
      <c r="X18" s="313">
        <f>'PCB Nesting QA'!J19</f>
        <v>0</v>
      </c>
      <c r="Y18" s="313">
        <f>'PCB Nesting QA'!K19</f>
        <v>0</v>
      </c>
      <c r="Z18" s="313">
        <f>'PCB Nesting QA'!L19</f>
        <v>0</v>
      </c>
      <c r="AA18" s="313">
        <f>'PCB Nesting QA'!M19</f>
        <v>0</v>
      </c>
      <c r="AB18" s="313">
        <f>'PCB Nesting QA'!N19</f>
        <v>0</v>
      </c>
      <c r="AC18" s="655">
        <f>'PCB Nesting QA'!O19</f>
        <v>0</v>
      </c>
      <c r="AD18" s="652" t="e">
        <f>'KPI Dashboard'!AT20</f>
        <v>#DIV/0!</v>
      </c>
      <c r="AE18" s="652" t="e">
        <f>'KPI Dashboard'!BA20</f>
        <v>#DIV/0!</v>
      </c>
      <c r="AF18" s="652" t="e">
        <f>'KPI Dashboard'!BL20</f>
        <v>#DIV/0!</v>
      </c>
      <c r="AG18" s="656" t="e">
        <f>'KPI Dashboard'!AN21</f>
        <v>#DIV/0!</v>
      </c>
      <c r="AH18" s="652" t="e">
        <f>'KPI Dashboard'!U20</f>
        <v>#DIV/0!</v>
      </c>
      <c r="AI18" s="652" t="e">
        <f>'KPI Dashboard'!AB20</f>
        <v>#DIV/0!</v>
      </c>
      <c r="AJ18" s="652" t="e">
        <f>'KPI Dashboard'!AM20</f>
        <v>#DIV/0!</v>
      </c>
      <c r="AK18" s="656" t="e">
        <f>'KPI Dashboard'!BM21</f>
        <v>#DIV/0!</v>
      </c>
      <c r="AL18" s="652" t="e">
        <f>'KPI Dashboard'!BS20</f>
        <v>#DIV/0!</v>
      </c>
      <c r="AM18" s="652" t="e">
        <f>'KPI Dashboard'!BZ20</f>
        <v>#DIV/0!</v>
      </c>
      <c r="AN18" s="652" t="e">
        <f>'KPI Dashboard'!CK20</f>
        <v>#DIV/0!</v>
      </c>
      <c r="AO18" s="656" t="e">
        <f>'KPI Dashboard'!CL21</f>
        <v>#DIV/0!</v>
      </c>
      <c r="AP18" s="646"/>
      <c r="AQ18" s="646"/>
      <c r="AR18" s="646"/>
      <c r="AS18" s="646"/>
      <c r="AT18" s="646"/>
      <c r="AU18" s="646"/>
      <c r="AV18" s="646"/>
      <c r="AW18" s="646"/>
      <c r="AX18" s="646"/>
      <c r="AY18" s="646"/>
      <c r="AZ18" s="646"/>
      <c r="BA18" s="646"/>
      <c r="BB18" s="646"/>
      <c r="BC18" s="646"/>
      <c r="BD18" s="646"/>
      <c r="BE18" s="646"/>
      <c r="BF18" s="646"/>
      <c r="BG18" s="646"/>
      <c r="BH18" s="646"/>
      <c r="BI18" s="646"/>
      <c r="BJ18" s="646"/>
      <c r="BK18" s="646"/>
      <c r="BL18" s="646"/>
      <c r="BM18" s="646"/>
      <c r="BN18" s="646"/>
      <c r="BO18" s="646"/>
    </row>
    <row r="19" spans="2:67" ht="14.45">
      <c r="B19" s="221"/>
      <c r="C19" s="222">
        <f>'Student Data'!G20</f>
        <v>0</v>
      </c>
      <c r="D19" s="252">
        <f>'Student Data'!K20</f>
        <v>0</v>
      </c>
      <c r="E19" s="223">
        <f>'Student Data'!E20</f>
        <v>0</v>
      </c>
      <c r="F19" s="224" t="str">
        <f>'Student Data'!D20&amp;" "&amp;'Student Data'!C20</f>
        <v xml:space="preserve"> </v>
      </c>
      <c r="G19" s="225">
        <f>COUNTIF('Student Data'!D20, "*")</f>
        <v>0</v>
      </c>
      <c r="H19" s="250">
        <f>MAX(Performance!AD20:AH20)</f>
        <v>0</v>
      </c>
      <c r="I19" s="226">
        <f>COUNTIF(Performance!AF20:AF20, "&gt;0")</f>
        <v>0</v>
      </c>
      <c r="J19" s="227" cm="1">
        <f t="array" ref="J19">SUMPRODUCT(COUNTIF('Student Data'!$G20,{"Tier 1A Nesting","*Tier 1B*","Nesting 3","Transi*"}))</f>
        <v>0</v>
      </c>
      <c r="K19" s="227" cm="1">
        <f t="array" ref="K19">SUMPRODUCT(COUNTIF('Student Data'!$G20,{"Transi*"}))</f>
        <v>0</v>
      </c>
      <c r="L19" s="228"/>
      <c r="M19" s="229" cm="1">
        <f t="array" ref="M19">SUMPRODUCT(COUNTIF('Student Data'!$G20,{"*Resigned*"}))</f>
        <v>0</v>
      </c>
      <c r="N19" s="230" cm="1">
        <f t="array" ref="N19">SUMPRODUCT(COUNTIF('Student Data'!$G20,{"*Terminated*"}))</f>
        <v>0</v>
      </c>
      <c r="O19" s="229">
        <f>COUNTIF('Student Data'!G20, "Remained at Previous Level")</f>
        <v>0</v>
      </c>
      <c r="P19" s="230">
        <f>COUNTIF('Student Data'!G20, "Transferred Out of Program")</f>
        <v>0</v>
      </c>
      <c r="Q19" s="230" cm="1">
        <f t="array" ref="Q19">SUMPRODUCT(COUNTIF('Student Data'!$G20,{"*Moved/Joining Alternate Class*"}))</f>
        <v>0</v>
      </c>
      <c r="R19" s="313">
        <f>'PCB Nesting QA'!D20</f>
        <v>0</v>
      </c>
      <c r="S19" s="313">
        <f>'PCB Nesting QA'!E20</f>
        <v>0</v>
      </c>
      <c r="T19" s="313">
        <f>'PCB Nesting QA'!F20</f>
        <v>0</v>
      </c>
      <c r="U19" s="313">
        <f>'PCB Nesting QA'!G20</f>
        <v>0</v>
      </c>
      <c r="V19" s="313">
        <f>'PCB Nesting QA'!H20</f>
        <v>0</v>
      </c>
      <c r="W19" s="313">
        <f>'PCB Nesting QA'!I20</f>
        <v>0</v>
      </c>
      <c r="X19" s="313">
        <f>'PCB Nesting QA'!J20</f>
        <v>0</v>
      </c>
      <c r="Y19" s="313">
        <f>'PCB Nesting QA'!K20</f>
        <v>0</v>
      </c>
      <c r="Z19" s="313">
        <f>'PCB Nesting QA'!L20</f>
        <v>0</v>
      </c>
      <c r="AA19" s="313">
        <f>'PCB Nesting QA'!M20</f>
        <v>0</v>
      </c>
      <c r="AB19" s="313">
        <f>'PCB Nesting QA'!N20</f>
        <v>0</v>
      </c>
      <c r="AC19" s="655">
        <f>'PCB Nesting QA'!O20</f>
        <v>0</v>
      </c>
      <c r="AD19" s="652" t="e">
        <f>'KPI Dashboard'!AT21</f>
        <v>#DIV/0!</v>
      </c>
      <c r="AE19" s="652" t="e">
        <f>'KPI Dashboard'!BA21</f>
        <v>#DIV/0!</v>
      </c>
      <c r="AF19" s="652" t="e">
        <f>'KPI Dashboard'!BL21</f>
        <v>#DIV/0!</v>
      </c>
      <c r="AG19" s="656" t="e">
        <f>'KPI Dashboard'!AN22</f>
        <v>#DIV/0!</v>
      </c>
      <c r="AH19" s="652" t="e">
        <f>'KPI Dashboard'!U21</f>
        <v>#DIV/0!</v>
      </c>
      <c r="AI19" s="652" t="e">
        <f>'KPI Dashboard'!AB21</f>
        <v>#DIV/0!</v>
      </c>
      <c r="AJ19" s="652" t="e">
        <f>'KPI Dashboard'!AM21</f>
        <v>#DIV/0!</v>
      </c>
      <c r="AK19" s="656" t="e">
        <f>'KPI Dashboard'!BM22</f>
        <v>#DIV/0!</v>
      </c>
      <c r="AL19" s="652" t="e">
        <f>'KPI Dashboard'!BS21</f>
        <v>#DIV/0!</v>
      </c>
      <c r="AM19" s="652" t="e">
        <f>'KPI Dashboard'!BZ21</f>
        <v>#DIV/0!</v>
      </c>
      <c r="AN19" s="652" t="e">
        <f>'KPI Dashboard'!CK21</f>
        <v>#DIV/0!</v>
      </c>
      <c r="AO19" s="656" t="e">
        <f>'KPI Dashboard'!CL22</f>
        <v>#DIV/0!</v>
      </c>
      <c r="AP19" s="646"/>
      <c r="AQ19" s="646"/>
      <c r="AR19" s="646"/>
      <c r="AS19" s="646"/>
      <c r="AT19" s="646"/>
      <c r="AU19" s="646"/>
      <c r="AV19" s="646"/>
      <c r="AW19" s="646"/>
      <c r="AX19" s="646"/>
      <c r="AY19" s="646"/>
      <c r="AZ19" s="646"/>
      <c r="BA19" s="646"/>
      <c r="BB19" s="646"/>
      <c r="BC19" s="646"/>
      <c r="BD19" s="646"/>
      <c r="BE19" s="646"/>
      <c r="BF19" s="646"/>
      <c r="BG19" s="646"/>
      <c r="BH19" s="646"/>
      <c r="BI19" s="646"/>
      <c r="BJ19" s="646"/>
      <c r="BK19" s="646"/>
      <c r="BL19" s="646"/>
      <c r="BM19" s="646"/>
      <c r="BN19" s="646"/>
      <c r="BO19" s="646"/>
    </row>
    <row r="20" spans="2:67" ht="14.45">
      <c r="B20" s="221"/>
      <c r="C20" s="222">
        <f>'Student Data'!G21</f>
        <v>0</v>
      </c>
      <c r="D20" s="252">
        <f>'Student Data'!K21</f>
        <v>0</v>
      </c>
      <c r="E20" s="223">
        <f>'Student Data'!E21</f>
        <v>0</v>
      </c>
      <c r="F20" s="224" t="str">
        <f>'Student Data'!D21&amp;" "&amp;'Student Data'!C21</f>
        <v xml:space="preserve"> </v>
      </c>
      <c r="G20" s="225">
        <f>COUNTIF('Student Data'!D21, "*")</f>
        <v>0</v>
      </c>
      <c r="H20" s="250">
        <f>MAX(Performance!AD21:AH21)</f>
        <v>0</v>
      </c>
      <c r="I20" s="226">
        <f>COUNTIF(Performance!AF21:AF21, "&gt;0")</f>
        <v>0</v>
      </c>
      <c r="J20" s="227" cm="1">
        <f t="array" ref="J20">SUMPRODUCT(COUNTIF('Student Data'!$G21,{"Tier 1A Nesting","*Tier 1B*","Nesting 3","Transi*"}))</f>
        <v>0</v>
      </c>
      <c r="K20" s="227" cm="1">
        <f t="array" ref="K20">SUMPRODUCT(COUNTIF('Student Data'!$G21,{"Transi*"}))</f>
        <v>0</v>
      </c>
      <c r="L20" s="228"/>
      <c r="M20" s="229" cm="1">
        <f t="array" ref="M20">SUMPRODUCT(COUNTIF('Student Data'!$G21,{"*Resigned*"}))</f>
        <v>0</v>
      </c>
      <c r="N20" s="230" cm="1">
        <f t="array" ref="N20">SUMPRODUCT(COUNTIF('Student Data'!$G21,{"*Terminated*"}))</f>
        <v>0</v>
      </c>
      <c r="O20" s="229">
        <f>COUNTIF('Student Data'!G21, "Remained at Previous Level")</f>
        <v>0</v>
      </c>
      <c r="P20" s="230">
        <f>COUNTIF('Student Data'!G21, "Transferred Out of Program")</f>
        <v>0</v>
      </c>
      <c r="Q20" s="230" cm="1">
        <f t="array" ref="Q20">SUMPRODUCT(COUNTIF('Student Data'!$G21,{"*Moved/Joining Alternate Class*"}))</f>
        <v>0</v>
      </c>
      <c r="R20" s="313">
        <f>'PCB Nesting QA'!D21</f>
        <v>0</v>
      </c>
      <c r="S20" s="313">
        <f>'PCB Nesting QA'!E21</f>
        <v>0</v>
      </c>
      <c r="T20" s="313">
        <f>'PCB Nesting QA'!F21</f>
        <v>0</v>
      </c>
      <c r="U20" s="313">
        <f>'PCB Nesting QA'!G21</f>
        <v>0</v>
      </c>
      <c r="V20" s="313">
        <f>'PCB Nesting QA'!H21</f>
        <v>0</v>
      </c>
      <c r="W20" s="313">
        <f>'PCB Nesting QA'!I21</f>
        <v>0</v>
      </c>
      <c r="X20" s="313">
        <f>'PCB Nesting QA'!J21</f>
        <v>0</v>
      </c>
      <c r="Y20" s="313">
        <f>'PCB Nesting QA'!K21</f>
        <v>0</v>
      </c>
      <c r="Z20" s="313">
        <f>'PCB Nesting QA'!L21</f>
        <v>0</v>
      </c>
      <c r="AA20" s="313">
        <f>'PCB Nesting QA'!M21</f>
        <v>0</v>
      </c>
      <c r="AB20" s="313">
        <f>'PCB Nesting QA'!N21</f>
        <v>0</v>
      </c>
      <c r="AC20" s="655">
        <f>'PCB Nesting QA'!O21</f>
        <v>0</v>
      </c>
      <c r="AD20" s="652" t="e">
        <f>'KPI Dashboard'!AT22</f>
        <v>#DIV/0!</v>
      </c>
      <c r="AE20" s="652" t="e">
        <f>'KPI Dashboard'!BA22</f>
        <v>#DIV/0!</v>
      </c>
      <c r="AF20" s="652" t="e">
        <f>'KPI Dashboard'!BL22</f>
        <v>#DIV/0!</v>
      </c>
      <c r="AG20" s="656" t="e">
        <f>'KPI Dashboard'!AN23</f>
        <v>#DIV/0!</v>
      </c>
      <c r="AH20" s="652" t="e">
        <f>'KPI Dashboard'!U22</f>
        <v>#DIV/0!</v>
      </c>
      <c r="AI20" s="652" t="e">
        <f>'KPI Dashboard'!AB22</f>
        <v>#DIV/0!</v>
      </c>
      <c r="AJ20" s="652" t="e">
        <f>'KPI Dashboard'!AM22</f>
        <v>#DIV/0!</v>
      </c>
      <c r="AK20" s="656" t="e">
        <f>'KPI Dashboard'!BM23</f>
        <v>#DIV/0!</v>
      </c>
      <c r="AL20" s="652" t="e">
        <f>'KPI Dashboard'!BS22</f>
        <v>#DIV/0!</v>
      </c>
      <c r="AM20" s="652" t="e">
        <f>'KPI Dashboard'!BZ22</f>
        <v>#DIV/0!</v>
      </c>
      <c r="AN20" s="652" t="e">
        <f>'KPI Dashboard'!CK22</f>
        <v>#DIV/0!</v>
      </c>
      <c r="AO20" s="656" t="e">
        <f>'KPI Dashboard'!CL23</f>
        <v>#DIV/0!</v>
      </c>
      <c r="AP20" s="646"/>
      <c r="AQ20" s="646"/>
      <c r="AR20" s="646"/>
      <c r="AS20" s="646"/>
      <c r="AT20" s="646"/>
      <c r="AU20" s="646"/>
      <c r="AV20" s="646"/>
      <c r="AW20" s="646"/>
      <c r="AX20" s="646"/>
      <c r="AY20" s="646"/>
      <c r="AZ20" s="646"/>
      <c r="BA20" s="646"/>
      <c r="BB20" s="646"/>
      <c r="BC20" s="646"/>
      <c r="BD20" s="646"/>
      <c r="BE20" s="646"/>
      <c r="BF20" s="646"/>
      <c r="BG20" s="646"/>
      <c r="BH20" s="646"/>
      <c r="BI20" s="646"/>
      <c r="BJ20" s="646"/>
      <c r="BK20" s="646"/>
      <c r="BL20" s="646"/>
      <c r="BM20" s="646"/>
      <c r="BN20" s="646"/>
      <c r="BO20" s="646"/>
    </row>
    <row r="21" spans="2:67" ht="14.45">
      <c r="B21" s="221"/>
      <c r="C21" s="222">
        <f>'Student Data'!G22</f>
        <v>0</v>
      </c>
      <c r="D21" s="252">
        <f>'Student Data'!K22</f>
        <v>0</v>
      </c>
      <c r="E21" s="223">
        <f>'Student Data'!E22</f>
        <v>0</v>
      </c>
      <c r="F21" s="224" t="str">
        <f>'Student Data'!D22&amp;" "&amp;'Student Data'!C22</f>
        <v xml:space="preserve"> </v>
      </c>
      <c r="G21" s="225">
        <f>COUNTIF('Student Data'!D22, "*")</f>
        <v>0</v>
      </c>
      <c r="H21" s="250">
        <f>MAX(Performance!AD22:AH22)</f>
        <v>0</v>
      </c>
      <c r="I21" s="226">
        <f>COUNTIF(Performance!AF22:AF22, "&gt;0")</f>
        <v>0</v>
      </c>
      <c r="J21" s="227" cm="1">
        <f t="array" ref="J21">SUMPRODUCT(COUNTIF('Student Data'!$G22,{"Tier 1A Nesting","*Tier 1B*","Nesting 3","Transi*"}))</f>
        <v>0</v>
      </c>
      <c r="K21" s="227" cm="1">
        <f t="array" ref="K21">SUMPRODUCT(COUNTIF('Student Data'!$G22,{"Transi*"}))</f>
        <v>0</v>
      </c>
      <c r="L21" s="228"/>
      <c r="M21" s="229" cm="1">
        <f t="array" ref="M21">SUMPRODUCT(COUNTIF('Student Data'!$G22,{"*Resigned*"}))</f>
        <v>0</v>
      </c>
      <c r="N21" s="230" cm="1">
        <f t="array" ref="N21">SUMPRODUCT(COUNTIF('Student Data'!$G22,{"*Terminated*"}))</f>
        <v>0</v>
      </c>
      <c r="O21" s="229">
        <f>COUNTIF('Student Data'!G22, "Remained at Previous Level")</f>
        <v>0</v>
      </c>
      <c r="P21" s="230">
        <f>COUNTIF('Student Data'!G22, "Transferred Out of Program")</f>
        <v>0</v>
      </c>
      <c r="Q21" s="230" cm="1">
        <f t="array" ref="Q21">SUMPRODUCT(COUNTIF('Student Data'!$G22,{"*Moved/Joining Alternate Class*"}))</f>
        <v>0</v>
      </c>
      <c r="R21" s="313">
        <f>'PCB Nesting QA'!D22</f>
        <v>0</v>
      </c>
      <c r="S21" s="313">
        <f>'PCB Nesting QA'!E22</f>
        <v>0</v>
      </c>
      <c r="T21" s="313">
        <f>'PCB Nesting QA'!F22</f>
        <v>0</v>
      </c>
      <c r="U21" s="313">
        <f>'PCB Nesting QA'!G22</f>
        <v>0</v>
      </c>
      <c r="V21" s="313">
        <f>'PCB Nesting QA'!H22</f>
        <v>0</v>
      </c>
      <c r="W21" s="313">
        <f>'PCB Nesting QA'!I22</f>
        <v>0</v>
      </c>
      <c r="X21" s="313">
        <f>'PCB Nesting QA'!J22</f>
        <v>0</v>
      </c>
      <c r="Y21" s="313">
        <f>'PCB Nesting QA'!K22</f>
        <v>0</v>
      </c>
      <c r="Z21" s="313">
        <f>'PCB Nesting QA'!L22</f>
        <v>0</v>
      </c>
      <c r="AA21" s="313">
        <f>'PCB Nesting QA'!M22</f>
        <v>0</v>
      </c>
      <c r="AB21" s="313">
        <f>'PCB Nesting QA'!N22</f>
        <v>0</v>
      </c>
      <c r="AC21" s="655">
        <f>'PCB Nesting QA'!O22</f>
        <v>0</v>
      </c>
      <c r="AD21" s="652" t="e">
        <f>'KPI Dashboard'!AT23</f>
        <v>#DIV/0!</v>
      </c>
      <c r="AE21" s="652" t="e">
        <f>'KPI Dashboard'!BA23</f>
        <v>#DIV/0!</v>
      </c>
      <c r="AF21" s="652" t="e">
        <f>'KPI Dashboard'!BL23</f>
        <v>#DIV/0!</v>
      </c>
      <c r="AG21" s="656">
        <f>'KPI Dashboard'!AN24</f>
        <v>0</v>
      </c>
      <c r="AH21" s="652" t="e">
        <f>'KPI Dashboard'!U23</f>
        <v>#DIV/0!</v>
      </c>
      <c r="AI21" s="652" t="e">
        <f>'KPI Dashboard'!AB23</f>
        <v>#DIV/0!</v>
      </c>
      <c r="AJ21" s="652" t="e">
        <f>'KPI Dashboard'!AM23</f>
        <v>#DIV/0!</v>
      </c>
      <c r="AK21" s="656">
        <f>'KPI Dashboard'!BM24</f>
        <v>0</v>
      </c>
      <c r="AL21" s="652" t="e">
        <f>'KPI Dashboard'!BS23</f>
        <v>#DIV/0!</v>
      </c>
      <c r="AM21" s="652" t="e">
        <f>'KPI Dashboard'!BZ23</f>
        <v>#DIV/0!</v>
      </c>
      <c r="AN21" s="652" t="e">
        <f>'KPI Dashboard'!CK23</f>
        <v>#DIV/0!</v>
      </c>
      <c r="AO21" s="656">
        <f>'KPI Dashboard'!CL24</f>
        <v>0</v>
      </c>
      <c r="AP21" s="646"/>
      <c r="AQ21" s="646"/>
      <c r="AR21" s="646"/>
      <c r="AS21" s="646"/>
      <c r="AT21" s="646"/>
      <c r="AU21" s="646"/>
      <c r="AV21" s="646"/>
      <c r="AW21" s="646"/>
      <c r="AX21" s="646"/>
      <c r="AY21" s="646"/>
      <c r="AZ21" s="646"/>
      <c r="BA21" s="646"/>
      <c r="BB21" s="646"/>
      <c r="BC21" s="646"/>
      <c r="BD21" s="646"/>
      <c r="BE21" s="646"/>
      <c r="BF21" s="646"/>
      <c r="BG21" s="646"/>
      <c r="BH21" s="646"/>
      <c r="BI21" s="646"/>
      <c r="BJ21" s="646"/>
      <c r="BK21" s="646"/>
      <c r="BL21" s="646"/>
      <c r="BM21" s="646"/>
      <c r="BN21" s="646"/>
      <c r="BO21" s="646"/>
    </row>
    <row r="22" spans="2:67" ht="14.45">
      <c r="B22" s="221"/>
      <c r="C22" s="222">
        <f>'Student Data'!G23</f>
        <v>0</v>
      </c>
      <c r="D22" s="252">
        <f>'Student Data'!K23</f>
        <v>0</v>
      </c>
      <c r="E22" s="223">
        <f>'Student Data'!E23</f>
        <v>0</v>
      </c>
      <c r="F22" s="224" t="str">
        <f>'Student Data'!D23&amp;" "&amp;'Student Data'!C23</f>
        <v xml:space="preserve"> </v>
      </c>
      <c r="G22" s="225">
        <f>COUNTIF('Student Data'!D23, "*")</f>
        <v>0</v>
      </c>
      <c r="H22" s="250">
        <f>MAX(Performance!AD23:AH23)</f>
        <v>0</v>
      </c>
      <c r="I22" s="226">
        <f>COUNTIF(Performance!AF23:AF23, "&gt;0")</f>
        <v>0</v>
      </c>
      <c r="J22" s="227" cm="1">
        <f t="array" ref="J22">SUMPRODUCT(COUNTIF('Student Data'!$G23,{"Tier 1A Nesting","*Tier 1B*","Nesting 3","Transi*"}))</f>
        <v>0</v>
      </c>
      <c r="K22" s="227" cm="1">
        <f t="array" ref="K22">SUMPRODUCT(COUNTIF('Student Data'!$G23,{"Transi*"}))</f>
        <v>0</v>
      </c>
      <c r="L22" s="228"/>
      <c r="M22" s="229" cm="1">
        <f t="array" ref="M22">SUMPRODUCT(COUNTIF('Student Data'!$G23,{"*Resigned*"}))</f>
        <v>0</v>
      </c>
      <c r="N22" s="230" cm="1">
        <f t="array" ref="N22">SUMPRODUCT(COUNTIF('Student Data'!$G23,{"*Terminated*"}))</f>
        <v>0</v>
      </c>
      <c r="O22" s="229">
        <f>COUNTIF('Student Data'!G23, "Remained at Previous Level")</f>
        <v>0</v>
      </c>
      <c r="P22" s="230">
        <f>COUNTIF('Student Data'!G23, "Transferred Out of Program")</f>
        <v>0</v>
      </c>
      <c r="Q22" s="230" cm="1">
        <f t="array" ref="Q22">SUMPRODUCT(COUNTIF('Student Data'!$G23,{"*Moved/Joining Alternate Class*"}))</f>
        <v>0</v>
      </c>
      <c r="R22" s="313">
        <f>'PCB Nesting QA'!D23</f>
        <v>0</v>
      </c>
      <c r="S22" s="313">
        <f>'PCB Nesting QA'!E23</f>
        <v>0</v>
      </c>
      <c r="T22" s="313">
        <f>'PCB Nesting QA'!F23</f>
        <v>0</v>
      </c>
      <c r="U22" s="313">
        <f>'PCB Nesting QA'!G23</f>
        <v>0</v>
      </c>
      <c r="V22" s="313">
        <f>'PCB Nesting QA'!H23</f>
        <v>0</v>
      </c>
      <c r="W22" s="313">
        <f>'PCB Nesting QA'!I23</f>
        <v>0</v>
      </c>
      <c r="X22" s="313">
        <f>'PCB Nesting QA'!J23</f>
        <v>0</v>
      </c>
      <c r="Y22" s="313">
        <f>'PCB Nesting QA'!K23</f>
        <v>0</v>
      </c>
      <c r="Z22" s="313">
        <f>'PCB Nesting QA'!L23</f>
        <v>0</v>
      </c>
      <c r="AA22" s="313">
        <f>'PCB Nesting QA'!M23</f>
        <v>0</v>
      </c>
      <c r="AB22" s="313">
        <f>'PCB Nesting QA'!N23</f>
        <v>0</v>
      </c>
      <c r="AC22" s="655">
        <f>'PCB Nesting QA'!O23</f>
        <v>0</v>
      </c>
      <c r="AD22" s="652">
        <f>'KPI Dashboard'!AT24</f>
        <v>0</v>
      </c>
      <c r="AE22" s="652">
        <f>'KPI Dashboard'!BA24</f>
        <v>0</v>
      </c>
      <c r="AF22" s="652">
        <f>'KPI Dashboard'!BL24</f>
        <v>0</v>
      </c>
      <c r="AG22" s="656">
        <f>'KPI Dashboard'!AN25</f>
        <v>0</v>
      </c>
      <c r="AH22" s="652">
        <f>'KPI Dashboard'!U24</f>
        <v>0</v>
      </c>
      <c r="AI22" s="652">
        <f>'KPI Dashboard'!AB24</f>
        <v>0</v>
      </c>
      <c r="AJ22" s="652">
        <f>'KPI Dashboard'!AM24</f>
        <v>0</v>
      </c>
      <c r="AK22" s="656">
        <f>'KPI Dashboard'!BM25</f>
        <v>0</v>
      </c>
      <c r="AL22" s="652">
        <f>'KPI Dashboard'!BS24</f>
        <v>0</v>
      </c>
      <c r="AM22" s="652">
        <f>'KPI Dashboard'!BZ24</f>
        <v>0</v>
      </c>
      <c r="AN22" s="652">
        <f>'KPI Dashboard'!CK24</f>
        <v>0</v>
      </c>
      <c r="AO22" s="656">
        <f>'KPI Dashboard'!CL25</f>
        <v>0</v>
      </c>
      <c r="AP22" s="646"/>
      <c r="AQ22" s="646"/>
      <c r="AR22" s="646"/>
      <c r="AS22" s="646"/>
      <c r="AT22" s="646"/>
      <c r="AU22" s="646"/>
      <c r="AV22" s="646"/>
      <c r="AW22" s="646"/>
      <c r="AX22" s="646"/>
      <c r="AY22" s="646"/>
      <c r="AZ22" s="646"/>
      <c r="BA22" s="646"/>
      <c r="BB22" s="646"/>
      <c r="BC22" s="646"/>
      <c r="BD22" s="646"/>
      <c r="BE22" s="646"/>
      <c r="BF22" s="646"/>
      <c r="BG22" s="646"/>
      <c r="BH22" s="646"/>
      <c r="BI22" s="646"/>
      <c r="BJ22" s="646"/>
      <c r="BK22" s="646"/>
      <c r="BL22" s="646"/>
      <c r="BM22" s="646"/>
      <c r="BN22" s="646"/>
      <c r="BO22" s="646"/>
    </row>
    <row r="23" spans="2:67" ht="14.45">
      <c r="B23" s="221"/>
      <c r="C23" s="222">
        <f>'Student Data'!G24</f>
        <v>0</v>
      </c>
      <c r="D23" s="252">
        <f>'Student Data'!K24</f>
        <v>0</v>
      </c>
      <c r="E23" s="223">
        <f>'Student Data'!E24</f>
        <v>0</v>
      </c>
      <c r="F23" s="224" t="str">
        <f>'Student Data'!D24&amp;" "&amp;'Student Data'!C24</f>
        <v xml:space="preserve"> </v>
      </c>
      <c r="G23" s="225">
        <f>COUNTIF('Student Data'!D24, "*")</f>
        <v>0</v>
      </c>
      <c r="H23" s="250">
        <f>MAX(Performance!AD24:AH24)</f>
        <v>0</v>
      </c>
      <c r="I23" s="226">
        <f>COUNTIF(Performance!AF24:AF24, "&gt;0")</f>
        <v>0</v>
      </c>
      <c r="J23" s="227" cm="1">
        <f t="array" ref="J23">SUMPRODUCT(COUNTIF('Student Data'!$G24,{"Tier 1A Nesting","*Tier 1B*","Nesting 3","Transi*"}))</f>
        <v>0</v>
      </c>
      <c r="K23" s="227" cm="1">
        <f t="array" ref="K23">SUMPRODUCT(COUNTIF('Student Data'!$G24,{"Transi*"}))</f>
        <v>0</v>
      </c>
      <c r="L23" s="228"/>
      <c r="M23" s="229" cm="1">
        <f t="array" ref="M23">SUMPRODUCT(COUNTIF('Student Data'!$G24,{"*Resigned*"}))</f>
        <v>0</v>
      </c>
      <c r="N23" s="230" cm="1">
        <f t="array" ref="N23">SUMPRODUCT(COUNTIF('Student Data'!$G24,{"*Terminated*"}))</f>
        <v>0</v>
      </c>
      <c r="O23" s="229">
        <f>COUNTIF('Student Data'!G24, "Remained at Previous Level")</f>
        <v>0</v>
      </c>
      <c r="P23" s="230">
        <f>COUNTIF('Student Data'!G24, "Transferred Out of Program")</f>
        <v>0</v>
      </c>
      <c r="Q23" s="230" cm="1">
        <f t="array" ref="Q23">SUMPRODUCT(COUNTIF('Student Data'!$G24,{"*Moved/Joining Alternate Class*"}))</f>
        <v>0</v>
      </c>
      <c r="R23" s="313"/>
      <c r="S23" s="313"/>
      <c r="T23" s="313"/>
      <c r="U23" s="313"/>
      <c r="V23" s="313"/>
      <c r="W23" s="313"/>
      <c r="X23" s="313"/>
      <c r="Y23" s="313"/>
      <c r="Z23" s="313"/>
      <c r="AA23" s="313"/>
      <c r="AB23" s="313"/>
      <c r="AC23" s="655"/>
      <c r="AD23" s="653"/>
      <c r="AE23" s="653"/>
      <c r="AF23" s="653"/>
      <c r="AG23" s="657"/>
      <c r="AH23" s="653"/>
      <c r="AI23" s="653"/>
      <c r="AJ23" s="653"/>
      <c r="AK23" s="657"/>
      <c r="AL23" s="653"/>
      <c r="AM23" s="653"/>
      <c r="AN23" s="653"/>
      <c r="AO23" s="657"/>
      <c r="AP23" s="646"/>
      <c r="AQ23" s="646"/>
      <c r="AR23" s="646"/>
      <c r="AS23" s="646"/>
      <c r="AT23" s="646"/>
      <c r="AU23" s="646"/>
      <c r="AV23" s="646"/>
      <c r="AW23" s="646"/>
      <c r="AX23" s="646"/>
      <c r="AY23" s="646"/>
      <c r="AZ23" s="646"/>
      <c r="BA23" s="646"/>
      <c r="BB23" s="646"/>
      <c r="BC23" s="646"/>
      <c r="BD23" s="646"/>
      <c r="BE23" s="646"/>
      <c r="BF23" s="646"/>
      <c r="BG23" s="646"/>
      <c r="BH23" s="646"/>
      <c r="BI23" s="646"/>
      <c r="BJ23" s="646"/>
      <c r="BK23" s="646"/>
      <c r="BL23" s="646"/>
      <c r="BM23" s="646"/>
      <c r="BN23" s="646"/>
      <c r="BO23" s="646"/>
    </row>
    <row r="24" spans="2:67" ht="14.45">
      <c r="B24" s="221"/>
      <c r="C24" s="222">
        <f>'Student Data'!G25</f>
        <v>0</v>
      </c>
      <c r="D24" s="252">
        <f>'Student Data'!K25</f>
        <v>0</v>
      </c>
      <c r="E24" s="223">
        <f>'Student Data'!E25</f>
        <v>0</v>
      </c>
      <c r="F24" s="224" t="str">
        <f>'Student Data'!D25&amp;" "&amp;'Student Data'!C25</f>
        <v xml:space="preserve"> </v>
      </c>
      <c r="G24" s="225">
        <f>COUNTIF('Student Data'!D25, "*")</f>
        <v>0</v>
      </c>
      <c r="H24" s="250">
        <f>MAX(Performance!AD25:AH25)</f>
        <v>0</v>
      </c>
      <c r="I24" s="226">
        <f>COUNTIF(Performance!AF25:AF25, "&gt;0")</f>
        <v>0</v>
      </c>
      <c r="J24" s="227" cm="1">
        <f t="array" ref="J24">SUMPRODUCT(COUNTIF('Student Data'!$G25,{"Tier 1A Nesting","*Tier 1B*","Nesting 3","Transi*"}))</f>
        <v>0</v>
      </c>
      <c r="K24" s="227" cm="1">
        <f t="array" ref="K24">SUMPRODUCT(COUNTIF('Student Data'!$G25,{"Transi*"}))</f>
        <v>0</v>
      </c>
      <c r="L24" s="228"/>
      <c r="M24" s="229" cm="1">
        <f t="array" ref="M24">SUMPRODUCT(COUNTIF('Student Data'!$G25,{"*Resigned*"}))</f>
        <v>0</v>
      </c>
      <c r="N24" s="230" cm="1">
        <f t="array" ref="N24">SUMPRODUCT(COUNTIF('Student Data'!$G25,{"*Terminated*"}))</f>
        <v>0</v>
      </c>
      <c r="O24" s="229">
        <f>COUNTIF('Student Data'!G25, "Remained at Previous Level")</f>
        <v>0</v>
      </c>
      <c r="P24" s="230">
        <f>COUNTIF('Student Data'!G25, "Transferred Out of Program")</f>
        <v>0</v>
      </c>
      <c r="Q24" s="230" cm="1">
        <f t="array" ref="Q24">SUMPRODUCT(COUNTIF('Student Data'!$G25,{"*Moved/Joining Alternate Class*"}))</f>
        <v>0</v>
      </c>
      <c r="R24" s="313"/>
      <c r="S24" s="313"/>
      <c r="T24" s="313"/>
      <c r="U24" s="313"/>
      <c r="V24" s="313"/>
      <c r="W24" s="313"/>
      <c r="X24" s="313"/>
      <c r="Y24" s="313"/>
      <c r="Z24" s="313"/>
      <c r="AA24" s="313"/>
      <c r="AB24" s="313"/>
      <c r="AC24" s="655"/>
      <c r="AD24" s="653"/>
      <c r="AE24" s="653"/>
      <c r="AF24" s="653"/>
      <c r="AG24" s="657"/>
      <c r="AH24" s="653"/>
      <c r="AI24" s="653"/>
      <c r="AJ24" s="653"/>
      <c r="AK24" s="657"/>
      <c r="AL24" s="653"/>
      <c r="AM24" s="653"/>
      <c r="AN24" s="653"/>
      <c r="AO24" s="657"/>
      <c r="AP24" s="646"/>
      <c r="AQ24" s="646"/>
      <c r="AR24" s="646"/>
      <c r="AS24" s="646"/>
      <c r="AT24" s="646"/>
      <c r="AU24" s="646"/>
      <c r="AV24" s="646"/>
      <c r="AW24" s="646"/>
      <c r="AX24" s="646"/>
      <c r="AY24" s="646"/>
      <c r="AZ24" s="646"/>
      <c r="BA24" s="646"/>
      <c r="BB24" s="646"/>
      <c r="BC24" s="646"/>
      <c r="BD24" s="646"/>
      <c r="BE24" s="646"/>
      <c r="BF24" s="646"/>
      <c r="BG24" s="646"/>
      <c r="BH24" s="646"/>
      <c r="BI24" s="646"/>
      <c r="BJ24" s="646"/>
      <c r="BK24" s="646"/>
      <c r="BL24" s="646"/>
      <c r="BM24" s="646"/>
      <c r="BN24" s="646"/>
      <c r="BO24" s="646"/>
    </row>
    <row r="25" spans="2:67" ht="14.45">
      <c r="B25" s="221"/>
      <c r="C25" s="222">
        <f>'Student Data'!G26</f>
        <v>0</v>
      </c>
      <c r="D25" s="252">
        <f>'Student Data'!K26</f>
        <v>0</v>
      </c>
      <c r="E25" s="223">
        <f>'Student Data'!E26</f>
        <v>0</v>
      </c>
      <c r="F25" s="224" t="str">
        <f>'Student Data'!D26&amp;" "&amp;'Student Data'!C26</f>
        <v xml:space="preserve"> </v>
      </c>
      <c r="G25" s="225">
        <f>COUNTIF('Student Data'!D26, "*")</f>
        <v>0</v>
      </c>
      <c r="H25" s="250">
        <f>MAX(Performance!AD26:AH26)</f>
        <v>0</v>
      </c>
      <c r="I25" s="226">
        <f>COUNTIF(Performance!AF26:AF26, "&gt;0")</f>
        <v>0</v>
      </c>
      <c r="J25" s="227" cm="1">
        <f t="array" ref="J25">SUMPRODUCT(COUNTIF('Student Data'!$G26,{"Tier 1A Nesting","*Tier 1B*","Nesting 3","Transi*"}))</f>
        <v>0</v>
      </c>
      <c r="K25" s="227" cm="1">
        <f t="array" ref="K25">SUMPRODUCT(COUNTIF('Student Data'!$G26,{"Transi*"}))</f>
        <v>0</v>
      </c>
      <c r="L25" s="228"/>
      <c r="M25" s="229" cm="1">
        <f t="array" ref="M25">SUMPRODUCT(COUNTIF('Student Data'!$G26,{"*Resigned*"}))</f>
        <v>0</v>
      </c>
      <c r="N25" s="230" cm="1">
        <f t="array" ref="N25">SUMPRODUCT(COUNTIF('Student Data'!$G26,{"*Terminated*"}))</f>
        <v>0</v>
      </c>
      <c r="O25" s="229">
        <f>COUNTIF('Student Data'!G26, "Remained at Previous Level")</f>
        <v>0</v>
      </c>
      <c r="P25" s="230">
        <f>COUNTIF('Student Data'!G26, "Transferred Out of Program")</f>
        <v>0</v>
      </c>
      <c r="Q25" s="230" cm="1">
        <f t="array" ref="Q25">SUMPRODUCT(COUNTIF('Student Data'!$G26,{"*Moved/Joining Alternate Class*"}))</f>
        <v>0</v>
      </c>
      <c r="R25" s="313"/>
      <c r="S25" s="313"/>
      <c r="T25" s="313"/>
      <c r="U25" s="313"/>
      <c r="V25" s="313"/>
      <c r="W25" s="313"/>
      <c r="X25" s="313"/>
      <c r="Y25" s="313"/>
      <c r="Z25" s="313"/>
      <c r="AA25" s="313"/>
      <c r="AB25" s="313"/>
      <c r="AC25" s="655"/>
      <c r="AD25" s="653"/>
      <c r="AE25" s="653"/>
      <c r="AF25" s="653"/>
      <c r="AG25" s="657"/>
      <c r="AH25" s="653"/>
      <c r="AI25" s="653"/>
      <c r="AJ25" s="653"/>
      <c r="AK25" s="657"/>
      <c r="AL25" s="653"/>
      <c r="AM25" s="653"/>
      <c r="AN25" s="653"/>
      <c r="AO25" s="657"/>
      <c r="AP25" s="646"/>
      <c r="AQ25" s="646"/>
      <c r="AR25" s="646"/>
      <c r="AS25" s="646"/>
      <c r="AT25" s="646"/>
      <c r="AU25" s="646"/>
      <c r="AV25" s="646"/>
      <c r="AW25" s="646"/>
      <c r="AX25" s="646"/>
      <c r="AY25" s="646"/>
      <c r="AZ25" s="646"/>
      <c r="BA25" s="646"/>
      <c r="BB25" s="646"/>
      <c r="BC25" s="646"/>
      <c r="BD25" s="646"/>
      <c r="BE25" s="646"/>
      <c r="BF25" s="646"/>
      <c r="BG25" s="646"/>
      <c r="BH25" s="646"/>
      <c r="BI25" s="646"/>
      <c r="BJ25" s="646"/>
      <c r="BK25" s="646"/>
      <c r="BL25" s="646"/>
      <c r="BM25" s="646"/>
      <c r="BN25" s="646"/>
      <c r="BO25" s="646"/>
    </row>
    <row r="26" spans="2:67" ht="14.45">
      <c r="B26" s="221"/>
      <c r="C26" s="222">
        <f>'Student Data'!G27</f>
        <v>0</v>
      </c>
      <c r="D26" s="252">
        <f>'Student Data'!K27</f>
        <v>0</v>
      </c>
      <c r="E26" s="223">
        <f>'Student Data'!E27</f>
        <v>0</v>
      </c>
      <c r="F26" s="224" t="str">
        <f>'Student Data'!D27&amp;" "&amp;'Student Data'!C27</f>
        <v xml:space="preserve"> </v>
      </c>
      <c r="G26" s="225">
        <f>COUNTIF('Student Data'!D27, "*")</f>
        <v>0</v>
      </c>
      <c r="H26" s="250">
        <f>MAX(Performance!AD27:AH27)</f>
        <v>0</v>
      </c>
      <c r="I26" s="226">
        <f>COUNTIF(Performance!AF27:AF27, "&gt;0")</f>
        <v>0</v>
      </c>
      <c r="J26" s="227" cm="1">
        <f t="array" ref="J26">SUMPRODUCT(COUNTIF('Student Data'!$G27,{"Tier 1A Nesting","*Tier 1B*","Nesting 3","Transi*"}))</f>
        <v>0</v>
      </c>
      <c r="K26" s="227" cm="1">
        <f t="array" ref="K26">SUMPRODUCT(COUNTIF('Student Data'!$G27,{"Transi*"}))</f>
        <v>0</v>
      </c>
      <c r="L26" s="228"/>
      <c r="M26" s="229" cm="1">
        <f t="array" ref="M26">SUMPRODUCT(COUNTIF('Student Data'!$G27,{"*Resigned*"}))</f>
        <v>0</v>
      </c>
      <c r="N26" s="230" cm="1">
        <f t="array" ref="N26">SUMPRODUCT(COUNTIF('Student Data'!$G27,{"*Terminated*"}))</f>
        <v>0</v>
      </c>
      <c r="O26" s="229">
        <f>COUNTIF('Student Data'!G27, "Remained at Previous Level")</f>
        <v>0</v>
      </c>
      <c r="P26" s="230">
        <f>COUNTIF('Student Data'!G27, "Transferred Out of Program")</f>
        <v>0</v>
      </c>
      <c r="Q26" s="230" cm="1">
        <f t="array" ref="Q26">SUMPRODUCT(COUNTIF('Student Data'!$G27,{"*Moved/Joining Alternate Class*"}))</f>
        <v>0</v>
      </c>
      <c r="R26" s="313"/>
      <c r="S26" s="313"/>
      <c r="T26" s="313"/>
      <c r="U26" s="313"/>
      <c r="V26" s="313"/>
      <c r="W26" s="313"/>
      <c r="X26" s="313"/>
      <c r="Y26" s="313"/>
      <c r="Z26" s="313"/>
      <c r="AA26" s="313"/>
      <c r="AB26" s="313"/>
      <c r="AC26" s="655"/>
      <c r="AD26" s="653"/>
      <c r="AE26" s="653"/>
      <c r="AF26" s="653"/>
      <c r="AG26" s="657"/>
      <c r="AH26" s="653"/>
      <c r="AI26" s="653"/>
      <c r="AJ26" s="653"/>
      <c r="AK26" s="657"/>
      <c r="AL26" s="653"/>
      <c r="AM26" s="653"/>
      <c r="AN26" s="653"/>
      <c r="AO26" s="657"/>
      <c r="AP26" s="646"/>
      <c r="AQ26" s="646"/>
      <c r="AR26" s="646"/>
      <c r="AS26" s="646"/>
      <c r="AT26" s="646"/>
      <c r="AU26" s="646"/>
      <c r="AV26" s="646"/>
      <c r="AW26" s="646"/>
      <c r="AX26" s="646"/>
      <c r="AY26" s="646"/>
      <c r="AZ26" s="646"/>
      <c r="BA26" s="646"/>
      <c r="BB26" s="646"/>
      <c r="BC26" s="646"/>
      <c r="BD26" s="646"/>
      <c r="BE26" s="646"/>
      <c r="BF26" s="646"/>
      <c r="BG26" s="646"/>
      <c r="BH26" s="646"/>
      <c r="BI26" s="646"/>
      <c r="BJ26" s="646"/>
      <c r="BK26" s="646"/>
      <c r="BL26" s="646"/>
      <c r="BM26" s="646"/>
      <c r="BN26" s="646"/>
      <c r="BO26" s="646"/>
    </row>
    <row r="27" spans="2:67" ht="14.45">
      <c r="B27" s="221"/>
      <c r="C27" s="222">
        <f>'Student Data'!G28</f>
        <v>0</v>
      </c>
      <c r="D27" s="252">
        <f>'Student Data'!K28</f>
        <v>0</v>
      </c>
      <c r="E27" s="223">
        <f>'Student Data'!E28</f>
        <v>0</v>
      </c>
      <c r="F27" s="224" t="str">
        <f>'Student Data'!D28&amp;" "&amp;'Student Data'!C28</f>
        <v xml:space="preserve"> </v>
      </c>
      <c r="G27" s="225">
        <f>COUNTIF('Student Data'!D28, "*")</f>
        <v>0</v>
      </c>
      <c r="H27" s="250">
        <f>MAX(Performance!AD28:AH28)</f>
        <v>0</v>
      </c>
      <c r="I27" s="226">
        <f>COUNTIF(Performance!AF28:AF28, "&gt;0")</f>
        <v>0</v>
      </c>
      <c r="J27" s="227" cm="1">
        <f t="array" ref="J27">SUMPRODUCT(COUNTIF('Student Data'!$G28,{"Tier 1A Nesting","*Tier 1B*","Nesting 3","Transi*"}))</f>
        <v>0</v>
      </c>
      <c r="K27" s="227" cm="1">
        <f t="array" ref="K27">SUMPRODUCT(COUNTIF('Student Data'!$G28,{"Transi*"}))</f>
        <v>0</v>
      </c>
      <c r="L27" s="228"/>
      <c r="M27" s="229" cm="1">
        <f t="array" ref="M27">SUMPRODUCT(COUNTIF('Student Data'!$G28,{"*Resigned*"}))</f>
        <v>0</v>
      </c>
      <c r="N27" s="230" cm="1">
        <f t="array" ref="N27">SUMPRODUCT(COUNTIF('Student Data'!$G28,{"*Terminated*"}))</f>
        <v>0</v>
      </c>
      <c r="O27" s="229">
        <f>COUNTIF('Student Data'!G28, "Remained at Previous Level")</f>
        <v>0</v>
      </c>
      <c r="P27" s="230">
        <f>COUNTIF('Student Data'!G28, "Transferred Out of Program")</f>
        <v>0</v>
      </c>
      <c r="Q27" s="230" cm="1">
        <f t="array" ref="Q27">SUMPRODUCT(COUNTIF('Student Data'!$G28,{"*Moved/Joining Alternate Class*"}))</f>
        <v>0</v>
      </c>
      <c r="R27" s="313"/>
      <c r="S27" s="313"/>
      <c r="T27" s="313"/>
      <c r="U27" s="313"/>
      <c r="V27" s="313"/>
      <c r="W27" s="313"/>
      <c r="X27" s="313"/>
      <c r="Y27" s="313"/>
      <c r="Z27" s="313"/>
      <c r="AA27" s="313"/>
      <c r="AB27" s="313"/>
      <c r="AC27" s="655"/>
      <c r="AD27" s="653"/>
      <c r="AE27" s="653"/>
      <c r="AF27" s="653"/>
      <c r="AG27" s="657"/>
      <c r="AH27" s="653"/>
      <c r="AI27" s="653"/>
      <c r="AJ27" s="653"/>
      <c r="AK27" s="657"/>
      <c r="AL27" s="653"/>
      <c r="AM27" s="653"/>
      <c r="AN27" s="653"/>
      <c r="AO27" s="657"/>
      <c r="AP27" s="646"/>
      <c r="AQ27" s="646"/>
      <c r="AR27" s="646"/>
      <c r="AS27" s="646"/>
      <c r="AT27" s="646"/>
      <c r="AU27" s="646"/>
      <c r="AV27" s="646"/>
      <c r="AW27" s="646"/>
      <c r="AX27" s="646"/>
      <c r="AY27" s="646"/>
      <c r="AZ27" s="646"/>
      <c r="BA27" s="646"/>
      <c r="BB27" s="646"/>
      <c r="BC27" s="646"/>
      <c r="BD27" s="646"/>
      <c r="BE27" s="646"/>
      <c r="BF27" s="646"/>
      <c r="BG27" s="646"/>
      <c r="BH27" s="646"/>
      <c r="BI27" s="646"/>
      <c r="BJ27" s="646"/>
      <c r="BK27" s="646"/>
      <c r="BL27" s="646"/>
      <c r="BM27" s="646"/>
      <c r="BN27" s="646"/>
      <c r="BO27" s="646"/>
    </row>
    <row r="28" spans="2:67" ht="14.45">
      <c r="B28" s="221"/>
      <c r="C28" s="222">
        <f>'Student Data'!G29</f>
        <v>0</v>
      </c>
      <c r="D28" s="252">
        <f>'Student Data'!K29</f>
        <v>0</v>
      </c>
      <c r="E28" s="223">
        <f>'Student Data'!E29</f>
        <v>0</v>
      </c>
      <c r="F28" s="224" t="str">
        <f>'Student Data'!D29&amp;" "&amp;'Student Data'!C29</f>
        <v xml:space="preserve"> </v>
      </c>
      <c r="G28" s="225">
        <f>COUNTIF('Student Data'!D29, "*")</f>
        <v>0</v>
      </c>
      <c r="H28" s="250">
        <f>MAX(Performance!AD29:AH29)</f>
        <v>0</v>
      </c>
      <c r="I28" s="226">
        <f>COUNTIF(Performance!AF29:AF29, "&gt;0")</f>
        <v>0</v>
      </c>
      <c r="J28" s="227" cm="1">
        <f t="array" ref="J28">SUMPRODUCT(COUNTIF('Student Data'!$G29,{"Tier 1A Nesting","*Tier 1B*","Nesting 3","Transi*"}))</f>
        <v>0</v>
      </c>
      <c r="K28" s="227" cm="1">
        <f t="array" ref="K28">SUMPRODUCT(COUNTIF('Student Data'!$G29,{"Transi*"}))</f>
        <v>0</v>
      </c>
      <c r="L28" s="228"/>
      <c r="M28" s="229" cm="1">
        <f t="array" ref="M28">SUMPRODUCT(COUNTIF('Student Data'!$G29,{"*Resigned*"}))</f>
        <v>0</v>
      </c>
      <c r="N28" s="230" cm="1">
        <f t="array" ref="N28">SUMPRODUCT(COUNTIF('Student Data'!$G29,{"*Terminated*"}))</f>
        <v>0</v>
      </c>
      <c r="O28" s="229">
        <f>COUNTIF('Student Data'!G29, "Remained at Previous Level")</f>
        <v>0</v>
      </c>
      <c r="P28" s="230">
        <f>COUNTIF('Student Data'!G29, "Transferred Out of Program")</f>
        <v>0</v>
      </c>
      <c r="Q28" s="230" cm="1">
        <f t="array" ref="Q28">SUMPRODUCT(COUNTIF('Student Data'!$G29,{"*Moved/Joining Alternate Class*"}))</f>
        <v>0</v>
      </c>
      <c r="R28" s="313"/>
      <c r="S28" s="313"/>
      <c r="T28" s="313"/>
      <c r="U28" s="313"/>
      <c r="V28" s="313"/>
      <c r="W28" s="313"/>
      <c r="X28" s="313"/>
      <c r="Y28" s="313"/>
      <c r="Z28" s="313"/>
      <c r="AA28" s="313"/>
      <c r="AB28" s="313"/>
      <c r="AC28" s="655"/>
      <c r="AD28" s="653"/>
      <c r="AE28" s="653"/>
      <c r="AF28" s="653"/>
      <c r="AG28" s="657"/>
      <c r="AH28" s="653"/>
      <c r="AI28" s="653"/>
      <c r="AJ28" s="653"/>
      <c r="AK28" s="657"/>
      <c r="AL28" s="653"/>
      <c r="AM28" s="653"/>
      <c r="AN28" s="653"/>
      <c r="AO28" s="657"/>
      <c r="AP28" s="646"/>
      <c r="AQ28" s="646"/>
      <c r="AR28" s="646"/>
      <c r="AS28" s="646"/>
      <c r="AT28" s="646"/>
      <c r="AU28" s="646"/>
      <c r="AV28" s="646"/>
      <c r="AW28" s="646"/>
      <c r="AX28" s="646"/>
      <c r="AY28" s="646"/>
      <c r="AZ28" s="646"/>
      <c r="BA28" s="646"/>
      <c r="BB28" s="646"/>
      <c r="BC28" s="646"/>
      <c r="BD28" s="646"/>
      <c r="BE28" s="646"/>
      <c r="BF28" s="646"/>
      <c r="BG28" s="646"/>
      <c r="BH28" s="646"/>
      <c r="BI28" s="646"/>
      <c r="BJ28" s="646"/>
      <c r="BK28" s="646"/>
      <c r="BL28" s="646"/>
      <c r="BM28" s="646"/>
      <c r="BN28" s="646"/>
      <c r="BO28" s="646"/>
    </row>
    <row r="29" spans="2:67" ht="14.45">
      <c r="B29" s="221"/>
      <c r="C29" s="222">
        <f>'Student Data'!G30</f>
        <v>0</v>
      </c>
      <c r="D29" s="252">
        <f>'Student Data'!K30</f>
        <v>0</v>
      </c>
      <c r="E29" s="223">
        <f>'Student Data'!E30</f>
        <v>0</v>
      </c>
      <c r="F29" s="224" t="str">
        <f>'Student Data'!D30&amp;" "&amp;'Student Data'!C30</f>
        <v xml:space="preserve"> </v>
      </c>
      <c r="G29" s="225">
        <f>COUNTIF('Student Data'!D30, "*")</f>
        <v>0</v>
      </c>
      <c r="H29" s="250">
        <f>MAX(Performance!AD30:AH30)</f>
        <v>0</v>
      </c>
      <c r="I29" s="226">
        <f>COUNTIF(Performance!AF30:AF30, "&gt;0")</f>
        <v>0</v>
      </c>
      <c r="J29" s="227" cm="1">
        <f t="array" ref="J29">SUMPRODUCT(COUNTIF('Student Data'!$G30,{"Tier 1A Nesting","*Tier 1B*","Nesting 3","Transi*"}))</f>
        <v>0</v>
      </c>
      <c r="K29" s="227" cm="1">
        <f t="array" ref="K29">SUMPRODUCT(COUNTIF('Student Data'!$G30,{"Transi*"}))</f>
        <v>0</v>
      </c>
      <c r="L29" s="228"/>
      <c r="M29" s="229" cm="1">
        <f t="array" ref="M29">SUMPRODUCT(COUNTIF('Student Data'!$G30,{"*Resigned*"}))</f>
        <v>0</v>
      </c>
      <c r="N29" s="230" cm="1">
        <f t="array" ref="N29">SUMPRODUCT(COUNTIF('Student Data'!$G30,{"*Terminated*"}))</f>
        <v>0</v>
      </c>
      <c r="O29" s="229">
        <f>COUNTIF('Student Data'!G30, "Remained at Previous Level")</f>
        <v>0</v>
      </c>
      <c r="P29" s="230">
        <f>COUNTIF('Student Data'!G30, "Transferred Out of Program")</f>
        <v>0</v>
      </c>
      <c r="Q29" s="230" cm="1">
        <f t="array" ref="Q29">SUMPRODUCT(COUNTIF('Student Data'!$G30,{"*Moved/Joining Alternate Class*"}))</f>
        <v>0</v>
      </c>
      <c r="R29" s="313"/>
      <c r="S29" s="313"/>
      <c r="T29" s="313"/>
      <c r="U29" s="313"/>
      <c r="V29" s="313"/>
      <c r="W29" s="313"/>
      <c r="X29" s="313"/>
      <c r="Y29" s="313"/>
      <c r="Z29" s="313"/>
      <c r="AA29" s="313"/>
      <c r="AB29" s="313"/>
      <c r="AC29" s="655"/>
      <c r="AD29" s="653"/>
      <c r="AE29" s="653"/>
      <c r="AF29" s="653"/>
      <c r="AG29" s="657"/>
      <c r="AH29" s="653"/>
      <c r="AI29" s="653"/>
      <c r="AJ29" s="653"/>
      <c r="AK29" s="657"/>
      <c r="AL29" s="653"/>
      <c r="AM29" s="653"/>
      <c r="AN29" s="653"/>
      <c r="AO29" s="657"/>
      <c r="AP29" s="646"/>
      <c r="AQ29" s="646"/>
      <c r="AR29" s="646"/>
      <c r="AS29" s="646"/>
      <c r="AT29" s="646"/>
      <c r="AU29" s="646"/>
      <c r="AV29" s="646"/>
      <c r="AW29" s="646"/>
      <c r="AX29" s="646"/>
      <c r="AY29" s="646"/>
      <c r="AZ29" s="646"/>
      <c r="BA29" s="646"/>
      <c r="BB29" s="646"/>
      <c r="BC29" s="646"/>
      <c r="BD29" s="646"/>
      <c r="BE29" s="646"/>
      <c r="BF29" s="646"/>
      <c r="BG29" s="646"/>
      <c r="BH29" s="646"/>
      <c r="BI29" s="646"/>
      <c r="BJ29" s="646"/>
      <c r="BK29" s="646"/>
      <c r="BL29" s="646"/>
      <c r="BM29" s="646"/>
      <c r="BN29" s="646"/>
      <c r="BO29" s="646"/>
    </row>
    <row r="30" spans="2:67" ht="14.45">
      <c r="B30" s="221"/>
      <c r="C30" s="222">
        <f>'Student Data'!G31</f>
        <v>0</v>
      </c>
      <c r="D30" s="252">
        <f>'Student Data'!K31</f>
        <v>0</v>
      </c>
      <c r="E30" s="223">
        <f>'Student Data'!E31</f>
        <v>0</v>
      </c>
      <c r="F30" s="224" t="str">
        <f>'Student Data'!D31&amp;" "&amp;'Student Data'!C31</f>
        <v xml:space="preserve"> </v>
      </c>
      <c r="G30" s="225">
        <f>COUNTIF('Student Data'!D31, "*")</f>
        <v>0</v>
      </c>
      <c r="H30" s="250">
        <f>MAX(Performance!AD31:AH31)</f>
        <v>0</v>
      </c>
      <c r="I30" s="226">
        <f>COUNTIF(Performance!AF31:AF31, "&gt;0")</f>
        <v>0</v>
      </c>
      <c r="J30" s="227" cm="1">
        <f t="array" ref="J30">SUMPRODUCT(COUNTIF('Student Data'!$G31,{"Tier 1A Nesting","*Tier 1B*","Nesting 3","Transi*"}))</f>
        <v>0</v>
      </c>
      <c r="K30" s="227" cm="1">
        <f t="array" ref="K30">SUMPRODUCT(COUNTIF('Student Data'!$G31,{"Transi*"}))</f>
        <v>0</v>
      </c>
      <c r="L30" s="228"/>
      <c r="M30" s="229" cm="1">
        <f t="array" ref="M30">SUMPRODUCT(COUNTIF('Student Data'!$G31,{"*Resigned*"}))</f>
        <v>0</v>
      </c>
      <c r="N30" s="230" cm="1">
        <f t="array" ref="N30">SUMPRODUCT(COUNTIF('Student Data'!$G31,{"*Terminated*"}))</f>
        <v>0</v>
      </c>
      <c r="O30" s="229">
        <f>COUNTIF('Student Data'!G31, "Remained at Previous Level")</f>
        <v>0</v>
      </c>
      <c r="P30" s="230">
        <f>COUNTIF('Student Data'!G31, "Transferred Out of Program")</f>
        <v>0</v>
      </c>
      <c r="Q30" s="230" cm="1">
        <f t="array" ref="Q30">SUMPRODUCT(COUNTIF('Student Data'!$G31,{"*Moved/Joining Alternate Class*"}))</f>
        <v>0</v>
      </c>
      <c r="R30" s="313"/>
      <c r="S30" s="313"/>
      <c r="T30" s="313"/>
      <c r="U30" s="313"/>
      <c r="V30" s="313"/>
      <c r="W30" s="313"/>
      <c r="X30" s="313"/>
      <c r="Y30" s="313"/>
      <c r="Z30" s="313"/>
      <c r="AA30" s="313"/>
      <c r="AB30" s="313"/>
      <c r="AC30" s="655"/>
      <c r="AD30" s="653"/>
      <c r="AE30" s="653"/>
      <c r="AF30" s="653"/>
      <c r="AG30" s="657"/>
      <c r="AH30" s="653"/>
      <c r="AI30" s="653"/>
      <c r="AJ30" s="653"/>
      <c r="AK30" s="657"/>
      <c r="AL30" s="653"/>
      <c r="AM30" s="653"/>
      <c r="AN30" s="653"/>
      <c r="AO30" s="657"/>
      <c r="AP30" s="646"/>
      <c r="AQ30" s="646"/>
      <c r="AR30" s="646"/>
      <c r="AS30" s="646"/>
      <c r="AT30" s="646"/>
      <c r="AU30" s="646"/>
      <c r="AV30" s="646"/>
      <c r="AW30" s="646"/>
      <c r="AX30" s="646"/>
      <c r="AY30" s="646"/>
      <c r="AZ30" s="646"/>
      <c r="BA30" s="646"/>
      <c r="BB30" s="646"/>
      <c r="BC30" s="646"/>
      <c r="BD30" s="646"/>
      <c r="BE30" s="646"/>
      <c r="BF30" s="646"/>
      <c r="BG30" s="646"/>
      <c r="BH30" s="646"/>
      <c r="BI30" s="646"/>
      <c r="BJ30" s="646"/>
      <c r="BK30" s="646"/>
      <c r="BL30" s="646"/>
      <c r="BM30" s="646"/>
      <c r="BN30" s="646"/>
      <c r="BO30" s="646"/>
    </row>
    <row r="31" spans="2:67" ht="14.45" hidden="1">
      <c r="B31" s="231"/>
      <c r="C31" s="232"/>
      <c r="D31" s="232"/>
      <c r="E31" s="232"/>
      <c r="F31" s="233"/>
      <c r="G31" s="234"/>
      <c r="H31" s="232"/>
      <c r="I31" s="232"/>
      <c r="J31" s="232"/>
      <c r="K31" s="232"/>
      <c r="L31" s="233"/>
      <c r="M31" s="235"/>
      <c r="N31" s="236"/>
      <c r="O31" s="235"/>
      <c r="P31" s="236"/>
      <c r="Q31" s="235"/>
      <c r="R31" s="312"/>
      <c r="S31" s="312"/>
      <c r="T31" s="312"/>
      <c r="U31" s="233"/>
      <c r="V31" s="234"/>
      <c r="W31" s="232"/>
      <c r="X31" s="232"/>
      <c r="Y31" s="400"/>
      <c r="Z31" s="400"/>
      <c r="AA31" s="400"/>
      <c r="AB31" s="400"/>
      <c r="AC31" s="400"/>
      <c r="AD31" s="647"/>
      <c r="AE31" s="647"/>
      <c r="AF31" s="647"/>
      <c r="AG31" s="647"/>
      <c r="AH31" s="647"/>
      <c r="AI31" s="647"/>
      <c r="AJ31" s="647"/>
      <c r="AK31" s="647"/>
      <c r="AL31" s="647"/>
      <c r="AM31" s="647"/>
      <c r="AN31" s="647"/>
      <c r="AO31" s="647"/>
      <c r="AP31" s="647"/>
      <c r="AQ31" s="647"/>
      <c r="AR31" s="647"/>
      <c r="AS31" s="647"/>
      <c r="AT31" s="647"/>
      <c r="AU31" s="647"/>
      <c r="AV31" s="647"/>
      <c r="AW31" s="647"/>
      <c r="AX31" s="647"/>
      <c r="AY31" s="647"/>
      <c r="AZ31" s="647"/>
      <c r="BA31" s="647"/>
      <c r="BB31" s="647"/>
      <c r="BC31" s="647"/>
      <c r="BD31" s="647"/>
      <c r="BE31" s="647"/>
      <c r="BF31" s="647"/>
      <c r="BG31" s="647"/>
      <c r="BH31" s="647"/>
      <c r="BI31" s="647"/>
      <c r="BJ31" s="647"/>
      <c r="BK31" s="647"/>
      <c r="BL31" s="647"/>
      <c r="BM31" s="647"/>
      <c r="BN31" s="647"/>
      <c r="BO31" s="647"/>
    </row>
    <row r="32" spans="2:67" ht="14.45" hidden="1">
      <c r="B32" s="237"/>
      <c r="C32" s="238"/>
      <c r="D32" s="239"/>
      <c r="E32" s="239"/>
      <c r="F32" s="239"/>
      <c r="G32" s="239"/>
      <c r="H32" s="239"/>
      <c r="I32" s="239"/>
      <c r="J32" s="239"/>
      <c r="K32" s="239"/>
      <c r="L32" s="239"/>
      <c r="M32" s="239"/>
      <c r="N32" s="239"/>
      <c r="O32" s="239"/>
      <c r="P32" s="239"/>
      <c r="Q32" s="239"/>
      <c r="R32" s="239"/>
      <c r="S32" s="239"/>
      <c r="T32" s="239"/>
      <c r="U32" s="239"/>
      <c r="V32" s="239"/>
      <c r="W32" s="239"/>
      <c r="X32" s="239"/>
      <c r="Y32" s="239"/>
      <c r="Z32" s="239"/>
      <c r="AA32" s="239"/>
      <c r="AB32" s="239"/>
      <c r="AC32" s="239"/>
      <c r="AD32" s="648"/>
      <c r="AE32" s="648"/>
      <c r="AF32" s="648"/>
      <c r="AG32" s="648"/>
      <c r="AH32" s="648"/>
      <c r="AI32" s="648"/>
      <c r="AJ32" s="648"/>
      <c r="AK32" s="648"/>
      <c r="AL32" s="648"/>
      <c r="AM32" s="648"/>
      <c r="AN32" s="648"/>
      <c r="AO32" s="648"/>
      <c r="AP32" s="648"/>
      <c r="AQ32" s="648"/>
      <c r="AR32" s="648"/>
      <c r="AS32" s="648"/>
      <c r="AT32" s="648"/>
      <c r="AU32" s="648"/>
      <c r="AV32" s="648"/>
      <c r="AW32" s="648"/>
      <c r="AX32" s="648"/>
      <c r="AY32" s="648"/>
      <c r="AZ32" s="648"/>
      <c r="BA32" s="648"/>
      <c r="BB32" s="648"/>
      <c r="BC32" s="648"/>
      <c r="BD32" s="648"/>
      <c r="BE32" s="648"/>
      <c r="BF32" s="648"/>
      <c r="BG32" s="648"/>
      <c r="BH32" s="648"/>
      <c r="BI32" s="648"/>
      <c r="BJ32" s="648"/>
      <c r="BK32" s="648"/>
      <c r="BL32" s="648"/>
      <c r="BM32" s="648"/>
      <c r="BN32" s="648"/>
      <c r="BO32" s="648"/>
    </row>
  </sheetData>
  <autoFilter ref="B1:P30" xr:uid="{00000000-0001-0000-1300-000000000000}"/>
  <mergeCells count="32">
    <mergeCell ref="Q1:Q2"/>
    <mergeCell ref="FY1:GM1"/>
    <mergeCell ref="GO1:HC1"/>
    <mergeCell ref="BQ1:BU1"/>
    <mergeCell ref="BV1:CN1"/>
    <mergeCell ref="DI1:DT1"/>
    <mergeCell ref="DV1:EG1"/>
    <mergeCell ref="EI1:ET1"/>
    <mergeCell ref="J1:J2"/>
    <mergeCell ref="K1:K2"/>
    <mergeCell ref="L1:L2"/>
    <mergeCell ref="EV1:FG1"/>
    <mergeCell ref="FI1:FW1"/>
    <mergeCell ref="AD1:AF1"/>
    <mergeCell ref="AH1:AJ1"/>
    <mergeCell ref="AL1:AN1"/>
    <mergeCell ref="M1:M2"/>
    <mergeCell ref="N1:N2"/>
    <mergeCell ref="O1:O2"/>
    <mergeCell ref="P1:P2"/>
    <mergeCell ref="R1:AC1"/>
    <mergeCell ref="AG1:AG2"/>
    <mergeCell ref="AK1:AK2"/>
    <mergeCell ref="AO1:AO2"/>
    <mergeCell ref="H1:H2"/>
    <mergeCell ref="I1:I2"/>
    <mergeCell ref="G1:G2"/>
    <mergeCell ref="B1:B2"/>
    <mergeCell ref="C1:C2"/>
    <mergeCell ref="D1:D2"/>
    <mergeCell ref="E1:E2"/>
    <mergeCell ref="F1:F2"/>
  </mergeCells>
  <phoneticPr fontId="59" type="noConversion"/>
  <hyperlinks>
    <hyperlink ref="A1" location="'Quick Links'!A1" display="Home" xr:uid="{1B5A5729-769C-4467-8D6F-AADC87BD7FCF}"/>
  </hyperlink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AAE57-134E-40DD-8A99-CEEC550C0F06}">
  <sheetPr codeName="Sheet21"/>
  <dimension ref="A1:U148"/>
  <sheetViews>
    <sheetView zoomScaleNormal="100" workbookViewId="0">
      <pane xSplit="7" topLeftCell="L1" activePane="topRight" state="frozen"/>
      <selection pane="topRight" activeCell="L21" sqref="L21"/>
      <selection activeCell="H9" sqref="H9"/>
    </sheetView>
  </sheetViews>
  <sheetFormatPr defaultColWidth="9.140625" defaultRowHeight="14.45"/>
  <cols>
    <col min="1" max="1" width="11.28515625" style="11" bestFit="1" customWidth="1"/>
    <col min="2" max="2" width="14.5703125" style="11" bestFit="1" customWidth="1"/>
    <col min="3" max="3" width="17.85546875" style="11" customWidth="1"/>
    <col min="4" max="4" width="19.28515625" style="11" customWidth="1"/>
    <col min="5" max="5" width="7.28515625" style="11" customWidth="1"/>
    <col min="6" max="6" width="21" style="11" customWidth="1"/>
    <col min="7" max="7" width="21" style="11" hidden="1" customWidth="1"/>
    <col min="8" max="8" width="14.5703125" style="11" bestFit="1" customWidth="1"/>
    <col min="9" max="13" width="14.5703125" style="11" customWidth="1"/>
    <col min="14" max="14" width="23.7109375" style="11" customWidth="1"/>
    <col min="15" max="19" width="14.5703125" style="11" customWidth="1"/>
    <col min="20" max="20" width="23.7109375" style="11" customWidth="1"/>
    <col min="21" max="21" width="14.5703125" style="11" customWidth="1"/>
    <col min="22" max="16384" width="9.140625" style="11"/>
  </cols>
  <sheetData>
    <row r="1" spans="1:21" ht="15" thickBot="1">
      <c r="A1" s="288" t="s">
        <v>90</v>
      </c>
      <c r="E1" s="97"/>
    </row>
    <row r="2" spans="1:21" ht="44.25" customHeight="1" thickBot="1">
      <c r="A2" s="261"/>
      <c r="B2" s="259"/>
      <c r="C2" s="262" t="s">
        <v>333</v>
      </c>
      <c r="D2" s="373" t="e">
        <f>'Class Summary'!#REF!</f>
        <v>#REF!</v>
      </c>
      <c r="E2" s="263"/>
      <c r="F2" s="259"/>
      <c r="G2" s="259"/>
    </row>
    <row r="3" spans="1:21" ht="56.65" customHeight="1" thickBot="1">
      <c r="A3" s="264" t="s">
        <v>811</v>
      </c>
      <c r="H3" s="358"/>
      <c r="I3" s="323"/>
      <c r="J3" s="1071" t="s">
        <v>812</v>
      </c>
      <c r="K3" s="1071"/>
      <c r="L3" s="1071"/>
      <c r="M3" s="1071"/>
      <c r="N3" s="1071"/>
      <c r="O3" s="1071"/>
      <c r="P3" s="359"/>
      <c r="Q3" s="1071" t="s">
        <v>813</v>
      </c>
      <c r="R3" s="1071"/>
      <c r="S3" s="1071"/>
      <c r="T3" s="1071"/>
      <c r="U3" s="1071"/>
    </row>
    <row r="4" spans="1:21" ht="72.75" customHeight="1">
      <c r="A4" s="253"/>
      <c r="B4" s="273" t="s">
        <v>159</v>
      </c>
      <c r="C4" s="273" t="s">
        <v>160</v>
      </c>
      <c r="D4" s="273" t="s">
        <v>161</v>
      </c>
      <c r="E4" s="273" t="s">
        <v>199</v>
      </c>
      <c r="F4" s="899" t="s">
        <v>814</v>
      </c>
      <c r="G4" s="899" t="s">
        <v>161</v>
      </c>
      <c r="H4" s="360" t="s">
        <v>815</v>
      </c>
      <c r="I4" s="361" t="s">
        <v>816</v>
      </c>
      <c r="J4" s="361" t="s">
        <v>817</v>
      </c>
      <c r="K4" s="361" t="s">
        <v>818</v>
      </c>
      <c r="L4" s="361" t="s">
        <v>819</v>
      </c>
      <c r="M4" s="361" t="s">
        <v>820</v>
      </c>
      <c r="N4" s="361" t="s">
        <v>821</v>
      </c>
      <c r="O4" s="361" t="s">
        <v>822</v>
      </c>
      <c r="P4" s="361" t="s">
        <v>817</v>
      </c>
      <c r="Q4" s="361" t="s">
        <v>818</v>
      </c>
      <c r="R4" s="361" t="s">
        <v>819</v>
      </c>
      <c r="S4" s="361" t="s">
        <v>820</v>
      </c>
      <c r="T4" s="361" t="s">
        <v>821</v>
      </c>
      <c r="U4" s="361" t="s">
        <v>822</v>
      </c>
    </row>
    <row r="5" spans="1:21" ht="23.25" customHeight="1" thickBot="1">
      <c r="A5" s="255"/>
      <c r="B5" s="265"/>
      <c r="C5" s="265"/>
      <c r="D5" s="286"/>
      <c r="E5" s="286"/>
      <c r="F5" s="893"/>
      <c r="G5" s="893"/>
      <c r="H5" s="295"/>
      <c r="I5" s="284"/>
      <c r="J5" s="284"/>
      <c r="K5" s="285" t="s">
        <v>823</v>
      </c>
      <c r="L5" s="285" t="s">
        <v>823</v>
      </c>
      <c r="M5" s="285" t="s">
        <v>823</v>
      </c>
      <c r="N5" s="284"/>
      <c r="O5" s="284"/>
      <c r="P5" s="284"/>
      <c r="Q5" s="285" t="s">
        <v>823</v>
      </c>
      <c r="R5" s="285" t="s">
        <v>823</v>
      </c>
      <c r="S5" s="285" t="s">
        <v>823</v>
      </c>
      <c r="T5" s="284" t="s">
        <v>507</v>
      </c>
      <c r="U5" s="284" t="s">
        <v>507</v>
      </c>
    </row>
    <row r="6" spans="1:21">
      <c r="A6" s="363">
        <v>1</v>
      </c>
      <c r="B6" s="364" t="str">
        <f>IF('Student Data'!C5=0,"",'Student Data'!C5)</f>
        <v>Rnne</v>
      </c>
      <c r="C6" s="364" t="str">
        <f>IF('Student Data'!D5=0,"",'Student Data'!D5)</f>
        <v>Donna</v>
      </c>
      <c r="D6" s="2" t="str">
        <f>'Student Data'!G5</f>
        <v>Resigned Pre-Process</v>
      </c>
      <c r="E6" s="153">
        <f>'Student Data'!F5</f>
        <v>0</v>
      </c>
      <c r="F6" s="289">
        <f>IF(C6="","",(COUNTIF(H6:H6,"&gt;99.99%")))</f>
        <v>1</v>
      </c>
      <c r="G6" s="293" t="str">
        <f>'Student Data'!G5</f>
        <v>Resigned Pre-Process</v>
      </c>
      <c r="H6" s="289">
        <f>IF(C6="","",(MAX(I6,O6,U6)))</f>
        <v>1</v>
      </c>
      <c r="I6" s="365">
        <f>IF(C6="","",(COUNTIF('Student Data'!F5,"No")))</f>
        <v>0</v>
      </c>
      <c r="J6" s="334" t="s">
        <v>824</v>
      </c>
      <c r="K6" s="362" t="s">
        <v>119</v>
      </c>
      <c r="L6" s="362" t="s">
        <v>119</v>
      </c>
      <c r="M6" s="362" t="s">
        <v>119</v>
      </c>
      <c r="N6" s="281"/>
      <c r="O6" s="370">
        <f>IF(C6="","",(COUNTIF(K6:M6,"no")/3))</f>
        <v>1</v>
      </c>
      <c r="P6" s="283"/>
      <c r="Q6" s="362"/>
      <c r="R6" s="362"/>
      <c r="S6" s="362"/>
      <c r="T6" s="281"/>
      <c r="U6" s="370">
        <f>IF(C6="","",(COUNTIF(Q6:S6,"no")/3))</f>
        <v>0</v>
      </c>
    </row>
    <row r="7" spans="1:21">
      <c r="A7" s="366">
        <f>A6+1</f>
        <v>2</v>
      </c>
      <c r="B7" s="2" t="str">
        <f>IF('Student Data'!C6=0,"",'Student Data'!C6)</f>
        <v xml:space="preserve">Aquino </v>
      </c>
      <c r="C7" s="2" t="str">
        <f>IF('Student Data'!D6=0,"",'Student Data'!D6)</f>
        <v>Summer</v>
      </c>
      <c r="D7" s="2" t="str">
        <f>'Student Data'!G6</f>
        <v>Tier 1A</v>
      </c>
      <c r="E7" s="153">
        <f>'Student Data'!F6</f>
        <v>0</v>
      </c>
      <c r="F7" s="290">
        <f t="shared" ref="F7:F45" si="0">IF(C7="","",(COUNTIF(H7:H7,"&gt;99.99%")))</f>
        <v>0</v>
      </c>
      <c r="G7" s="293" t="str">
        <f>'Student Data'!G6</f>
        <v>Tier 1A</v>
      </c>
      <c r="H7" s="290">
        <f t="shared" ref="H7:H45" si="1">IF(C7="","",(MAX(I7,O7,U7)))</f>
        <v>0</v>
      </c>
      <c r="I7" s="367">
        <f>IF(C7="","",(COUNTIF('Student Data'!F6,"No")))</f>
        <v>0</v>
      </c>
      <c r="J7" s="334"/>
      <c r="K7" s="362"/>
      <c r="L7" s="362"/>
      <c r="M7" s="362"/>
      <c r="N7" s="281"/>
      <c r="O7" s="371">
        <f t="shared" ref="O7:O45" si="2">IF(C7="","",(COUNTIF(K7:M7,"no")/3))</f>
        <v>0</v>
      </c>
      <c r="P7" s="283"/>
      <c r="Q7" s="362"/>
      <c r="R7" s="362"/>
      <c r="S7" s="362"/>
      <c r="T7" s="281"/>
      <c r="U7" s="371">
        <f t="shared" ref="U7:U45" si="3">IF(C7="","",(COUNTIF(Q7:S7,"no")/3))</f>
        <v>0</v>
      </c>
    </row>
    <row r="8" spans="1:21">
      <c r="A8" s="366">
        <f t="shared" ref="A8:A45" si="4">A7+1</f>
        <v>3</v>
      </c>
      <c r="B8" s="2" t="str">
        <f>IF('Student Data'!C7=0,"",'Student Data'!C7)</f>
        <v xml:space="preserve">Reyes </v>
      </c>
      <c r="C8" s="2" t="str">
        <f>IF('Student Data'!D7=0,"",'Student Data'!D7)</f>
        <v>Joana</v>
      </c>
      <c r="D8" s="2" t="str">
        <f>'Student Data'!G7</f>
        <v>Tier 1A</v>
      </c>
      <c r="E8" s="153">
        <f>'Student Data'!F7</f>
        <v>0</v>
      </c>
      <c r="F8" s="290">
        <f t="shared" si="0"/>
        <v>0</v>
      </c>
      <c r="G8" s="293" t="str">
        <f>'Student Data'!G7</f>
        <v>Tier 1A</v>
      </c>
      <c r="H8" s="290">
        <f>IF(C8="","",(MAX(I8,O8,U8)))</f>
        <v>0</v>
      </c>
      <c r="I8" s="367">
        <f>IF(C8="","",(COUNTIF('Student Data'!F7,"No")))</f>
        <v>0</v>
      </c>
      <c r="J8" s="334"/>
      <c r="K8" s="362"/>
      <c r="L8" s="362"/>
      <c r="M8" s="362"/>
      <c r="N8" s="281"/>
      <c r="O8" s="371">
        <f t="shared" si="2"/>
        <v>0</v>
      </c>
      <c r="P8" s="283"/>
      <c r="Q8" s="362"/>
      <c r="R8" s="362"/>
      <c r="S8" s="362"/>
      <c r="T8" s="281"/>
      <c r="U8" s="371">
        <f t="shared" si="3"/>
        <v>0</v>
      </c>
    </row>
    <row r="9" spans="1:21">
      <c r="A9" s="366">
        <f t="shared" si="4"/>
        <v>4</v>
      </c>
      <c r="B9" s="2" t="str">
        <f>IF('Student Data'!C8=0,"",'Student Data'!C8)</f>
        <v>Manuel</v>
      </c>
      <c r="C9" s="2" t="str">
        <f>IF('Student Data'!D8=0,"",'Student Data'!D8)</f>
        <v>Quezon</v>
      </c>
      <c r="D9" s="2" t="str">
        <f>'Student Data'!G8</f>
        <v>Tier 1A</v>
      </c>
      <c r="E9" s="153">
        <f>'Student Data'!F8</f>
        <v>0</v>
      </c>
      <c r="F9" s="290">
        <f t="shared" si="0"/>
        <v>0</v>
      </c>
      <c r="G9" s="293" t="str">
        <f>'Student Data'!G8</f>
        <v>Tier 1A</v>
      </c>
      <c r="H9" s="290">
        <f t="shared" si="1"/>
        <v>0</v>
      </c>
      <c r="I9" s="367">
        <f>IF(C9="","",(COUNTIF('Student Data'!F8,"No")))</f>
        <v>0</v>
      </c>
      <c r="J9" s="334"/>
      <c r="K9" s="362"/>
      <c r="L9" s="362"/>
      <c r="M9" s="362"/>
      <c r="N9" s="281"/>
      <c r="O9" s="371">
        <f t="shared" si="2"/>
        <v>0</v>
      </c>
      <c r="P9" s="283"/>
      <c r="Q9" s="362"/>
      <c r="R9" s="362"/>
      <c r="S9" s="362"/>
      <c r="T9" s="281"/>
      <c r="U9" s="371">
        <f t="shared" si="3"/>
        <v>0</v>
      </c>
    </row>
    <row r="10" spans="1:21">
      <c r="A10" s="366">
        <f t="shared" si="4"/>
        <v>5</v>
      </c>
      <c r="B10" s="2" t="str">
        <f>IF('Student Data'!C9=0,"",'Student Data'!C9)</f>
        <v/>
      </c>
      <c r="C10" s="2" t="str">
        <f>IF('Student Data'!D9=0,"",'Student Data'!D9)</f>
        <v/>
      </c>
      <c r="D10" s="2">
        <f>'Student Data'!G9</f>
        <v>0</v>
      </c>
      <c r="E10" s="153">
        <f>'Student Data'!F9</f>
        <v>0</v>
      </c>
      <c r="F10" s="290" t="str">
        <f t="shared" si="0"/>
        <v/>
      </c>
      <c r="G10" s="293">
        <f>'Student Data'!G9</f>
        <v>0</v>
      </c>
      <c r="H10" s="290" t="str">
        <f t="shared" si="1"/>
        <v/>
      </c>
      <c r="I10" s="367" t="str">
        <f>IF(C10="","",(COUNTIF('Student Data'!F9,"No")))</f>
        <v/>
      </c>
      <c r="J10" s="334"/>
      <c r="K10" s="362"/>
      <c r="L10" s="362"/>
      <c r="M10" s="362"/>
      <c r="N10" s="281"/>
      <c r="O10" s="371" t="str">
        <f t="shared" si="2"/>
        <v/>
      </c>
      <c r="P10" s="283"/>
      <c r="Q10" s="362"/>
      <c r="R10" s="362"/>
      <c r="S10" s="362"/>
      <c r="T10" s="281"/>
      <c r="U10" s="371" t="str">
        <f t="shared" si="3"/>
        <v/>
      </c>
    </row>
    <row r="11" spans="1:21">
      <c r="A11" s="366">
        <f t="shared" si="4"/>
        <v>6</v>
      </c>
      <c r="B11" s="2" t="str">
        <f>IF('Student Data'!C10=0,"",'Student Data'!C10)</f>
        <v/>
      </c>
      <c r="C11" s="2" t="str">
        <f>IF('Student Data'!D10=0,"",'Student Data'!D10)</f>
        <v/>
      </c>
      <c r="D11" s="2">
        <f>'Student Data'!G10</f>
        <v>0</v>
      </c>
      <c r="E11" s="153">
        <f>'Student Data'!F10</f>
        <v>0</v>
      </c>
      <c r="F11" s="290" t="str">
        <f t="shared" si="0"/>
        <v/>
      </c>
      <c r="G11" s="293">
        <f>'Student Data'!G10</f>
        <v>0</v>
      </c>
      <c r="H11" s="290" t="str">
        <f t="shared" si="1"/>
        <v/>
      </c>
      <c r="I11" s="367" t="str">
        <f>IF(C11="","",(COUNTIF('Student Data'!F10,"No")))</f>
        <v/>
      </c>
      <c r="J11" s="334"/>
      <c r="K11" s="362"/>
      <c r="L11" s="362"/>
      <c r="M11" s="362"/>
      <c r="N11" s="281"/>
      <c r="O11" s="371" t="str">
        <f t="shared" si="2"/>
        <v/>
      </c>
      <c r="P11" s="283"/>
      <c r="Q11" s="362"/>
      <c r="R11" s="362"/>
      <c r="S11" s="362"/>
      <c r="T11" s="281"/>
      <c r="U11" s="371" t="str">
        <f t="shared" si="3"/>
        <v/>
      </c>
    </row>
    <row r="12" spans="1:21">
      <c r="A12" s="366">
        <f t="shared" si="4"/>
        <v>7</v>
      </c>
      <c r="B12" s="2" t="str">
        <f>IF('Student Data'!C11=0,"",'Student Data'!C11)</f>
        <v/>
      </c>
      <c r="C12" s="2" t="str">
        <f>IF('Student Data'!D11=0,"",'Student Data'!D11)</f>
        <v/>
      </c>
      <c r="D12" s="2">
        <f>'Student Data'!G11</f>
        <v>0</v>
      </c>
      <c r="E12" s="153">
        <f>'Student Data'!F11</f>
        <v>0</v>
      </c>
      <c r="F12" s="290" t="str">
        <f t="shared" si="0"/>
        <v/>
      </c>
      <c r="G12" s="293">
        <f>'Student Data'!G11</f>
        <v>0</v>
      </c>
      <c r="H12" s="290" t="str">
        <f t="shared" si="1"/>
        <v/>
      </c>
      <c r="I12" s="367" t="str">
        <f>IF(C12="","",(COUNTIF('Student Data'!F11,"No")))</f>
        <v/>
      </c>
      <c r="J12" s="334"/>
      <c r="K12" s="362"/>
      <c r="L12" s="362"/>
      <c r="M12" s="362"/>
      <c r="N12" s="281"/>
      <c r="O12" s="371" t="str">
        <f t="shared" si="2"/>
        <v/>
      </c>
      <c r="P12" s="283"/>
      <c r="Q12" s="362"/>
      <c r="R12" s="362"/>
      <c r="S12" s="362"/>
      <c r="T12" s="281"/>
      <c r="U12" s="371" t="str">
        <f t="shared" si="3"/>
        <v/>
      </c>
    </row>
    <row r="13" spans="1:21">
      <c r="A13" s="366">
        <f t="shared" si="4"/>
        <v>8</v>
      </c>
      <c r="B13" s="2" t="str">
        <f>IF('Student Data'!C12=0,"",'Student Data'!C12)</f>
        <v/>
      </c>
      <c r="C13" s="2" t="str">
        <f>IF('Student Data'!D12=0,"",'Student Data'!D12)</f>
        <v/>
      </c>
      <c r="D13" s="2">
        <f>'Student Data'!G12</f>
        <v>0</v>
      </c>
      <c r="E13" s="153">
        <f>'Student Data'!F12</f>
        <v>0</v>
      </c>
      <c r="F13" s="290" t="str">
        <f t="shared" si="0"/>
        <v/>
      </c>
      <c r="G13" s="293">
        <f>'Student Data'!G12</f>
        <v>0</v>
      </c>
      <c r="H13" s="290" t="str">
        <f t="shared" si="1"/>
        <v/>
      </c>
      <c r="I13" s="367" t="str">
        <f>IF(C13="","",(COUNTIF('Student Data'!F12,"No")))</f>
        <v/>
      </c>
      <c r="J13" s="334"/>
      <c r="K13" s="362"/>
      <c r="L13" s="362"/>
      <c r="M13" s="362"/>
      <c r="N13" s="281"/>
      <c r="O13" s="371" t="str">
        <f t="shared" si="2"/>
        <v/>
      </c>
      <c r="P13" s="283"/>
      <c r="Q13" s="362"/>
      <c r="R13" s="362"/>
      <c r="S13" s="362"/>
      <c r="T13" s="281"/>
      <c r="U13" s="371" t="str">
        <f t="shared" si="3"/>
        <v/>
      </c>
    </row>
    <row r="14" spans="1:21">
      <c r="A14" s="366">
        <f t="shared" si="4"/>
        <v>9</v>
      </c>
      <c r="B14" s="2" t="str">
        <f>IF('Student Data'!C13=0,"",'Student Data'!C13)</f>
        <v/>
      </c>
      <c r="C14" s="2" t="str">
        <f>IF('Student Data'!D13=0,"",'Student Data'!D13)</f>
        <v/>
      </c>
      <c r="D14" s="2">
        <f>'Student Data'!G13</f>
        <v>0</v>
      </c>
      <c r="E14" s="153">
        <f>'Student Data'!F13</f>
        <v>0</v>
      </c>
      <c r="F14" s="290" t="str">
        <f t="shared" si="0"/>
        <v/>
      </c>
      <c r="G14" s="293">
        <f>'Student Data'!G13</f>
        <v>0</v>
      </c>
      <c r="H14" s="290" t="str">
        <f t="shared" si="1"/>
        <v/>
      </c>
      <c r="I14" s="367" t="str">
        <f>IF(C14="","",(COUNTIF('Student Data'!F13,"No")))</f>
        <v/>
      </c>
      <c r="J14" s="334"/>
      <c r="K14" s="362"/>
      <c r="L14" s="362"/>
      <c r="M14" s="362"/>
      <c r="N14" s="281"/>
      <c r="O14" s="371" t="str">
        <f t="shared" si="2"/>
        <v/>
      </c>
      <c r="P14" s="283"/>
      <c r="Q14" s="362"/>
      <c r="R14" s="362"/>
      <c r="S14" s="362"/>
      <c r="T14" s="281"/>
      <c r="U14" s="371" t="str">
        <f t="shared" si="3"/>
        <v/>
      </c>
    </row>
    <row r="15" spans="1:21">
      <c r="A15" s="366">
        <f t="shared" si="4"/>
        <v>10</v>
      </c>
      <c r="B15" s="2" t="str">
        <f>IF('Student Data'!C14=0,"",'Student Data'!C14)</f>
        <v/>
      </c>
      <c r="C15" s="2" t="str">
        <f>IF('Student Data'!D14=0,"",'Student Data'!D14)</f>
        <v/>
      </c>
      <c r="D15" s="2">
        <f>'Student Data'!G14</f>
        <v>0</v>
      </c>
      <c r="E15" s="153">
        <f>'Student Data'!F14</f>
        <v>0</v>
      </c>
      <c r="F15" s="290" t="str">
        <f t="shared" si="0"/>
        <v/>
      </c>
      <c r="G15" s="293">
        <f>'Student Data'!G14</f>
        <v>0</v>
      </c>
      <c r="H15" s="290" t="str">
        <f t="shared" si="1"/>
        <v/>
      </c>
      <c r="I15" s="367" t="str">
        <f>IF(C15="","",(COUNTIF('Student Data'!F14,"No")))</f>
        <v/>
      </c>
      <c r="J15" s="334"/>
      <c r="K15" s="362"/>
      <c r="L15" s="362"/>
      <c r="M15" s="362"/>
      <c r="N15" s="281"/>
      <c r="O15" s="371" t="str">
        <f t="shared" si="2"/>
        <v/>
      </c>
      <c r="P15" s="283"/>
      <c r="Q15" s="362"/>
      <c r="R15" s="362"/>
      <c r="S15" s="362"/>
      <c r="T15" s="281"/>
      <c r="U15" s="371" t="str">
        <f t="shared" si="3"/>
        <v/>
      </c>
    </row>
    <row r="16" spans="1:21">
      <c r="A16" s="366">
        <f t="shared" si="4"/>
        <v>11</v>
      </c>
      <c r="B16" s="2" t="str">
        <f>IF('Student Data'!C15=0,"",'Student Data'!C15)</f>
        <v/>
      </c>
      <c r="C16" s="2" t="str">
        <f>IF('Student Data'!D15=0,"",'Student Data'!D15)</f>
        <v/>
      </c>
      <c r="D16" s="2">
        <f>'Student Data'!G15</f>
        <v>0</v>
      </c>
      <c r="E16" s="153">
        <f>'Student Data'!F15</f>
        <v>0</v>
      </c>
      <c r="F16" s="290" t="str">
        <f t="shared" si="0"/>
        <v/>
      </c>
      <c r="G16" s="293">
        <f>'Student Data'!G15</f>
        <v>0</v>
      </c>
      <c r="H16" s="290" t="str">
        <f t="shared" si="1"/>
        <v/>
      </c>
      <c r="I16" s="367" t="str">
        <f>IF(C16="","",(COUNTIF('Student Data'!F15,"No")))</f>
        <v/>
      </c>
      <c r="J16" s="334"/>
      <c r="K16" s="362"/>
      <c r="L16" s="362"/>
      <c r="M16" s="362"/>
      <c r="N16" s="281"/>
      <c r="O16" s="371" t="str">
        <f t="shared" si="2"/>
        <v/>
      </c>
      <c r="P16" s="283"/>
      <c r="Q16" s="362"/>
      <c r="R16" s="362"/>
      <c r="S16" s="362"/>
      <c r="T16" s="281"/>
      <c r="U16" s="371" t="str">
        <f t="shared" si="3"/>
        <v/>
      </c>
    </row>
    <row r="17" spans="1:21">
      <c r="A17" s="366">
        <f t="shared" si="4"/>
        <v>12</v>
      </c>
      <c r="B17" s="2" t="str">
        <f>IF('Student Data'!C16=0,"",'Student Data'!C16)</f>
        <v/>
      </c>
      <c r="C17" s="2" t="str">
        <f>IF('Student Data'!D16=0,"",'Student Data'!D16)</f>
        <v/>
      </c>
      <c r="D17" s="2">
        <f>'Student Data'!G16</f>
        <v>0</v>
      </c>
      <c r="E17" s="153">
        <f>'Student Data'!F16</f>
        <v>0</v>
      </c>
      <c r="F17" s="290" t="str">
        <f t="shared" si="0"/>
        <v/>
      </c>
      <c r="G17" s="293">
        <f>'Student Data'!G16</f>
        <v>0</v>
      </c>
      <c r="H17" s="290" t="str">
        <f t="shared" si="1"/>
        <v/>
      </c>
      <c r="I17" s="367" t="str">
        <f>IF(C17="","",(COUNTIF('Student Data'!F16,"No")))</f>
        <v/>
      </c>
      <c r="J17" s="334"/>
      <c r="K17" s="362"/>
      <c r="L17" s="362"/>
      <c r="M17" s="362"/>
      <c r="N17" s="281"/>
      <c r="O17" s="371" t="str">
        <f t="shared" si="2"/>
        <v/>
      </c>
      <c r="P17" s="283"/>
      <c r="Q17" s="362"/>
      <c r="R17" s="362"/>
      <c r="S17" s="362"/>
      <c r="T17" s="281"/>
      <c r="U17" s="371" t="str">
        <f t="shared" si="3"/>
        <v/>
      </c>
    </row>
    <row r="18" spans="1:21">
      <c r="A18" s="366">
        <f t="shared" si="4"/>
        <v>13</v>
      </c>
      <c r="B18" s="2" t="str">
        <f>IF('Student Data'!C17=0,"",'Student Data'!C17)</f>
        <v/>
      </c>
      <c r="C18" s="2" t="str">
        <f>IF('Student Data'!D17=0,"",'Student Data'!D17)</f>
        <v/>
      </c>
      <c r="D18" s="2">
        <f>'Student Data'!G17</f>
        <v>0</v>
      </c>
      <c r="E18" s="153">
        <f>'Student Data'!F17</f>
        <v>0</v>
      </c>
      <c r="F18" s="290" t="str">
        <f t="shared" si="0"/>
        <v/>
      </c>
      <c r="G18" s="293">
        <f>'Student Data'!G17</f>
        <v>0</v>
      </c>
      <c r="H18" s="290" t="str">
        <f t="shared" si="1"/>
        <v/>
      </c>
      <c r="I18" s="367" t="str">
        <f>IF(C18="","",(COUNTIF('Student Data'!F17,"No")))</f>
        <v/>
      </c>
      <c r="J18" s="334"/>
      <c r="K18" s="362"/>
      <c r="L18" s="362"/>
      <c r="M18" s="362"/>
      <c r="N18" s="281"/>
      <c r="O18" s="371" t="str">
        <f t="shared" si="2"/>
        <v/>
      </c>
      <c r="P18" s="283"/>
      <c r="Q18" s="362"/>
      <c r="R18" s="362"/>
      <c r="S18" s="362"/>
      <c r="T18" s="281"/>
      <c r="U18" s="371" t="str">
        <f t="shared" si="3"/>
        <v/>
      </c>
    </row>
    <row r="19" spans="1:21">
      <c r="A19" s="366">
        <f t="shared" si="4"/>
        <v>14</v>
      </c>
      <c r="B19" s="2" t="str">
        <f>IF('Student Data'!C18=0,"",'Student Data'!C18)</f>
        <v/>
      </c>
      <c r="C19" s="2" t="str">
        <f>IF('Student Data'!D18=0,"",'Student Data'!D18)</f>
        <v/>
      </c>
      <c r="D19" s="2">
        <f>'Student Data'!G18</f>
        <v>0</v>
      </c>
      <c r="E19" s="153">
        <f>'Student Data'!F18</f>
        <v>0</v>
      </c>
      <c r="F19" s="290" t="str">
        <f t="shared" si="0"/>
        <v/>
      </c>
      <c r="G19" s="293">
        <f>'Student Data'!G18</f>
        <v>0</v>
      </c>
      <c r="H19" s="290" t="str">
        <f t="shared" si="1"/>
        <v/>
      </c>
      <c r="I19" s="367" t="str">
        <f>IF(C19="","",(COUNTIF('Student Data'!F18,"No")))</f>
        <v/>
      </c>
      <c r="J19" s="334"/>
      <c r="K19" s="362"/>
      <c r="L19" s="362"/>
      <c r="M19" s="362"/>
      <c r="N19" s="281"/>
      <c r="O19" s="371" t="str">
        <f t="shared" si="2"/>
        <v/>
      </c>
      <c r="P19" s="283"/>
      <c r="Q19" s="362"/>
      <c r="R19" s="362"/>
      <c r="S19" s="362"/>
      <c r="T19" s="281"/>
      <c r="U19" s="371" t="str">
        <f t="shared" si="3"/>
        <v/>
      </c>
    </row>
    <row r="20" spans="1:21">
      <c r="A20" s="366">
        <f t="shared" si="4"/>
        <v>15</v>
      </c>
      <c r="B20" s="2" t="str">
        <f>IF('Student Data'!C19=0,"",'Student Data'!C19)</f>
        <v/>
      </c>
      <c r="C20" s="2" t="str">
        <f>IF('Student Data'!D19=0,"",'Student Data'!D19)</f>
        <v/>
      </c>
      <c r="D20" s="2">
        <f>'Student Data'!G19</f>
        <v>0</v>
      </c>
      <c r="E20" s="153">
        <f>'Student Data'!F19</f>
        <v>0</v>
      </c>
      <c r="F20" s="290" t="str">
        <f t="shared" si="0"/>
        <v/>
      </c>
      <c r="G20" s="293">
        <f>'Student Data'!G19</f>
        <v>0</v>
      </c>
      <c r="H20" s="290" t="str">
        <f t="shared" si="1"/>
        <v/>
      </c>
      <c r="I20" s="367" t="str">
        <f>IF(C20="","",(COUNTIF('Student Data'!F19,"No")))</f>
        <v/>
      </c>
      <c r="J20" s="334"/>
      <c r="K20" s="362"/>
      <c r="L20" s="362"/>
      <c r="M20" s="362"/>
      <c r="N20" s="281"/>
      <c r="O20" s="371" t="str">
        <f t="shared" si="2"/>
        <v/>
      </c>
      <c r="P20" s="283"/>
      <c r="Q20" s="362"/>
      <c r="R20" s="362"/>
      <c r="S20" s="362"/>
      <c r="T20" s="281"/>
      <c r="U20" s="371" t="str">
        <f t="shared" si="3"/>
        <v/>
      </c>
    </row>
    <row r="21" spans="1:21">
      <c r="A21" s="366">
        <f t="shared" si="4"/>
        <v>16</v>
      </c>
      <c r="B21" s="2" t="str">
        <f>IF('Student Data'!C20=0,"",'Student Data'!C20)</f>
        <v/>
      </c>
      <c r="C21" s="2" t="str">
        <f>IF('Student Data'!D20=0,"",'Student Data'!D20)</f>
        <v/>
      </c>
      <c r="D21" s="2">
        <f>'Student Data'!G20</f>
        <v>0</v>
      </c>
      <c r="E21" s="153">
        <f>'Student Data'!F20</f>
        <v>0</v>
      </c>
      <c r="F21" s="290" t="str">
        <f t="shared" si="0"/>
        <v/>
      </c>
      <c r="G21" s="293">
        <f>'Student Data'!G20</f>
        <v>0</v>
      </c>
      <c r="H21" s="290" t="str">
        <f t="shared" si="1"/>
        <v/>
      </c>
      <c r="I21" s="367" t="str">
        <f>IF(C21="","",(COUNTIF('Student Data'!F20,"No")))</f>
        <v/>
      </c>
      <c r="J21" s="334"/>
      <c r="K21" s="362"/>
      <c r="L21" s="362"/>
      <c r="M21" s="362"/>
      <c r="N21" s="281"/>
      <c r="O21" s="371" t="str">
        <f t="shared" si="2"/>
        <v/>
      </c>
      <c r="P21" s="283"/>
      <c r="Q21" s="362"/>
      <c r="R21" s="362"/>
      <c r="S21" s="362"/>
      <c r="T21" s="281"/>
      <c r="U21" s="371" t="str">
        <f t="shared" si="3"/>
        <v/>
      </c>
    </row>
    <row r="22" spans="1:21">
      <c r="A22" s="366">
        <f t="shared" si="4"/>
        <v>17</v>
      </c>
      <c r="B22" s="2" t="str">
        <f>IF('Student Data'!C21=0,"",'Student Data'!C21)</f>
        <v/>
      </c>
      <c r="C22" s="2" t="str">
        <f>IF('Student Data'!D21=0,"",'Student Data'!D21)</f>
        <v/>
      </c>
      <c r="D22" s="2">
        <f>'Student Data'!G21</f>
        <v>0</v>
      </c>
      <c r="E22" s="153">
        <f>'Student Data'!F21</f>
        <v>0</v>
      </c>
      <c r="F22" s="290" t="str">
        <f t="shared" si="0"/>
        <v/>
      </c>
      <c r="G22" s="293">
        <f>'Student Data'!G21</f>
        <v>0</v>
      </c>
      <c r="H22" s="290" t="str">
        <f t="shared" si="1"/>
        <v/>
      </c>
      <c r="I22" s="367" t="str">
        <f>IF(C22="","",(COUNTIF('Student Data'!F21,"No")))</f>
        <v/>
      </c>
      <c r="J22" s="334"/>
      <c r="K22" s="362"/>
      <c r="L22" s="362"/>
      <c r="M22" s="362"/>
      <c r="N22" s="281"/>
      <c r="O22" s="371" t="str">
        <f t="shared" si="2"/>
        <v/>
      </c>
      <c r="P22" s="283"/>
      <c r="Q22" s="362"/>
      <c r="R22" s="362"/>
      <c r="S22" s="362"/>
      <c r="T22" s="281"/>
      <c r="U22" s="371" t="str">
        <f t="shared" si="3"/>
        <v/>
      </c>
    </row>
    <row r="23" spans="1:21">
      <c r="A23" s="366">
        <f t="shared" si="4"/>
        <v>18</v>
      </c>
      <c r="B23" s="2" t="str">
        <f>IF('Student Data'!C22=0,"",'Student Data'!C22)</f>
        <v/>
      </c>
      <c r="C23" s="2" t="str">
        <f>IF('Student Data'!D22=0,"",'Student Data'!D22)</f>
        <v/>
      </c>
      <c r="D23" s="2">
        <f>'Student Data'!G22</f>
        <v>0</v>
      </c>
      <c r="E23" s="153">
        <f>'Student Data'!F22</f>
        <v>0</v>
      </c>
      <c r="F23" s="290" t="str">
        <f t="shared" si="0"/>
        <v/>
      </c>
      <c r="G23" s="293">
        <f>'Student Data'!G22</f>
        <v>0</v>
      </c>
      <c r="H23" s="290" t="str">
        <f t="shared" si="1"/>
        <v/>
      </c>
      <c r="I23" s="367" t="str">
        <f>IF(C23="","",(COUNTIF('Student Data'!F22,"No")))</f>
        <v/>
      </c>
      <c r="J23" s="334"/>
      <c r="K23" s="362"/>
      <c r="L23" s="362"/>
      <c r="M23" s="362"/>
      <c r="N23" s="281"/>
      <c r="O23" s="371" t="str">
        <f t="shared" si="2"/>
        <v/>
      </c>
      <c r="P23" s="283"/>
      <c r="Q23" s="362"/>
      <c r="R23" s="362"/>
      <c r="S23" s="362"/>
      <c r="T23" s="281"/>
      <c r="U23" s="371" t="str">
        <f t="shared" si="3"/>
        <v/>
      </c>
    </row>
    <row r="24" spans="1:21">
      <c r="A24" s="366">
        <f t="shared" si="4"/>
        <v>19</v>
      </c>
      <c r="B24" s="2" t="str">
        <f>IF('Student Data'!C23=0,"",'Student Data'!C23)</f>
        <v/>
      </c>
      <c r="C24" s="2" t="str">
        <f>IF('Student Data'!D23=0,"",'Student Data'!D23)</f>
        <v/>
      </c>
      <c r="D24" s="2">
        <f>'Student Data'!G23</f>
        <v>0</v>
      </c>
      <c r="E24" s="153">
        <f>'Student Data'!F23</f>
        <v>0</v>
      </c>
      <c r="F24" s="290" t="str">
        <f t="shared" si="0"/>
        <v/>
      </c>
      <c r="G24" s="293">
        <f>'Student Data'!G23</f>
        <v>0</v>
      </c>
      <c r="H24" s="290" t="str">
        <f t="shared" si="1"/>
        <v/>
      </c>
      <c r="I24" s="367" t="str">
        <f>IF(C24="","",(COUNTIF('Student Data'!F23,"No")))</f>
        <v/>
      </c>
      <c r="J24" s="334"/>
      <c r="K24" s="362"/>
      <c r="L24" s="362"/>
      <c r="M24" s="362"/>
      <c r="N24" s="281"/>
      <c r="O24" s="371" t="str">
        <f t="shared" si="2"/>
        <v/>
      </c>
      <c r="P24" s="283"/>
      <c r="Q24" s="362"/>
      <c r="R24" s="362"/>
      <c r="S24" s="362"/>
      <c r="T24" s="281"/>
      <c r="U24" s="371" t="str">
        <f t="shared" si="3"/>
        <v/>
      </c>
    </row>
    <row r="25" spans="1:21">
      <c r="A25" s="366">
        <f t="shared" si="4"/>
        <v>20</v>
      </c>
      <c r="B25" s="2" t="str">
        <f>IF('Student Data'!C24=0,"",'Student Data'!C24)</f>
        <v/>
      </c>
      <c r="C25" s="2" t="str">
        <f>IF('Student Data'!D24=0,"",'Student Data'!D24)</f>
        <v/>
      </c>
      <c r="D25" s="2">
        <f>'Student Data'!G24</f>
        <v>0</v>
      </c>
      <c r="E25" s="153">
        <f>'Student Data'!F24</f>
        <v>0</v>
      </c>
      <c r="F25" s="290" t="str">
        <f t="shared" si="0"/>
        <v/>
      </c>
      <c r="G25" s="293">
        <f>'Student Data'!G24</f>
        <v>0</v>
      </c>
      <c r="H25" s="290" t="str">
        <f t="shared" si="1"/>
        <v/>
      </c>
      <c r="I25" s="367" t="str">
        <f>IF(C25="","",(COUNTIF('Student Data'!F24,"No")))</f>
        <v/>
      </c>
      <c r="J25" s="334"/>
      <c r="K25" s="362"/>
      <c r="L25" s="362"/>
      <c r="M25" s="362"/>
      <c r="N25" s="281"/>
      <c r="O25" s="371" t="str">
        <f t="shared" si="2"/>
        <v/>
      </c>
      <c r="P25" s="283"/>
      <c r="Q25" s="362"/>
      <c r="R25" s="362"/>
      <c r="S25" s="362"/>
      <c r="T25" s="281"/>
      <c r="U25" s="371" t="str">
        <f t="shared" si="3"/>
        <v/>
      </c>
    </row>
    <row r="26" spans="1:21">
      <c r="A26" s="366">
        <f t="shared" si="4"/>
        <v>21</v>
      </c>
      <c r="B26" s="2" t="str">
        <f>IF('Student Data'!C25=0,"",'Student Data'!C25)</f>
        <v/>
      </c>
      <c r="C26" s="2" t="str">
        <f>IF('Student Data'!D25=0,"",'Student Data'!D25)</f>
        <v/>
      </c>
      <c r="D26" s="2">
        <f>'Student Data'!G25</f>
        <v>0</v>
      </c>
      <c r="E26" s="153">
        <f>'Student Data'!F25</f>
        <v>0</v>
      </c>
      <c r="F26" s="290" t="str">
        <f t="shared" si="0"/>
        <v/>
      </c>
      <c r="G26" s="293">
        <f>'Student Data'!G25</f>
        <v>0</v>
      </c>
      <c r="H26" s="290" t="str">
        <f t="shared" si="1"/>
        <v/>
      </c>
      <c r="I26" s="367" t="str">
        <f>IF(C26="","",(COUNTIF('Student Data'!F25,"No")))</f>
        <v/>
      </c>
      <c r="J26" s="334"/>
      <c r="K26" s="362"/>
      <c r="L26" s="362"/>
      <c r="M26" s="362"/>
      <c r="N26" s="281"/>
      <c r="O26" s="371" t="str">
        <f t="shared" si="2"/>
        <v/>
      </c>
      <c r="P26" s="283"/>
      <c r="Q26" s="362"/>
      <c r="R26" s="362"/>
      <c r="S26" s="362"/>
      <c r="T26" s="281"/>
      <c r="U26" s="371" t="str">
        <f t="shared" si="3"/>
        <v/>
      </c>
    </row>
    <row r="27" spans="1:21">
      <c r="A27" s="366">
        <f t="shared" si="4"/>
        <v>22</v>
      </c>
      <c r="B27" s="2" t="str">
        <f>IF('Student Data'!C26=0,"",'Student Data'!C26)</f>
        <v/>
      </c>
      <c r="C27" s="2" t="str">
        <f>IF('Student Data'!D26=0,"",'Student Data'!D26)</f>
        <v/>
      </c>
      <c r="D27" s="2">
        <f>'Student Data'!G26</f>
        <v>0</v>
      </c>
      <c r="E27" s="153">
        <f>'Student Data'!F26</f>
        <v>0</v>
      </c>
      <c r="F27" s="290" t="str">
        <f t="shared" si="0"/>
        <v/>
      </c>
      <c r="G27" s="293">
        <f>'Student Data'!G26</f>
        <v>0</v>
      </c>
      <c r="H27" s="290" t="str">
        <f t="shared" si="1"/>
        <v/>
      </c>
      <c r="I27" s="367" t="str">
        <f>IF(C27="","",(COUNTIF('Student Data'!F26,"No")))</f>
        <v/>
      </c>
      <c r="J27" s="334"/>
      <c r="K27" s="362"/>
      <c r="L27" s="362"/>
      <c r="M27" s="362"/>
      <c r="N27" s="281"/>
      <c r="O27" s="371" t="str">
        <f t="shared" si="2"/>
        <v/>
      </c>
      <c r="P27" s="283"/>
      <c r="Q27" s="362"/>
      <c r="R27" s="362"/>
      <c r="S27" s="362"/>
      <c r="T27" s="281"/>
      <c r="U27" s="371" t="str">
        <f t="shared" si="3"/>
        <v/>
      </c>
    </row>
    <row r="28" spans="1:21">
      <c r="A28" s="366">
        <f t="shared" si="4"/>
        <v>23</v>
      </c>
      <c r="B28" s="2" t="str">
        <f>IF('Student Data'!C27=0,"",'Student Data'!C27)</f>
        <v/>
      </c>
      <c r="C28" s="2" t="str">
        <f>IF('Student Data'!D27=0,"",'Student Data'!D27)</f>
        <v/>
      </c>
      <c r="D28" s="2">
        <f>'Student Data'!G27</f>
        <v>0</v>
      </c>
      <c r="E28" s="153">
        <f>'Student Data'!F27</f>
        <v>0</v>
      </c>
      <c r="F28" s="290" t="str">
        <f t="shared" si="0"/>
        <v/>
      </c>
      <c r="G28" s="293">
        <f>'Student Data'!G27</f>
        <v>0</v>
      </c>
      <c r="H28" s="290" t="str">
        <f t="shared" si="1"/>
        <v/>
      </c>
      <c r="I28" s="367" t="str">
        <f>IF(C28="","",(COUNTIF('Student Data'!F27,"No")))</f>
        <v/>
      </c>
      <c r="J28" s="334"/>
      <c r="K28" s="362"/>
      <c r="L28" s="362"/>
      <c r="M28" s="362"/>
      <c r="N28" s="281"/>
      <c r="O28" s="371" t="str">
        <f t="shared" si="2"/>
        <v/>
      </c>
      <c r="P28" s="283"/>
      <c r="Q28" s="362"/>
      <c r="R28" s="362"/>
      <c r="S28" s="362"/>
      <c r="T28" s="281"/>
      <c r="U28" s="371" t="str">
        <f t="shared" si="3"/>
        <v/>
      </c>
    </row>
    <row r="29" spans="1:21">
      <c r="A29" s="366">
        <f t="shared" si="4"/>
        <v>24</v>
      </c>
      <c r="B29" s="2" t="str">
        <f>IF('Student Data'!C28=0,"",'Student Data'!C28)</f>
        <v/>
      </c>
      <c r="C29" s="2" t="str">
        <f>IF('Student Data'!D28=0,"",'Student Data'!D28)</f>
        <v/>
      </c>
      <c r="D29" s="2">
        <f>'Student Data'!G28</f>
        <v>0</v>
      </c>
      <c r="E29" s="153">
        <f>'Student Data'!F28</f>
        <v>0</v>
      </c>
      <c r="F29" s="290" t="str">
        <f t="shared" si="0"/>
        <v/>
      </c>
      <c r="G29" s="293">
        <f>'Student Data'!G28</f>
        <v>0</v>
      </c>
      <c r="H29" s="290" t="str">
        <f t="shared" si="1"/>
        <v/>
      </c>
      <c r="I29" s="367" t="str">
        <f>IF(C29="","",(COUNTIF('Student Data'!F28,"No")))</f>
        <v/>
      </c>
      <c r="J29" s="334"/>
      <c r="K29" s="362"/>
      <c r="L29" s="362"/>
      <c r="M29" s="362"/>
      <c r="N29" s="281"/>
      <c r="O29" s="371" t="str">
        <f t="shared" si="2"/>
        <v/>
      </c>
      <c r="P29" s="283"/>
      <c r="Q29" s="362"/>
      <c r="R29" s="362"/>
      <c r="S29" s="362"/>
      <c r="T29" s="281"/>
      <c r="U29" s="371" t="str">
        <f t="shared" si="3"/>
        <v/>
      </c>
    </row>
    <row r="30" spans="1:21">
      <c r="A30" s="366">
        <f t="shared" si="4"/>
        <v>25</v>
      </c>
      <c r="B30" s="2" t="str">
        <f>IF('Student Data'!C29=0,"",'Student Data'!C29)</f>
        <v/>
      </c>
      <c r="C30" s="2" t="str">
        <f>IF('Student Data'!D29=0,"",'Student Data'!D29)</f>
        <v/>
      </c>
      <c r="D30" s="2">
        <f>'Student Data'!G29</f>
        <v>0</v>
      </c>
      <c r="E30" s="153">
        <f>'Student Data'!F29</f>
        <v>0</v>
      </c>
      <c r="F30" s="290" t="str">
        <f t="shared" si="0"/>
        <v/>
      </c>
      <c r="G30" s="293">
        <f>'Student Data'!G29</f>
        <v>0</v>
      </c>
      <c r="H30" s="290" t="str">
        <f t="shared" si="1"/>
        <v/>
      </c>
      <c r="I30" s="367" t="str">
        <f>IF(C30="","",(COUNTIF('Student Data'!F29,"No")))</f>
        <v/>
      </c>
      <c r="J30" s="334"/>
      <c r="K30" s="362"/>
      <c r="L30" s="362"/>
      <c r="M30" s="362"/>
      <c r="N30" s="281"/>
      <c r="O30" s="371" t="str">
        <f t="shared" si="2"/>
        <v/>
      </c>
      <c r="P30" s="283"/>
      <c r="Q30" s="362"/>
      <c r="R30" s="362"/>
      <c r="S30" s="362"/>
      <c r="T30" s="281"/>
      <c r="U30" s="371" t="str">
        <f t="shared" si="3"/>
        <v/>
      </c>
    </row>
    <row r="31" spans="1:21">
      <c r="A31" s="366">
        <f t="shared" si="4"/>
        <v>26</v>
      </c>
      <c r="B31" s="2" t="str">
        <f>IF('Student Data'!C30=0,"",'Student Data'!C30)</f>
        <v/>
      </c>
      <c r="C31" s="2" t="str">
        <f>IF('Student Data'!D30=0,"",'Student Data'!D30)</f>
        <v/>
      </c>
      <c r="D31" s="2">
        <f>'Student Data'!G30</f>
        <v>0</v>
      </c>
      <c r="E31" s="153">
        <f>'Student Data'!F30</f>
        <v>0</v>
      </c>
      <c r="F31" s="290" t="str">
        <f t="shared" si="0"/>
        <v/>
      </c>
      <c r="G31" s="293">
        <f>'Student Data'!G30</f>
        <v>0</v>
      </c>
      <c r="H31" s="290" t="str">
        <f t="shared" si="1"/>
        <v/>
      </c>
      <c r="I31" s="367" t="str">
        <f>IF(C31="","",(COUNTIF('Student Data'!F30,"No")))</f>
        <v/>
      </c>
      <c r="J31" s="334"/>
      <c r="K31" s="362"/>
      <c r="L31" s="362"/>
      <c r="M31" s="362"/>
      <c r="N31" s="281"/>
      <c r="O31" s="371" t="str">
        <f t="shared" si="2"/>
        <v/>
      </c>
      <c r="P31" s="283"/>
      <c r="Q31" s="362"/>
      <c r="R31" s="362"/>
      <c r="S31" s="362"/>
      <c r="T31" s="281"/>
      <c r="U31" s="371" t="str">
        <f t="shared" si="3"/>
        <v/>
      </c>
    </row>
    <row r="32" spans="1:21">
      <c r="A32" s="366">
        <f t="shared" si="4"/>
        <v>27</v>
      </c>
      <c r="B32" s="2" t="str">
        <f>IF('Student Data'!C31=0,"",'Student Data'!C31)</f>
        <v/>
      </c>
      <c r="C32" s="2" t="str">
        <f>IF('Student Data'!D31=0,"",'Student Data'!D31)</f>
        <v/>
      </c>
      <c r="D32" s="2">
        <f>'Student Data'!G31</f>
        <v>0</v>
      </c>
      <c r="E32" s="153">
        <f>'Student Data'!F31</f>
        <v>0</v>
      </c>
      <c r="F32" s="290" t="str">
        <f t="shared" si="0"/>
        <v/>
      </c>
      <c r="G32" s="293">
        <f>'Student Data'!G31</f>
        <v>0</v>
      </c>
      <c r="H32" s="290" t="str">
        <f t="shared" si="1"/>
        <v/>
      </c>
      <c r="I32" s="367" t="str">
        <f>IF(C32="","",(COUNTIF('Student Data'!F31,"No")))</f>
        <v/>
      </c>
      <c r="J32" s="334"/>
      <c r="K32" s="362"/>
      <c r="L32" s="362"/>
      <c r="M32" s="362"/>
      <c r="N32" s="281"/>
      <c r="O32" s="371" t="str">
        <f t="shared" si="2"/>
        <v/>
      </c>
      <c r="P32" s="283"/>
      <c r="Q32" s="362"/>
      <c r="R32" s="362"/>
      <c r="S32" s="362"/>
      <c r="T32" s="281"/>
      <c r="U32" s="371" t="str">
        <f t="shared" si="3"/>
        <v/>
      </c>
    </row>
    <row r="33" spans="1:21">
      <c r="A33" s="2">
        <f t="shared" si="4"/>
        <v>28</v>
      </c>
      <c r="B33" s="2" t="str">
        <f>IF('Student Data'!C32=0,"",'Student Data'!C32)</f>
        <v/>
      </c>
      <c r="C33" s="2" t="str">
        <f>IF('Student Data'!D32=0,"",'Student Data'!D32)</f>
        <v/>
      </c>
      <c r="D33" s="2">
        <f>'Student Data'!G32</f>
        <v>0</v>
      </c>
      <c r="E33" s="153">
        <f>'Student Data'!F32</f>
        <v>0</v>
      </c>
      <c r="F33" s="290" t="str">
        <f t="shared" si="0"/>
        <v/>
      </c>
      <c r="G33" s="293">
        <f>'Student Data'!G32</f>
        <v>0</v>
      </c>
      <c r="H33" s="290" t="str">
        <f t="shared" si="1"/>
        <v/>
      </c>
      <c r="I33" s="367" t="str">
        <f>IF(C33="","",(COUNTIF('Student Data'!F32,"No")))</f>
        <v/>
      </c>
      <c r="J33" s="334"/>
      <c r="K33" s="362"/>
      <c r="L33" s="362"/>
      <c r="M33" s="362"/>
      <c r="N33" s="281"/>
      <c r="O33" s="371" t="str">
        <f t="shared" si="2"/>
        <v/>
      </c>
      <c r="P33" s="283"/>
      <c r="Q33" s="362"/>
      <c r="R33" s="362"/>
      <c r="S33" s="362"/>
      <c r="T33" s="281"/>
      <c r="U33" s="371" t="str">
        <f t="shared" si="3"/>
        <v/>
      </c>
    </row>
    <row r="34" spans="1:21">
      <c r="A34" s="2">
        <f t="shared" si="4"/>
        <v>29</v>
      </c>
      <c r="B34" s="2" t="str">
        <f>IF('Student Data'!C33=0,"",'Student Data'!C33)</f>
        <v/>
      </c>
      <c r="C34" s="2" t="str">
        <f>IF('Student Data'!D33=0,"",'Student Data'!D33)</f>
        <v/>
      </c>
      <c r="D34" s="2">
        <f>'Student Data'!G33</f>
        <v>0</v>
      </c>
      <c r="E34" s="153">
        <f>'Student Data'!F33</f>
        <v>0</v>
      </c>
      <c r="F34" s="290" t="str">
        <f t="shared" si="0"/>
        <v/>
      </c>
      <c r="G34" s="293">
        <f>'Student Data'!G33</f>
        <v>0</v>
      </c>
      <c r="H34" s="290" t="str">
        <f t="shared" si="1"/>
        <v/>
      </c>
      <c r="I34" s="367" t="str">
        <f>IF(C34="","",(COUNTIF('Student Data'!F33,"No")))</f>
        <v/>
      </c>
      <c r="J34" s="334"/>
      <c r="K34" s="362"/>
      <c r="L34" s="362"/>
      <c r="M34" s="362"/>
      <c r="N34" s="281"/>
      <c r="O34" s="371" t="str">
        <f t="shared" si="2"/>
        <v/>
      </c>
      <c r="P34" s="283"/>
      <c r="Q34" s="362"/>
      <c r="R34" s="362"/>
      <c r="S34" s="362"/>
      <c r="T34" s="281"/>
      <c r="U34" s="371" t="str">
        <f t="shared" si="3"/>
        <v/>
      </c>
    </row>
    <row r="35" spans="1:21">
      <c r="A35" s="2">
        <f t="shared" si="4"/>
        <v>30</v>
      </c>
      <c r="B35" s="2" t="str">
        <f>IF('Student Data'!C34=0,"",'Student Data'!C34)</f>
        <v/>
      </c>
      <c r="C35" s="2" t="str">
        <f>IF('Student Data'!D34=0,"",'Student Data'!D34)</f>
        <v/>
      </c>
      <c r="D35" s="2">
        <f>'Student Data'!G34</f>
        <v>0</v>
      </c>
      <c r="E35" s="153">
        <f>'Student Data'!F34</f>
        <v>0</v>
      </c>
      <c r="F35" s="290" t="str">
        <f t="shared" si="0"/>
        <v/>
      </c>
      <c r="G35" s="293">
        <f>'Student Data'!G34</f>
        <v>0</v>
      </c>
      <c r="H35" s="290" t="str">
        <f t="shared" si="1"/>
        <v/>
      </c>
      <c r="I35" s="367" t="str">
        <f>IF(C35="","",(COUNTIF('Student Data'!F34,"No")))</f>
        <v/>
      </c>
      <c r="J35" s="334"/>
      <c r="K35" s="362"/>
      <c r="L35" s="362"/>
      <c r="M35" s="362"/>
      <c r="N35" s="281"/>
      <c r="O35" s="371" t="str">
        <f t="shared" si="2"/>
        <v/>
      </c>
      <c r="P35" s="283"/>
      <c r="Q35" s="362"/>
      <c r="R35" s="362"/>
      <c r="S35" s="362"/>
      <c r="T35" s="281"/>
      <c r="U35" s="371" t="str">
        <f t="shared" si="3"/>
        <v/>
      </c>
    </row>
    <row r="36" spans="1:21">
      <c r="A36" s="2">
        <f t="shared" si="4"/>
        <v>31</v>
      </c>
      <c r="B36" s="2" t="str">
        <f>IF('Student Data'!C35=0,"",'Student Data'!C35)</f>
        <v/>
      </c>
      <c r="C36" s="2" t="str">
        <f>IF('Student Data'!D35=0,"",'Student Data'!D35)</f>
        <v/>
      </c>
      <c r="D36" s="2">
        <f>'Student Data'!G35</f>
        <v>0</v>
      </c>
      <c r="E36" s="153">
        <f>'Student Data'!F35</f>
        <v>0</v>
      </c>
      <c r="F36" s="290" t="str">
        <f t="shared" si="0"/>
        <v/>
      </c>
      <c r="G36" s="368"/>
      <c r="H36" s="290" t="str">
        <f t="shared" si="1"/>
        <v/>
      </c>
      <c r="I36" s="367" t="str">
        <f>IF(C36="","",(COUNTIF('Student Data'!F35,"No")))</f>
        <v/>
      </c>
      <c r="J36" s="334"/>
      <c r="K36" s="362"/>
      <c r="L36" s="362"/>
      <c r="M36" s="362"/>
      <c r="N36" s="281"/>
      <c r="O36" s="371" t="str">
        <f t="shared" si="2"/>
        <v/>
      </c>
      <c r="P36" s="283"/>
      <c r="Q36" s="362"/>
      <c r="R36" s="362"/>
      <c r="S36" s="362"/>
      <c r="T36" s="281"/>
      <c r="U36" s="371" t="str">
        <f t="shared" si="3"/>
        <v/>
      </c>
    </row>
    <row r="37" spans="1:21">
      <c r="A37" s="2">
        <f t="shared" si="4"/>
        <v>32</v>
      </c>
      <c r="B37" s="2" t="str">
        <f>IF('Student Data'!C36=0,"",'Student Data'!C36)</f>
        <v/>
      </c>
      <c r="C37" s="2" t="str">
        <f>IF('Student Data'!D36=0,"",'Student Data'!D36)</f>
        <v/>
      </c>
      <c r="D37" s="2">
        <f>'Student Data'!G36</f>
        <v>0</v>
      </c>
      <c r="E37" s="153">
        <f>'Student Data'!F36</f>
        <v>0</v>
      </c>
      <c r="F37" s="290" t="str">
        <f t="shared" si="0"/>
        <v/>
      </c>
      <c r="G37" s="368"/>
      <c r="H37" s="290" t="str">
        <f t="shared" si="1"/>
        <v/>
      </c>
      <c r="I37" s="367" t="str">
        <f>IF(C37="","",(COUNTIF('Student Data'!F36,"No")))</f>
        <v/>
      </c>
      <c r="J37" s="334"/>
      <c r="K37" s="362"/>
      <c r="L37" s="362"/>
      <c r="M37" s="362"/>
      <c r="N37" s="281"/>
      <c r="O37" s="371" t="str">
        <f t="shared" si="2"/>
        <v/>
      </c>
      <c r="P37" s="283"/>
      <c r="Q37" s="362"/>
      <c r="R37" s="362"/>
      <c r="S37" s="362"/>
      <c r="T37" s="281"/>
      <c r="U37" s="371" t="str">
        <f t="shared" si="3"/>
        <v/>
      </c>
    </row>
    <row r="38" spans="1:21">
      <c r="A38" s="2">
        <f t="shared" si="4"/>
        <v>33</v>
      </c>
      <c r="B38" s="2" t="str">
        <f>IF('Student Data'!C37=0,"",'Student Data'!C37)</f>
        <v/>
      </c>
      <c r="C38" s="2" t="str">
        <f>IF('Student Data'!D37=0,"",'Student Data'!D37)</f>
        <v/>
      </c>
      <c r="D38" s="2">
        <f>'Student Data'!G37</f>
        <v>0</v>
      </c>
      <c r="E38" s="153">
        <f>'Student Data'!F37</f>
        <v>0</v>
      </c>
      <c r="F38" s="290" t="str">
        <f t="shared" si="0"/>
        <v/>
      </c>
      <c r="G38" s="368"/>
      <c r="H38" s="290" t="str">
        <f t="shared" si="1"/>
        <v/>
      </c>
      <c r="I38" s="367" t="str">
        <f>IF(C38="","",(COUNTIF('Student Data'!F37,"No")))</f>
        <v/>
      </c>
      <c r="J38" s="334"/>
      <c r="K38" s="362"/>
      <c r="L38" s="362"/>
      <c r="M38" s="362"/>
      <c r="N38" s="281"/>
      <c r="O38" s="371" t="str">
        <f t="shared" si="2"/>
        <v/>
      </c>
      <c r="P38" s="283"/>
      <c r="Q38" s="362"/>
      <c r="R38" s="362"/>
      <c r="S38" s="362"/>
      <c r="T38" s="281"/>
      <c r="U38" s="371" t="str">
        <f t="shared" si="3"/>
        <v/>
      </c>
    </row>
    <row r="39" spans="1:21">
      <c r="A39" s="2">
        <f t="shared" si="4"/>
        <v>34</v>
      </c>
      <c r="B39" s="2" t="str">
        <f>IF('Student Data'!C38=0,"",'Student Data'!C38)</f>
        <v/>
      </c>
      <c r="C39" s="2" t="str">
        <f>IF('Student Data'!D38=0,"",'Student Data'!D38)</f>
        <v/>
      </c>
      <c r="D39" s="2">
        <f>'Student Data'!G38</f>
        <v>0</v>
      </c>
      <c r="E39" s="153">
        <f>'Student Data'!F38</f>
        <v>0</v>
      </c>
      <c r="F39" s="290" t="str">
        <f t="shared" si="0"/>
        <v/>
      </c>
      <c r="G39" s="368"/>
      <c r="H39" s="290" t="str">
        <f t="shared" si="1"/>
        <v/>
      </c>
      <c r="I39" s="367" t="str">
        <f>IF(C39="","",(COUNTIF('Student Data'!F38,"No")))</f>
        <v/>
      </c>
      <c r="J39" s="334"/>
      <c r="K39" s="362"/>
      <c r="L39" s="362"/>
      <c r="M39" s="362"/>
      <c r="N39" s="281"/>
      <c r="O39" s="371" t="str">
        <f t="shared" si="2"/>
        <v/>
      </c>
      <c r="P39" s="283"/>
      <c r="Q39" s="362"/>
      <c r="R39" s="362"/>
      <c r="S39" s="362"/>
      <c r="T39" s="281"/>
      <c r="U39" s="371" t="str">
        <f t="shared" si="3"/>
        <v/>
      </c>
    </row>
    <row r="40" spans="1:21" ht="15" customHeight="1">
      <c r="A40" s="2">
        <f t="shared" si="4"/>
        <v>35</v>
      </c>
      <c r="B40" s="2" t="str">
        <f>IF('Student Data'!C39=0,"",'Student Data'!C39)</f>
        <v/>
      </c>
      <c r="C40" s="2" t="str">
        <f>IF('Student Data'!D39=0,"",'Student Data'!D39)</f>
        <v/>
      </c>
      <c r="D40" s="2">
        <f>'Student Data'!G39</f>
        <v>0</v>
      </c>
      <c r="E40" s="153">
        <f>'Student Data'!F39</f>
        <v>0</v>
      </c>
      <c r="F40" s="290" t="str">
        <f t="shared" si="0"/>
        <v/>
      </c>
      <c r="G40" s="368"/>
      <c r="H40" s="290" t="str">
        <f t="shared" si="1"/>
        <v/>
      </c>
      <c r="I40" s="367" t="str">
        <f>IF(C40="","",(COUNTIF('Student Data'!F39,"No")))</f>
        <v/>
      </c>
      <c r="J40" s="334"/>
      <c r="K40" s="362"/>
      <c r="L40" s="362"/>
      <c r="M40" s="362"/>
      <c r="N40" s="281"/>
      <c r="O40" s="371" t="str">
        <f t="shared" si="2"/>
        <v/>
      </c>
      <c r="P40" s="283"/>
      <c r="Q40" s="362"/>
      <c r="R40" s="362"/>
      <c r="S40" s="362"/>
      <c r="T40" s="281"/>
      <c r="U40" s="371" t="str">
        <f t="shared" si="3"/>
        <v/>
      </c>
    </row>
    <row r="41" spans="1:21" ht="15" customHeight="1">
      <c r="A41" s="2">
        <f t="shared" si="4"/>
        <v>36</v>
      </c>
      <c r="B41" s="2" t="str">
        <f>IF('Student Data'!C40=0,"",'Student Data'!C40)</f>
        <v/>
      </c>
      <c r="C41" s="2" t="str">
        <f>IF('Student Data'!D40=0,"",'Student Data'!D40)</f>
        <v/>
      </c>
      <c r="D41" s="2">
        <f>'Student Data'!G40</f>
        <v>0</v>
      </c>
      <c r="E41" s="153">
        <f>'Student Data'!F40</f>
        <v>0</v>
      </c>
      <c r="F41" s="290" t="str">
        <f t="shared" si="0"/>
        <v/>
      </c>
      <c r="G41" s="368"/>
      <c r="H41" s="290" t="str">
        <f t="shared" si="1"/>
        <v/>
      </c>
      <c r="I41" s="367" t="str">
        <f>IF(C41="","",(COUNTIF('Student Data'!F40,"No")))</f>
        <v/>
      </c>
      <c r="J41" s="334"/>
      <c r="K41" s="362"/>
      <c r="L41" s="362"/>
      <c r="M41" s="362"/>
      <c r="N41" s="281"/>
      <c r="O41" s="371" t="str">
        <f t="shared" si="2"/>
        <v/>
      </c>
      <c r="P41" s="283"/>
      <c r="Q41" s="362"/>
      <c r="R41" s="362"/>
      <c r="S41" s="362"/>
      <c r="T41" s="281"/>
      <c r="U41" s="371" t="str">
        <f t="shared" si="3"/>
        <v/>
      </c>
    </row>
    <row r="42" spans="1:21" ht="15" customHeight="1">
      <c r="A42" s="2">
        <f t="shared" si="4"/>
        <v>37</v>
      </c>
      <c r="B42" s="2" t="str">
        <f>IF('Student Data'!C41=0,"",'Student Data'!C41)</f>
        <v/>
      </c>
      <c r="C42" s="2" t="str">
        <f>IF('Student Data'!D41=0,"",'Student Data'!D41)</f>
        <v/>
      </c>
      <c r="D42" s="2">
        <f>'Student Data'!G41</f>
        <v>0</v>
      </c>
      <c r="E42" s="153">
        <f>'Student Data'!F41</f>
        <v>0</v>
      </c>
      <c r="F42" s="290" t="str">
        <f t="shared" si="0"/>
        <v/>
      </c>
      <c r="G42" s="368"/>
      <c r="H42" s="290" t="str">
        <f t="shared" si="1"/>
        <v/>
      </c>
      <c r="I42" s="367" t="str">
        <f>IF(C42="","",(COUNTIF('Student Data'!F41,"No")))</f>
        <v/>
      </c>
      <c r="J42" s="334"/>
      <c r="K42" s="362"/>
      <c r="L42" s="362"/>
      <c r="M42" s="362"/>
      <c r="N42" s="281"/>
      <c r="O42" s="371" t="str">
        <f t="shared" si="2"/>
        <v/>
      </c>
      <c r="P42" s="283"/>
      <c r="Q42" s="362"/>
      <c r="R42" s="362"/>
      <c r="S42" s="362"/>
      <c r="T42" s="281"/>
      <c r="U42" s="371" t="str">
        <f t="shared" si="3"/>
        <v/>
      </c>
    </row>
    <row r="43" spans="1:21" ht="15" customHeight="1">
      <c r="A43" s="2">
        <f t="shared" si="4"/>
        <v>38</v>
      </c>
      <c r="B43" s="2" t="str">
        <f>IF('Student Data'!C42=0,"",'Student Data'!C42)</f>
        <v/>
      </c>
      <c r="C43" s="2" t="str">
        <f>IF('Student Data'!D42=0,"",'Student Data'!D42)</f>
        <v/>
      </c>
      <c r="D43" s="2">
        <f>'Student Data'!G42</f>
        <v>0</v>
      </c>
      <c r="E43" s="153">
        <f>'Student Data'!F42</f>
        <v>0</v>
      </c>
      <c r="F43" s="290" t="str">
        <f t="shared" si="0"/>
        <v/>
      </c>
      <c r="G43" s="368"/>
      <c r="H43" s="290" t="str">
        <f t="shared" si="1"/>
        <v/>
      </c>
      <c r="I43" s="367" t="str">
        <f>IF(C43="","",(COUNTIF('Student Data'!F42,"No")))</f>
        <v/>
      </c>
      <c r="J43" s="334"/>
      <c r="K43" s="362"/>
      <c r="L43" s="362"/>
      <c r="M43" s="362"/>
      <c r="N43" s="281"/>
      <c r="O43" s="371" t="str">
        <f t="shared" si="2"/>
        <v/>
      </c>
      <c r="P43" s="283"/>
      <c r="Q43" s="362"/>
      <c r="R43" s="362"/>
      <c r="S43" s="362"/>
      <c r="T43" s="281"/>
      <c r="U43" s="371" t="str">
        <f t="shared" si="3"/>
        <v/>
      </c>
    </row>
    <row r="44" spans="1:21" ht="15" customHeight="1">
      <c r="A44" s="2">
        <f t="shared" si="4"/>
        <v>39</v>
      </c>
      <c r="B44" s="2" t="str">
        <f>IF('Student Data'!C43=0,"",'Student Data'!C43)</f>
        <v/>
      </c>
      <c r="C44" s="2" t="str">
        <f>IF('Student Data'!D43=0,"",'Student Data'!D43)</f>
        <v/>
      </c>
      <c r="D44" s="2">
        <f>'Student Data'!G43</f>
        <v>0</v>
      </c>
      <c r="E44" s="153">
        <f>'Student Data'!F43</f>
        <v>0</v>
      </c>
      <c r="F44" s="290" t="str">
        <f t="shared" si="0"/>
        <v/>
      </c>
      <c r="G44" s="368"/>
      <c r="H44" s="290" t="str">
        <f t="shared" si="1"/>
        <v/>
      </c>
      <c r="I44" s="367" t="str">
        <f>IF(C44="","",(COUNTIF('Student Data'!F43,"No")))</f>
        <v/>
      </c>
      <c r="J44" s="334"/>
      <c r="K44" s="362"/>
      <c r="L44" s="362"/>
      <c r="M44" s="362"/>
      <c r="N44" s="281"/>
      <c r="O44" s="371" t="str">
        <f t="shared" si="2"/>
        <v/>
      </c>
      <c r="P44" s="283"/>
      <c r="Q44" s="362"/>
      <c r="R44" s="362"/>
      <c r="S44" s="362"/>
      <c r="T44" s="281"/>
      <c r="U44" s="371" t="str">
        <f t="shared" si="3"/>
        <v/>
      </c>
    </row>
    <row r="45" spans="1:21" ht="15" customHeight="1" thickBot="1">
      <c r="A45" s="2">
        <f t="shared" si="4"/>
        <v>40</v>
      </c>
      <c r="B45" s="2" t="str">
        <f>IF('Student Data'!C44=0,"",'Student Data'!C44)</f>
        <v/>
      </c>
      <c r="C45" s="2" t="str">
        <f>IF('Student Data'!D44=0,"",'Student Data'!D44)</f>
        <v/>
      </c>
      <c r="D45" s="2">
        <f>'Student Data'!G44</f>
        <v>0</v>
      </c>
      <c r="E45" s="153">
        <f>'Student Data'!F44</f>
        <v>0</v>
      </c>
      <c r="F45" s="291" t="str">
        <f t="shared" si="0"/>
        <v/>
      </c>
      <c r="G45" s="368"/>
      <c r="H45" s="291" t="str">
        <f t="shared" si="1"/>
        <v/>
      </c>
      <c r="I45" s="369" t="str">
        <f>IF(C45="","",(COUNTIF('Student Data'!F44,"No")))</f>
        <v/>
      </c>
      <c r="J45" s="334"/>
      <c r="K45" s="362"/>
      <c r="L45" s="362"/>
      <c r="M45" s="362"/>
      <c r="N45" s="281"/>
      <c r="O45" s="372" t="str">
        <f t="shared" si="2"/>
        <v/>
      </c>
      <c r="P45" s="283"/>
      <c r="Q45" s="362"/>
      <c r="R45" s="362"/>
      <c r="S45" s="362"/>
      <c r="T45" s="281"/>
      <c r="U45" s="372" t="str">
        <f t="shared" si="3"/>
        <v/>
      </c>
    </row>
    <row r="64" ht="15.75" customHeight="1"/>
    <row r="66" spans="1:1" hidden="1">
      <c r="A66" s="11" t="s">
        <v>378</v>
      </c>
    </row>
    <row r="67" spans="1:1" hidden="1">
      <c r="A67" s="338" t="s">
        <v>379</v>
      </c>
    </row>
    <row r="68" spans="1:1" hidden="1">
      <c r="A68" s="338" t="s">
        <v>380</v>
      </c>
    </row>
    <row r="69" spans="1:1" hidden="1">
      <c r="A69" s="338" t="s">
        <v>381</v>
      </c>
    </row>
    <row r="70" spans="1:1" hidden="1">
      <c r="A70" s="338" t="s">
        <v>382</v>
      </c>
    </row>
    <row r="71" spans="1:1" hidden="1">
      <c r="A71" s="338" t="s">
        <v>383</v>
      </c>
    </row>
    <row r="72" spans="1:1" hidden="1">
      <c r="A72" s="338" t="s">
        <v>384</v>
      </c>
    </row>
    <row r="73" spans="1:1" hidden="1">
      <c r="A73" s="338" t="s">
        <v>385</v>
      </c>
    </row>
    <row r="74" spans="1:1" hidden="1">
      <c r="A74" s="338" t="s">
        <v>386</v>
      </c>
    </row>
    <row r="75" spans="1:1" hidden="1">
      <c r="A75" s="338" t="s">
        <v>387</v>
      </c>
    </row>
    <row r="76" spans="1:1" hidden="1">
      <c r="A76" s="338" t="s">
        <v>388</v>
      </c>
    </row>
    <row r="77" spans="1:1" hidden="1">
      <c r="A77" s="338" t="s">
        <v>389</v>
      </c>
    </row>
    <row r="78" spans="1:1" hidden="1"/>
    <row r="79" spans="1:1" hidden="1"/>
    <row r="80" spans="1:1" hidden="1"/>
    <row r="81" hidden="1"/>
    <row r="82" hidden="1"/>
    <row r="83" hidden="1"/>
    <row r="84" hidden="1"/>
    <row r="85" hidden="1"/>
    <row r="86" hidden="1"/>
    <row r="87" hidden="1"/>
    <row r="88" hidden="1"/>
    <row r="148" spans="2:2">
      <c r="B148" s="11" t="s">
        <v>315</v>
      </c>
    </row>
  </sheetData>
  <sheetProtection formatCells="0"/>
  <mergeCells count="4">
    <mergeCell ref="J3:O3"/>
    <mergeCell ref="Q3:U3"/>
    <mergeCell ref="F4:F5"/>
    <mergeCell ref="G4:G5"/>
  </mergeCells>
  <conditionalFormatting sqref="A6 D6 F6:F35 B36:B45 A8:A45 E8:F45 H6:H45">
    <cfRule type="expression" dxfId="120" priority="307">
      <formula>IF($G6="Terminated-Nesting", TRUE)</formula>
    </cfRule>
    <cfRule type="expression" dxfId="119" priority="308">
      <formula>IF($G6="Resigned-Nesting", TRUE)</formula>
    </cfRule>
    <cfRule type="expression" dxfId="118" priority="309">
      <formula>IF($G6="Resigned", TRUE)</formula>
    </cfRule>
    <cfRule type="expression" dxfId="117" priority="310">
      <formula>IF($G6="Terminated", TRUE)</formula>
    </cfRule>
    <cfRule type="expression" dxfId="116" priority="311">
      <formula>IF($G6="Did not Start", TRUE)</formula>
    </cfRule>
  </conditionalFormatting>
  <conditionalFormatting sqref="F6:F45">
    <cfRule type="cellIs" dxfId="115" priority="305" operator="equal">
      <formula>1</formula>
    </cfRule>
    <cfRule type="cellIs" dxfId="114" priority="306" operator="lessThan">
      <formula>1</formula>
    </cfRule>
  </conditionalFormatting>
  <conditionalFormatting sqref="B6:C35 C36:C45">
    <cfRule type="expression" dxfId="113" priority="295">
      <formula>IF($G6="Terminated-Nesting", TRUE)</formula>
    </cfRule>
    <cfRule type="expression" dxfId="112" priority="296">
      <formula>IF($G6="Resigned-Nesting", TRUE)</formula>
    </cfRule>
    <cfRule type="expression" dxfId="111" priority="297">
      <formula>IF($G6="Resigned", TRUE)</formula>
    </cfRule>
    <cfRule type="expression" dxfId="110" priority="298">
      <formula>IF($G6="Terminated", TRUE)</formula>
    </cfRule>
    <cfRule type="expression" dxfId="109" priority="299">
      <formula>IF($G6="Did not Start", TRUE)</formula>
    </cfRule>
  </conditionalFormatting>
  <conditionalFormatting sqref="G6:G30">
    <cfRule type="expression" dxfId="108" priority="290">
      <formula>IF($G6="Terminated-Nesting", TRUE)</formula>
    </cfRule>
    <cfRule type="expression" dxfId="107" priority="291">
      <formula>IF($G6="Resigned-Nesting", TRUE)</formula>
    </cfRule>
    <cfRule type="expression" dxfId="106" priority="292">
      <formula>IF($G6="Resigned", TRUE)</formula>
    </cfRule>
    <cfRule type="expression" dxfId="105" priority="293">
      <formula>IF($G6="Terminated", TRUE)</formula>
    </cfRule>
    <cfRule type="expression" dxfId="104" priority="294">
      <formula>IF($G6="Did not Start", TRUE)</formula>
    </cfRule>
  </conditionalFormatting>
  <conditionalFormatting sqref="D7:D30">
    <cfRule type="expression" dxfId="103" priority="285">
      <formula>IF($G7="Terminated-Nesting", TRUE)</formula>
    </cfRule>
    <cfRule type="expression" dxfId="102" priority="286">
      <formula>IF($G7="Resigned-Nesting", TRUE)</formula>
    </cfRule>
    <cfRule type="expression" dxfId="101" priority="287">
      <formula>IF($G7="Resigned", TRUE)</formula>
    </cfRule>
    <cfRule type="expression" dxfId="100" priority="288">
      <formula>IF($G7="Terminated", TRUE)</formula>
    </cfRule>
    <cfRule type="expression" dxfId="99" priority="289">
      <formula>IF($G7="Did not Start", TRUE)</formula>
    </cfRule>
  </conditionalFormatting>
  <conditionalFormatting sqref="A7">
    <cfRule type="expression" dxfId="98" priority="249">
      <formula>IF($G7="Terminated-Nesting", TRUE)</formula>
    </cfRule>
    <cfRule type="expression" dxfId="97" priority="250">
      <formula>IF($G7="Resigned-Nesting", TRUE)</formula>
    </cfRule>
    <cfRule type="expression" dxfId="96" priority="251">
      <formula>IF($G7="Resigned", TRUE)</formula>
    </cfRule>
    <cfRule type="expression" dxfId="95" priority="252">
      <formula>IF($G7="Terminated", TRUE)</formula>
    </cfRule>
    <cfRule type="expression" dxfId="94" priority="253">
      <formula>IF($G7="Did not Start", TRUE)</formula>
    </cfRule>
  </conditionalFormatting>
  <conditionalFormatting sqref="G31">
    <cfRule type="expression" dxfId="93" priority="234">
      <formula>IF($G31="Terminated-Nesting", TRUE)</formula>
    </cfRule>
    <cfRule type="expression" dxfId="92" priority="235">
      <formula>IF($G31="Resigned-Nesting", TRUE)</formula>
    </cfRule>
    <cfRule type="expression" dxfId="91" priority="236">
      <formula>IF($G31="Resigned", TRUE)</formula>
    </cfRule>
    <cfRule type="expression" dxfId="90" priority="237">
      <formula>IF($G31="Terminated", TRUE)</formula>
    </cfRule>
    <cfRule type="expression" dxfId="89" priority="238">
      <formula>IF($G31="Did not Start", TRUE)</formula>
    </cfRule>
  </conditionalFormatting>
  <conditionalFormatting sqref="D31">
    <cfRule type="expression" dxfId="88" priority="229">
      <formula>IF($G31="Terminated-Nesting", TRUE)</formula>
    </cfRule>
    <cfRule type="expression" dxfId="87" priority="230">
      <formula>IF($G31="Resigned-Nesting", TRUE)</formula>
    </cfRule>
    <cfRule type="expression" dxfId="86" priority="231">
      <formula>IF($G31="Resigned", TRUE)</formula>
    </cfRule>
    <cfRule type="expression" dxfId="85" priority="232">
      <formula>IF($G31="Terminated", TRUE)</formula>
    </cfRule>
    <cfRule type="expression" dxfId="84" priority="233">
      <formula>IF($G31="Did not Start", TRUE)</formula>
    </cfRule>
  </conditionalFormatting>
  <conditionalFormatting sqref="G32">
    <cfRule type="expression" dxfId="83" priority="210">
      <formula>IF($G32="Terminated-Nesting", TRUE)</formula>
    </cfRule>
    <cfRule type="expression" dxfId="82" priority="211">
      <formula>IF($G32="Resigned-Nesting", TRUE)</formula>
    </cfRule>
    <cfRule type="expression" dxfId="81" priority="212">
      <formula>IF($G32="Resigned", TRUE)</formula>
    </cfRule>
    <cfRule type="expression" dxfId="80" priority="213">
      <formula>IF($G32="Terminated", TRUE)</formula>
    </cfRule>
    <cfRule type="expression" dxfId="79" priority="214">
      <formula>IF($G32="Did not Start", TRUE)</formula>
    </cfRule>
  </conditionalFormatting>
  <conditionalFormatting sqref="D32">
    <cfRule type="expression" dxfId="78" priority="205">
      <formula>IF($G32="Terminated-Nesting", TRUE)</formula>
    </cfRule>
    <cfRule type="expression" dxfId="77" priority="206">
      <formula>IF($G32="Resigned-Nesting", TRUE)</formula>
    </cfRule>
    <cfRule type="expression" dxfId="76" priority="207">
      <formula>IF($G32="Resigned", TRUE)</formula>
    </cfRule>
    <cfRule type="expression" dxfId="75" priority="208">
      <formula>IF($G32="Terminated", TRUE)</formula>
    </cfRule>
    <cfRule type="expression" dxfId="74" priority="209">
      <formula>IF($G32="Did not Start", TRUE)</formula>
    </cfRule>
  </conditionalFormatting>
  <conditionalFormatting sqref="G33">
    <cfRule type="expression" dxfId="73" priority="186">
      <formula>IF($G33="Terminated-Nesting", TRUE)</formula>
    </cfRule>
    <cfRule type="expression" dxfId="72" priority="187">
      <formula>IF($G33="Resigned-Nesting", TRUE)</formula>
    </cfRule>
    <cfRule type="expression" dxfId="71" priority="188">
      <formula>IF($G33="Resigned", TRUE)</formula>
    </cfRule>
    <cfRule type="expression" dxfId="70" priority="189">
      <formula>IF($G33="Terminated", TRUE)</formula>
    </cfRule>
    <cfRule type="expression" dxfId="69" priority="190">
      <formula>IF($G33="Did not Start", TRUE)</formula>
    </cfRule>
  </conditionalFormatting>
  <conditionalFormatting sqref="D33">
    <cfRule type="expression" dxfId="68" priority="181">
      <formula>IF($G33="Terminated-Nesting", TRUE)</formula>
    </cfRule>
    <cfRule type="expression" dxfId="67" priority="182">
      <formula>IF($G33="Resigned-Nesting", TRUE)</formula>
    </cfRule>
    <cfRule type="expression" dxfId="66" priority="183">
      <formula>IF($G33="Resigned", TRUE)</formula>
    </cfRule>
    <cfRule type="expression" dxfId="65" priority="184">
      <formula>IF($G33="Terminated", TRUE)</formula>
    </cfRule>
    <cfRule type="expression" dxfId="64" priority="185">
      <formula>IF($G33="Did not Start", TRUE)</formula>
    </cfRule>
  </conditionalFormatting>
  <conditionalFormatting sqref="G34">
    <cfRule type="expression" dxfId="63" priority="162">
      <formula>IF($G34="Terminated-Nesting", TRUE)</formula>
    </cfRule>
    <cfRule type="expression" dxfId="62" priority="163">
      <formula>IF($G34="Resigned-Nesting", TRUE)</formula>
    </cfRule>
    <cfRule type="expression" dxfId="61" priority="164">
      <formula>IF($G34="Resigned", TRUE)</formula>
    </cfRule>
    <cfRule type="expression" dxfId="60" priority="165">
      <formula>IF($G34="Terminated", TRUE)</formula>
    </cfRule>
    <cfRule type="expression" dxfId="59" priority="166">
      <formula>IF($G34="Did not Start", TRUE)</formula>
    </cfRule>
  </conditionalFormatting>
  <conditionalFormatting sqref="D34">
    <cfRule type="expression" dxfId="58" priority="157">
      <formula>IF($G34="Terminated-Nesting", TRUE)</formula>
    </cfRule>
    <cfRule type="expression" dxfId="57" priority="158">
      <formula>IF($G34="Resigned-Nesting", TRUE)</formula>
    </cfRule>
    <cfRule type="expression" dxfId="56" priority="159">
      <formula>IF($G34="Resigned", TRUE)</formula>
    </cfRule>
    <cfRule type="expression" dxfId="55" priority="160">
      <formula>IF($G34="Terminated", TRUE)</formula>
    </cfRule>
    <cfRule type="expression" dxfId="54" priority="161">
      <formula>IF($G34="Did not Start", TRUE)</formula>
    </cfRule>
  </conditionalFormatting>
  <conditionalFormatting sqref="G35">
    <cfRule type="expression" dxfId="53" priority="138">
      <formula>IF($G35="Terminated-Nesting", TRUE)</formula>
    </cfRule>
    <cfRule type="expression" dxfId="52" priority="139">
      <formula>IF($G35="Resigned-Nesting", TRUE)</formula>
    </cfRule>
    <cfRule type="expression" dxfId="51" priority="140">
      <formula>IF($G35="Resigned", TRUE)</formula>
    </cfRule>
    <cfRule type="expression" dxfId="50" priority="141">
      <formula>IF($G35="Terminated", TRUE)</formula>
    </cfRule>
    <cfRule type="expression" dxfId="49" priority="142">
      <formula>IF($G35="Did not Start", TRUE)</formula>
    </cfRule>
  </conditionalFormatting>
  <conditionalFormatting sqref="D35:D45">
    <cfRule type="expression" dxfId="48" priority="133">
      <formula>IF($G35="Terminated-Nesting", TRUE)</formula>
    </cfRule>
    <cfRule type="expression" dxfId="47" priority="134">
      <formula>IF($G35="Resigned-Nesting", TRUE)</formula>
    </cfRule>
    <cfRule type="expression" dxfId="46" priority="135">
      <formula>IF($G35="Resigned", TRUE)</formula>
    </cfRule>
    <cfRule type="expression" dxfId="45" priority="136">
      <formula>IF($G35="Terminated", TRUE)</formula>
    </cfRule>
    <cfRule type="expression" dxfId="44" priority="137">
      <formula>IF($G35="Did not Start", TRUE)</formula>
    </cfRule>
  </conditionalFormatting>
  <conditionalFormatting sqref="O6:O45">
    <cfRule type="expression" dxfId="43" priority="103">
      <formula>IF($G6="Terminated-Nesting", TRUE)</formula>
    </cfRule>
    <cfRule type="expression" dxfId="42" priority="104">
      <formula>IF($G6="Resigned-Nesting", TRUE)</formula>
    </cfRule>
    <cfRule type="expression" dxfId="41" priority="105">
      <formula>IF($G6="Resigned", TRUE)</formula>
    </cfRule>
    <cfRule type="expression" dxfId="40" priority="106">
      <formula>IF($G6="Terminated", TRUE)</formula>
    </cfRule>
    <cfRule type="expression" dxfId="39" priority="107">
      <formula>IF($G6="Did not Start", TRUE)</formula>
    </cfRule>
  </conditionalFormatting>
  <conditionalFormatting sqref="H6:H45 O6:O45">
    <cfRule type="expression" dxfId="38" priority="1">
      <formula>IF($C6="", TRUE)</formula>
    </cfRule>
    <cfRule type="cellIs" dxfId="37" priority="101" operator="between">
      <formula>0</formula>
      <formula>0.99999</formula>
    </cfRule>
    <cfRule type="cellIs" dxfId="36" priority="102" operator="greaterThanOrEqual">
      <formula>1</formula>
    </cfRule>
  </conditionalFormatting>
  <conditionalFormatting sqref="K6:K45">
    <cfRule type="expression" dxfId="35" priority="35">
      <formula>IF($H6="Terminated",TRUE)</formula>
    </cfRule>
    <cfRule type="expression" dxfId="34" priority="36">
      <formula>IF($H6="Resigned-Nesting",TRUE)</formula>
    </cfRule>
    <cfRule type="expression" dxfId="33" priority="37">
      <formula>IF($H6="Resigned",TRUE)</formula>
    </cfRule>
  </conditionalFormatting>
  <conditionalFormatting sqref="K6:K45">
    <cfRule type="expression" dxfId="32" priority="33">
      <formula>IF($H6="Did not Start",TRUE)</formula>
    </cfRule>
    <cfRule type="expression" dxfId="31" priority="34">
      <formula>IF($H6="Terminated-Nesting",TRUE)</formula>
    </cfRule>
  </conditionalFormatting>
  <conditionalFormatting sqref="L6:M45">
    <cfRule type="expression" dxfId="30" priority="30">
      <formula>IF($H6="Terminated",TRUE)</formula>
    </cfRule>
    <cfRule type="expression" dxfId="29" priority="31">
      <formula>IF($H6="Resigned-Nesting",TRUE)</formula>
    </cfRule>
    <cfRule type="expression" dxfId="28" priority="32">
      <formula>IF($H6="Resigned",TRUE)</formula>
    </cfRule>
  </conditionalFormatting>
  <conditionalFormatting sqref="L6:M45">
    <cfRule type="expression" dxfId="27" priority="28">
      <formula>IF($H6="Did not Start",TRUE)</formula>
    </cfRule>
    <cfRule type="expression" dxfId="26" priority="29">
      <formula>IF($H6="Terminated-Nesting",TRUE)</formula>
    </cfRule>
  </conditionalFormatting>
  <conditionalFormatting sqref="Q6:Q45">
    <cfRule type="expression" dxfId="25" priority="25">
      <formula>IF($H6="Terminated",TRUE)</formula>
    </cfRule>
    <cfRule type="expression" dxfId="24" priority="26">
      <formula>IF($H6="Resigned-Nesting",TRUE)</formula>
    </cfRule>
    <cfRule type="expression" dxfId="23" priority="27">
      <formula>IF($H6="Resigned",TRUE)</formula>
    </cfRule>
  </conditionalFormatting>
  <conditionalFormatting sqref="Q6:Q45">
    <cfRule type="expression" dxfId="22" priority="23">
      <formula>IF($H6="Did not Start",TRUE)</formula>
    </cfRule>
    <cfRule type="expression" dxfId="21" priority="24">
      <formula>IF($H6="Terminated-Nesting",TRUE)</formula>
    </cfRule>
  </conditionalFormatting>
  <conditionalFormatting sqref="R6:S45">
    <cfRule type="expression" dxfId="20" priority="20">
      <formula>IF($H6="Terminated",TRUE)</formula>
    </cfRule>
    <cfRule type="expression" dxfId="19" priority="21">
      <formula>IF($H6="Resigned-Nesting",TRUE)</formula>
    </cfRule>
    <cfRule type="expression" dxfId="18" priority="22">
      <formula>IF($H6="Resigned",TRUE)</formula>
    </cfRule>
  </conditionalFormatting>
  <conditionalFormatting sqref="R6:S45">
    <cfRule type="expression" dxfId="17" priority="18">
      <formula>IF($H6="Did not Start",TRUE)</formula>
    </cfRule>
    <cfRule type="expression" dxfId="16" priority="19">
      <formula>IF($H6="Terminated-Nesting",TRUE)</formula>
    </cfRule>
  </conditionalFormatting>
  <conditionalFormatting sqref="U6:U45">
    <cfRule type="expression" dxfId="15" priority="13">
      <formula>IF($G6="Terminated-Nesting", TRUE)</formula>
    </cfRule>
    <cfRule type="expression" dxfId="14" priority="14">
      <formula>IF($G6="Resigned-Nesting", TRUE)</formula>
    </cfRule>
    <cfRule type="expression" dxfId="13" priority="15">
      <formula>IF($G6="Resigned", TRUE)</formula>
    </cfRule>
    <cfRule type="expression" dxfId="12" priority="16">
      <formula>IF($G6="Terminated", TRUE)</formula>
    </cfRule>
    <cfRule type="expression" dxfId="11" priority="17">
      <formula>IF($G6="Did not Start", TRUE)</formula>
    </cfRule>
  </conditionalFormatting>
  <conditionalFormatting sqref="U6:U45">
    <cfRule type="cellIs" dxfId="10" priority="11" operator="between">
      <formula>0</formula>
      <formula>0.99999</formula>
    </cfRule>
    <cfRule type="cellIs" dxfId="9" priority="12" operator="greaterThanOrEqual">
      <formula>1</formula>
    </cfRule>
  </conditionalFormatting>
  <conditionalFormatting sqref="E6:E7">
    <cfRule type="expression" dxfId="8" priority="6">
      <formula>IF($G6="Terminated-Nesting", TRUE)</formula>
    </cfRule>
    <cfRule type="expression" dxfId="7" priority="7">
      <formula>IF($G6="Resigned-Nesting", TRUE)</formula>
    </cfRule>
    <cfRule type="expression" dxfId="6" priority="8">
      <formula>IF($G6="Resigned", TRUE)</formula>
    </cfRule>
    <cfRule type="expression" dxfId="5" priority="9">
      <formula>IF($G6="Terminated", TRUE)</formula>
    </cfRule>
    <cfRule type="expression" dxfId="4" priority="10">
      <formula>IF($G6="Did not Start", TRUE)</formula>
    </cfRule>
  </conditionalFormatting>
  <conditionalFormatting sqref="H6:H45">
    <cfRule type="cellIs" dxfId="3" priority="4" operator="equal">
      <formula>1</formula>
    </cfRule>
    <cfRule type="cellIs" dxfId="2" priority="5" operator="lessThan">
      <formula>1</formula>
    </cfRule>
  </conditionalFormatting>
  <conditionalFormatting sqref="H11">
    <cfRule type="cellIs" dxfId="1" priority="2" operator="equal">
      <formula>1</formula>
    </cfRule>
    <cfRule type="cellIs" dxfId="0" priority="3" operator="lessThan">
      <formula>1</formula>
    </cfRule>
  </conditionalFormatting>
  <hyperlinks>
    <hyperlink ref="A3" location="'Quick Links'!A1" display="Quick Links" xr:uid="{BBA1C839-F6B7-4862-8048-723BAE6F5595}"/>
    <hyperlink ref="A1" location="'Quick Links'!A1" display="Home" xr:uid="{C6A5577A-E034-4966-8362-A7A83645E57A}"/>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CD1C89-A0AA-4704-A83F-E8C19C26DDD3}">
          <x14:formula1>
            <xm:f>'Student Data'!$B$176:$B$177</xm:f>
          </x14:formula1>
          <xm:sqref>Q6:S45 K18:M45</xm:sqref>
        </x14:dataValidation>
        <x14:dataValidation type="list" allowBlank="1" showInputMessage="1" showErrorMessage="1" xr:uid="{42260728-6A2E-40A4-828C-EFCD7CFB00D2}">
          <x14:formula1>
            <xm:f>'Student Data'!$B$185:$B$186</xm:f>
          </x14:formula1>
          <xm:sqref>K6:M17</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TaxCatchAll xmlns="e81dcfd3-bb5b-4c01-b359-5c535f40575b" xsi:nil="true"/>
    <lcf76f155ced4ddcb4097134ff3c332f xmlns="991690dd-971c-4a57-86ae-f0d4992af2a1">
      <Terms xmlns="http://schemas.microsoft.com/office/infopath/2007/PartnerControls"/>
    </lcf76f155ced4ddcb4097134ff3c332f>
    <_Flow_SignoffStatus xmlns="991690dd-971c-4a57-86ae-f0d4992af2a1"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99666F9F748F14EA2A3B2C3325797FC" ma:contentTypeVersion="19" ma:contentTypeDescription="Create a new document." ma:contentTypeScope="" ma:versionID="ef80af2a288b3ee53efde554a173d6aa">
  <xsd:schema xmlns:xsd="http://www.w3.org/2001/XMLSchema" xmlns:xs="http://www.w3.org/2001/XMLSchema" xmlns:p="http://schemas.microsoft.com/office/2006/metadata/properties" xmlns:ns2="991690dd-971c-4a57-86ae-f0d4992af2a1" xmlns:ns3="e81dcfd3-bb5b-4c01-b359-5c535f40575b" targetNamespace="http://schemas.microsoft.com/office/2006/metadata/properties" ma:root="true" ma:fieldsID="cd5d67d6d56a9a8941fad055150a0652" ns2:_="" ns3:_="">
    <xsd:import namespace="991690dd-971c-4a57-86ae-f0d4992af2a1"/>
    <xsd:import namespace="e81dcfd3-bb5b-4c01-b359-5c535f40575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Location" minOccurs="0"/>
                <xsd:element ref="ns2:MediaServiceSearchProperties" minOccurs="0"/>
                <xsd:element ref="ns2:_Flow_SignoffStatu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91690dd-971c-4a57-86ae-f0d4992af2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a4a196de-7409-4f25-b736-a3534a948b96"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2" nillable="true" ma:displayName="Location" ma:indexed="true" ma:internalName="MediaServiceLocation"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_Flow_SignoffStatus" ma:index="24" nillable="true" ma:displayName="Sign-off status" ma:internalName="_x0024_Resources_x003a_core_x002c_Signoff_Status">
      <xsd:simpleType>
        <xsd:restriction base="dms:Text"/>
      </xsd:simpleType>
    </xsd:element>
    <xsd:element name="MediaServiceBillingMetadata" ma:index="25"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81dcfd3-bb5b-4c01-b359-5c535f40575b"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394b43df-a928-4c60-a488-76cbbdd31805}" ma:internalName="TaxCatchAll" ma:showField="CatchAllData" ma:web="e81dcfd3-bb5b-4c01-b359-5c535f40575b">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C2BDF6A-2DAC-4C37-88FC-4D1700EF8897}"/>
</file>

<file path=customXml/itemProps2.xml><?xml version="1.0" encoding="utf-8"?>
<ds:datastoreItem xmlns:ds="http://schemas.openxmlformats.org/officeDocument/2006/customXml" ds:itemID="{C50EC8B4-0CBB-4C62-99AB-41438AF4197F}"/>
</file>

<file path=customXml/itemProps3.xml><?xml version="1.0" encoding="utf-8"?>
<ds:datastoreItem xmlns:ds="http://schemas.openxmlformats.org/officeDocument/2006/customXml" ds:itemID="{94E0795D-95EB-4A11-B02A-756B80BEADCA}"/>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chmacdonald</dc:creator>
  <cp:keywords/>
  <dc:description/>
  <cp:lastModifiedBy>Pippen Skum Lising</cp:lastModifiedBy>
  <cp:revision/>
  <dcterms:created xsi:type="dcterms:W3CDTF">2010-05-28T17:37:57Z</dcterms:created>
  <dcterms:modified xsi:type="dcterms:W3CDTF">2025-12-16T00:01:54Z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0x010100299666F9F748F14EA2A3B2C3325797FC</vt:lpwstr>
  </property>
  <property fmtid="{D5CDD505-2E9C-101B-9397-08002B2CF9AE}" pid="3" name="MSIP_Label_4637e5cc-ed1f-4ad6-a881-35c0f1c6f3d8_Enabled">
    <vt:lpwstr>true</vt:lpwstr>
  </property>
  <property fmtid="{D5CDD505-2E9C-101B-9397-08002B2CF9AE}" pid="4" name="MSIP_Label_4637e5cc-ed1f-4ad6-a881-35c0f1c6f3d8_SetDate">
    <vt:lpwstr>2023-01-09T21:03:38Z</vt:lpwstr>
  </property>
  <property fmtid="{D5CDD505-2E9C-101B-9397-08002B2CF9AE}" pid="5" name="MSIP_Label_4637e5cc-ed1f-4ad6-a881-35c0f1c6f3d8_Method">
    <vt:lpwstr>Standard</vt:lpwstr>
  </property>
  <property fmtid="{D5CDD505-2E9C-101B-9397-08002B2CF9AE}" pid="6" name="MSIP_Label_4637e5cc-ed1f-4ad6-a881-35c0f1c6f3d8_Name">
    <vt:lpwstr>General</vt:lpwstr>
  </property>
  <property fmtid="{D5CDD505-2E9C-101B-9397-08002B2CF9AE}" pid="7" name="MSIP_Label_4637e5cc-ed1f-4ad6-a881-35c0f1c6f3d8_SiteId">
    <vt:lpwstr>e3cf3c98-a978-465f-8254-9d541eeea73c</vt:lpwstr>
  </property>
  <property fmtid="{D5CDD505-2E9C-101B-9397-08002B2CF9AE}" pid="8" name="MSIP_Label_4637e5cc-ed1f-4ad6-a881-35c0f1c6f3d8_ActionId">
    <vt:lpwstr>6c8d12cc-63b3-40da-b612-5c21360bcbbd</vt:lpwstr>
  </property>
  <property fmtid="{D5CDD505-2E9C-101B-9397-08002B2CF9AE}" pid="9" name="MSIP_Label_4637e5cc-ed1f-4ad6-a881-35c0f1c6f3d8_ContentBits">
    <vt:lpwstr>0</vt:lpwstr>
  </property>
  <property fmtid="{D5CDD505-2E9C-101B-9397-08002B2CF9AE}" pid="10" name="MediaServiceImageTags">
    <vt:lpwstr/>
  </property>
</Properties>
</file>